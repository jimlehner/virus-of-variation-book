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2014A43B-B02F-4489-89BD-CA61CF9A9235}" xr6:coauthVersionLast="47" xr6:coauthVersionMax="47" xr10:uidLastSave="{00000000-0000-0000-0000-000000000000}"/>
  <bookViews>
    <workbookView xWindow="7125" yWindow="-12690" windowWidth="21600" windowHeight="11235" xr2:uid="{00000000-000D-0000-FFFF-FFFF00000000}"/>
  </bookViews>
  <sheets>
    <sheet name="Overview" sheetId="1" r:id="rId1"/>
    <sheet name="Fig 11.1. XmR chart" sheetId="8" r:id="rId2"/>
    <sheet name="Fig 11.2. Average and Range" sheetId="3" r:id="rId3"/>
    <sheet name="Fig 11.3. X &amp; Ave. charts" sheetId="9" r:id="rId4"/>
    <sheet name="Fig 11.4. mR &amp; Range" sheetId="10" r:id="rId5"/>
    <sheet name="Data" sheetId="6" r:id="rId6"/>
  </sheets>
  <definedNames>
    <definedName name="ExternalData_1" localSheetId="5" hidden="1">Data!$A$1:$D$270</definedName>
    <definedName name="ExternalData_1" localSheetId="1" hidden="1">'Fig 11.1. XmR chart'!$A$1:$C$205</definedName>
    <definedName name="ExternalData_1" localSheetId="2" hidden="1">'Fig 11.2. Average and Range'!$A$1:$H$52</definedName>
    <definedName name="ExternalData_1" localSheetId="3" hidden="1">'Fig 11.3. X &amp; Ave. charts'!$A$1:$C$205</definedName>
    <definedName name="ExternalData_1" localSheetId="4" hidden="1">'Fig 11.4. mR &amp; Range'!$A$1:$C$205</definedName>
    <definedName name="ExternalData_2" localSheetId="5" hidden="1">Data!$F$1:$J$68</definedName>
    <definedName name="ExternalData_2" localSheetId="3" hidden="1">'Fig 11.3. X &amp; Ave. charts'!$K$1:$R$52</definedName>
    <definedName name="ExternalData_2" localSheetId="4" hidden="1">'Fig 11.4. mR &amp; Range'!$K$1:$R$52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5" i="10" l="1"/>
  <c r="D205" i="10"/>
  <c r="G204" i="10"/>
  <c r="D204" i="10"/>
  <c r="G203" i="10"/>
  <c r="D203" i="10"/>
  <c r="G202" i="10"/>
  <c r="D202" i="10"/>
  <c r="G201" i="10"/>
  <c r="D201" i="10"/>
  <c r="G200" i="10"/>
  <c r="D200" i="10"/>
  <c r="G199" i="10"/>
  <c r="D199" i="10"/>
  <c r="G198" i="10"/>
  <c r="D198" i="10"/>
  <c r="G197" i="10"/>
  <c r="D197" i="10"/>
  <c r="G196" i="10"/>
  <c r="D196" i="10"/>
  <c r="G195" i="10"/>
  <c r="D195" i="10"/>
  <c r="G194" i="10"/>
  <c r="D194" i="10"/>
  <c r="G193" i="10"/>
  <c r="D193" i="10"/>
  <c r="G192" i="10"/>
  <c r="D192" i="10"/>
  <c r="G191" i="10"/>
  <c r="D191" i="10"/>
  <c r="G190" i="10"/>
  <c r="D190" i="10"/>
  <c r="G189" i="10"/>
  <c r="D189" i="10"/>
  <c r="G188" i="10"/>
  <c r="D188" i="10"/>
  <c r="G187" i="10"/>
  <c r="D187" i="10"/>
  <c r="G186" i="10"/>
  <c r="D186" i="10"/>
  <c r="G185" i="10"/>
  <c r="D185" i="10"/>
  <c r="G184" i="10"/>
  <c r="D184" i="10"/>
  <c r="G183" i="10"/>
  <c r="D183" i="10"/>
  <c r="G182" i="10"/>
  <c r="D182" i="10"/>
  <c r="G181" i="10"/>
  <c r="D181" i="10"/>
  <c r="G180" i="10"/>
  <c r="D180" i="10"/>
  <c r="G179" i="10"/>
  <c r="D179" i="10"/>
  <c r="G178" i="10"/>
  <c r="D178" i="10"/>
  <c r="G177" i="10"/>
  <c r="D177" i="10"/>
  <c r="G176" i="10"/>
  <c r="D176" i="10"/>
  <c r="G175" i="10"/>
  <c r="D175" i="10"/>
  <c r="G174" i="10"/>
  <c r="D174" i="10"/>
  <c r="G173" i="10"/>
  <c r="D173" i="10"/>
  <c r="G172" i="10"/>
  <c r="D172" i="10"/>
  <c r="G171" i="10"/>
  <c r="D171" i="10"/>
  <c r="G170" i="10"/>
  <c r="D170" i="10"/>
  <c r="G169" i="10"/>
  <c r="D169" i="10"/>
  <c r="G168" i="10"/>
  <c r="D168" i="10"/>
  <c r="G167" i="10"/>
  <c r="D167" i="10"/>
  <c r="G166" i="10"/>
  <c r="D166" i="10"/>
  <c r="G165" i="10"/>
  <c r="D165" i="10"/>
  <c r="G164" i="10"/>
  <c r="D164" i="10"/>
  <c r="G163" i="10"/>
  <c r="D163" i="10"/>
  <c r="G162" i="10"/>
  <c r="D162" i="10"/>
  <c r="G161" i="10"/>
  <c r="D161" i="10"/>
  <c r="G160" i="10"/>
  <c r="D160" i="10"/>
  <c r="G159" i="10"/>
  <c r="D159" i="10"/>
  <c r="G158" i="10"/>
  <c r="D158" i="10"/>
  <c r="G157" i="10"/>
  <c r="D157" i="10"/>
  <c r="G156" i="10"/>
  <c r="D156" i="10"/>
  <c r="G155" i="10"/>
  <c r="D155" i="10"/>
  <c r="G154" i="10"/>
  <c r="D154" i="10"/>
  <c r="G153" i="10"/>
  <c r="D153" i="10"/>
  <c r="G152" i="10"/>
  <c r="D152" i="10"/>
  <c r="G151" i="10"/>
  <c r="D151" i="10"/>
  <c r="G150" i="10"/>
  <c r="D150" i="10"/>
  <c r="G149" i="10"/>
  <c r="D149" i="10"/>
  <c r="G148" i="10"/>
  <c r="D148" i="10"/>
  <c r="G147" i="10"/>
  <c r="D147" i="10"/>
  <c r="G146" i="10"/>
  <c r="D146" i="10"/>
  <c r="G145" i="10"/>
  <c r="D145" i="10"/>
  <c r="G144" i="10"/>
  <c r="D144" i="10"/>
  <c r="G143" i="10"/>
  <c r="D143" i="10"/>
  <c r="G142" i="10"/>
  <c r="D142" i="10"/>
  <c r="G141" i="10"/>
  <c r="D141" i="10"/>
  <c r="G140" i="10"/>
  <c r="D140" i="10"/>
  <c r="G139" i="10"/>
  <c r="D139" i="10"/>
  <c r="G138" i="10"/>
  <c r="D138" i="10"/>
  <c r="G137" i="10"/>
  <c r="D137" i="10"/>
  <c r="G136" i="10"/>
  <c r="D136" i="10"/>
  <c r="G135" i="10"/>
  <c r="D135" i="10"/>
  <c r="G134" i="10"/>
  <c r="D134" i="10"/>
  <c r="G133" i="10"/>
  <c r="D133" i="10"/>
  <c r="G132" i="10"/>
  <c r="D132" i="10"/>
  <c r="G131" i="10"/>
  <c r="D131" i="10"/>
  <c r="G130" i="10"/>
  <c r="D130" i="10"/>
  <c r="G129" i="10"/>
  <c r="D129" i="10"/>
  <c r="G128" i="10"/>
  <c r="D128" i="10"/>
  <c r="G127" i="10"/>
  <c r="D127" i="10"/>
  <c r="G126" i="10"/>
  <c r="D126" i="10"/>
  <c r="G125" i="10"/>
  <c r="D125" i="10"/>
  <c r="G124" i="10"/>
  <c r="D124" i="10"/>
  <c r="G123" i="10"/>
  <c r="D123" i="10"/>
  <c r="G122" i="10"/>
  <c r="D122" i="10"/>
  <c r="G121" i="10"/>
  <c r="D121" i="10"/>
  <c r="G120" i="10"/>
  <c r="D120" i="10"/>
  <c r="G119" i="10"/>
  <c r="D119" i="10"/>
  <c r="G118" i="10"/>
  <c r="D118" i="10"/>
  <c r="G117" i="10"/>
  <c r="D117" i="10"/>
  <c r="G116" i="10"/>
  <c r="D116" i="10"/>
  <c r="G115" i="10"/>
  <c r="D115" i="10"/>
  <c r="G114" i="10"/>
  <c r="D114" i="10"/>
  <c r="G113" i="10"/>
  <c r="D113" i="10"/>
  <c r="G112" i="10"/>
  <c r="D112" i="10"/>
  <c r="G111" i="10"/>
  <c r="D111" i="10"/>
  <c r="G110" i="10"/>
  <c r="D110" i="10"/>
  <c r="G109" i="10"/>
  <c r="D109" i="10"/>
  <c r="G108" i="10"/>
  <c r="D108" i="10"/>
  <c r="G107" i="10"/>
  <c r="D107" i="10"/>
  <c r="G106" i="10"/>
  <c r="D106" i="10"/>
  <c r="G105" i="10"/>
  <c r="D105" i="10"/>
  <c r="G104" i="10"/>
  <c r="D104" i="10"/>
  <c r="G103" i="10"/>
  <c r="D103" i="10"/>
  <c r="G102" i="10"/>
  <c r="D102" i="10"/>
  <c r="G101" i="10"/>
  <c r="D101" i="10"/>
  <c r="G100" i="10"/>
  <c r="D100" i="10"/>
  <c r="G99" i="10"/>
  <c r="D99" i="10"/>
  <c r="G98" i="10"/>
  <c r="D98" i="10"/>
  <c r="G97" i="10"/>
  <c r="D97" i="10"/>
  <c r="G96" i="10"/>
  <c r="D96" i="10"/>
  <c r="G95" i="10"/>
  <c r="D95" i="10"/>
  <c r="G94" i="10"/>
  <c r="D94" i="10"/>
  <c r="G93" i="10"/>
  <c r="D93" i="10"/>
  <c r="G92" i="10"/>
  <c r="D92" i="10"/>
  <c r="G91" i="10"/>
  <c r="D91" i="10"/>
  <c r="G90" i="10"/>
  <c r="D90" i="10"/>
  <c r="G89" i="10"/>
  <c r="D89" i="10"/>
  <c r="G88" i="10"/>
  <c r="D88" i="10"/>
  <c r="G87" i="10"/>
  <c r="D87" i="10"/>
  <c r="G86" i="10"/>
  <c r="D86" i="10"/>
  <c r="G85" i="10"/>
  <c r="D85" i="10"/>
  <c r="G84" i="10"/>
  <c r="D84" i="10"/>
  <c r="G83" i="10"/>
  <c r="D83" i="10"/>
  <c r="G82" i="10"/>
  <c r="D82" i="10"/>
  <c r="G81" i="10"/>
  <c r="D81" i="10"/>
  <c r="G80" i="10"/>
  <c r="D80" i="10"/>
  <c r="G79" i="10"/>
  <c r="D79" i="10"/>
  <c r="G78" i="10"/>
  <c r="D78" i="10"/>
  <c r="G77" i="10"/>
  <c r="D77" i="10"/>
  <c r="G76" i="10"/>
  <c r="D76" i="10"/>
  <c r="G75" i="10"/>
  <c r="D75" i="10"/>
  <c r="G74" i="10"/>
  <c r="D74" i="10"/>
  <c r="G73" i="10"/>
  <c r="D73" i="10"/>
  <c r="G72" i="10"/>
  <c r="D72" i="10"/>
  <c r="G71" i="10"/>
  <c r="D71" i="10"/>
  <c r="G70" i="10"/>
  <c r="D70" i="10"/>
  <c r="G69" i="10"/>
  <c r="D69" i="10"/>
  <c r="G68" i="10"/>
  <c r="D68" i="10"/>
  <c r="G67" i="10"/>
  <c r="D67" i="10"/>
  <c r="G66" i="10"/>
  <c r="D66" i="10"/>
  <c r="G65" i="10"/>
  <c r="D65" i="10"/>
  <c r="G64" i="10"/>
  <c r="D64" i="10"/>
  <c r="G63" i="10"/>
  <c r="D63" i="10"/>
  <c r="G62" i="10"/>
  <c r="D62" i="10"/>
  <c r="G61" i="10"/>
  <c r="D61" i="10"/>
  <c r="G60" i="10"/>
  <c r="D60" i="10"/>
  <c r="G59" i="10"/>
  <c r="D59" i="10"/>
  <c r="G58" i="10"/>
  <c r="D58" i="10"/>
  <c r="G57" i="10"/>
  <c r="D57" i="10"/>
  <c r="G56" i="10"/>
  <c r="D56" i="10"/>
  <c r="G55" i="10"/>
  <c r="D55" i="10"/>
  <c r="G54" i="10"/>
  <c r="D54" i="10"/>
  <c r="G53" i="10"/>
  <c r="D53" i="10"/>
  <c r="G52" i="10"/>
  <c r="D52" i="10"/>
  <c r="G51" i="10"/>
  <c r="D51" i="10"/>
  <c r="G50" i="10"/>
  <c r="D50" i="10"/>
  <c r="G49" i="10"/>
  <c r="D49" i="10"/>
  <c r="G48" i="10"/>
  <c r="D48" i="10"/>
  <c r="G47" i="10"/>
  <c r="D47" i="10"/>
  <c r="G46" i="10"/>
  <c r="D46" i="10"/>
  <c r="G45" i="10"/>
  <c r="D45" i="10"/>
  <c r="G44" i="10"/>
  <c r="D44" i="10"/>
  <c r="G43" i="10"/>
  <c r="D43" i="10"/>
  <c r="G42" i="10"/>
  <c r="D42" i="10"/>
  <c r="G41" i="10"/>
  <c r="D41" i="10"/>
  <c r="G40" i="10"/>
  <c r="D40" i="10"/>
  <c r="G39" i="10"/>
  <c r="D39" i="10"/>
  <c r="G38" i="10"/>
  <c r="D38" i="10"/>
  <c r="G37" i="10"/>
  <c r="D37" i="10"/>
  <c r="G36" i="10"/>
  <c r="D36" i="10"/>
  <c r="G35" i="10"/>
  <c r="D35" i="10"/>
  <c r="G34" i="10"/>
  <c r="D34" i="10"/>
  <c r="H33" i="10"/>
  <c r="G33" i="10"/>
  <c r="D33" i="10"/>
  <c r="G32" i="10"/>
  <c r="D32" i="10"/>
  <c r="G31" i="10"/>
  <c r="D31" i="10"/>
  <c r="G30" i="10"/>
  <c r="D30" i="10"/>
  <c r="G29" i="10"/>
  <c r="D29" i="10"/>
  <c r="G28" i="10"/>
  <c r="D28" i="10"/>
  <c r="G27" i="10"/>
  <c r="D27" i="10"/>
  <c r="G26" i="10"/>
  <c r="D26" i="10"/>
  <c r="G25" i="10"/>
  <c r="D25" i="10"/>
  <c r="G24" i="10"/>
  <c r="D24" i="10"/>
  <c r="G23" i="10"/>
  <c r="D23" i="10"/>
  <c r="G22" i="10"/>
  <c r="D22" i="10"/>
  <c r="G21" i="10"/>
  <c r="D21" i="10"/>
  <c r="G20" i="10"/>
  <c r="D20" i="10"/>
  <c r="G19" i="10"/>
  <c r="D19" i="10"/>
  <c r="G18" i="10"/>
  <c r="D18" i="10"/>
  <c r="G17" i="10"/>
  <c r="D17" i="10"/>
  <c r="G16" i="10"/>
  <c r="D16" i="10"/>
  <c r="G15" i="10"/>
  <c r="D15" i="10"/>
  <c r="G14" i="10"/>
  <c r="D14" i="10"/>
  <c r="G13" i="10"/>
  <c r="D13" i="10"/>
  <c r="G12" i="10"/>
  <c r="D12" i="10"/>
  <c r="G11" i="10"/>
  <c r="D11" i="10"/>
  <c r="G10" i="10"/>
  <c r="D10" i="10"/>
  <c r="G9" i="10"/>
  <c r="D9" i="10"/>
  <c r="G8" i="10"/>
  <c r="D8" i="10"/>
  <c r="G7" i="10"/>
  <c r="D7" i="10"/>
  <c r="G6" i="10"/>
  <c r="D6" i="10"/>
  <c r="G5" i="10"/>
  <c r="D5" i="10"/>
  <c r="G4" i="10"/>
  <c r="D4" i="10"/>
  <c r="G3" i="10"/>
  <c r="D3" i="10"/>
  <c r="D2" i="10"/>
  <c r="S52" i="9"/>
  <c r="O52" i="9"/>
  <c r="S51" i="9"/>
  <c r="O51" i="9"/>
  <c r="S50" i="9"/>
  <c r="O50" i="9"/>
  <c r="S49" i="9"/>
  <c r="O49" i="9"/>
  <c r="S48" i="9"/>
  <c r="O48" i="9"/>
  <c r="S47" i="9"/>
  <c r="O47" i="9"/>
  <c r="S46" i="9"/>
  <c r="O46" i="9"/>
  <c r="S45" i="9"/>
  <c r="O45" i="9"/>
  <c r="S44" i="9"/>
  <c r="O44" i="9"/>
  <c r="S43" i="9"/>
  <c r="O43" i="9"/>
  <c r="S42" i="9"/>
  <c r="O42" i="9"/>
  <c r="S41" i="9"/>
  <c r="O41" i="9"/>
  <c r="S40" i="9"/>
  <c r="O40" i="9"/>
  <c r="S39" i="9"/>
  <c r="O39" i="9"/>
  <c r="S38" i="9"/>
  <c r="O38" i="9"/>
  <c r="S37" i="9"/>
  <c r="O37" i="9"/>
  <c r="S36" i="9"/>
  <c r="O36" i="9"/>
  <c r="S35" i="9"/>
  <c r="O35" i="9"/>
  <c r="S34" i="9"/>
  <c r="O34" i="9"/>
  <c r="S33" i="9"/>
  <c r="O33" i="9"/>
  <c r="S32" i="9"/>
  <c r="O32" i="9"/>
  <c r="S31" i="9"/>
  <c r="O31" i="9"/>
  <c r="S30" i="9"/>
  <c r="O30" i="9"/>
  <c r="S29" i="9"/>
  <c r="O29" i="9"/>
  <c r="S28" i="9"/>
  <c r="O28" i="9"/>
  <c r="S27" i="9"/>
  <c r="O27" i="9"/>
  <c r="S26" i="9"/>
  <c r="O26" i="9"/>
  <c r="S25" i="9"/>
  <c r="O25" i="9"/>
  <c r="S24" i="9"/>
  <c r="O24" i="9"/>
  <c r="S23" i="9"/>
  <c r="O23" i="9"/>
  <c r="S22" i="9"/>
  <c r="O22" i="9"/>
  <c r="S21" i="9"/>
  <c r="O21" i="9"/>
  <c r="S20" i="9"/>
  <c r="O20" i="9"/>
  <c r="S19" i="9"/>
  <c r="O19" i="9"/>
  <c r="S18" i="9"/>
  <c r="O18" i="9"/>
  <c r="S17" i="9"/>
  <c r="O17" i="9"/>
  <c r="S16" i="9"/>
  <c r="O16" i="9"/>
  <c r="S15" i="9"/>
  <c r="O15" i="9"/>
  <c r="S14" i="9"/>
  <c r="O14" i="9"/>
  <c r="S13" i="9"/>
  <c r="O13" i="9"/>
  <c r="S12" i="9"/>
  <c r="O12" i="9"/>
  <c r="S11" i="9"/>
  <c r="O11" i="9"/>
  <c r="S10" i="9"/>
  <c r="O10" i="9"/>
  <c r="S9" i="9"/>
  <c r="O9" i="9"/>
  <c r="S8" i="9"/>
  <c r="O8" i="9"/>
  <c r="S7" i="9"/>
  <c r="O7" i="9"/>
  <c r="S6" i="9"/>
  <c r="O6" i="9"/>
  <c r="S5" i="9"/>
  <c r="O5" i="9"/>
  <c r="S4" i="9"/>
  <c r="O4" i="9"/>
  <c r="S3" i="9"/>
  <c r="O3" i="9"/>
  <c r="S2" i="9"/>
  <c r="O2" i="9"/>
  <c r="G3" i="9"/>
  <c r="G4" i="9"/>
  <c r="G5" i="9"/>
  <c r="G6" i="9"/>
  <c r="G7" i="9"/>
  <c r="G8" i="9"/>
  <c r="G9" i="9"/>
  <c r="G10" i="9"/>
  <c r="G11" i="9"/>
  <c r="G12" i="9"/>
  <c r="G13" i="9"/>
  <c r="G14" i="9"/>
  <c r="G15" i="9"/>
  <c r="G16" i="9"/>
  <c r="G17" i="9"/>
  <c r="G18" i="9"/>
  <c r="G19" i="9"/>
  <c r="H88" i="9" s="1"/>
  <c r="I88" i="9" s="1"/>
  <c r="G20" i="9"/>
  <c r="H18" i="9" s="1"/>
  <c r="I18" i="9" s="1"/>
  <c r="G21" i="9"/>
  <c r="G22" i="9"/>
  <c r="G23" i="9"/>
  <c r="H22" i="9" s="1"/>
  <c r="I22" i="9" s="1"/>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H203" i="9" s="1"/>
  <c r="I203" i="9" s="1"/>
  <c r="G54" i="9"/>
  <c r="H52" i="9" s="1"/>
  <c r="I52" i="9" s="1"/>
  <c r="G55" i="9"/>
  <c r="G56" i="9"/>
  <c r="G57" i="9"/>
  <c r="G58" i="9"/>
  <c r="G59" i="9"/>
  <c r="H57" i="9" s="1"/>
  <c r="I57" i="9" s="1"/>
  <c r="G60" i="9"/>
  <c r="G61" i="9"/>
  <c r="G62" i="9"/>
  <c r="G63" i="9"/>
  <c r="G64" i="9"/>
  <c r="G65" i="9"/>
  <c r="G66" i="9"/>
  <c r="G67" i="9"/>
  <c r="G68" i="9"/>
  <c r="G69" i="9"/>
  <c r="G70" i="9"/>
  <c r="G71" i="9"/>
  <c r="G72" i="9"/>
  <c r="H115" i="9" s="1"/>
  <c r="I115" i="9" s="1"/>
  <c r="G73" i="9"/>
  <c r="H71" i="9" s="1"/>
  <c r="I71" i="9" s="1"/>
  <c r="G74" i="9"/>
  <c r="H72" i="9" s="1"/>
  <c r="I72" i="9" s="1"/>
  <c r="G75" i="9"/>
  <c r="H116" i="9" s="1"/>
  <c r="I116" i="9" s="1"/>
  <c r="G76" i="9"/>
  <c r="G77" i="9"/>
  <c r="G78" i="9"/>
  <c r="H76" i="9" s="1"/>
  <c r="I76" i="9" s="1"/>
  <c r="G79" i="9"/>
  <c r="G80" i="9"/>
  <c r="G81" i="9"/>
  <c r="G82" i="9"/>
  <c r="H79" i="9" s="1"/>
  <c r="I79" i="9" s="1"/>
  <c r="G83" i="9"/>
  <c r="G84" i="9"/>
  <c r="G85" i="9"/>
  <c r="H83" i="9" s="1"/>
  <c r="I83" i="9" s="1"/>
  <c r="G86" i="9"/>
  <c r="G87" i="9"/>
  <c r="H85" i="9" s="1"/>
  <c r="I85" i="9" s="1"/>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H122" i="9" s="1"/>
  <c r="I122" i="9" s="1"/>
  <c r="G124" i="9"/>
  <c r="H86" i="9" s="1"/>
  <c r="I86" i="9" s="1"/>
  <c r="G125" i="9"/>
  <c r="G126" i="9"/>
  <c r="G127" i="9"/>
  <c r="H125" i="9" s="1"/>
  <c r="I125" i="9" s="1"/>
  <c r="G128" i="9"/>
  <c r="H123" i="9" s="1"/>
  <c r="I123" i="9" s="1"/>
  <c r="G129" i="9"/>
  <c r="H126" i="9" s="1"/>
  <c r="I126" i="9" s="1"/>
  <c r="G130" i="9"/>
  <c r="G131" i="9"/>
  <c r="G132" i="9"/>
  <c r="G133" i="9"/>
  <c r="G134" i="9"/>
  <c r="G135" i="9"/>
  <c r="G136" i="9"/>
  <c r="G137" i="9"/>
  <c r="H134" i="9" s="1"/>
  <c r="I134" i="9" s="1"/>
  <c r="G138" i="9"/>
  <c r="G139" i="9"/>
  <c r="G140" i="9"/>
  <c r="H138" i="9" s="1"/>
  <c r="I138" i="9" s="1"/>
  <c r="G141" i="9"/>
  <c r="G142" i="9"/>
  <c r="G143" i="9"/>
  <c r="G144" i="9"/>
  <c r="H141" i="9" s="1"/>
  <c r="I141" i="9" s="1"/>
  <c r="G145" i="9"/>
  <c r="G146" i="9"/>
  <c r="G147" i="9"/>
  <c r="H144" i="9" s="1"/>
  <c r="I144" i="9" s="1"/>
  <c r="G148" i="9"/>
  <c r="G149" i="9"/>
  <c r="H145" i="9" s="1"/>
  <c r="I145" i="9" s="1"/>
  <c r="G150" i="9"/>
  <c r="G151" i="9"/>
  <c r="G152" i="9"/>
  <c r="G153" i="9"/>
  <c r="G154" i="9"/>
  <c r="G155" i="9"/>
  <c r="G156" i="9"/>
  <c r="H153" i="9" s="1"/>
  <c r="I153" i="9" s="1"/>
  <c r="G157" i="9"/>
  <c r="G158" i="9"/>
  <c r="G159" i="9"/>
  <c r="G160" i="9"/>
  <c r="H156" i="9" s="1"/>
  <c r="I156" i="9" s="1"/>
  <c r="G161" i="9"/>
  <c r="H157" i="9" s="1"/>
  <c r="I157" i="9" s="1"/>
  <c r="G162" i="9"/>
  <c r="H158" i="9" s="1"/>
  <c r="I158" i="9" s="1"/>
  <c r="G163" i="9"/>
  <c r="H163" i="9"/>
  <c r="I163" i="9" s="1"/>
  <c r="G164" i="9"/>
  <c r="G165" i="9"/>
  <c r="G166" i="9"/>
  <c r="H162" i="9" s="1"/>
  <c r="I162" i="9" s="1"/>
  <c r="G167" i="9"/>
  <c r="H164" i="9" s="1"/>
  <c r="I164" i="9" s="1"/>
  <c r="G168" i="9"/>
  <c r="G169" i="9"/>
  <c r="G170" i="9"/>
  <c r="H167" i="9" s="1"/>
  <c r="I167" i="9" s="1"/>
  <c r="H170" i="9"/>
  <c r="I170" i="9" s="1"/>
  <c r="G171" i="9"/>
  <c r="H171" i="9"/>
  <c r="I171" i="9" s="1"/>
  <c r="G172" i="9"/>
  <c r="H172" i="9"/>
  <c r="I172" i="9" s="1"/>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I2"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G3" i="3"/>
  <c r="G4" i="3"/>
  <c r="G5" i="3"/>
  <c r="G6" i="3"/>
  <c r="G7" i="3"/>
  <c r="G8" i="3"/>
  <c r="G9" i="3"/>
  <c r="G10" i="3"/>
  <c r="F3" i="3"/>
  <c r="F4" i="3"/>
  <c r="F5" i="3"/>
  <c r="F6" i="3"/>
  <c r="F7" i="3"/>
  <c r="F8" i="3"/>
  <c r="F9" i="3"/>
  <c r="F10" i="3"/>
  <c r="F11" i="3"/>
  <c r="F12" i="3"/>
  <c r="F13" i="3"/>
  <c r="F14" i="3"/>
  <c r="F15" i="3"/>
  <c r="F16" i="3"/>
  <c r="F17" i="3"/>
  <c r="F18" i="3"/>
  <c r="F19" i="3"/>
  <c r="F20" i="3"/>
  <c r="F21" i="3"/>
  <c r="K3" i="3"/>
  <c r="K4" i="3"/>
  <c r="K5" i="3"/>
  <c r="K6" i="3"/>
  <c r="K7" i="3"/>
  <c r="K8" i="3"/>
  <c r="K9" i="3"/>
  <c r="K10" i="3"/>
  <c r="K11" i="3"/>
  <c r="K12" i="3"/>
  <c r="K13" i="3"/>
  <c r="K14" i="3"/>
  <c r="K15" i="3"/>
  <c r="K16" i="3"/>
  <c r="K17" i="3"/>
  <c r="K18" i="3"/>
  <c r="K19" i="3"/>
  <c r="K20" i="3"/>
  <c r="K21" i="3"/>
  <c r="K22" i="3"/>
  <c r="K23" i="3"/>
  <c r="K24" i="3"/>
  <c r="K25" i="3"/>
  <c r="K26" i="3"/>
  <c r="K27" i="3"/>
  <c r="I3" i="3"/>
  <c r="J3" i="3" s="1"/>
  <c r="I4" i="3"/>
  <c r="J4" i="3" s="1"/>
  <c r="I5" i="3"/>
  <c r="J5" i="3" s="1"/>
  <c r="I6" i="3"/>
  <c r="J6" i="3" s="1"/>
  <c r="I7" i="3"/>
  <c r="J7" i="3" s="1"/>
  <c r="I8" i="3"/>
  <c r="J8" i="3" s="1"/>
  <c r="I9" i="3"/>
  <c r="J9" i="3" s="1"/>
  <c r="I10" i="3"/>
  <c r="J10" i="3" s="1"/>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G205" i="8"/>
  <c r="D205" i="8"/>
  <c r="G204" i="8"/>
  <c r="D204" i="8"/>
  <c r="G203" i="8"/>
  <c r="D203" i="8"/>
  <c r="G202" i="8"/>
  <c r="D202" i="8"/>
  <c r="G201" i="8"/>
  <c r="D201" i="8"/>
  <c r="G200" i="8"/>
  <c r="D200" i="8"/>
  <c r="G199" i="8"/>
  <c r="D199" i="8"/>
  <c r="G198" i="8"/>
  <c r="D198" i="8"/>
  <c r="G197" i="8"/>
  <c r="D197" i="8"/>
  <c r="G196" i="8"/>
  <c r="D196" i="8"/>
  <c r="G195" i="8"/>
  <c r="D195" i="8"/>
  <c r="G194" i="8"/>
  <c r="D194" i="8"/>
  <c r="G193" i="8"/>
  <c r="D193" i="8"/>
  <c r="G192" i="8"/>
  <c r="D192" i="8"/>
  <c r="G191" i="8"/>
  <c r="D191" i="8"/>
  <c r="G190" i="8"/>
  <c r="D190" i="8"/>
  <c r="G189" i="8"/>
  <c r="D189" i="8"/>
  <c r="G188" i="8"/>
  <c r="D188" i="8"/>
  <c r="G187" i="8"/>
  <c r="D187" i="8"/>
  <c r="G186" i="8"/>
  <c r="D186" i="8"/>
  <c r="G185" i="8"/>
  <c r="D185" i="8"/>
  <c r="G184" i="8"/>
  <c r="D184" i="8"/>
  <c r="G183" i="8"/>
  <c r="D183" i="8"/>
  <c r="G182" i="8"/>
  <c r="D182" i="8"/>
  <c r="G181" i="8"/>
  <c r="D181" i="8"/>
  <c r="G180" i="8"/>
  <c r="D180" i="8"/>
  <c r="G179" i="8"/>
  <c r="D179" i="8"/>
  <c r="G178" i="8"/>
  <c r="D178" i="8"/>
  <c r="G177" i="8"/>
  <c r="D177" i="8"/>
  <c r="G176" i="8"/>
  <c r="D176" i="8"/>
  <c r="G175" i="8"/>
  <c r="D175" i="8"/>
  <c r="G174" i="8"/>
  <c r="D174" i="8"/>
  <c r="G173" i="8"/>
  <c r="D173" i="8"/>
  <c r="G172" i="8"/>
  <c r="D172" i="8"/>
  <c r="G171" i="8"/>
  <c r="D171" i="8"/>
  <c r="G170" i="8"/>
  <c r="D170" i="8"/>
  <c r="G169" i="8"/>
  <c r="D169" i="8"/>
  <c r="G168" i="8"/>
  <c r="D168" i="8"/>
  <c r="G167" i="8"/>
  <c r="D167" i="8"/>
  <c r="G166" i="8"/>
  <c r="D166" i="8"/>
  <c r="G165" i="8"/>
  <c r="D165" i="8"/>
  <c r="G164" i="8"/>
  <c r="D164" i="8"/>
  <c r="G163" i="8"/>
  <c r="D163" i="8"/>
  <c r="G162" i="8"/>
  <c r="D162" i="8"/>
  <c r="G161" i="8"/>
  <c r="D161" i="8"/>
  <c r="G160" i="8"/>
  <c r="D160" i="8"/>
  <c r="G159" i="8"/>
  <c r="D159" i="8"/>
  <c r="G158" i="8"/>
  <c r="D158" i="8"/>
  <c r="G157" i="8"/>
  <c r="D157" i="8"/>
  <c r="G156" i="8"/>
  <c r="D156" i="8"/>
  <c r="G155" i="8"/>
  <c r="D155" i="8"/>
  <c r="G154" i="8"/>
  <c r="D154" i="8"/>
  <c r="G153" i="8"/>
  <c r="D153" i="8"/>
  <c r="G152" i="8"/>
  <c r="D152" i="8"/>
  <c r="G151" i="8"/>
  <c r="D151" i="8"/>
  <c r="G150" i="8"/>
  <c r="D150" i="8"/>
  <c r="G149" i="8"/>
  <c r="D149" i="8"/>
  <c r="G148" i="8"/>
  <c r="D148" i="8"/>
  <c r="G147" i="8"/>
  <c r="D147" i="8"/>
  <c r="G146" i="8"/>
  <c r="D146" i="8"/>
  <c r="G145" i="8"/>
  <c r="D145" i="8"/>
  <c r="G144" i="8"/>
  <c r="D144" i="8"/>
  <c r="G143" i="8"/>
  <c r="D143" i="8"/>
  <c r="G142" i="8"/>
  <c r="D142" i="8"/>
  <c r="G141" i="8"/>
  <c r="D141" i="8"/>
  <c r="G140" i="8"/>
  <c r="D140" i="8"/>
  <c r="G139" i="8"/>
  <c r="D139" i="8"/>
  <c r="G138" i="8"/>
  <c r="D138" i="8"/>
  <c r="G137" i="8"/>
  <c r="D137" i="8"/>
  <c r="G136" i="8"/>
  <c r="D136" i="8"/>
  <c r="G135" i="8"/>
  <c r="D135" i="8"/>
  <c r="G134" i="8"/>
  <c r="D134" i="8"/>
  <c r="G133" i="8"/>
  <c r="D133" i="8"/>
  <c r="G132" i="8"/>
  <c r="D132" i="8"/>
  <c r="G131" i="8"/>
  <c r="D131" i="8"/>
  <c r="G130" i="8"/>
  <c r="D130" i="8"/>
  <c r="G129" i="8"/>
  <c r="D129" i="8"/>
  <c r="G128" i="8"/>
  <c r="D128" i="8"/>
  <c r="G127" i="8"/>
  <c r="D127" i="8"/>
  <c r="G126" i="8"/>
  <c r="D126" i="8"/>
  <c r="G125" i="8"/>
  <c r="D125" i="8"/>
  <c r="G124" i="8"/>
  <c r="D124" i="8"/>
  <c r="G123" i="8"/>
  <c r="D123" i="8"/>
  <c r="G122" i="8"/>
  <c r="D122" i="8"/>
  <c r="G121" i="8"/>
  <c r="D121" i="8"/>
  <c r="G120" i="8"/>
  <c r="D120" i="8"/>
  <c r="G119" i="8"/>
  <c r="D119" i="8"/>
  <c r="G118" i="8"/>
  <c r="D118" i="8"/>
  <c r="G117" i="8"/>
  <c r="D117" i="8"/>
  <c r="G116" i="8"/>
  <c r="D116" i="8"/>
  <c r="G115" i="8"/>
  <c r="D115" i="8"/>
  <c r="G114" i="8"/>
  <c r="D114" i="8"/>
  <c r="G113" i="8"/>
  <c r="D113" i="8"/>
  <c r="G112" i="8"/>
  <c r="D112" i="8"/>
  <c r="G111" i="8"/>
  <c r="D111" i="8"/>
  <c r="G110" i="8"/>
  <c r="D110" i="8"/>
  <c r="G109" i="8"/>
  <c r="D109" i="8"/>
  <c r="G108" i="8"/>
  <c r="D108" i="8"/>
  <c r="G107" i="8"/>
  <c r="D107" i="8"/>
  <c r="G106" i="8"/>
  <c r="D106" i="8"/>
  <c r="G105" i="8"/>
  <c r="D105" i="8"/>
  <c r="G104" i="8"/>
  <c r="D104" i="8"/>
  <c r="G103" i="8"/>
  <c r="D103" i="8"/>
  <c r="G102" i="8"/>
  <c r="D102" i="8"/>
  <c r="G101" i="8"/>
  <c r="D101" i="8"/>
  <c r="G100" i="8"/>
  <c r="D100" i="8"/>
  <c r="G99" i="8"/>
  <c r="D99" i="8"/>
  <c r="G98" i="8"/>
  <c r="D98" i="8"/>
  <c r="G97" i="8"/>
  <c r="D97" i="8"/>
  <c r="G96" i="8"/>
  <c r="D96" i="8"/>
  <c r="G95" i="8"/>
  <c r="D95" i="8"/>
  <c r="G94" i="8"/>
  <c r="D94" i="8"/>
  <c r="G93" i="8"/>
  <c r="D93" i="8"/>
  <c r="G92" i="8"/>
  <c r="D92" i="8"/>
  <c r="G91" i="8"/>
  <c r="D91" i="8"/>
  <c r="G90" i="8"/>
  <c r="D90" i="8"/>
  <c r="G89" i="8"/>
  <c r="D89" i="8"/>
  <c r="G88" i="8"/>
  <c r="D88" i="8"/>
  <c r="G87" i="8"/>
  <c r="D87" i="8"/>
  <c r="G86" i="8"/>
  <c r="D86" i="8"/>
  <c r="G85" i="8"/>
  <c r="D85" i="8"/>
  <c r="G84" i="8"/>
  <c r="D84" i="8"/>
  <c r="G83" i="8"/>
  <c r="D83" i="8"/>
  <c r="G82" i="8"/>
  <c r="D82" i="8"/>
  <c r="G81" i="8"/>
  <c r="D81" i="8"/>
  <c r="G80" i="8"/>
  <c r="D80" i="8"/>
  <c r="G79" i="8"/>
  <c r="D79" i="8"/>
  <c r="G78" i="8"/>
  <c r="D78" i="8"/>
  <c r="G77" i="8"/>
  <c r="D77" i="8"/>
  <c r="G76" i="8"/>
  <c r="D76" i="8"/>
  <c r="G75" i="8"/>
  <c r="D75" i="8"/>
  <c r="G74" i="8"/>
  <c r="D74" i="8"/>
  <c r="G73" i="8"/>
  <c r="D73" i="8"/>
  <c r="G72" i="8"/>
  <c r="D72" i="8"/>
  <c r="G71" i="8"/>
  <c r="D71" i="8"/>
  <c r="G70" i="8"/>
  <c r="D70" i="8"/>
  <c r="G69" i="8"/>
  <c r="D69" i="8"/>
  <c r="G68" i="8"/>
  <c r="D68" i="8"/>
  <c r="G67" i="8"/>
  <c r="D67" i="8"/>
  <c r="G66" i="8"/>
  <c r="D66" i="8"/>
  <c r="G65" i="8"/>
  <c r="D65" i="8"/>
  <c r="G64" i="8"/>
  <c r="D64" i="8"/>
  <c r="G63" i="8"/>
  <c r="D63" i="8"/>
  <c r="G62" i="8"/>
  <c r="D62" i="8"/>
  <c r="G61" i="8"/>
  <c r="D61" i="8"/>
  <c r="G60" i="8"/>
  <c r="D60" i="8"/>
  <c r="G59" i="8"/>
  <c r="D59" i="8"/>
  <c r="G58" i="8"/>
  <c r="D58" i="8"/>
  <c r="G57" i="8"/>
  <c r="D57" i="8"/>
  <c r="G56" i="8"/>
  <c r="D56" i="8"/>
  <c r="G55" i="8"/>
  <c r="D55" i="8"/>
  <c r="G54" i="8"/>
  <c r="D54" i="8"/>
  <c r="G53" i="8"/>
  <c r="D53" i="8"/>
  <c r="G52" i="8"/>
  <c r="D52" i="8"/>
  <c r="G51" i="8"/>
  <c r="D51" i="8"/>
  <c r="G50" i="8"/>
  <c r="D50" i="8"/>
  <c r="G49" i="8"/>
  <c r="D49" i="8"/>
  <c r="G48" i="8"/>
  <c r="D48" i="8"/>
  <c r="G47" i="8"/>
  <c r="D47" i="8"/>
  <c r="G46" i="8"/>
  <c r="D46" i="8"/>
  <c r="G45" i="8"/>
  <c r="D45" i="8"/>
  <c r="G44" i="8"/>
  <c r="D44" i="8"/>
  <c r="G43" i="8"/>
  <c r="D43" i="8"/>
  <c r="G42" i="8"/>
  <c r="D42" i="8"/>
  <c r="G41" i="8"/>
  <c r="D41" i="8"/>
  <c r="G40" i="8"/>
  <c r="D40" i="8"/>
  <c r="G39" i="8"/>
  <c r="D39" i="8"/>
  <c r="G38" i="8"/>
  <c r="D38" i="8"/>
  <c r="G37" i="8"/>
  <c r="D37" i="8"/>
  <c r="G36" i="8"/>
  <c r="D36" i="8"/>
  <c r="G35" i="8"/>
  <c r="D35" i="8"/>
  <c r="G34" i="8"/>
  <c r="D34" i="8"/>
  <c r="G33" i="8"/>
  <c r="D33" i="8"/>
  <c r="G32" i="8"/>
  <c r="D32" i="8"/>
  <c r="G31" i="8"/>
  <c r="D31" i="8"/>
  <c r="G30" i="8"/>
  <c r="D30" i="8"/>
  <c r="G29" i="8"/>
  <c r="D29" i="8"/>
  <c r="G28" i="8"/>
  <c r="D28" i="8"/>
  <c r="G27" i="8"/>
  <c r="D27" i="8"/>
  <c r="G26" i="8"/>
  <c r="D26" i="8"/>
  <c r="G25" i="8"/>
  <c r="D25" i="8"/>
  <c r="G24" i="8"/>
  <c r="D24" i="8"/>
  <c r="G23" i="8"/>
  <c r="D23" i="8"/>
  <c r="G22" i="8"/>
  <c r="D22" i="8"/>
  <c r="G21" i="8"/>
  <c r="D21" i="8"/>
  <c r="G20" i="8"/>
  <c r="D20" i="8"/>
  <c r="G19" i="8"/>
  <c r="D19" i="8"/>
  <c r="G18" i="8"/>
  <c r="D18" i="8"/>
  <c r="G17" i="8"/>
  <c r="D17" i="8"/>
  <c r="G16" i="8"/>
  <c r="D16" i="8"/>
  <c r="G15" i="8"/>
  <c r="D15" i="8"/>
  <c r="G14" i="8"/>
  <c r="D14" i="8"/>
  <c r="G13" i="8"/>
  <c r="D13" i="8"/>
  <c r="G12" i="8"/>
  <c r="D12" i="8"/>
  <c r="G11" i="8"/>
  <c r="D11" i="8"/>
  <c r="G10" i="8"/>
  <c r="D10" i="8"/>
  <c r="G9" i="8"/>
  <c r="D9" i="8"/>
  <c r="G8" i="8"/>
  <c r="D8" i="8"/>
  <c r="G7" i="8"/>
  <c r="D7" i="8"/>
  <c r="G6" i="8"/>
  <c r="D6" i="8"/>
  <c r="G5" i="8"/>
  <c r="D5" i="8"/>
  <c r="G4" i="8"/>
  <c r="D4" i="8"/>
  <c r="G3" i="8"/>
  <c r="D3" i="8"/>
  <c r="D2" i="8"/>
  <c r="O37" i="10" l="1"/>
  <c r="O39" i="10"/>
  <c r="O38" i="10"/>
  <c r="O34" i="10"/>
  <c r="O36" i="10"/>
  <c r="O35" i="10"/>
  <c r="O33" i="10"/>
  <c r="F33" i="10"/>
  <c r="E33" i="10"/>
  <c r="I33" i="10"/>
  <c r="H38" i="10"/>
  <c r="H43" i="10"/>
  <c r="H41" i="10"/>
  <c r="H2" i="10"/>
  <c r="H37" i="10"/>
  <c r="H34" i="10"/>
  <c r="H44" i="10"/>
  <c r="H42" i="10"/>
  <c r="H36" i="10"/>
  <c r="H39" i="10"/>
  <c r="H40" i="10"/>
  <c r="H35" i="10"/>
  <c r="H115" i="10"/>
  <c r="H114" i="10"/>
  <c r="H111" i="10"/>
  <c r="H110" i="10"/>
  <c r="H102" i="10"/>
  <c r="H92" i="10"/>
  <c r="H91" i="10"/>
  <c r="H90" i="10"/>
  <c r="H82" i="10"/>
  <c r="H80" i="10"/>
  <c r="H79" i="10"/>
  <c r="H141" i="10"/>
  <c r="H140" i="10"/>
  <c r="H138" i="10"/>
  <c r="H137" i="10"/>
  <c r="H136" i="10"/>
  <c r="H134" i="10"/>
  <c r="H133" i="10"/>
  <c r="H132" i="10"/>
  <c r="H131" i="10"/>
  <c r="H130" i="10"/>
  <c r="H129" i="10"/>
  <c r="H128" i="10"/>
  <c r="H127" i="10"/>
  <c r="H126" i="10"/>
  <c r="H125" i="10"/>
  <c r="H124" i="10"/>
  <c r="H123" i="10"/>
  <c r="H122" i="10"/>
  <c r="H205" i="10"/>
  <c r="H121" i="10"/>
  <c r="H120" i="10"/>
  <c r="H119" i="10"/>
  <c r="H118" i="10"/>
  <c r="H109" i="10"/>
  <c r="H108" i="10"/>
  <c r="H107" i="10"/>
  <c r="H106" i="10"/>
  <c r="H105" i="10"/>
  <c r="H101" i="10"/>
  <c r="H99" i="10"/>
  <c r="H97" i="10"/>
  <c r="H96" i="10"/>
  <c r="H95" i="10"/>
  <c r="H94" i="10"/>
  <c r="H77" i="10"/>
  <c r="H30" i="10"/>
  <c r="H29" i="10"/>
  <c r="H135" i="10"/>
  <c r="H28" i="10"/>
  <c r="H139" i="10"/>
  <c r="H27" i="10"/>
  <c r="H26" i="10"/>
  <c r="H25" i="10"/>
  <c r="H24" i="10"/>
  <c r="H23" i="10"/>
  <c r="H31" i="10"/>
  <c r="H204" i="10"/>
  <c r="H32" i="10"/>
  <c r="H202" i="10"/>
  <c r="H201" i="10"/>
  <c r="H197" i="10"/>
  <c r="H46" i="10"/>
  <c r="H195" i="10"/>
  <c r="H47" i="10"/>
  <c r="H194" i="10"/>
  <c r="H3" i="10"/>
  <c r="I3" i="10" s="1"/>
  <c r="H192" i="10"/>
  <c r="H48" i="10"/>
  <c r="H188" i="10"/>
  <c r="H49" i="10"/>
  <c r="H183" i="10"/>
  <c r="H4" i="10"/>
  <c r="H50" i="10"/>
  <c r="H181" i="10"/>
  <c r="H51" i="10"/>
  <c r="H177" i="10"/>
  <c r="H5" i="10"/>
  <c r="H52" i="10"/>
  <c r="H172" i="10"/>
  <c r="H169" i="10"/>
  <c r="H167" i="10"/>
  <c r="H166" i="10"/>
  <c r="H53" i="10"/>
  <c r="H63" i="10"/>
  <c r="H162" i="10"/>
  <c r="H54" i="10"/>
  <c r="H6" i="10"/>
  <c r="H159" i="10"/>
  <c r="H55" i="10"/>
  <c r="H56" i="10"/>
  <c r="H7" i="10"/>
  <c r="H57" i="10"/>
  <c r="H147" i="10"/>
  <c r="H117" i="10"/>
  <c r="H58" i="10"/>
  <c r="H116" i="10"/>
  <c r="H8" i="10"/>
  <c r="H59" i="10"/>
  <c r="H60" i="10"/>
  <c r="H9" i="10"/>
  <c r="H98" i="10"/>
  <c r="H61" i="10"/>
  <c r="H89" i="10"/>
  <c r="H62" i="10"/>
  <c r="H88" i="10"/>
  <c r="H10" i="10"/>
  <c r="H87" i="10"/>
  <c r="H81" i="10"/>
  <c r="H11" i="10"/>
  <c r="H193" i="10"/>
  <c r="H12" i="10"/>
  <c r="H191" i="10"/>
  <c r="H189" i="10"/>
  <c r="H64" i="10"/>
  <c r="H13" i="10"/>
  <c r="H186" i="10"/>
  <c r="H65" i="10"/>
  <c r="H185" i="10"/>
  <c r="H184" i="10"/>
  <c r="H66" i="10"/>
  <c r="H180" i="10"/>
  <c r="H14" i="10"/>
  <c r="H179" i="10"/>
  <c r="H178" i="10"/>
  <c r="H67" i="10"/>
  <c r="H173" i="10"/>
  <c r="H68" i="10"/>
  <c r="H170" i="10"/>
  <c r="H15" i="10"/>
  <c r="H165" i="10"/>
  <c r="H69" i="10"/>
  <c r="H164" i="10"/>
  <c r="H163" i="10"/>
  <c r="H70" i="10"/>
  <c r="H160" i="10"/>
  <c r="H16" i="10"/>
  <c r="H157" i="10"/>
  <c r="H71" i="10"/>
  <c r="H156" i="10"/>
  <c r="H153" i="10"/>
  <c r="H72" i="10"/>
  <c r="H152" i="10"/>
  <c r="H17" i="10"/>
  <c r="H151" i="10"/>
  <c r="H149" i="10"/>
  <c r="H148" i="10"/>
  <c r="H73" i="10"/>
  <c r="H203" i="10"/>
  <c r="H146" i="10"/>
  <c r="H74" i="10"/>
  <c r="H143" i="10"/>
  <c r="H18" i="10"/>
  <c r="H75" i="10"/>
  <c r="H142" i="10"/>
  <c r="H113" i="10"/>
  <c r="H112" i="10"/>
  <c r="H76" i="10"/>
  <c r="H200" i="10"/>
  <c r="H104" i="10"/>
  <c r="H19" i="10"/>
  <c r="H103" i="10"/>
  <c r="H199" i="10"/>
  <c r="H100" i="10"/>
  <c r="H198" i="10"/>
  <c r="H196" i="10"/>
  <c r="H93" i="10"/>
  <c r="H187" i="10"/>
  <c r="H20" i="10"/>
  <c r="H182" i="10"/>
  <c r="H86" i="10"/>
  <c r="H176" i="10"/>
  <c r="H85" i="10"/>
  <c r="H84" i="10"/>
  <c r="H175" i="10"/>
  <c r="H174" i="10"/>
  <c r="H83" i="10"/>
  <c r="H21" i="10"/>
  <c r="H78" i="10"/>
  <c r="H171" i="10"/>
  <c r="H45" i="10"/>
  <c r="H168" i="10"/>
  <c r="H161" i="10"/>
  <c r="H158" i="10"/>
  <c r="H22" i="10"/>
  <c r="H155" i="10"/>
  <c r="H154" i="10"/>
  <c r="H150" i="10"/>
  <c r="H145" i="10"/>
  <c r="H144" i="10"/>
  <c r="H190" i="10"/>
  <c r="E3" i="10"/>
  <c r="F3" i="10"/>
  <c r="O25" i="10"/>
  <c r="O4" i="10"/>
  <c r="O18" i="10"/>
  <c r="O26" i="10"/>
  <c r="O43" i="10"/>
  <c r="O11" i="10"/>
  <c r="O46" i="10"/>
  <c r="O15" i="10"/>
  <c r="O19" i="10"/>
  <c r="O50" i="10"/>
  <c r="O9" i="10"/>
  <c r="O27" i="10"/>
  <c r="O6" i="10"/>
  <c r="O28" i="10"/>
  <c r="O40" i="10"/>
  <c r="O12" i="10"/>
  <c r="O32" i="10"/>
  <c r="O5" i="10"/>
  <c r="O16" i="10"/>
  <c r="O48" i="10"/>
  <c r="O31" i="10"/>
  <c r="O20" i="10"/>
  <c r="O24" i="10"/>
  <c r="O29" i="10"/>
  <c r="O30" i="10"/>
  <c r="O7" i="10"/>
  <c r="O52" i="10"/>
  <c r="O21" i="10"/>
  <c r="O8" i="10"/>
  <c r="O13" i="10"/>
  <c r="O45" i="10"/>
  <c r="O51" i="10"/>
  <c r="O17" i="10"/>
  <c r="O23" i="10"/>
  <c r="O42" i="10"/>
  <c r="O10" i="10"/>
  <c r="O49" i="10"/>
  <c r="O44" i="10"/>
  <c r="O2" i="10"/>
  <c r="O22" i="10"/>
  <c r="O3" i="10"/>
  <c r="O14" i="10"/>
  <c r="O41" i="10"/>
  <c r="O47" i="10"/>
  <c r="U52" i="9"/>
  <c r="T52" i="9"/>
  <c r="Q52" i="9"/>
  <c r="P52" i="9"/>
  <c r="U51" i="9"/>
  <c r="T51" i="9"/>
  <c r="Q51" i="9"/>
  <c r="P51" i="9"/>
  <c r="U50" i="9"/>
  <c r="T50" i="9"/>
  <c r="Q50" i="9"/>
  <c r="P50" i="9"/>
  <c r="U49" i="9"/>
  <c r="T49" i="9"/>
  <c r="Q49" i="9"/>
  <c r="P49" i="9"/>
  <c r="U48" i="9"/>
  <c r="T48" i="9"/>
  <c r="P48" i="9"/>
  <c r="Q48" i="9"/>
  <c r="U47" i="9"/>
  <c r="T47" i="9"/>
  <c r="Q47" i="9"/>
  <c r="P47" i="9"/>
  <c r="T46" i="9"/>
  <c r="U46" i="9"/>
  <c r="P46" i="9"/>
  <c r="Q46" i="9"/>
  <c r="T45" i="9"/>
  <c r="U45" i="9"/>
  <c r="P45" i="9"/>
  <c r="Q45" i="9"/>
  <c r="U44" i="9"/>
  <c r="T44" i="9"/>
  <c r="P44" i="9"/>
  <c r="Q44" i="9"/>
  <c r="T43" i="9"/>
  <c r="U43" i="9"/>
  <c r="Q43" i="9"/>
  <c r="P43" i="9"/>
  <c r="U42" i="9"/>
  <c r="T42" i="9"/>
  <c r="Q42" i="9"/>
  <c r="P42" i="9"/>
  <c r="T41" i="9"/>
  <c r="U41" i="9"/>
  <c r="P41" i="9"/>
  <c r="Q41" i="9"/>
  <c r="U40" i="9"/>
  <c r="T40" i="9"/>
  <c r="P40" i="9"/>
  <c r="Q40" i="9"/>
  <c r="U39" i="9"/>
  <c r="T39" i="9"/>
  <c r="Q39" i="9"/>
  <c r="P39" i="9"/>
  <c r="T38" i="9"/>
  <c r="U38" i="9"/>
  <c r="Q38" i="9"/>
  <c r="P38" i="9"/>
  <c r="U37" i="9"/>
  <c r="T37" i="9"/>
  <c r="Q37" i="9"/>
  <c r="P37" i="9"/>
  <c r="T36" i="9"/>
  <c r="U36" i="9"/>
  <c r="Q36" i="9"/>
  <c r="P36" i="9"/>
  <c r="T35" i="9"/>
  <c r="U35" i="9"/>
  <c r="P35" i="9"/>
  <c r="Q35" i="9"/>
  <c r="T34" i="9"/>
  <c r="U34" i="9"/>
  <c r="P34" i="9"/>
  <c r="Q34" i="9"/>
  <c r="U33" i="9"/>
  <c r="T33" i="9"/>
  <c r="P33" i="9"/>
  <c r="Q33" i="9"/>
  <c r="U32" i="9"/>
  <c r="T32" i="9"/>
  <c r="Q32" i="9"/>
  <c r="P32" i="9"/>
  <c r="T31" i="9"/>
  <c r="U31" i="9"/>
  <c r="P31" i="9"/>
  <c r="Q31" i="9"/>
  <c r="T30" i="9"/>
  <c r="U30" i="9"/>
  <c r="P30" i="9"/>
  <c r="Q30" i="9"/>
  <c r="U29" i="9"/>
  <c r="T29" i="9"/>
  <c r="Q29" i="9"/>
  <c r="P29" i="9"/>
  <c r="T28" i="9"/>
  <c r="U28" i="9"/>
  <c r="P28" i="9"/>
  <c r="Q28" i="9"/>
  <c r="U27" i="9"/>
  <c r="T27" i="9"/>
  <c r="Q27" i="9"/>
  <c r="P27" i="9"/>
  <c r="U26" i="9"/>
  <c r="T26" i="9"/>
  <c r="P26" i="9"/>
  <c r="Q26" i="9"/>
  <c r="U25" i="9"/>
  <c r="T25" i="9"/>
  <c r="Q25" i="9"/>
  <c r="P25" i="9"/>
  <c r="U24" i="9"/>
  <c r="T24" i="9"/>
  <c r="P24" i="9"/>
  <c r="Q24" i="9"/>
  <c r="T23" i="9"/>
  <c r="U23" i="9"/>
  <c r="P23" i="9"/>
  <c r="Q23" i="9"/>
  <c r="U22" i="9"/>
  <c r="T22" i="9"/>
  <c r="P22" i="9"/>
  <c r="Q22" i="9"/>
  <c r="T21" i="9"/>
  <c r="U21" i="9"/>
  <c r="P21" i="9"/>
  <c r="Q21" i="9"/>
  <c r="T20" i="9"/>
  <c r="U20" i="9"/>
  <c r="Q20" i="9"/>
  <c r="P20" i="9"/>
  <c r="T19" i="9"/>
  <c r="U19" i="9"/>
  <c r="P19" i="9"/>
  <c r="Q19" i="9"/>
  <c r="U18" i="9"/>
  <c r="T18" i="9"/>
  <c r="Q18" i="9"/>
  <c r="P18" i="9"/>
  <c r="U17" i="9"/>
  <c r="T17" i="9"/>
  <c r="P17" i="9"/>
  <c r="Q17" i="9"/>
  <c r="U16" i="9"/>
  <c r="T16" i="9"/>
  <c r="Q16" i="9"/>
  <c r="P16" i="9"/>
  <c r="T15" i="9"/>
  <c r="U15" i="9"/>
  <c r="P15" i="9"/>
  <c r="Q15" i="9"/>
  <c r="T14" i="9"/>
  <c r="U14" i="9"/>
  <c r="Q14" i="9"/>
  <c r="P14" i="9"/>
  <c r="U13" i="9"/>
  <c r="T13" i="9"/>
  <c r="Q13" i="9"/>
  <c r="P13" i="9"/>
  <c r="U12" i="9"/>
  <c r="T12" i="9"/>
  <c r="P12" i="9"/>
  <c r="Q12" i="9"/>
  <c r="T11" i="9"/>
  <c r="U11" i="9"/>
  <c r="P11" i="9"/>
  <c r="Q11" i="9"/>
  <c r="T10" i="9"/>
  <c r="U10" i="9"/>
  <c r="P10" i="9"/>
  <c r="Q10" i="9"/>
  <c r="T9" i="9"/>
  <c r="U9" i="9"/>
  <c r="P9" i="9"/>
  <c r="Q9" i="9"/>
  <c r="T8" i="9"/>
  <c r="U8" i="9"/>
  <c r="Q8" i="9"/>
  <c r="P8" i="9"/>
  <c r="T7" i="9"/>
  <c r="U7" i="9"/>
  <c r="Q7" i="9"/>
  <c r="P7" i="9"/>
  <c r="U6" i="9"/>
  <c r="T6" i="9"/>
  <c r="Q6" i="9"/>
  <c r="P6" i="9"/>
  <c r="U5" i="9"/>
  <c r="T5" i="9"/>
  <c r="Q5" i="9"/>
  <c r="P5" i="9"/>
  <c r="U4" i="9"/>
  <c r="T4" i="9"/>
  <c r="Q4" i="9"/>
  <c r="P4" i="9"/>
  <c r="T3" i="9"/>
  <c r="U3" i="9"/>
  <c r="Q3" i="9"/>
  <c r="P3" i="9"/>
  <c r="U2" i="9"/>
  <c r="T2" i="9"/>
  <c r="P2" i="9"/>
  <c r="Q2" i="9"/>
  <c r="H2" i="9"/>
  <c r="I2" i="9" s="1"/>
  <c r="H173" i="9"/>
  <c r="I173" i="9" s="1"/>
  <c r="H174" i="9"/>
  <c r="I174" i="9" s="1"/>
  <c r="H3" i="9"/>
  <c r="I3" i="9" s="1"/>
  <c r="H175" i="9"/>
  <c r="I175" i="9" s="1"/>
  <c r="H4" i="9"/>
  <c r="I4" i="9" s="1"/>
  <c r="H176" i="9"/>
  <c r="I176" i="9" s="1"/>
  <c r="H5" i="9"/>
  <c r="I5" i="9" s="1"/>
  <c r="H6" i="9"/>
  <c r="I6" i="9" s="1"/>
  <c r="H7" i="9"/>
  <c r="I7" i="9" s="1"/>
  <c r="H177" i="9"/>
  <c r="I177" i="9" s="1"/>
  <c r="H178" i="9"/>
  <c r="I178" i="9" s="1"/>
  <c r="H8" i="9"/>
  <c r="I8" i="9" s="1"/>
  <c r="H179" i="9"/>
  <c r="I179" i="9" s="1"/>
  <c r="H9" i="9"/>
  <c r="I9" i="9" s="1"/>
  <c r="H180" i="9"/>
  <c r="I180" i="9" s="1"/>
  <c r="H10" i="9"/>
  <c r="I10" i="9" s="1"/>
  <c r="H12" i="9"/>
  <c r="I12" i="9" s="1"/>
  <c r="H11" i="9"/>
  <c r="I11" i="9" s="1"/>
  <c r="H182" i="9"/>
  <c r="I182" i="9" s="1"/>
  <c r="H181" i="9"/>
  <c r="I181" i="9" s="1"/>
  <c r="H13" i="9"/>
  <c r="I13" i="9" s="1"/>
  <c r="H183" i="9"/>
  <c r="I183" i="9" s="1"/>
  <c r="H15" i="9"/>
  <c r="I15" i="9" s="1"/>
  <c r="H16" i="9"/>
  <c r="I16" i="9" s="1"/>
  <c r="H184" i="9"/>
  <c r="I184" i="9" s="1"/>
  <c r="H14" i="9"/>
  <c r="I14" i="9" s="1"/>
  <c r="H17" i="9"/>
  <c r="I17" i="9" s="1"/>
  <c r="H185" i="9"/>
  <c r="I185" i="9" s="1"/>
  <c r="H186" i="9"/>
  <c r="I186" i="9" s="1"/>
  <c r="H20" i="9"/>
  <c r="I20" i="9" s="1"/>
  <c r="H21" i="9"/>
  <c r="I21" i="9" s="1"/>
  <c r="H187" i="9"/>
  <c r="I187" i="9" s="1"/>
  <c r="H19" i="9"/>
  <c r="I19" i="9" s="1"/>
  <c r="H24" i="9"/>
  <c r="I24" i="9" s="1"/>
  <c r="H23" i="9"/>
  <c r="I23" i="9" s="1"/>
  <c r="H188" i="9"/>
  <c r="I188" i="9" s="1"/>
  <c r="H89" i="9"/>
  <c r="I89" i="9" s="1"/>
  <c r="H45" i="9"/>
  <c r="I45" i="9" s="1"/>
  <c r="H49" i="9"/>
  <c r="I49" i="9" s="1"/>
  <c r="H51" i="9"/>
  <c r="I51" i="9" s="1"/>
  <c r="H25" i="9"/>
  <c r="I25" i="9" s="1"/>
  <c r="H189" i="9"/>
  <c r="I189" i="9" s="1"/>
  <c r="H190" i="9"/>
  <c r="I190" i="9" s="1"/>
  <c r="H191" i="9"/>
  <c r="I191" i="9" s="1"/>
  <c r="H192" i="9"/>
  <c r="I192" i="9" s="1"/>
  <c r="H193" i="9"/>
  <c r="I193" i="9" s="1"/>
  <c r="H194" i="9"/>
  <c r="I194" i="9" s="1"/>
  <c r="H195" i="9"/>
  <c r="I195" i="9" s="1"/>
  <c r="H196" i="9"/>
  <c r="I196" i="9" s="1"/>
  <c r="H101" i="9"/>
  <c r="I101" i="9" s="1"/>
  <c r="H197" i="9"/>
  <c r="I197" i="9" s="1"/>
  <c r="H198" i="9"/>
  <c r="I198" i="9" s="1"/>
  <c r="H199" i="9"/>
  <c r="I199" i="9" s="1"/>
  <c r="H200" i="9"/>
  <c r="I200" i="9" s="1"/>
  <c r="H201" i="9"/>
  <c r="I201" i="9" s="1"/>
  <c r="H202" i="9"/>
  <c r="I202" i="9" s="1"/>
  <c r="H27" i="9"/>
  <c r="I27" i="9" s="1"/>
  <c r="H29" i="9"/>
  <c r="I29" i="9" s="1"/>
  <c r="H31" i="9"/>
  <c r="I31" i="9" s="1"/>
  <c r="H33" i="9"/>
  <c r="I33" i="9" s="1"/>
  <c r="H35" i="9"/>
  <c r="I35" i="9" s="1"/>
  <c r="H90" i="9"/>
  <c r="I90" i="9" s="1"/>
  <c r="H91" i="9"/>
  <c r="I91" i="9" s="1"/>
  <c r="H92" i="9"/>
  <c r="I92" i="9" s="1"/>
  <c r="H93" i="9"/>
  <c r="I93" i="9" s="1"/>
  <c r="H94" i="9"/>
  <c r="I94" i="9" s="1"/>
  <c r="H95" i="9"/>
  <c r="I95" i="9" s="1"/>
  <c r="H96" i="9"/>
  <c r="I96" i="9" s="1"/>
  <c r="H97" i="9"/>
  <c r="I97" i="9" s="1"/>
  <c r="H98" i="9"/>
  <c r="I98" i="9" s="1"/>
  <c r="H99" i="9"/>
  <c r="I99" i="9" s="1"/>
  <c r="H100" i="9"/>
  <c r="I100" i="9" s="1"/>
  <c r="H37" i="9"/>
  <c r="I37" i="9" s="1"/>
  <c r="H102" i="9"/>
  <c r="I102" i="9" s="1"/>
  <c r="H103" i="9"/>
  <c r="I103" i="9" s="1"/>
  <c r="H104" i="9"/>
  <c r="I104" i="9" s="1"/>
  <c r="H105" i="9"/>
  <c r="I105" i="9" s="1"/>
  <c r="H106" i="9"/>
  <c r="I106" i="9" s="1"/>
  <c r="H39" i="9"/>
  <c r="I39" i="9" s="1"/>
  <c r="H41" i="9"/>
  <c r="I41" i="9" s="1"/>
  <c r="H44" i="9"/>
  <c r="I44" i="9" s="1"/>
  <c r="H46" i="9"/>
  <c r="I46" i="9" s="1"/>
  <c r="H47" i="9"/>
  <c r="I47" i="9" s="1"/>
  <c r="H48" i="9"/>
  <c r="I48" i="9" s="1"/>
  <c r="H50" i="9"/>
  <c r="I50" i="9" s="1"/>
  <c r="H40" i="9"/>
  <c r="I40" i="9" s="1"/>
  <c r="H26" i="9"/>
  <c r="I26" i="9" s="1"/>
  <c r="H28" i="9"/>
  <c r="I28" i="9" s="1"/>
  <c r="H30" i="9"/>
  <c r="I30" i="9" s="1"/>
  <c r="H32" i="9"/>
  <c r="I32" i="9" s="1"/>
  <c r="H34" i="9"/>
  <c r="I34" i="9" s="1"/>
  <c r="H36" i="9"/>
  <c r="I36" i="9" s="1"/>
  <c r="H38" i="9"/>
  <c r="I38" i="9" s="1"/>
  <c r="H42" i="9"/>
  <c r="I42" i="9" s="1"/>
  <c r="H43" i="9"/>
  <c r="I43" i="9" s="1"/>
  <c r="H53" i="9"/>
  <c r="I53" i="9" s="1"/>
  <c r="H107" i="9"/>
  <c r="I107" i="9" s="1"/>
  <c r="H54" i="9"/>
  <c r="I54" i="9" s="1"/>
  <c r="H55" i="9"/>
  <c r="I55" i="9" s="1"/>
  <c r="H204" i="9"/>
  <c r="I204" i="9" s="1"/>
  <c r="H56" i="9"/>
  <c r="I56" i="9" s="1"/>
  <c r="H205" i="9"/>
  <c r="I205" i="9" s="1"/>
  <c r="H108" i="9"/>
  <c r="I108" i="9" s="1"/>
  <c r="H109" i="9"/>
  <c r="I109" i="9" s="1"/>
  <c r="H58" i="9"/>
  <c r="I58" i="9" s="1"/>
  <c r="H60" i="9"/>
  <c r="I60" i="9" s="1"/>
  <c r="H59" i="9"/>
  <c r="I59" i="9" s="1"/>
  <c r="H110" i="9"/>
  <c r="I110" i="9" s="1"/>
  <c r="H61" i="9"/>
  <c r="I61" i="9" s="1"/>
  <c r="H111" i="9"/>
  <c r="I111" i="9" s="1"/>
  <c r="H62" i="9"/>
  <c r="I62" i="9" s="1"/>
  <c r="H65" i="9"/>
  <c r="I65" i="9" s="1"/>
  <c r="H112" i="9"/>
  <c r="I112" i="9" s="1"/>
  <c r="H63" i="9"/>
  <c r="I63" i="9" s="1"/>
  <c r="H64" i="9"/>
  <c r="I64" i="9" s="1"/>
  <c r="H67" i="9"/>
  <c r="I67" i="9" s="1"/>
  <c r="H113" i="9"/>
  <c r="I113" i="9" s="1"/>
  <c r="H66" i="9"/>
  <c r="I66" i="9" s="1"/>
  <c r="H68" i="9"/>
  <c r="I68" i="9" s="1"/>
  <c r="H69" i="9"/>
  <c r="I69" i="9" s="1"/>
  <c r="H114" i="9"/>
  <c r="I114" i="9" s="1"/>
  <c r="H70" i="9"/>
  <c r="I70" i="9" s="1"/>
  <c r="H74" i="9"/>
  <c r="I74" i="9" s="1"/>
  <c r="H73" i="9"/>
  <c r="I73" i="9" s="1"/>
  <c r="H75" i="9"/>
  <c r="I75" i="9" s="1"/>
  <c r="H117" i="9"/>
  <c r="I117" i="9" s="1"/>
  <c r="H77" i="9"/>
  <c r="I77" i="9" s="1"/>
  <c r="H118" i="9"/>
  <c r="I118" i="9" s="1"/>
  <c r="H119" i="9"/>
  <c r="I119" i="9" s="1"/>
  <c r="H78" i="9"/>
  <c r="I78" i="9" s="1"/>
  <c r="H80" i="9"/>
  <c r="I80" i="9" s="1"/>
  <c r="H120" i="9"/>
  <c r="I120" i="9" s="1"/>
  <c r="H81" i="9"/>
  <c r="I81" i="9" s="1"/>
  <c r="H82" i="9"/>
  <c r="I82" i="9" s="1"/>
  <c r="H121" i="9"/>
  <c r="I121" i="9" s="1"/>
  <c r="H84" i="9"/>
  <c r="I84" i="9" s="1"/>
  <c r="H124" i="9"/>
  <c r="I124" i="9" s="1"/>
  <c r="H87" i="9"/>
  <c r="I87" i="9" s="1"/>
  <c r="H129" i="9"/>
  <c r="I129" i="9" s="1"/>
  <c r="H128" i="9"/>
  <c r="I128" i="9" s="1"/>
  <c r="H127" i="9"/>
  <c r="I127" i="9" s="1"/>
  <c r="H131" i="9"/>
  <c r="I131" i="9" s="1"/>
  <c r="H130" i="9"/>
  <c r="I130" i="9" s="1"/>
  <c r="H133" i="9"/>
  <c r="I133" i="9" s="1"/>
  <c r="H132" i="9"/>
  <c r="I132" i="9" s="1"/>
  <c r="H137" i="9"/>
  <c r="I137" i="9" s="1"/>
  <c r="H136" i="9"/>
  <c r="I136" i="9" s="1"/>
  <c r="H135" i="9"/>
  <c r="I135" i="9" s="1"/>
  <c r="H139" i="9"/>
  <c r="I139" i="9" s="1"/>
  <c r="H140" i="9"/>
  <c r="I140" i="9" s="1"/>
  <c r="H143" i="9"/>
  <c r="I143" i="9" s="1"/>
  <c r="H142" i="9"/>
  <c r="I142" i="9" s="1"/>
  <c r="H148" i="9"/>
  <c r="I148" i="9" s="1"/>
  <c r="H151" i="9"/>
  <c r="I151" i="9" s="1"/>
  <c r="H150" i="9"/>
  <c r="I150" i="9" s="1"/>
  <c r="H146" i="9"/>
  <c r="I146" i="9" s="1"/>
  <c r="H147" i="9"/>
  <c r="I147" i="9" s="1"/>
  <c r="H149" i="9"/>
  <c r="I149" i="9" s="1"/>
  <c r="H152" i="9"/>
  <c r="I152" i="9" s="1"/>
  <c r="H155" i="9"/>
  <c r="I155" i="9" s="1"/>
  <c r="H154" i="9"/>
  <c r="I154" i="9" s="1"/>
  <c r="H161" i="9"/>
  <c r="I161" i="9" s="1"/>
  <c r="H160" i="9"/>
  <c r="I160" i="9" s="1"/>
  <c r="H159" i="9"/>
  <c r="I159" i="9" s="1"/>
  <c r="H166" i="9"/>
  <c r="I166" i="9" s="1"/>
  <c r="H165" i="9"/>
  <c r="I165" i="9" s="1"/>
  <c r="H169" i="9"/>
  <c r="I169" i="9" s="1"/>
  <c r="H168" i="9"/>
  <c r="I168" i="9" s="1"/>
  <c r="F130" i="9"/>
  <c r="E130" i="9"/>
  <c r="E83" i="9"/>
  <c r="F83" i="9"/>
  <c r="E17" i="9"/>
  <c r="F17" i="9"/>
  <c r="E3" i="9"/>
  <c r="F3" i="9"/>
  <c r="F2" i="9"/>
  <c r="E2" i="9"/>
  <c r="J11" i="3"/>
  <c r="G11" i="3"/>
  <c r="J12" i="3"/>
  <c r="G12" i="3"/>
  <c r="G13" i="3"/>
  <c r="J13" i="3"/>
  <c r="J14" i="3"/>
  <c r="G14" i="3"/>
  <c r="J15" i="3"/>
  <c r="G15" i="3"/>
  <c r="G16" i="3"/>
  <c r="J16" i="3"/>
  <c r="G17" i="3"/>
  <c r="J17" i="3"/>
  <c r="G18" i="3"/>
  <c r="J18" i="3"/>
  <c r="G19" i="3"/>
  <c r="J19" i="3"/>
  <c r="G20" i="3"/>
  <c r="J20" i="3"/>
  <c r="G21" i="3"/>
  <c r="J21" i="3"/>
  <c r="G22" i="3"/>
  <c r="F22" i="3"/>
  <c r="J22" i="3"/>
  <c r="G23" i="3"/>
  <c r="F23" i="3"/>
  <c r="J23" i="3"/>
  <c r="F24" i="3"/>
  <c r="G24" i="3"/>
  <c r="J24" i="3"/>
  <c r="F25" i="3"/>
  <c r="G25" i="3"/>
  <c r="J25" i="3"/>
  <c r="F26" i="3"/>
  <c r="G26" i="3"/>
  <c r="J26" i="3"/>
  <c r="G27" i="3"/>
  <c r="F27" i="3"/>
  <c r="J27" i="3"/>
  <c r="F28" i="3"/>
  <c r="G28" i="3"/>
  <c r="K28" i="3"/>
  <c r="J28" i="3"/>
  <c r="G29" i="3"/>
  <c r="K29" i="3"/>
  <c r="F29" i="3"/>
  <c r="J29" i="3"/>
  <c r="K30" i="3"/>
  <c r="J30" i="3"/>
  <c r="G30" i="3"/>
  <c r="F30" i="3"/>
  <c r="F31" i="3"/>
  <c r="G31" i="3"/>
  <c r="K31" i="3"/>
  <c r="J31" i="3"/>
  <c r="F32" i="3"/>
  <c r="J32" i="3"/>
  <c r="G32" i="3"/>
  <c r="K32" i="3"/>
  <c r="G33" i="3"/>
  <c r="K33" i="3"/>
  <c r="J33" i="3"/>
  <c r="F33" i="3"/>
  <c r="K34" i="3"/>
  <c r="F34" i="3"/>
  <c r="J34" i="3"/>
  <c r="G34" i="3"/>
  <c r="F35" i="3"/>
  <c r="J35" i="3"/>
  <c r="K35" i="3"/>
  <c r="G35" i="3"/>
  <c r="J36" i="3"/>
  <c r="G36" i="3"/>
  <c r="F36" i="3"/>
  <c r="K36" i="3"/>
  <c r="J37" i="3"/>
  <c r="F37" i="3"/>
  <c r="G37" i="3"/>
  <c r="K37" i="3"/>
  <c r="J38" i="3"/>
  <c r="F38" i="3"/>
  <c r="G38" i="3"/>
  <c r="K38" i="3"/>
  <c r="K39" i="3"/>
  <c r="J39" i="3"/>
  <c r="F39" i="3"/>
  <c r="G39" i="3"/>
  <c r="G40" i="3"/>
  <c r="K40" i="3"/>
  <c r="J40" i="3"/>
  <c r="F40" i="3"/>
  <c r="J41" i="3"/>
  <c r="K41" i="3"/>
  <c r="F41" i="3"/>
  <c r="G41" i="3"/>
  <c r="G42" i="3"/>
  <c r="F42" i="3"/>
  <c r="K42" i="3"/>
  <c r="J42" i="3"/>
  <c r="J43" i="3"/>
  <c r="F43" i="3"/>
  <c r="G43" i="3"/>
  <c r="K43" i="3"/>
  <c r="J44" i="3"/>
  <c r="K44" i="3"/>
  <c r="G44" i="3"/>
  <c r="F44" i="3"/>
  <c r="F45" i="3"/>
  <c r="J45" i="3"/>
  <c r="K45" i="3"/>
  <c r="G45" i="3"/>
  <c r="J46" i="3"/>
  <c r="F46" i="3"/>
  <c r="K46" i="3"/>
  <c r="G46" i="3"/>
  <c r="K47" i="3"/>
  <c r="G47" i="3"/>
  <c r="F47" i="3"/>
  <c r="J47" i="3"/>
  <c r="K48" i="3"/>
  <c r="F48" i="3"/>
  <c r="G48" i="3"/>
  <c r="J48" i="3"/>
  <c r="K49" i="3"/>
  <c r="G49" i="3"/>
  <c r="F49" i="3"/>
  <c r="J49" i="3"/>
  <c r="G50" i="3"/>
  <c r="K50" i="3"/>
  <c r="J50" i="3"/>
  <c r="F50" i="3"/>
  <c r="G51" i="3"/>
  <c r="K51" i="3"/>
  <c r="J51" i="3"/>
  <c r="F51" i="3"/>
  <c r="J52" i="3"/>
  <c r="G52" i="3"/>
  <c r="K52" i="3"/>
  <c r="F52" i="3"/>
  <c r="J2" i="3"/>
  <c r="F2" i="3"/>
  <c r="G2" i="3"/>
  <c r="K2" i="3"/>
  <c r="E107" i="8"/>
  <c r="F107" i="8"/>
  <c r="F101" i="8"/>
  <c r="E101" i="8"/>
  <c r="F100" i="8"/>
  <c r="E100" i="8"/>
  <c r="F99" i="8"/>
  <c r="E99" i="8"/>
  <c r="F98" i="8"/>
  <c r="E98" i="8"/>
  <c r="F97" i="8"/>
  <c r="E97" i="8"/>
  <c r="F96" i="8"/>
  <c r="E96" i="8"/>
  <c r="H39" i="8"/>
  <c r="H38" i="8"/>
  <c r="H6" i="8"/>
  <c r="H144" i="8"/>
  <c r="H31" i="8"/>
  <c r="H7" i="8"/>
  <c r="H133" i="8"/>
  <c r="H105" i="8"/>
  <c r="H132" i="8"/>
  <c r="H104" i="8"/>
  <c r="H129" i="8"/>
  <c r="H103" i="8"/>
  <c r="H102" i="8"/>
  <c r="H115" i="8"/>
  <c r="H101" i="8"/>
  <c r="I101" i="8" s="1"/>
  <c r="H100" i="8"/>
  <c r="I100" i="8" s="1"/>
  <c r="H99" i="8"/>
  <c r="I99" i="8" s="1"/>
  <c r="H98" i="8"/>
  <c r="I98" i="8" s="1"/>
  <c r="H107" i="8"/>
  <c r="I107" i="8" s="1"/>
  <c r="H97" i="8"/>
  <c r="I97" i="8" s="1"/>
  <c r="H96" i="8"/>
  <c r="I96" i="8" s="1"/>
  <c r="H95" i="8"/>
  <c r="H93" i="8"/>
  <c r="H92" i="8"/>
  <c r="H60" i="8"/>
  <c r="H91" i="8"/>
  <c r="H90" i="8"/>
  <c r="H89" i="8"/>
  <c r="H88" i="8"/>
  <c r="H87" i="8"/>
  <c r="H48" i="8"/>
  <c r="H46" i="8"/>
  <c r="H86" i="8"/>
  <c r="H44" i="8"/>
  <c r="H43" i="8"/>
  <c r="H85" i="8"/>
  <c r="H84" i="8"/>
  <c r="H83" i="8"/>
  <c r="H82" i="8"/>
  <c r="H33" i="8"/>
  <c r="H32" i="8"/>
  <c r="H81" i="8"/>
  <c r="H76" i="8"/>
  <c r="H28" i="8"/>
  <c r="H47" i="8"/>
  <c r="H16" i="8"/>
  <c r="H15" i="8"/>
  <c r="H14" i="8"/>
  <c r="H13" i="8"/>
  <c r="H42" i="8"/>
  <c r="H21" i="8"/>
  <c r="H19" i="8"/>
  <c r="H18" i="8"/>
  <c r="H94" i="8"/>
  <c r="H2" i="8"/>
  <c r="I2" i="8" s="1"/>
  <c r="H146" i="8"/>
  <c r="H145" i="8"/>
  <c r="H139" i="8"/>
  <c r="H138" i="8"/>
  <c r="H131" i="8"/>
  <c r="H137" i="8"/>
  <c r="H136" i="8"/>
  <c r="H128" i="8"/>
  <c r="H127" i="8"/>
  <c r="H204" i="8"/>
  <c r="H123" i="8"/>
  <c r="H203" i="8"/>
  <c r="H126" i="8"/>
  <c r="H124" i="8"/>
  <c r="H121" i="8"/>
  <c r="H202" i="8"/>
  <c r="H116" i="8"/>
  <c r="H117" i="8"/>
  <c r="H201" i="8"/>
  <c r="H200" i="8"/>
  <c r="H199" i="8"/>
  <c r="H113" i="8"/>
  <c r="H74" i="8"/>
  <c r="H73" i="8"/>
  <c r="H72" i="8"/>
  <c r="H198" i="8"/>
  <c r="H71" i="8"/>
  <c r="H197" i="8"/>
  <c r="H196" i="8"/>
  <c r="H195" i="8"/>
  <c r="H79" i="8"/>
  <c r="H194" i="8"/>
  <c r="H78" i="8"/>
  <c r="H59" i="8"/>
  <c r="H193" i="8"/>
  <c r="H58" i="8"/>
  <c r="H57" i="8"/>
  <c r="H56" i="8"/>
  <c r="H192" i="8"/>
  <c r="H191" i="8"/>
  <c r="H190" i="8"/>
  <c r="H50" i="8"/>
  <c r="H45" i="8"/>
  <c r="H67" i="8"/>
  <c r="H189" i="8"/>
  <c r="H66" i="8"/>
  <c r="H65" i="8"/>
  <c r="H188" i="8"/>
  <c r="H37" i="8"/>
  <c r="H187" i="8"/>
  <c r="H35" i="8"/>
  <c r="H61" i="8"/>
  <c r="H183" i="8"/>
  <c r="H27" i="8"/>
  <c r="H180" i="8"/>
  <c r="H26" i="8"/>
  <c r="H23" i="8"/>
  <c r="H179" i="8"/>
  <c r="H178" i="8"/>
  <c r="H52" i="8"/>
  <c r="H186" i="8"/>
  <c r="H185" i="8"/>
  <c r="H184" i="8"/>
  <c r="H182" i="8"/>
  <c r="H51" i="8"/>
  <c r="H205" i="8"/>
  <c r="H181" i="8"/>
  <c r="H40" i="8"/>
  <c r="H175" i="8"/>
  <c r="H173" i="8"/>
  <c r="H12" i="8"/>
  <c r="H36" i="8"/>
  <c r="H174" i="8"/>
  <c r="H171" i="8"/>
  <c r="H172" i="8"/>
  <c r="H168" i="8"/>
  <c r="H170" i="8"/>
  <c r="H169" i="8"/>
  <c r="H165" i="8"/>
  <c r="H11" i="8"/>
  <c r="H10" i="8"/>
  <c r="H164" i="8"/>
  <c r="H167" i="8"/>
  <c r="H8" i="8"/>
  <c r="H159" i="8"/>
  <c r="H166" i="8"/>
  <c r="H158" i="8"/>
  <c r="H163" i="8"/>
  <c r="H157" i="8"/>
  <c r="H156" i="8"/>
  <c r="H153" i="8"/>
  <c r="H152" i="8"/>
  <c r="H151" i="8"/>
  <c r="H162" i="8"/>
  <c r="H150" i="8"/>
  <c r="H161" i="8"/>
  <c r="H160" i="8"/>
  <c r="H148" i="8"/>
  <c r="H155" i="8"/>
  <c r="H147" i="8"/>
  <c r="H154" i="8"/>
  <c r="H149" i="8"/>
  <c r="H112" i="8"/>
  <c r="H110" i="8"/>
  <c r="H140" i="8"/>
  <c r="H106" i="8"/>
  <c r="H80" i="8"/>
  <c r="H143" i="8"/>
  <c r="H130" i="8"/>
  <c r="H77" i="8"/>
  <c r="H142" i="8"/>
  <c r="H141" i="8"/>
  <c r="H119" i="8"/>
  <c r="H135" i="8"/>
  <c r="H134" i="8"/>
  <c r="H114" i="8"/>
  <c r="H70" i="8"/>
  <c r="H111" i="8"/>
  <c r="H69" i="8"/>
  <c r="H108" i="8"/>
  <c r="H62" i="8"/>
  <c r="H63" i="8"/>
  <c r="H55" i="8"/>
  <c r="H53" i="8"/>
  <c r="H54" i="8"/>
  <c r="H176" i="8"/>
  <c r="H125" i="8"/>
  <c r="H122" i="8"/>
  <c r="H120" i="8"/>
  <c r="H34" i="8"/>
  <c r="H30" i="8"/>
  <c r="H29" i="8"/>
  <c r="H118" i="8"/>
  <c r="H109" i="8"/>
  <c r="H75" i="8"/>
  <c r="H25" i="8"/>
  <c r="H22" i="8"/>
  <c r="H24" i="8"/>
  <c r="H68" i="8"/>
  <c r="H20" i="8"/>
  <c r="H64" i="8"/>
  <c r="H17" i="8"/>
  <c r="H49" i="8"/>
  <c r="H41" i="8"/>
  <c r="H9" i="8"/>
  <c r="H177" i="8"/>
  <c r="H3" i="8"/>
  <c r="H5" i="8"/>
  <c r="H4" i="8"/>
  <c r="F2" i="8"/>
  <c r="E2" i="8"/>
  <c r="I2" i="10" l="1"/>
  <c r="S2" i="10"/>
  <c r="S3" i="10"/>
  <c r="S4" i="10"/>
  <c r="S5" i="10"/>
  <c r="S6" i="10"/>
  <c r="S7" i="10"/>
  <c r="S8" i="10"/>
  <c r="S9" i="10"/>
  <c r="S10" i="10"/>
  <c r="S11" i="10"/>
  <c r="S12" i="10"/>
  <c r="S13" i="10"/>
  <c r="S14" i="10"/>
  <c r="S15" i="10"/>
  <c r="S16" i="10"/>
  <c r="S17" i="10"/>
  <c r="S18" i="10"/>
  <c r="S19" i="10"/>
  <c r="S20" i="10"/>
  <c r="S21" i="10"/>
  <c r="S22" i="10"/>
  <c r="S23" i="10"/>
  <c r="S24" i="10"/>
  <c r="S25" i="10"/>
  <c r="S26" i="10"/>
  <c r="S27" i="10"/>
  <c r="S28" i="10"/>
  <c r="S29" i="10"/>
  <c r="S30" i="10"/>
  <c r="S31" i="10"/>
  <c r="S32" i="10"/>
  <c r="S44" i="10"/>
  <c r="S45" i="10"/>
  <c r="S46" i="10"/>
  <c r="S47" i="10"/>
  <c r="S48" i="10"/>
  <c r="S49" i="10"/>
  <c r="S50" i="10"/>
  <c r="S51" i="10"/>
  <c r="S52" i="10"/>
  <c r="S34" i="10"/>
  <c r="S37" i="10"/>
  <c r="S42" i="10"/>
  <c r="S33" i="10"/>
  <c r="S38" i="10"/>
  <c r="S39" i="10"/>
  <c r="S40" i="10"/>
  <c r="S41" i="10"/>
  <c r="S43" i="10"/>
  <c r="S35" i="10"/>
  <c r="S36" i="10"/>
  <c r="P25" i="10"/>
  <c r="Q25" i="10"/>
  <c r="P4" i="10"/>
  <c r="Q4" i="10"/>
  <c r="P18" i="10"/>
  <c r="Q18" i="10"/>
  <c r="P26" i="10"/>
  <c r="Q26" i="10"/>
  <c r="P43" i="10"/>
  <c r="Q43" i="10"/>
  <c r="P11" i="10"/>
  <c r="Q11" i="10"/>
  <c r="P46" i="10"/>
  <c r="Q46" i="10"/>
  <c r="P15" i="10"/>
  <c r="Q15" i="10"/>
  <c r="P19" i="10"/>
  <c r="Q19" i="10"/>
  <c r="P50" i="10"/>
  <c r="Q50" i="10"/>
  <c r="P9" i="10"/>
  <c r="Q9" i="10"/>
  <c r="P27" i="10"/>
  <c r="Q27" i="10"/>
  <c r="P6" i="10"/>
  <c r="Q6" i="10"/>
  <c r="P28" i="10"/>
  <c r="Q28" i="10"/>
  <c r="P40" i="10"/>
  <c r="Q40" i="10"/>
  <c r="P12" i="10"/>
  <c r="Q12" i="10"/>
  <c r="P32" i="10"/>
  <c r="Q32" i="10"/>
  <c r="P5" i="10"/>
  <c r="Q5" i="10"/>
  <c r="P16" i="10"/>
  <c r="Q16" i="10"/>
  <c r="P48" i="10"/>
  <c r="Q48" i="10"/>
  <c r="P31" i="10"/>
  <c r="Q31" i="10"/>
  <c r="P20" i="10"/>
  <c r="Q20" i="10"/>
  <c r="P24" i="10"/>
  <c r="Q24" i="10"/>
  <c r="P29" i="10"/>
  <c r="Q29" i="10"/>
  <c r="P30" i="10"/>
  <c r="Q30" i="10"/>
  <c r="P7" i="10"/>
  <c r="Q7" i="10"/>
  <c r="P52" i="10"/>
  <c r="Q52" i="10"/>
  <c r="P21" i="10"/>
  <c r="Q21" i="10"/>
  <c r="P8" i="10"/>
  <c r="Q8" i="10"/>
  <c r="P13" i="10"/>
  <c r="Q13" i="10"/>
  <c r="Q45" i="10"/>
  <c r="P45" i="10"/>
  <c r="P51" i="10"/>
  <c r="Q51" i="10"/>
  <c r="P17" i="10"/>
  <c r="Q17" i="10"/>
  <c r="P23" i="10"/>
  <c r="Q23" i="10"/>
  <c r="P42" i="10"/>
  <c r="Q42" i="10"/>
  <c r="P10" i="10"/>
  <c r="Q10" i="10"/>
  <c r="P49" i="10"/>
  <c r="Q49" i="10"/>
  <c r="Q44" i="10"/>
  <c r="P44" i="10"/>
  <c r="P2" i="10"/>
  <c r="Q2" i="10"/>
  <c r="P22" i="10"/>
  <c r="Q22" i="10"/>
  <c r="P3" i="10"/>
  <c r="Q3" i="10"/>
  <c r="P14" i="10"/>
  <c r="Q14" i="10"/>
  <c r="Q41" i="10"/>
  <c r="P41" i="10"/>
  <c r="P47" i="10"/>
  <c r="Q47" i="10"/>
  <c r="I38" i="10"/>
  <c r="E38" i="10"/>
  <c r="F38" i="10"/>
  <c r="I43" i="10"/>
  <c r="E43" i="10"/>
  <c r="F43" i="10"/>
  <c r="I41" i="10"/>
  <c r="F41" i="10"/>
  <c r="E41" i="10"/>
  <c r="F2" i="10"/>
  <c r="E2" i="10"/>
  <c r="I37" i="10"/>
  <c r="E37" i="10"/>
  <c r="F37" i="10"/>
  <c r="I34" i="10"/>
  <c r="F34" i="10"/>
  <c r="E34" i="10"/>
  <c r="I44" i="10"/>
  <c r="F44" i="10"/>
  <c r="E44" i="10"/>
  <c r="I42" i="10"/>
  <c r="F42" i="10"/>
  <c r="E42" i="10"/>
  <c r="I36" i="10"/>
  <c r="F36" i="10"/>
  <c r="E36" i="10"/>
  <c r="I39" i="10"/>
  <c r="F39" i="10"/>
  <c r="E39" i="10"/>
  <c r="I40" i="10"/>
  <c r="F40" i="10"/>
  <c r="E40" i="10"/>
  <c r="I35" i="10"/>
  <c r="E35" i="10"/>
  <c r="F35" i="10"/>
  <c r="I115" i="10"/>
  <c r="F115" i="10"/>
  <c r="E115" i="10"/>
  <c r="I114" i="10"/>
  <c r="F114" i="10"/>
  <c r="E114" i="10"/>
  <c r="I111" i="10"/>
  <c r="E111" i="10"/>
  <c r="F111" i="10"/>
  <c r="I110" i="10"/>
  <c r="F110" i="10"/>
  <c r="E110" i="10"/>
  <c r="I102" i="10"/>
  <c r="E102" i="10"/>
  <c r="F102" i="10"/>
  <c r="I92" i="10"/>
  <c r="F92" i="10"/>
  <c r="E92" i="10"/>
  <c r="I91" i="10"/>
  <c r="F91" i="10"/>
  <c r="E91" i="10"/>
  <c r="I90" i="10"/>
  <c r="E90" i="10"/>
  <c r="F90" i="10"/>
  <c r="I82" i="10"/>
  <c r="F82" i="10"/>
  <c r="E82" i="10"/>
  <c r="I80" i="10"/>
  <c r="F80" i="10"/>
  <c r="E80" i="10"/>
  <c r="I79" i="10"/>
  <c r="F79" i="10"/>
  <c r="E79" i="10"/>
  <c r="I141" i="10"/>
  <c r="E141" i="10"/>
  <c r="F141" i="10"/>
  <c r="I140" i="10"/>
  <c r="E140" i="10"/>
  <c r="F140" i="10"/>
  <c r="I138" i="10"/>
  <c r="F138" i="10"/>
  <c r="E138" i="10"/>
  <c r="I137" i="10"/>
  <c r="E137" i="10"/>
  <c r="F137" i="10"/>
  <c r="I136" i="10"/>
  <c r="F136" i="10"/>
  <c r="E136" i="10"/>
  <c r="I134" i="10"/>
  <c r="F134" i="10"/>
  <c r="E134" i="10"/>
  <c r="I133" i="10"/>
  <c r="E133" i="10"/>
  <c r="F133" i="10"/>
  <c r="I132" i="10"/>
  <c r="E132" i="10"/>
  <c r="F132" i="10"/>
  <c r="I131" i="10"/>
  <c r="E131" i="10"/>
  <c r="F131" i="10"/>
  <c r="I130" i="10"/>
  <c r="E130" i="10"/>
  <c r="F130" i="10"/>
  <c r="I129" i="10"/>
  <c r="F129" i="10"/>
  <c r="E129" i="10"/>
  <c r="I128" i="10"/>
  <c r="F128" i="10"/>
  <c r="E128" i="10"/>
  <c r="I127" i="10"/>
  <c r="E127" i="10"/>
  <c r="F127" i="10"/>
  <c r="I126" i="10"/>
  <c r="F126" i="10"/>
  <c r="E126" i="10"/>
  <c r="I125" i="10"/>
  <c r="F125" i="10"/>
  <c r="E125" i="10"/>
  <c r="I124" i="10"/>
  <c r="F124" i="10"/>
  <c r="E124" i="10"/>
  <c r="I123" i="10"/>
  <c r="F123" i="10"/>
  <c r="E123" i="10"/>
  <c r="I122" i="10"/>
  <c r="E122" i="10"/>
  <c r="F122" i="10"/>
  <c r="I205" i="10"/>
  <c r="E205" i="10"/>
  <c r="F205" i="10"/>
  <c r="I121" i="10"/>
  <c r="F121" i="10"/>
  <c r="E121" i="10"/>
  <c r="I120" i="10"/>
  <c r="F120" i="10"/>
  <c r="E120" i="10"/>
  <c r="I119" i="10"/>
  <c r="E119" i="10"/>
  <c r="F119" i="10"/>
  <c r="I118" i="10"/>
  <c r="E118" i="10"/>
  <c r="F118" i="10"/>
  <c r="I109" i="10"/>
  <c r="E109" i="10"/>
  <c r="F109" i="10"/>
  <c r="I108" i="10"/>
  <c r="F108" i="10"/>
  <c r="E108" i="10"/>
  <c r="I107" i="10"/>
  <c r="F107" i="10"/>
  <c r="E107" i="10"/>
  <c r="I106" i="10"/>
  <c r="F106" i="10"/>
  <c r="E106" i="10"/>
  <c r="I105" i="10"/>
  <c r="F105" i="10"/>
  <c r="E105" i="10"/>
  <c r="I101" i="10"/>
  <c r="E101" i="10"/>
  <c r="F101" i="10"/>
  <c r="I99" i="10"/>
  <c r="F99" i="10"/>
  <c r="E99" i="10"/>
  <c r="I97" i="10"/>
  <c r="E97" i="10"/>
  <c r="F97" i="10"/>
  <c r="I96" i="10"/>
  <c r="F96" i="10"/>
  <c r="E96" i="10"/>
  <c r="I95" i="10"/>
  <c r="F95" i="10"/>
  <c r="E95" i="10"/>
  <c r="I94" i="10"/>
  <c r="F94" i="10"/>
  <c r="E94" i="10"/>
  <c r="I77" i="10"/>
  <c r="E77" i="10"/>
  <c r="F77" i="10"/>
  <c r="I30" i="10"/>
  <c r="E30" i="10"/>
  <c r="F30" i="10"/>
  <c r="I29" i="10"/>
  <c r="F29" i="10"/>
  <c r="E29" i="10"/>
  <c r="I135" i="10"/>
  <c r="F135" i="10"/>
  <c r="E135" i="10"/>
  <c r="I28" i="10"/>
  <c r="F28" i="10"/>
  <c r="E28" i="10"/>
  <c r="I139" i="10"/>
  <c r="E139" i="10"/>
  <c r="F139" i="10"/>
  <c r="I27" i="10"/>
  <c r="F27" i="10"/>
  <c r="E27" i="10"/>
  <c r="I26" i="10"/>
  <c r="E26" i="10"/>
  <c r="F26" i="10"/>
  <c r="I25" i="10"/>
  <c r="E25" i="10"/>
  <c r="F25" i="10"/>
  <c r="I24" i="10"/>
  <c r="F24" i="10"/>
  <c r="E24" i="10"/>
  <c r="I23" i="10"/>
  <c r="F23" i="10"/>
  <c r="E23" i="10"/>
  <c r="I31" i="10"/>
  <c r="E31" i="10"/>
  <c r="F31" i="10"/>
  <c r="I204" i="10"/>
  <c r="E204" i="10"/>
  <c r="F204" i="10"/>
  <c r="I32" i="10"/>
  <c r="F32" i="10"/>
  <c r="E32" i="10"/>
  <c r="I202" i="10"/>
  <c r="E202" i="10"/>
  <c r="F202" i="10"/>
  <c r="I201" i="10"/>
  <c r="F201" i="10"/>
  <c r="E201" i="10"/>
  <c r="I197" i="10"/>
  <c r="F197" i="10"/>
  <c r="E197" i="10"/>
  <c r="I46" i="10"/>
  <c r="E46" i="10"/>
  <c r="F46" i="10"/>
  <c r="I195" i="10"/>
  <c r="E195" i="10"/>
  <c r="F195" i="10"/>
  <c r="I47" i="10"/>
  <c r="F47" i="10"/>
  <c r="E47" i="10"/>
  <c r="I194" i="10"/>
  <c r="E194" i="10"/>
  <c r="F194" i="10"/>
  <c r="I192" i="10"/>
  <c r="F192" i="10"/>
  <c r="E192" i="10"/>
  <c r="I48" i="10"/>
  <c r="F48" i="10"/>
  <c r="E48" i="10"/>
  <c r="I188" i="10"/>
  <c r="E188" i="10"/>
  <c r="F188" i="10"/>
  <c r="I49" i="10"/>
  <c r="F49" i="10"/>
  <c r="E49" i="10"/>
  <c r="I183" i="10"/>
  <c r="F183" i="10"/>
  <c r="E183" i="10"/>
  <c r="I4" i="10"/>
  <c r="E4" i="10"/>
  <c r="F4" i="10"/>
  <c r="I50" i="10"/>
  <c r="F50" i="10"/>
  <c r="E50" i="10"/>
  <c r="I181" i="10"/>
  <c r="E181" i="10"/>
  <c r="F181" i="10"/>
  <c r="I51" i="10"/>
  <c r="F51" i="10"/>
  <c r="E51" i="10"/>
  <c r="I177" i="10"/>
  <c r="E177" i="10"/>
  <c r="F177" i="10"/>
  <c r="I5" i="10"/>
  <c r="F5" i="10"/>
  <c r="E5" i="10"/>
  <c r="I52" i="10"/>
  <c r="F52" i="10"/>
  <c r="E52" i="10"/>
  <c r="I172" i="10"/>
  <c r="E172" i="10"/>
  <c r="F172" i="10"/>
  <c r="I169" i="10"/>
  <c r="F169" i="10"/>
  <c r="E169" i="10"/>
  <c r="I167" i="10"/>
  <c r="E167" i="10"/>
  <c r="F167" i="10"/>
  <c r="I166" i="10"/>
  <c r="F166" i="10"/>
  <c r="E166" i="10"/>
  <c r="I53" i="10"/>
  <c r="F53" i="10"/>
  <c r="E53" i="10"/>
  <c r="I63" i="10"/>
  <c r="F63" i="10"/>
  <c r="E63" i="10"/>
  <c r="I162" i="10"/>
  <c r="E162" i="10"/>
  <c r="F162" i="10"/>
  <c r="I54" i="10"/>
  <c r="F54" i="10"/>
  <c r="E54" i="10"/>
  <c r="I6" i="10"/>
  <c r="E6" i="10"/>
  <c r="F6" i="10"/>
  <c r="I159" i="10"/>
  <c r="E159" i="10"/>
  <c r="F159" i="10"/>
  <c r="I55" i="10"/>
  <c r="E55" i="10"/>
  <c r="F55" i="10"/>
  <c r="I56" i="10"/>
  <c r="E56" i="10"/>
  <c r="F56" i="10"/>
  <c r="I7" i="10"/>
  <c r="F7" i="10"/>
  <c r="E7" i="10"/>
  <c r="I57" i="10"/>
  <c r="F57" i="10"/>
  <c r="E57" i="10"/>
  <c r="I147" i="10"/>
  <c r="F147" i="10"/>
  <c r="E147" i="10"/>
  <c r="I117" i="10"/>
  <c r="E117" i="10"/>
  <c r="F117" i="10"/>
  <c r="I58" i="10"/>
  <c r="F58" i="10"/>
  <c r="E58" i="10"/>
  <c r="I116" i="10"/>
  <c r="E116" i="10"/>
  <c r="F116" i="10"/>
  <c r="I8" i="10"/>
  <c r="F8" i="10"/>
  <c r="E8" i="10"/>
  <c r="I59" i="10"/>
  <c r="E59" i="10"/>
  <c r="F59" i="10"/>
  <c r="I60" i="10"/>
  <c r="F60" i="10"/>
  <c r="E60" i="10"/>
  <c r="I9" i="10"/>
  <c r="F9" i="10"/>
  <c r="E9" i="10"/>
  <c r="I98" i="10"/>
  <c r="F98" i="10"/>
  <c r="E98" i="10"/>
  <c r="I61" i="10"/>
  <c r="E61" i="10"/>
  <c r="F61" i="10"/>
  <c r="I89" i="10"/>
  <c r="E89" i="10"/>
  <c r="F89" i="10"/>
  <c r="I62" i="10"/>
  <c r="E62" i="10"/>
  <c r="F62" i="10"/>
  <c r="I88" i="10"/>
  <c r="E88" i="10"/>
  <c r="F88" i="10"/>
  <c r="I10" i="10"/>
  <c r="F10" i="10"/>
  <c r="E10" i="10"/>
  <c r="I87" i="10"/>
  <c r="F87" i="10"/>
  <c r="E87" i="10"/>
  <c r="I81" i="10"/>
  <c r="E81" i="10"/>
  <c r="F81" i="10"/>
  <c r="I11" i="10"/>
  <c r="E11" i="10"/>
  <c r="F11" i="10"/>
  <c r="I193" i="10"/>
  <c r="E193" i="10"/>
  <c r="F193" i="10"/>
  <c r="I12" i="10"/>
  <c r="E12" i="10"/>
  <c r="F12" i="10"/>
  <c r="I191" i="10"/>
  <c r="F191" i="10"/>
  <c r="E191" i="10"/>
  <c r="I189" i="10"/>
  <c r="E189" i="10"/>
  <c r="F189" i="10"/>
  <c r="I64" i="10"/>
  <c r="E64" i="10"/>
  <c r="F64" i="10"/>
  <c r="I13" i="10"/>
  <c r="F13" i="10"/>
  <c r="E13" i="10"/>
  <c r="I186" i="10"/>
  <c r="E186" i="10"/>
  <c r="F186" i="10"/>
  <c r="I65" i="10"/>
  <c r="E65" i="10"/>
  <c r="F65" i="10"/>
  <c r="I185" i="10"/>
  <c r="F185" i="10"/>
  <c r="E185" i="10"/>
  <c r="I184" i="10"/>
  <c r="F184" i="10"/>
  <c r="E184" i="10"/>
  <c r="I66" i="10"/>
  <c r="F66" i="10"/>
  <c r="E66" i="10"/>
  <c r="I180" i="10"/>
  <c r="F180" i="10"/>
  <c r="E180" i="10"/>
  <c r="I14" i="10"/>
  <c r="F14" i="10"/>
  <c r="E14" i="10"/>
  <c r="I179" i="10"/>
  <c r="F179" i="10"/>
  <c r="E179" i="10"/>
  <c r="I178" i="10"/>
  <c r="F178" i="10"/>
  <c r="E178" i="10"/>
  <c r="I67" i="10"/>
  <c r="E67" i="10"/>
  <c r="F67" i="10"/>
  <c r="I173" i="10"/>
  <c r="F173" i="10"/>
  <c r="E173" i="10"/>
  <c r="I68" i="10"/>
  <c r="E68" i="10"/>
  <c r="F68" i="10"/>
  <c r="I170" i="10"/>
  <c r="F170" i="10"/>
  <c r="E170" i="10"/>
  <c r="I15" i="10"/>
  <c r="E15" i="10"/>
  <c r="F15" i="10"/>
  <c r="I165" i="10"/>
  <c r="E165" i="10"/>
  <c r="F165" i="10"/>
  <c r="I69" i="10"/>
  <c r="E69" i="10"/>
  <c r="F69" i="10"/>
  <c r="I164" i="10"/>
  <c r="F164" i="10"/>
  <c r="E164" i="10"/>
  <c r="I163" i="10"/>
  <c r="F163" i="10"/>
  <c r="E163" i="10"/>
  <c r="I70" i="10"/>
  <c r="F70" i="10"/>
  <c r="E70" i="10"/>
  <c r="I160" i="10"/>
  <c r="F160" i="10"/>
  <c r="E160" i="10"/>
  <c r="I16" i="10"/>
  <c r="F16" i="10"/>
  <c r="E16" i="10"/>
  <c r="I157" i="10"/>
  <c r="E157" i="10"/>
  <c r="F157" i="10"/>
  <c r="I71" i="10"/>
  <c r="F71" i="10"/>
  <c r="E71" i="10"/>
  <c r="I156" i="10"/>
  <c r="F156" i="10"/>
  <c r="E156" i="10"/>
  <c r="I153" i="10"/>
  <c r="E153" i="10"/>
  <c r="F153" i="10"/>
  <c r="I72" i="10"/>
  <c r="F72" i="10"/>
  <c r="E72" i="10"/>
  <c r="I152" i="10"/>
  <c r="F152" i="10"/>
  <c r="E152" i="10"/>
  <c r="I17" i="10"/>
  <c r="E17" i="10"/>
  <c r="F17" i="10"/>
  <c r="I151" i="10"/>
  <c r="E151" i="10"/>
  <c r="F151" i="10"/>
  <c r="I149" i="10"/>
  <c r="E149" i="10"/>
  <c r="F149" i="10"/>
  <c r="I148" i="10"/>
  <c r="F148" i="10"/>
  <c r="E148" i="10"/>
  <c r="I73" i="10"/>
  <c r="F73" i="10"/>
  <c r="E73" i="10"/>
  <c r="I203" i="10"/>
  <c r="F203" i="10"/>
  <c r="E203" i="10"/>
  <c r="I146" i="10"/>
  <c r="F146" i="10"/>
  <c r="E146" i="10"/>
  <c r="I74" i="10"/>
  <c r="F74" i="10"/>
  <c r="E74" i="10"/>
  <c r="I143" i="10"/>
  <c r="F143" i="10"/>
  <c r="E143" i="10"/>
  <c r="I18" i="10"/>
  <c r="F18" i="10"/>
  <c r="E18" i="10"/>
  <c r="I75" i="10"/>
  <c r="E75" i="10"/>
  <c r="F75" i="10"/>
  <c r="I142" i="10"/>
  <c r="E142" i="10"/>
  <c r="F142" i="10"/>
  <c r="I113" i="10"/>
  <c r="F113" i="10"/>
  <c r="E113" i="10"/>
  <c r="I112" i="10"/>
  <c r="F112" i="10"/>
  <c r="E112" i="10"/>
  <c r="I76" i="10"/>
  <c r="E76" i="10"/>
  <c r="F76" i="10"/>
  <c r="I200" i="10"/>
  <c r="F200" i="10"/>
  <c r="E200" i="10"/>
  <c r="I104" i="10"/>
  <c r="F104" i="10"/>
  <c r="E104" i="10"/>
  <c r="I19" i="10"/>
  <c r="E19" i="10"/>
  <c r="F19" i="10"/>
  <c r="I103" i="10"/>
  <c r="E103" i="10"/>
  <c r="F103" i="10"/>
  <c r="I199" i="10"/>
  <c r="E199" i="10"/>
  <c r="F199" i="10"/>
  <c r="I100" i="10"/>
  <c r="E100" i="10"/>
  <c r="F100" i="10"/>
  <c r="I198" i="10"/>
  <c r="E198" i="10"/>
  <c r="F198" i="10"/>
  <c r="I196" i="10"/>
  <c r="F196" i="10"/>
  <c r="E196" i="10"/>
  <c r="I93" i="10"/>
  <c r="F93" i="10"/>
  <c r="E93" i="10"/>
  <c r="I187" i="10"/>
  <c r="F187" i="10"/>
  <c r="E187" i="10"/>
  <c r="I20" i="10"/>
  <c r="E20" i="10"/>
  <c r="F20" i="10"/>
  <c r="I182" i="10"/>
  <c r="E182" i="10"/>
  <c r="F182" i="10"/>
  <c r="I86" i="10"/>
  <c r="E86" i="10"/>
  <c r="F86" i="10"/>
  <c r="I176" i="10"/>
  <c r="F176" i="10"/>
  <c r="E176" i="10"/>
  <c r="I85" i="10"/>
  <c r="E85" i="10"/>
  <c r="F85" i="10"/>
  <c r="I84" i="10"/>
  <c r="F84" i="10"/>
  <c r="E84" i="10"/>
  <c r="I175" i="10"/>
  <c r="F175" i="10"/>
  <c r="E175" i="10"/>
  <c r="I174" i="10"/>
  <c r="E174" i="10"/>
  <c r="F174" i="10"/>
  <c r="I83" i="10"/>
  <c r="F83" i="10"/>
  <c r="E83" i="10"/>
  <c r="I21" i="10"/>
  <c r="F21" i="10"/>
  <c r="E21" i="10"/>
  <c r="I78" i="10"/>
  <c r="E78" i="10"/>
  <c r="F78" i="10"/>
  <c r="I171" i="10"/>
  <c r="E171" i="10"/>
  <c r="F171" i="10"/>
  <c r="I45" i="10"/>
  <c r="E45" i="10"/>
  <c r="F45" i="10"/>
  <c r="I168" i="10"/>
  <c r="E168" i="10"/>
  <c r="F168" i="10"/>
  <c r="I161" i="10"/>
  <c r="E161" i="10"/>
  <c r="F161" i="10"/>
  <c r="I158" i="10"/>
  <c r="F158" i="10"/>
  <c r="E158" i="10"/>
  <c r="I22" i="10"/>
  <c r="E22" i="10"/>
  <c r="F22" i="10"/>
  <c r="I155" i="10"/>
  <c r="E155" i="10"/>
  <c r="F155" i="10"/>
  <c r="I154" i="10"/>
  <c r="F154" i="10"/>
  <c r="E154" i="10"/>
  <c r="I150" i="10"/>
  <c r="F150" i="10"/>
  <c r="E150" i="10"/>
  <c r="I145" i="10"/>
  <c r="E145" i="10"/>
  <c r="F145" i="10"/>
  <c r="I144" i="10"/>
  <c r="E144" i="10"/>
  <c r="F144" i="10"/>
  <c r="I190" i="10"/>
  <c r="E190" i="10"/>
  <c r="F190" i="10"/>
  <c r="F31" i="9"/>
  <c r="E31" i="9"/>
  <c r="F54" i="9"/>
  <c r="E54" i="9"/>
  <c r="E188" i="9"/>
  <c r="F188" i="9"/>
  <c r="E12" i="9"/>
  <c r="F12" i="9"/>
  <c r="F186" i="9"/>
  <c r="E186" i="9"/>
  <c r="E184" i="9"/>
  <c r="F184" i="9"/>
  <c r="E16" i="9"/>
  <c r="F16" i="9"/>
  <c r="F180" i="9"/>
  <c r="E180" i="9"/>
  <c r="E177" i="9"/>
  <c r="F177" i="9"/>
  <c r="F176" i="9"/>
  <c r="E176" i="9"/>
  <c r="F175" i="9"/>
  <c r="E175" i="9"/>
  <c r="F172" i="9"/>
  <c r="E172" i="9"/>
  <c r="E167" i="9"/>
  <c r="F167" i="9"/>
  <c r="E166" i="9"/>
  <c r="F166" i="9"/>
  <c r="E45" i="9"/>
  <c r="F45" i="9"/>
  <c r="F163" i="9"/>
  <c r="E163" i="9"/>
  <c r="F47" i="9"/>
  <c r="E47" i="9"/>
  <c r="F133" i="9"/>
  <c r="E133" i="9"/>
  <c r="F132" i="9"/>
  <c r="E132" i="9"/>
  <c r="F128" i="9"/>
  <c r="E128" i="9"/>
  <c r="E59" i="9"/>
  <c r="F59" i="9"/>
  <c r="F126" i="9"/>
  <c r="E126" i="9"/>
  <c r="E73" i="9"/>
  <c r="F73" i="9"/>
  <c r="F121" i="9"/>
  <c r="E121" i="9"/>
  <c r="F104" i="9"/>
  <c r="E104" i="9"/>
  <c r="F109" i="9"/>
  <c r="E109" i="9"/>
  <c r="F113" i="9"/>
  <c r="E113" i="9"/>
  <c r="F111" i="9"/>
  <c r="E111" i="9"/>
  <c r="E114" i="9"/>
  <c r="F114" i="9"/>
  <c r="F119" i="9"/>
  <c r="E119" i="9"/>
  <c r="E123" i="9"/>
  <c r="F123" i="9"/>
  <c r="F127" i="9"/>
  <c r="E127" i="9"/>
  <c r="F136" i="9"/>
  <c r="E136" i="9"/>
  <c r="F140" i="9"/>
  <c r="E140" i="9"/>
  <c r="E141" i="9"/>
  <c r="F141" i="9"/>
  <c r="F74" i="9"/>
  <c r="E74" i="9"/>
  <c r="E69" i="9"/>
  <c r="F69" i="9"/>
  <c r="F58" i="9"/>
  <c r="E58" i="9"/>
  <c r="E46" i="9"/>
  <c r="F46" i="9"/>
  <c r="E37" i="9"/>
  <c r="F37" i="9"/>
  <c r="F93" i="9"/>
  <c r="E93" i="9"/>
  <c r="E199" i="9"/>
  <c r="F199" i="9"/>
  <c r="F197" i="9"/>
  <c r="E197" i="9"/>
  <c r="F196" i="9"/>
  <c r="E196" i="9"/>
  <c r="F26" i="9"/>
  <c r="E26" i="9"/>
  <c r="E192" i="9"/>
  <c r="F192" i="9"/>
  <c r="F190" i="9"/>
  <c r="E190" i="9"/>
  <c r="F189" i="9"/>
  <c r="E189" i="9"/>
  <c r="E187" i="9"/>
  <c r="F187" i="9"/>
  <c r="E185" i="9"/>
  <c r="F185" i="9"/>
  <c r="E181" i="9"/>
  <c r="F181" i="9"/>
  <c r="F8" i="9"/>
  <c r="E8" i="9"/>
  <c r="F162" i="9"/>
  <c r="E162" i="9"/>
  <c r="F7" i="9"/>
  <c r="E7" i="9"/>
  <c r="E159" i="9"/>
  <c r="F159" i="9"/>
  <c r="F205" i="9"/>
  <c r="E205" i="9"/>
  <c r="F143" i="9"/>
  <c r="E143" i="9"/>
  <c r="E201" i="9"/>
  <c r="F201" i="9"/>
  <c r="F144" i="9"/>
  <c r="E144" i="9"/>
  <c r="E198" i="9"/>
  <c r="F198" i="9"/>
  <c r="F145" i="9"/>
  <c r="E145" i="9"/>
  <c r="F146" i="9"/>
  <c r="E146" i="9"/>
  <c r="F194" i="9"/>
  <c r="E194" i="9"/>
  <c r="F147" i="9"/>
  <c r="E147" i="9"/>
  <c r="E148" i="9"/>
  <c r="F148" i="9"/>
  <c r="E149" i="9"/>
  <c r="F149" i="9"/>
  <c r="E179" i="9"/>
  <c r="F179" i="9"/>
  <c r="E150" i="9"/>
  <c r="F150" i="9"/>
  <c r="E178" i="9"/>
  <c r="F178" i="9"/>
  <c r="E151" i="9"/>
  <c r="F151" i="9"/>
  <c r="F152" i="9"/>
  <c r="E152" i="9"/>
  <c r="E174" i="9"/>
  <c r="F174" i="9"/>
  <c r="E171" i="9"/>
  <c r="F171" i="9"/>
  <c r="F202" i="9"/>
  <c r="E202" i="9"/>
  <c r="E168" i="9"/>
  <c r="F168" i="9"/>
  <c r="E153" i="9"/>
  <c r="F153" i="9"/>
  <c r="F165" i="9"/>
  <c r="E165" i="9"/>
  <c r="F154" i="9"/>
  <c r="E154" i="9"/>
  <c r="F164" i="9"/>
  <c r="E164" i="9"/>
  <c r="E138" i="9"/>
  <c r="F138" i="9"/>
  <c r="E124" i="9"/>
  <c r="F124" i="9"/>
  <c r="E161" i="9"/>
  <c r="F161" i="9"/>
  <c r="E120" i="9"/>
  <c r="F120" i="9"/>
  <c r="E118" i="9"/>
  <c r="F118" i="9"/>
  <c r="E142" i="9"/>
  <c r="F142" i="9"/>
  <c r="E117" i="9"/>
  <c r="F117" i="9"/>
  <c r="E6" i="9"/>
  <c r="F6" i="9"/>
  <c r="E10" i="9"/>
  <c r="F10" i="9"/>
  <c r="E139" i="9"/>
  <c r="F139" i="9"/>
  <c r="E11" i="9"/>
  <c r="F11" i="9"/>
  <c r="F116" i="9"/>
  <c r="E116" i="9"/>
  <c r="E112" i="9"/>
  <c r="F112" i="9"/>
  <c r="F103" i="9"/>
  <c r="E103" i="9"/>
  <c r="F86" i="9"/>
  <c r="E86" i="9"/>
  <c r="E85" i="9"/>
  <c r="F85" i="9"/>
  <c r="F84" i="9"/>
  <c r="E84" i="9"/>
  <c r="E129" i="9"/>
  <c r="F129" i="9"/>
  <c r="E79" i="9"/>
  <c r="F79" i="9"/>
  <c r="F72" i="9"/>
  <c r="E72" i="9"/>
  <c r="E125" i="9"/>
  <c r="F125" i="9"/>
  <c r="F71" i="9"/>
  <c r="E71" i="9"/>
  <c r="E122" i="9"/>
  <c r="F122" i="9"/>
  <c r="F25" i="9"/>
  <c r="E25" i="9"/>
  <c r="E70" i="9"/>
  <c r="F70" i="9"/>
  <c r="F68" i="9"/>
  <c r="E68" i="9"/>
  <c r="F67" i="9"/>
  <c r="E67" i="9"/>
  <c r="E27" i="9"/>
  <c r="F27" i="9"/>
  <c r="F110" i="9"/>
  <c r="E110" i="9"/>
  <c r="F88" i="9"/>
  <c r="E88" i="9"/>
  <c r="F89" i="9"/>
  <c r="E89" i="9"/>
  <c r="F90" i="9"/>
  <c r="E90" i="9"/>
  <c r="E38" i="9"/>
  <c r="F38" i="9"/>
  <c r="E80" i="9"/>
  <c r="F80" i="9"/>
  <c r="E87" i="9"/>
  <c r="F87" i="9"/>
  <c r="E91" i="9"/>
  <c r="F91" i="9"/>
  <c r="E78" i="9"/>
  <c r="F78" i="9"/>
  <c r="F92" i="9"/>
  <c r="E92" i="9"/>
  <c r="E82" i="9"/>
  <c r="F82" i="9"/>
  <c r="F64" i="9"/>
  <c r="E64" i="9"/>
  <c r="F57" i="9"/>
  <c r="E57" i="9"/>
  <c r="E81" i="9"/>
  <c r="F81" i="9"/>
  <c r="E51" i="9"/>
  <c r="F51" i="9"/>
  <c r="E50" i="9"/>
  <c r="F50" i="9"/>
  <c r="F94" i="9"/>
  <c r="E94" i="9"/>
  <c r="F77" i="9"/>
  <c r="E77" i="9"/>
  <c r="F48" i="9"/>
  <c r="E48" i="9"/>
  <c r="F76" i="9"/>
  <c r="E76" i="9"/>
  <c r="E44" i="9"/>
  <c r="F44" i="9"/>
  <c r="F95" i="9"/>
  <c r="E95" i="9"/>
  <c r="E40" i="9"/>
  <c r="F40" i="9"/>
  <c r="E96" i="9"/>
  <c r="F96" i="9"/>
  <c r="F36" i="9"/>
  <c r="E36" i="9"/>
  <c r="E65" i="9"/>
  <c r="F65" i="9"/>
  <c r="F61" i="9"/>
  <c r="E61" i="9"/>
  <c r="F30" i="9"/>
  <c r="E30" i="9"/>
  <c r="F39" i="9"/>
  <c r="E39" i="9"/>
  <c r="E35" i="9"/>
  <c r="F35" i="9"/>
  <c r="E34" i="9"/>
  <c r="F34" i="9"/>
  <c r="E18" i="9"/>
  <c r="F18" i="9"/>
  <c r="E33" i="9"/>
  <c r="F33" i="9"/>
  <c r="F29" i="9"/>
  <c r="E29" i="9"/>
  <c r="E28" i="9"/>
  <c r="F28" i="9"/>
  <c r="F24" i="9"/>
  <c r="E24" i="9"/>
  <c r="F23" i="9"/>
  <c r="E23" i="9"/>
  <c r="E22" i="9"/>
  <c r="F22" i="9"/>
  <c r="E191" i="9"/>
  <c r="F191" i="9"/>
  <c r="F183" i="9"/>
  <c r="E183" i="9"/>
  <c r="F182" i="9"/>
  <c r="E182" i="9"/>
  <c r="E49" i="9"/>
  <c r="F49" i="9"/>
  <c r="F173" i="9"/>
  <c r="E173" i="9"/>
  <c r="E21" i="9"/>
  <c r="F21" i="9"/>
  <c r="E170" i="9"/>
  <c r="F170" i="9"/>
  <c r="E169" i="9"/>
  <c r="F169" i="9"/>
  <c r="E160" i="9"/>
  <c r="F160" i="9"/>
  <c r="F15" i="9"/>
  <c r="E15" i="9"/>
  <c r="E158" i="9"/>
  <c r="F158" i="9"/>
  <c r="E157" i="9"/>
  <c r="F157" i="9"/>
  <c r="F14" i="9"/>
  <c r="E14" i="9"/>
  <c r="E156" i="9"/>
  <c r="F156" i="9"/>
  <c r="E155" i="9"/>
  <c r="F155" i="9"/>
  <c r="E137" i="9"/>
  <c r="F137" i="9"/>
  <c r="E135" i="9"/>
  <c r="F135" i="9"/>
  <c r="F134" i="9"/>
  <c r="E134" i="9"/>
  <c r="E131" i="9"/>
  <c r="F131" i="9"/>
  <c r="E13" i="9"/>
  <c r="F13" i="9"/>
  <c r="F115" i="9"/>
  <c r="E115" i="9"/>
  <c r="F108" i="9"/>
  <c r="E108" i="9"/>
  <c r="E107" i="9"/>
  <c r="F107" i="9"/>
  <c r="E106" i="9"/>
  <c r="F106" i="9"/>
  <c r="E56" i="9"/>
  <c r="F56" i="9"/>
  <c r="F105" i="9"/>
  <c r="E105" i="9"/>
  <c r="E62" i="9"/>
  <c r="F62" i="9"/>
  <c r="E75" i="9"/>
  <c r="F75" i="9"/>
  <c r="E5" i="9"/>
  <c r="F5" i="9"/>
  <c r="F4" i="9"/>
  <c r="E4" i="9"/>
  <c r="F66" i="9"/>
  <c r="E66" i="9"/>
  <c r="E204" i="9"/>
  <c r="F204" i="9"/>
  <c r="E63" i="9"/>
  <c r="F63" i="9"/>
  <c r="F60" i="9"/>
  <c r="E60" i="9"/>
  <c r="E97" i="9"/>
  <c r="F97" i="9"/>
  <c r="F203" i="9"/>
  <c r="E203" i="9"/>
  <c r="F98" i="9"/>
  <c r="E98" i="9"/>
  <c r="E99" i="9"/>
  <c r="F99" i="9"/>
  <c r="F100" i="9"/>
  <c r="E100" i="9"/>
  <c r="F55" i="9"/>
  <c r="E55" i="9"/>
  <c r="E53" i="9"/>
  <c r="F53" i="9"/>
  <c r="F52" i="9"/>
  <c r="E52" i="9"/>
  <c r="F43" i="9"/>
  <c r="E43" i="9"/>
  <c r="E42" i="9"/>
  <c r="F42" i="9"/>
  <c r="E41" i="9"/>
  <c r="F41" i="9"/>
  <c r="F200" i="9"/>
  <c r="E200" i="9"/>
  <c r="E101" i="9"/>
  <c r="F101" i="9"/>
  <c r="F195" i="9"/>
  <c r="E195" i="9"/>
  <c r="F32" i="9"/>
  <c r="E32" i="9"/>
  <c r="E102" i="9"/>
  <c r="F102" i="9"/>
  <c r="E20" i="9"/>
  <c r="F20" i="9"/>
  <c r="F19" i="9"/>
  <c r="E19" i="9"/>
  <c r="F193" i="9"/>
  <c r="E193" i="9"/>
  <c r="E9" i="9"/>
  <c r="F9" i="9"/>
  <c r="E6" i="8"/>
  <c r="F6" i="8"/>
  <c r="I6" i="8"/>
  <c r="F106" i="8"/>
  <c r="E106" i="8"/>
  <c r="I106" i="8"/>
  <c r="F22" i="8"/>
  <c r="E22" i="8"/>
  <c r="I22" i="8"/>
  <c r="I39" i="8"/>
  <c r="F39" i="8"/>
  <c r="E39" i="8"/>
  <c r="I38" i="8"/>
  <c r="E38" i="8"/>
  <c r="F38" i="8"/>
  <c r="I144" i="8"/>
  <c r="E144" i="8"/>
  <c r="F144" i="8"/>
  <c r="I31" i="8"/>
  <c r="F31" i="8"/>
  <c r="E31" i="8"/>
  <c r="I7" i="8"/>
  <c r="F7" i="8"/>
  <c r="E7" i="8"/>
  <c r="I133" i="8"/>
  <c r="E133" i="8"/>
  <c r="F133" i="8"/>
  <c r="I105" i="8"/>
  <c r="E105" i="8"/>
  <c r="F105" i="8"/>
  <c r="I132" i="8"/>
  <c r="F132" i="8"/>
  <c r="E132" i="8"/>
  <c r="I104" i="8"/>
  <c r="E104" i="8"/>
  <c r="F104" i="8"/>
  <c r="I129" i="8"/>
  <c r="E129" i="8"/>
  <c r="F129" i="8"/>
  <c r="I103" i="8"/>
  <c r="E103" i="8"/>
  <c r="F103" i="8"/>
  <c r="I102" i="8"/>
  <c r="E102" i="8"/>
  <c r="F102" i="8"/>
  <c r="I115" i="8"/>
  <c r="E115" i="8"/>
  <c r="F115" i="8"/>
  <c r="I95" i="8"/>
  <c r="E95" i="8"/>
  <c r="F95" i="8"/>
  <c r="I93" i="8"/>
  <c r="E93" i="8"/>
  <c r="F93" i="8"/>
  <c r="I92" i="8"/>
  <c r="F92" i="8"/>
  <c r="E92" i="8"/>
  <c r="I60" i="8"/>
  <c r="F60" i="8"/>
  <c r="E60" i="8"/>
  <c r="I91" i="8"/>
  <c r="E91" i="8"/>
  <c r="F91" i="8"/>
  <c r="I90" i="8"/>
  <c r="F90" i="8"/>
  <c r="E90" i="8"/>
  <c r="I89" i="8"/>
  <c r="E89" i="8"/>
  <c r="F89" i="8"/>
  <c r="I88" i="8"/>
  <c r="F88" i="8"/>
  <c r="E88" i="8"/>
  <c r="I87" i="8"/>
  <c r="F87" i="8"/>
  <c r="E87" i="8"/>
  <c r="I48" i="8"/>
  <c r="E48" i="8"/>
  <c r="F48" i="8"/>
  <c r="I46" i="8"/>
  <c r="E46" i="8"/>
  <c r="F46" i="8"/>
  <c r="I86" i="8"/>
  <c r="F86" i="8"/>
  <c r="E86" i="8"/>
  <c r="I44" i="8"/>
  <c r="E44" i="8"/>
  <c r="F44" i="8"/>
  <c r="I43" i="8"/>
  <c r="E43" i="8"/>
  <c r="F43" i="8"/>
  <c r="I85" i="8"/>
  <c r="F85" i="8"/>
  <c r="E85" i="8"/>
  <c r="I84" i="8"/>
  <c r="E84" i="8"/>
  <c r="F84" i="8"/>
  <c r="I83" i="8"/>
  <c r="F83" i="8"/>
  <c r="E83" i="8"/>
  <c r="I82" i="8"/>
  <c r="E82" i="8"/>
  <c r="F82" i="8"/>
  <c r="I33" i="8"/>
  <c r="E33" i="8"/>
  <c r="F33" i="8"/>
  <c r="I32" i="8"/>
  <c r="E32" i="8"/>
  <c r="F32" i="8"/>
  <c r="I81" i="8"/>
  <c r="E81" i="8"/>
  <c r="F81" i="8"/>
  <c r="I76" i="8"/>
  <c r="E76" i="8"/>
  <c r="F76" i="8"/>
  <c r="I28" i="8"/>
  <c r="F28" i="8"/>
  <c r="E28" i="8"/>
  <c r="I47" i="8"/>
  <c r="F47" i="8"/>
  <c r="E47" i="8"/>
  <c r="I16" i="8"/>
  <c r="F16" i="8"/>
  <c r="E16" i="8"/>
  <c r="I15" i="8"/>
  <c r="F15" i="8"/>
  <c r="E15" i="8"/>
  <c r="I14" i="8"/>
  <c r="E14" i="8"/>
  <c r="F14" i="8"/>
  <c r="I13" i="8"/>
  <c r="E13" i="8"/>
  <c r="F13" i="8"/>
  <c r="I42" i="8"/>
  <c r="E42" i="8"/>
  <c r="F42" i="8"/>
  <c r="I21" i="8"/>
  <c r="E21" i="8"/>
  <c r="F21" i="8"/>
  <c r="I19" i="8"/>
  <c r="F19" i="8"/>
  <c r="E19" i="8"/>
  <c r="I18" i="8"/>
  <c r="E18" i="8"/>
  <c r="F18" i="8"/>
  <c r="I94" i="8"/>
  <c r="F94" i="8"/>
  <c r="E94" i="8"/>
  <c r="I146" i="8"/>
  <c r="E146" i="8"/>
  <c r="F146" i="8"/>
  <c r="I145" i="8"/>
  <c r="F145" i="8"/>
  <c r="E145" i="8"/>
  <c r="I139" i="8"/>
  <c r="E139" i="8"/>
  <c r="F139" i="8"/>
  <c r="I138" i="8"/>
  <c r="F138" i="8"/>
  <c r="E138" i="8"/>
  <c r="I131" i="8"/>
  <c r="F131" i="8"/>
  <c r="E131" i="8"/>
  <c r="I137" i="8"/>
  <c r="F137" i="8"/>
  <c r="E137" i="8"/>
  <c r="I136" i="8"/>
  <c r="E136" i="8"/>
  <c r="F136" i="8"/>
  <c r="I128" i="8"/>
  <c r="F128" i="8"/>
  <c r="E128" i="8"/>
  <c r="I127" i="8"/>
  <c r="E127" i="8"/>
  <c r="F127" i="8"/>
  <c r="I204" i="8"/>
  <c r="E204" i="8"/>
  <c r="F204" i="8"/>
  <c r="I123" i="8"/>
  <c r="F123" i="8"/>
  <c r="E123" i="8"/>
  <c r="I203" i="8"/>
  <c r="F203" i="8"/>
  <c r="E203" i="8"/>
  <c r="I126" i="8"/>
  <c r="E126" i="8"/>
  <c r="F126" i="8"/>
  <c r="I124" i="8"/>
  <c r="F124" i="8"/>
  <c r="E124" i="8"/>
  <c r="I121" i="8"/>
  <c r="E121" i="8"/>
  <c r="F121" i="8"/>
  <c r="I202" i="8"/>
  <c r="E202" i="8"/>
  <c r="F202" i="8"/>
  <c r="I116" i="8"/>
  <c r="E116" i="8"/>
  <c r="F116" i="8"/>
  <c r="I117" i="8"/>
  <c r="E117" i="8"/>
  <c r="F117" i="8"/>
  <c r="I201" i="8"/>
  <c r="F201" i="8"/>
  <c r="E201" i="8"/>
  <c r="I200" i="8"/>
  <c r="E200" i="8"/>
  <c r="F200" i="8"/>
  <c r="I199" i="8"/>
  <c r="F199" i="8"/>
  <c r="E199" i="8"/>
  <c r="I113" i="8"/>
  <c r="F113" i="8"/>
  <c r="E113" i="8"/>
  <c r="I74" i="8"/>
  <c r="F74" i="8"/>
  <c r="E74" i="8"/>
  <c r="I73" i="8"/>
  <c r="F73" i="8"/>
  <c r="E73" i="8"/>
  <c r="I72" i="8"/>
  <c r="E72" i="8"/>
  <c r="F72" i="8"/>
  <c r="I198" i="8"/>
  <c r="F198" i="8"/>
  <c r="E198" i="8"/>
  <c r="I71" i="8"/>
  <c r="E71" i="8"/>
  <c r="F71" i="8"/>
  <c r="I197" i="8"/>
  <c r="F197" i="8"/>
  <c r="E197" i="8"/>
  <c r="I196" i="8"/>
  <c r="E196" i="8"/>
  <c r="F196" i="8"/>
  <c r="I195" i="8"/>
  <c r="F195" i="8"/>
  <c r="E195" i="8"/>
  <c r="I79" i="8"/>
  <c r="F79" i="8"/>
  <c r="E79" i="8"/>
  <c r="I194" i="8"/>
  <c r="E194" i="8"/>
  <c r="F194" i="8"/>
  <c r="I78" i="8"/>
  <c r="E78" i="8"/>
  <c r="F78" i="8"/>
  <c r="I59" i="8"/>
  <c r="E59" i="8"/>
  <c r="F59" i="8"/>
  <c r="I193" i="8"/>
  <c r="E193" i="8"/>
  <c r="F193" i="8"/>
  <c r="I58" i="8"/>
  <c r="F58" i="8"/>
  <c r="E58" i="8"/>
  <c r="I57" i="8"/>
  <c r="E57" i="8"/>
  <c r="F57" i="8"/>
  <c r="I56" i="8"/>
  <c r="E56" i="8"/>
  <c r="F56" i="8"/>
  <c r="I192" i="8"/>
  <c r="E192" i="8"/>
  <c r="F192" i="8"/>
  <c r="I191" i="8"/>
  <c r="E191" i="8"/>
  <c r="F191" i="8"/>
  <c r="I190" i="8"/>
  <c r="E190" i="8"/>
  <c r="F190" i="8"/>
  <c r="I50" i="8"/>
  <c r="F50" i="8"/>
  <c r="E50" i="8"/>
  <c r="I45" i="8"/>
  <c r="E45" i="8"/>
  <c r="F45" i="8"/>
  <c r="I67" i="8"/>
  <c r="F67" i="8"/>
  <c r="E67" i="8"/>
  <c r="I189" i="8"/>
  <c r="E189" i="8"/>
  <c r="F189" i="8"/>
  <c r="I66" i="8"/>
  <c r="E66" i="8"/>
  <c r="F66" i="8"/>
  <c r="I65" i="8"/>
  <c r="F65" i="8"/>
  <c r="E65" i="8"/>
  <c r="I188" i="8"/>
  <c r="F188" i="8"/>
  <c r="E188" i="8"/>
  <c r="I37" i="8"/>
  <c r="E37" i="8"/>
  <c r="F37" i="8"/>
  <c r="I187" i="8"/>
  <c r="F187" i="8"/>
  <c r="E187" i="8"/>
  <c r="I35" i="8"/>
  <c r="F35" i="8"/>
  <c r="E35" i="8"/>
  <c r="I61" i="8"/>
  <c r="F61" i="8"/>
  <c r="E61" i="8"/>
  <c r="I183" i="8"/>
  <c r="E183" i="8"/>
  <c r="F183" i="8"/>
  <c r="I27" i="8"/>
  <c r="E27" i="8"/>
  <c r="F27" i="8"/>
  <c r="I180" i="8"/>
  <c r="F180" i="8"/>
  <c r="E180" i="8"/>
  <c r="I26" i="8"/>
  <c r="E26" i="8"/>
  <c r="F26" i="8"/>
  <c r="I23" i="8"/>
  <c r="F23" i="8"/>
  <c r="E23" i="8"/>
  <c r="I179" i="8"/>
  <c r="F179" i="8"/>
  <c r="E179" i="8"/>
  <c r="I178" i="8"/>
  <c r="F178" i="8"/>
  <c r="E178" i="8"/>
  <c r="I52" i="8"/>
  <c r="E52" i="8"/>
  <c r="F52" i="8"/>
  <c r="I186" i="8"/>
  <c r="F186" i="8"/>
  <c r="E186" i="8"/>
  <c r="I185" i="8"/>
  <c r="E185" i="8"/>
  <c r="F185" i="8"/>
  <c r="I184" i="8"/>
  <c r="F184" i="8"/>
  <c r="E184" i="8"/>
  <c r="I182" i="8"/>
  <c r="F182" i="8"/>
  <c r="E182" i="8"/>
  <c r="I51" i="8"/>
  <c r="E51" i="8"/>
  <c r="F51" i="8"/>
  <c r="I205" i="8"/>
  <c r="E205" i="8"/>
  <c r="F205" i="8"/>
  <c r="I181" i="8"/>
  <c r="F181" i="8"/>
  <c r="E181" i="8"/>
  <c r="I40" i="8"/>
  <c r="E40" i="8"/>
  <c r="F40" i="8"/>
  <c r="I175" i="8"/>
  <c r="E175" i="8"/>
  <c r="F175" i="8"/>
  <c r="I173" i="8"/>
  <c r="F173" i="8"/>
  <c r="E173" i="8"/>
  <c r="I12" i="8"/>
  <c r="E12" i="8"/>
  <c r="F12" i="8"/>
  <c r="I36" i="8"/>
  <c r="E36" i="8"/>
  <c r="F36" i="8"/>
  <c r="I174" i="8"/>
  <c r="E174" i="8"/>
  <c r="F174" i="8"/>
  <c r="I171" i="8"/>
  <c r="F171" i="8"/>
  <c r="E171" i="8"/>
  <c r="I172" i="8"/>
  <c r="F172" i="8"/>
  <c r="E172" i="8"/>
  <c r="I168" i="8"/>
  <c r="E168" i="8"/>
  <c r="F168" i="8"/>
  <c r="I170" i="8"/>
  <c r="E170" i="8"/>
  <c r="F170" i="8"/>
  <c r="I169" i="8"/>
  <c r="E169" i="8"/>
  <c r="F169" i="8"/>
  <c r="I165" i="8"/>
  <c r="F165" i="8"/>
  <c r="E165" i="8"/>
  <c r="I11" i="8"/>
  <c r="F11" i="8"/>
  <c r="E11" i="8"/>
  <c r="I10" i="8"/>
  <c r="E10" i="8"/>
  <c r="F10" i="8"/>
  <c r="I164" i="8"/>
  <c r="F164" i="8"/>
  <c r="E164" i="8"/>
  <c r="I167" i="8"/>
  <c r="F167" i="8"/>
  <c r="E167" i="8"/>
  <c r="I8" i="8"/>
  <c r="F8" i="8"/>
  <c r="E8" i="8"/>
  <c r="I159" i="8"/>
  <c r="E159" i="8"/>
  <c r="F159" i="8"/>
  <c r="I166" i="8"/>
  <c r="F166" i="8"/>
  <c r="E166" i="8"/>
  <c r="I158" i="8"/>
  <c r="F158" i="8"/>
  <c r="E158" i="8"/>
  <c r="I163" i="8"/>
  <c r="F163" i="8"/>
  <c r="E163" i="8"/>
  <c r="I157" i="8"/>
  <c r="F157" i="8"/>
  <c r="E157" i="8"/>
  <c r="I156" i="8"/>
  <c r="F156" i="8"/>
  <c r="E156" i="8"/>
  <c r="I153" i="8"/>
  <c r="F153" i="8"/>
  <c r="E153" i="8"/>
  <c r="I152" i="8"/>
  <c r="E152" i="8"/>
  <c r="F152" i="8"/>
  <c r="I151" i="8"/>
  <c r="E151" i="8"/>
  <c r="F151" i="8"/>
  <c r="I162" i="8"/>
  <c r="F162" i="8"/>
  <c r="E162" i="8"/>
  <c r="I150" i="8"/>
  <c r="F150" i="8"/>
  <c r="E150" i="8"/>
  <c r="I161" i="8"/>
  <c r="E161" i="8"/>
  <c r="F161" i="8"/>
  <c r="I160" i="8"/>
  <c r="F160" i="8"/>
  <c r="E160" i="8"/>
  <c r="I148" i="8"/>
  <c r="E148" i="8"/>
  <c r="F148" i="8"/>
  <c r="I155" i="8"/>
  <c r="F155" i="8"/>
  <c r="E155" i="8"/>
  <c r="I147" i="8"/>
  <c r="F147" i="8"/>
  <c r="E147" i="8"/>
  <c r="I154" i="8"/>
  <c r="E154" i="8"/>
  <c r="F154" i="8"/>
  <c r="I149" i="8"/>
  <c r="E149" i="8"/>
  <c r="F149" i="8"/>
  <c r="I112" i="8"/>
  <c r="E112" i="8"/>
  <c r="F112" i="8"/>
  <c r="I110" i="8"/>
  <c r="E110" i="8"/>
  <c r="F110" i="8"/>
  <c r="I140" i="8"/>
  <c r="E140" i="8"/>
  <c r="F140" i="8"/>
  <c r="I80" i="8"/>
  <c r="E80" i="8"/>
  <c r="F80" i="8"/>
  <c r="I143" i="8"/>
  <c r="E143" i="8"/>
  <c r="F143" i="8"/>
  <c r="I130" i="8"/>
  <c r="F130" i="8"/>
  <c r="E130" i="8"/>
  <c r="I77" i="8"/>
  <c r="E77" i="8"/>
  <c r="F77" i="8"/>
  <c r="I142" i="8"/>
  <c r="F142" i="8"/>
  <c r="E142" i="8"/>
  <c r="I141" i="8"/>
  <c r="E141" i="8"/>
  <c r="F141" i="8"/>
  <c r="I119" i="8"/>
  <c r="E119" i="8"/>
  <c r="F119" i="8"/>
  <c r="I135" i="8"/>
  <c r="F135" i="8"/>
  <c r="E135" i="8"/>
  <c r="I134" i="8"/>
  <c r="E134" i="8"/>
  <c r="F134" i="8"/>
  <c r="I114" i="8"/>
  <c r="F114" i="8"/>
  <c r="E114" i="8"/>
  <c r="I70" i="8"/>
  <c r="F70" i="8"/>
  <c r="E70" i="8"/>
  <c r="I111" i="8"/>
  <c r="E111" i="8"/>
  <c r="F111" i="8"/>
  <c r="I69" i="8"/>
  <c r="F69" i="8"/>
  <c r="E69" i="8"/>
  <c r="I108" i="8"/>
  <c r="F108" i="8"/>
  <c r="E108" i="8"/>
  <c r="I62" i="8"/>
  <c r="F62" i="8"/>
  <c r="E62" i="8"/>
  <c r="I63" i="8"/>
  <c r="F63" i="8"/>
  <c r="E63" i="8"/>
  <c r="I55" i="8"/>
  <c r="F55" i="8"/>
  <c r="E55" i="8"/>
  <c r="I53" i="8"/>
  <c r="E53" i="8"/>
  <c r="F53" i="8"/>
  <c r="I54" i="8"/>
  <c r="E54" i="8"/>
  <c r="F54" i="8"/>
  <c r="I176" i="8"/>
  <c r="E176" i="8"/>
  <c r="F176" i="8"/>
  <c r="I125" i="8"/>
  <c r="E125" i="8"/>
  <c r="F125" i="8"/>
  <c r="I122" i="8"/>
  <c r="E122" i="8"/>
  <c r="F122" i="8"/>
  <c r="I120" i="8"/>
  <c r="E120" i="8"/>
  <c r="F120" i="8"/>
  <c r="I34" i="8"/>
  <c r="F34" i="8"/>
  <c r="E34" i="8"/>
  <c r="I30" i="8"/>
  <c r="F30" i="8"/>
  <c r="E30" i="8"/>
  <c r="I29" i="8"/>
  <c r="E29" i="8"/>
  <c r="F29" i="8"/>
  <c r="I118" i="8"/>
  <c r="F118" i="8"/>
  <c r="E118" i="8"/>
  <c r="I109" i="8"/>
  <c r="E109" i="8"/>
  <c r="F109" i="8"/>
  <c r="I75" i="8"/>
  <c r="F75" i="8"/>
  <c r="E75" i="8"/>
  <c r="I25" i="8"/>
  <c r="F25" i="8"/>
  <c r="E25" i="8"/>
  <c r="I24" i="8"/>
  <c r="E24" i="8"/>
  <c r="F24" i="8"/>
  <c r="I68" i="8"/>
  <c r="F68" i="8"/>
  <c r="E68" i="8"/>
  <c r="I20" i="8"/>
  <c r="E20" i="8"/>
  <c r="F20" i="8"/>
  <c r="I64" i="8"/>
  <c r="F64" i="8"/>
  <c r="E64" i="8"/>
  <c r="I17" i="8"/>
  <c r="F17" i="8"/>
  <c r="E17" i="8"/>
  <c r="I49" i="8"/>
  <c r="E49" i="8"/>
  <c r="F49" i="8"/>
  <c r="I41" i="8"/>
  <c r="F41" i="8"/>
  <c r="E41" i="8"/>
  <c r="I9" i="8"/>
  <c r="F9" i="8"/>
  <c r="E9" i="8"/>
  <c r="I177" i="8"/>
  <c r="F177" i="8"/>
  <c r="E177" i="8"/>
  <c r="I3" i="8"/>
  <c r="E3" i="8"/>
  <c r="F3" i="8"/>
  <c r="I5" i="8"/>
  <c r="F5" i="8"/>
  <c r="E5" i="8"/>
  <c r="I4" i="8"/>
  <c r="E4" i="8"/>
  <c r="F4" i="8"/>
  <c r="T2" i="10" l="1"/>
  <c r="U2" i="10"/>
  <c r="T3" i="10"/>
  <c r="U3" i="10"/>
  <c r="T4" i="10"/>
  <c r="U4" i="10"/>
  <c r="T5" i="10"/>
  <c r="U5" i="10"/>
  <c r="T6" i="10"/>
  <c r="U6" i="10"/>
  <c r="T7" i="10"/>
  <c r="U7" i="10"/>
  <c r="T8" i="10"/>
  <c r="U8" i="10"/>
  <c r="T9" i="10"/>
  <c r="U9" i="10"/>
  <c r="T10" i="10"/>
  <c r="U10" i="10"/>
  <c r="T11" i="10"/>
  <c r="U11" i="10"/>
  <c r="T12" i="10"/>
  <c r="U12" i="10"/>
  <c r="T13" i="10"/>
  <c r="U13" i="10"/>
  <c r="T14" i="10"/>
  <c r="U14" i="10"/>
  <c r="T15" i="10"/>
  <c r="U15" i="10"/>
  <c r="T16" i="10"/>
  <c r="U16" i="10"/>
  <c r="T17" i="10"/>
  <c r="U17" i="10"/>
  <c r="T18" i="10"/>
  <c r="U18" i="10"/>
  <c r="T19" i="10"/>
  <c r="U19" i="10"/>
  <c r="T20" i="10"/>
  <c r="U20" i="10"/>
  <c r="T21" i="10"/>
  <c r="U21" i="10"/>
  <c r="T22" i="10"/>
  <c r="U22" i="10"/>
  <c r="T23" i="10"/>
  <c r="U23" i="10"/>
  <c r="T24" i="10"/>
  <c r="U24" i="10"/>
  <c r="T25" i="10"/>
  <c r="U25" i="10"/>
  <c r="T26" i="10"/>
  <c r="U26" i="10"/>
  <c r="T27" i="10"/>
  <c r="U27" i="10"/>
  <c r="T28" i="10"/>
  <c r="U28" i="10"/>
  <c r="T29" i="10"/>
  <c r="U29" i="10"/>
  <c r="T30" i="10"/>
  <c r="U30" i="10"/>
  <c r="T31" i="10"/>
  <c r="U31" i="10"/>
  <c r="T32" i="10"/>
  <c r="U32" i="10"/>
  <c r="U44" i="10"/>
  <c r="T44" i="10"/>
  <c r="T45" i="10"/>
  <c r="U45" i="10"/>
  <c r="T46" i="10"/>
  <c r="U46" i="10"/>
  <c r="T47" i="10"/>
  <c r="U47" i="10"/>
  <c r="T48" i="10"/>
  <c r="U48" i="10"/>
  <c r="T49" i="10"/>
  <c r="U49" i="10"/>
  <c r="T50" i="10"/>
  <c r="U50" i="10"/>
  <c r="T51" i="10"/>
  <c r="U51" i="10"/>
  <c r="T52" i="10"/>
  <c r="U52" i="10"/>
  <c r="U34" i="10"/>
  <c r="T34" i="10"/>
  <c r="T37" i="10"/>
  <c r="U37" i="10"/>
  <c r="T42" i="10"/>
  <c r="U42" i="10"/>
  <c r="U33" i="10"/>
  <c r="T33" i="10"/>
  <c r="U38" i="10"/>
  <c r="T38" i="10"/>
  <c r="U39" i="10"/>
  <c r="T39" i="10"/>
  <c r="U40" i="10"/>
  <c r="T40" i="10"/>
  <c r="U41" i="10"/>
  <c r="T41" i="10"/>
  <c r="U43" i="10"/>
  <c r="T43" i="10"/>
  <c r="U35" i="10"/>
  <c r="T35" i="10"/>
  <c r="U36" i="10"/>
  <c r="T36" i="10"/>
  <c r="P34" i="10"/>
  <c r="Q34" i="10"/>
  <c r="Q37" i="10"/>
  <c r="P37" i="10"/>
  <c r="Q33" i="10"/>
  <c r="P33" i="10"/>
  <c r="Q38" i="10"/>
  <c r="P38" i="10"/>
  <c r="Q39" i="10"/>
  <c r="P39" i="10"/>
  <c r="P35" i="10"/>
  <c r="Q35" i="10"/>
  <c r="P36" i="10"/>
  <c r="Q3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9E9190-EB0B-40EA-BF17-9B2ED85518EA}"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90CBA5A9-7289-4FEC-8B09-14C7A49D9976}"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3" xr16:uid="{02D7D12B-2991-41A5-BA66-22316CF2EAB5}" keepAlive="1" name="Query - shewharts-resistance-measurements" description="Connection to the 'shewharts-resistance-measurements' query in the workbook." type="5" refreshedVersion="8" background="1" saveData="1">
    <dbPr connection="Provider=Microsoft.Mashup.OleDb.1;Data Source=$Workbook$;Location=shewharts-resistance-measurements;Extended Properties=&quot;&quot;" command="SELECT * FROM [shewharts-resistance-measurements]"/>
  </connection>
  <connection id="4" xr16:uid="{7E3DC8A2-20AE-4770-817D-8588863E98B7}" keepAlive="1" name="Query - shewharts-resistance-measurements (2)" description="Connection to the 'shewharts-resistance-measurements (2)' query in the workbook." type="5" refreshedVersion="8" background="1" saveData="1">
    <dbPr connection="Provider=Microsoft.Mashup.OleDb.1;Data Source=$Workbook$;Location=&quot;shewharts-resistance-measurements (2)&quot;;Extended Properties=&quot;&quot;" command="SELECT * FROM [shewharts-resistance-measurements (2)]"/>
  </connection>
  <connection id="5" xr16:uid="{41F5EFC4-CF20-4C5E-8026-A81E96177219}" keepAlive="1" name="Query - shewharts-resistance-measurements (3)" description="Connection to the 'shewharts-resistance-measurements (3)' query in the workbook." type="5" refreshedVersion="8" background="1" saveData="1">
    <dbPr connection="Provider=Microsoft.Mashup.OleDb.1;Data Source=$Workbook$;Location=&quot;shewharts-resistance-measurements (3)&quot;;Extended Properties=&quot;&quot;" command="SELECT * FROM [shewharts-resistance-measurements (3)]"/>
  </connection>
  <connection id="6" xr16:uid="{01605633-CD79-4145-8D4C-A66BA80FEDE9}" keepAlive="1" name="Query - shewharts-resistance-measurements-rational-subgroups" description="Connection to the 'shewharts-resistance-measurements-rational-subgroups' query in the workbook." type="5" refreshedVersion="8" background="1" saveData="1">
    <dbPr connection="Provider=Microsoft.Mashup.OleDb.1;Data Source=$Workbook$;Location=shewharts-resistance-measurements-rational-subgroups;Extended Properties=&quot;&quot;" command="SELECT * FROM [shewharts-resistance-measurements-rational-subgroups]"/>
  </connection>
  <connection id="7" xr16:uid="{9937768A-552D-42C8-A4E2-472056892971}" keepAlive="1" name="Query - shewharts-resistance-measurements-rational-subgroups (2)" description="Connection to the 'shewharts-resistance-measurements-rational-subgroups (2)' query in the workbook." type="5" refreshedVersion="8" background="1" saveData="1">
    <dbPr connection="Provider=Microsoft.Mashup.OleDb.1;Data Source=$Workbook$;Location=&quot;shewharts-resistance-measurements-rational-subgroups (2)&quot;;Extended Properties=&quot;&quot;" command="SELECT * FROM [shewharts-resistance-measurements-rational-subgroups (2)]"/>
  </connection>
  <connection id="8" xr16:uid="{60CC739C-5E9E-4120-A183-A701D4CBDB2C}" keepAlive="1" name="Query - shewharts-resistance-measurements-rational-subgroups (3)" description="Connection to the 'shewharts-resistance-measurements-rational-subgroups (3)' query in the workbook." type="5" refreshedVersion="8" background="1" saveData="1">
    <dbPr connection="Provider=Microsoft.Mashup.OleDb.1;Data Source=$Workbook$;Location=&quot;shewharts-resistance-measurements-rational-subgroups (3)&quot;;Extended Properties=&quot;&quot;" command="SELECT * FROM [shewharts-resistance-measurements-rational-subgroups (3)]"/>
  </connection>
</connections>
</file>

<file path=xl/sharedStrings.xml><?xml version="1.0" encoding="utf-8"?>
<sst xmlns="http://schemas.openxmlformats.org/spreadsheetml/2006/main" count="2218" uniqueCount="242">
  <si>
    <t>Chapter 11. The Landscape</t>
  </si>
  <si>
    <t>Stage</t>
  </si>
  <si>
    <t>Value</t>
  </si>
  <si>
    <t>Resistance</t>
  </si>
  <si>
    <t>Mean</t>
  </si>
  <si>
    <t>UPL</t>
  </si>
  <si>
    <t>LPL</t>
  </si>
  <si>
    <t>mR</t>
  </si>
  <si>
    <t>Ave. mR</t>
  </si>
  <si>
    <t>URL</t>
  </si>
  <si>
    <t>Initial</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</si>
  <si>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</si>
  <si>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</si>
  <si>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</si>
  <si>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</si>
  <si>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</si>
  <si>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</si>
  <si>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</si>
  <si>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</si>
  <si>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</si>
  <si>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</si>
  <si>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</si>
  <si>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</si>
  <si>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</si>
  <si>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</si>
  <si>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</si>
  <si>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</si>
  <si>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</si>
  <si>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</si>
  <si>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</si>
  <si>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</si>
  <si>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</si>
  <si>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</si>
  <si>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</si>
  <si>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</si>
  <si>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</si>
  <si>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</si>
  <si>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</si>
  <si>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</si>
  <si>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</si>
  <si>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</si>
  <si>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</si>
  <si>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</si>
  <si>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</si>
  <si>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</si>
  <si>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</si>
  <si>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</si>
  <si>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</si>
  <si>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</si>
  <si>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</si>
  <si>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</si>
  <si>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</si>
  <si>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</si>
  <si>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</si>
  <si>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</si>
  <si>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</si>
  <si>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</si>
  <si>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</si>
  <si>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</si>
  <si>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</si>
  <si>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</si>
  <si>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</si>
  <si>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</si>
  <si>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</si>
  <si>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</si>
  <si>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</si>
  <si>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</si>
  <si>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</si>
  <si>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</si>
  <si>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</si>
  <si>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</si>
  <si>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</si>
  <si>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</si>
  <si>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</si>
  <si>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</si>
  <si>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</si>
  <si>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</si>
  <si>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</si>
  <si>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</si>
  <si>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</si>
  <si>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</si>
  <si>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</si>
  <si>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</si>
  <si>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</si>
  <si>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</si>
  <si>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</si>
  <si>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</si>
  <si>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</si>
  <si>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</si>
  <si>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</si>
  <si>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</si>
  <si>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</si>
  <si>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</si>
  <si>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</si>
  <si>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</si>
  <si>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</si>
  <si>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</si>
  <si>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</si>
  <si>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</si>
  <si>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</si>
  <si>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</si>
  <si>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</si>
  <si>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</si>
  <si>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</si>
  <si>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</si>
  <si>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</si>
  <si>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</si>
  <si>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</si>
  <si>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</si>
  <si>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</si>
  <si>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</si>
  <si>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</si>
  <si>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</si>
  <si>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</si>
  <si>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</si>
  <si>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</si>
  <si>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</si>
  <si>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</si>
  <si>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</si>
  <si>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</si>
  <si>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</si>
  <si>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</si>
  <si>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</si>
  <si>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</si>
  <si>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</si>
  <si>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</si>
  <si>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</si>
  <si>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</si>
  <si>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</si>
  <si>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</si>
  <si>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</si>
  <si>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</si>
  <si>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</si>
  <si>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</si>
  <si>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</si>
  <si>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</si>
  <si>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</si>
  <si>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</si>
  <si>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</si>
  <si>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</si>
  <si>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</si>
  <si>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</si>
  <si>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</si>
  <si>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</si>
  <si>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</si>
  <si>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</si>
  <si>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</si>
  <si>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</si>
  <si>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</si>
  <si>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</si>
  <si>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</si>
  <si>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</si>
  <si>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</si>
  <si>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</si>
  <si>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</si>
  <si>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</si>
  <si>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</si>
  <si>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</si>
  <si>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</si>
  <si>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</si>
  <si>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</si>
  <si>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</si>
  <si>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</si>
  <si>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</si>
  <si>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</si>
  <si>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</si>
  <si>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</si>
  <si>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</si>
  <si>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</si>
  <si>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</si>
  <si>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</si>
  <si>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</si>
  <si>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</si>
  <si>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</si>
  <si>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</si>
  <si>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</si>
  <si>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</si>
  <si>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</si>
  <si>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</si>
  <si>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</si>
  <si>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</si>
  <si>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</si>
  <si>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</si>
  <si>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</si>
  <si>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</si>
  <si>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</si>
  <si>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</si>
  <si>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</si>
  <si>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</si>
  <si>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</si>
  <si>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</si>
  <si>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</si>
  <si>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</si>
  <si>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</si>
  <si>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</si>
  <si>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</si>
  <si>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</si>
  <si>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</si>
  <si>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</si>
  <si>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</si>
  <si>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</si>
  <si>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</si>
  <si>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</si>
  <si>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</si>
  <si>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</si>
  <si>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</si>
  <si>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</si>
  <si>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</si>
  <si>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</si>
  <si>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</si>
  <si>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</si>
  <si>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</si>
  <si>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</si>
  <si>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</si>
  <si>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</si>
  <si>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Subgroup</t>
  </si>
  <si>
    <t>Grand Average</t>
  </si>
  <si>
    <t>UAL</t>
  </si>
  <si>
    <t>LAL</t>
  </si>
  <si>
    <t>Subgroup Range</t>
  </si>
  <si>
    <t>Average Range</t>
  </si>
  <si>
    <t>LRL</t>
  </si>
  <si>
    <t>Units</t>
  </si>
  <si>
    <t>Subgroup size (n)</t>
  </si>
  <si>
    <t>Average</t>
  </si>
  <si>
    <t>Range</t>
  </si>
  <si>
    <t>Link to book:</t>
  </si>
  <si>
    <t>https://www.brokenquality.com/book</t>
  </si>
  <si>
    <t>Link to GitHub:</t>
  </si>
  <si>
    <t>https://github.com/jimlehner/virus-of-variation-book</t>
  </si>
  <si>
    <t>Contact:</t>
  </si>
  <si>
    <t>James.Lehner@gmail.com</t>
  </si>
  <si>
    <t>QualityIsBroken@gmail.com</t>
  </si>
  <si>
    <r>
      <t>This file serves as a resource for building some of figures in Chapter 11 of The Virus of Variation using Microsoft Excel or Google Sheets.
The figures included here are:
Figure 11.1. XmR chart of initial resistance measurements
Figure 11.2. Average and Range chart of initial resistance subgroups
Figure 11.3. X chart and Average chart
Figure 11.4. mR chart and Range chart
Each figure has its own tab. The data used in the figures can be found in the Data tab.
For additional details regarding each of these figures, see Chapter 11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</si>
  <si>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Raw GitHub Data URLs:</t>
  </si>
  <si>
    <t>https://raw.githubusercontent.com/jimlehner/virus-of-variation-book/refs/heads/main/data/shewharts-resistance-measurements.csv</t>
  </si>
  <si>
    <t>https://raw.githubusercontent.com/jimlehner/virus-of-variation-book/refs/heads/main/data/shewharts-resistance-measurements-rational-subgroups.csv</t>
  </si>
  <si>
    <t>Fig 11.1</t>
  </si>
  <si>
    <t>Fig 11.2</t>
  </si>
  <si>
    <t>megohms</t>
  </si>
  <si>
    <t>Additional</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</si>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</sst>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0" x14ac:knownFonts="1">
    <font>
      <sz val="10"/>
      <color rgb="FF000000"/>
      <name val="Arial"/>
      <scheme val="minor"/>
    </font>
    <font>
      <b/>
      <sz val="16"/>
      <color rgb="FFD72323"/>
      <name val="Montserrat"/>
    </font>
    <font>
      <sz val="10"/>
      <color theme="1"/>
      <name val="Arial"/>
      <family val="2"/>
    </font>
    <font>
      <sz val="10"/>
      <color theme="1"/>
      <name val="Arial"/>
      <family val="2"/>
      <scheme val="minor"/>
    </font>
    <font>
      <sz val="9"/>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5" fillId="0" borderId="0" applyNumberFormat="0" applyFill="0" applyBorder="0" applyAlignment="0" applyProtection="0"/>
    <xf numFmtId="0" fontId="6" fillId="0" borderId="0"/>
  </cellStyleXfs>
  <cellXfs count="50">
    <xf numFmtId="0" fontId="0" fillId="0" borderId="0" xfId="0"/>
    <xf numFmtId="0" fontId="2" fillId="0" borderId="0" xfId="0" applyFont="1"/>
    <xf numFmtId="49" fontId="2" fillId="0" borderId="0" xfId="0" applyNumberFormat="1" applyFont="1" applyAlignment="1">
      <alignment horizontal="right"/>
    </xf>
    <xf numFmtId="0" fontId="3" fillId="0" borderId="0" xfId="0" applyFont="1" applyAlignment="1">
      <alignment horizontal="right"/>
    </xf>
    <xf numFmtId="0" fontId="2" fillId="0" borderId="0" xfId="0" applyFont="1" applyAlignment="1">
      <alignment horizontal="right"/>
    </xf>
    <xf numFmtId="3" fontId="2" fillId="0" borderId="0" xfId="0" applyNumberFormat="1" applyFont="1" applyAlignment="1">
      <alignment horizontal="right"/>
    </xf>
    <xf numFmtId="1" fontId="3" fillId="0" borderId="0" xfId="0" applyNumberFormat="1" applyFont="1" applyAlignment="1">
      <alignment horizontal="right"/>
    </xf>
    <xf numFmtId="164" fontId="2" fillId="0" borderId="0" xfId="0" applyNumberFormat="1" applyFont="1" applyAlignment="1">
      <alignment horizontal="left"/>
    </xf>
    <xf numFmtId="4" fontId="2" fillId="0" borderId="0" xfId="0" applyNumberFormat="1" applyFont="1" applyAlignment="1">
      <alignment horizontal="right"/>
    </xf>
    <xf numFmtId="0" fontId="6" fillId="0" borderId="0" xfId="2"/>
    <xf numFmtId="0" fontId="3" fillId="0" borderId="0" xfId="2" applyFont="1"/>
    <xf numFmtId="0" fontId="3" fillId="0" borderId="0" xfId="2" applyFont="1" applyAlignment="1">
      <alignment horizontal="right"/>
    </xf>
    <xf numFmtId="0" fontId="3" fillId="0" borderId="0" xfId="0" applyFont="1" applyAlignment="1">
      <alignment horizontal="left"/>
    </xf>
    <xf numFmtId="165" fontId="3" fillId="0" borderId="0" xfId="0" applyNumberFormat="1" applyFont="1" applyAlignment="1">
      <alignment horizontal="right"/>
    </xf>
    <xf numFmtId="0" fontId="7" fillId="0" borderId="4" xfId="0" applyFont="1" applyBorder="1"/>
    <xf numFmtId="0" fontId="7" fillId="0" borderId="6" xfId="0" applyFont="1" applyBorder="1"/>
    <xf numFmtId="0" fontId="2" fillId="0" borderId="0" xfId="0" applyFont="1" applyAlignment="1">
      <alignment horizontal="left"/>
    </xf>
    <xf numFmtId="49" fontId="2" fillId="0" borderId="0" xfId="0" applyNumberFormat="1" applyFont="1" applyAlignment="1">
      <alignment horizontal="left"/>
    </xf>
    <xf numFmtId="0" fontId="4" fillId="0" borderId="0" xfId="0" applyFont="1" applyAlignment="1">
      <alignment horizontal="left"/>
    </xf>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0" fillId="0" borderId="7" xfId="0" applyBorder="1" applyAlignment="1">
      <alignment horizontal="left"/>
    </xf>
    <xf numFmtId="0" fontId="0" fillId="0" borderId="8" xfId="0" applyBorder="1" applyAlignment="1">
      <alignment horizontal="left"/>
    </xf>
    <xf numFmtId="0" fontId="0" fillId="0" borderId="0" xfId="0" applyAlignment="1">
      <alignment horizontal="left"/>
    </xf>
    <xf numFmtId="0" fontId="0" fillId="0" borderId="5" xfId="0" applyBorder="1" applyAlignment="1">
      <alignment horizontal="left"/>
    </xf>
    <xf numFmtId="0" fontId="5" fillId="0" borderId="4" xfId="1" applyBorder="1" applyAlignment="1">
      <alignment horizontal="center"/>
    </xf>
    <xf numFmtId="0" fontId="5" fillId="0" borderId="0" xfId="1" applyBorder="1" applyAlignment="1">
      <alignment horizontal="center"/>
    </xf>
    <xf numFmtId="0" fontId="5" fillId="0" borderId="5" xfId="1" applyBorder="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5" fillId="0" borderId="6" xfId="1" applyBorder="1" applyAlignment="1">
      <alignment horizontal="center"/>
    </xf>
    <xf numFmtId="0" fontId="5" fillId="0" borderId="7" xfId="1" applyBorder="1" applyAlignment="1">
      <alignment horizontal="center"/>
    </xf>
    <xf numFmtId="0" fontId="5" fillId="0" borderId="8" xfId="1" applyBorder="1" applyAlignment="1">
      <alignment horizontal="center"/>
    </xf>
    <xf numFmtId="0" fontId="1" fillId="0" borderId="9" xfId="0" applyFont="1" applyBorder="1" applyAlignment="1">
      <alignment horizontal="center"/>
    </xf>
    <xf numFmtId="0" fontId="0" fillId="0" borderId="10" xfId="0" applyBorder="1"/>
    <xf numFmtId="0" fontId="0" fillId="0" borderId="11" xfId="0" applyBorder="1"/>
    <xf numFmtId="0" fontId="8"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7" fillId="0" borderId="1" xfId="0" applyFont="1" applyBorder="1" applyAlignment="1">
      <alignment horizontal="center" wrapText="1"/>
    </xf>
    <xf numFmtId="0" fontId="7" fillId="0" borderId="2" xfId="0" applyFont="1" applyBorder="1" applyAlignment="1">
      <alignment horizontal="center" wrapText="1"/>
    </xf>
    <xf numFmtId="0" fontId="7" fillId="0" borderId="3" xfId="0" applyFont="1" applyBorder="1" applyAlignment="1">
      <alignment horizontal="center" wrapText="1"/>
    </xf>
  </cellXfs>
  <cellStyles count="3">
    <cellStyle name="Hyperlink" xfId="1" builtinId="8"/>
    <cellStyle name="Normal" xfId="0" builtinId="0"/>
    <cellStyle name="Normal 2" xfId="2" xr:uid="{9711D819-8BE7-412D-928B-62D420C0CE05}"/>
  </cellStyles>
  <dxfs count="74">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dxf>
    <dxf>
      <alignment horizontal="left" vertical="bottom"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numFmt numFmtId="0" formatCode="General"/>
    </dxf>
    <dxf>
      <numFmt numFmtId="0" formatCode="General"/>
    </dxf>
    <dxf>
      <numFmt numFmtId="0" formatCode="General"/>
    </dxf>
    <dxf>
      <font>
        <color theme="1"/>
        <family val="2"/>
      </font>
      <numFmt numFmtId="0" formatCode="General"/>
      <alignment horizontal="right" vertical="bottom" textRotation="0" wrapText="0" indent="0" justifyLastLine="0" shrinkToFit="0" readingOrder="0"/>
    </dxf>
    <dxf>
      <font>
        <color theme="1"/>
        <family val="2"/>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numFmt numFmtId="0" formatCode="General"/>
    </dxf>
    <dxf>
      <numFmt numFmtId="0" formatCode="General"/>
    </dxf>
    <dxf>
      <numFmt numFmtId="0" formatCode="General"/>
    </dxf>
    <dxf>
      <font>
        <color theme="1"/>
        <family val="2"/>
      </font>
      <numFmt numFmtId="0" formatCode="General"/>
      <alignment horizontal="right" vertical="bottom" textRotation="0" wrapText="0" indent="0" justifyLastLine="0" shrinkToFit="0" readingOrder="0"/>
    </dxf>
    <dxf>
      <font>
        <color theme="1"/>
        <family val="2"/>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numFmt numFmtId="0" formatCode="General"/>
    </dxf>
    <dxf>
      <numFmt numFmtId="0" formatCode="General"/>
    </dxf>
    <dxf>
      <numFmt numFmtId="0" formatCode="General"/>
    </dxf>
    <dxf>
      <font>
        <color theme="1"/>
        <family val="2"/>
      </font>
      <numFmt numFmtId="0" formatCode="General"/>
      <alignment horizontal="right" vertical="bottom" textRotation="0" wrapText="0" indent="0" justifyLastLine="0" shrinkToFit="0" readingOrder="0"/>
    </dxf>
    <dxf>
      <font>
        <color theme="1"/>
        <family val="2"/>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97A5F2FC-B9CD-46EE-9AAF-54825000D020}">
      <tableStyleElement type="wholeTable" dxfId="73"/>
      <tableStyleElement type="headerRow" dxfId="72"/>
      <tableStyleElement type="firstRowStripe" dxfId="71"/>
      <tableStyleElement type="secondRowStripe" dxfId="7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11.1. XmR chart'!$C$1</c:f>
              <c:strCache>
                <c:ptCount val="1"/>
                <c:pt idx="0">
                  <c:v>Resistance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11.1.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11.1. XmR chart'!$C$2:$C$205</c:f>
              <c:numCache>
                <c:formatCode>General</c:formatCode>
                <c:ptCount val="204"/>
                <c:pt idx="0">
                  <c:v>5045</c:v>
                </c:pt>
                <c:pt idx="1">
                  <c:v>4350</c:v>
                </c:pt>
                <c:pt idx="2">
                  <c:v>4350</c:v>
                </c:pt>
                <c:pt idx="3">
                  <c:v>3975</c:v>
                </c:pt>
                <c:pt idx="4">
                  <c:v>4290</c:v>
                </c:pt>
                <c:pt idx="5">
                  <c:v>4430</c:v>
                </c:pt>
                <c:pt idx="6">
                  <c:v>4485</c:v>
                </c:pt>
                <c:pt idx="7">
                  <c:v>4285</c:v>
                </c:pt>
                <c:pt idx="8">
                  <c:v>3980</c:v>
                </c:pt>
                <c:pt idx="9">
                  <c:v>3925</c:v>
                </c:pt>
                <c:pt idx="10">
                  <c:v>3645</c:v>
                </c:pt>
                <c:pt idx="11">
                  <c:v>3760</c:v>
                </c:pt>
                <c:pt idx="12">
                  <c:v>3300</c:v>
                </c:pt>
                <c:pt idx="13">
                  <c:v>3685</c:v>
                </c:pt>
                <c:pt idx="14">
                  <c:v>3463</c:v>
                </c:pt>
                <c:pt idx="15">
                  <c:v>5200</c:v>
                </c:pt>
                <c:pt idx="16">
                  <c:v>5100</c:v>
                </c:pt>
                <c:pt idx="17">
                  <c:v>4635</c:v>
                </c:pt>
                <c:pt idx="18">
                  <c:v>5100</c:v>
                </c:pt>
                <c:pt idx="19">
                  <c:v>5450</c:v>
                </c:pt>
                <c:pt idx="20">
                  <c:v>4635</c:v>
                </c:pt>
                <c:pt idx="21">
                  <c:v>4720</c:v>
                </c:pt>
                <c:pt idx="22">
                  <c:v>4810</c:v>
                </c:pt>
                <c:pt idx="23">
                  <c:v>4565</c:v>
                </c:pt>
                <c:pt idx="24">
                  <c:v>4410</c:v>
                </c:pt>
                <c:pt idx="25">
                  <c:v>4065</c:v>
                </c:pt>
                <c:pt idx="26">
                  <c:v>4565</c:v>
                </c:pt>
                <c:pt idx="27">
                  <c:v>5190</c:v>
                </c:pt>
                <c:pt idx="28">
                  <c:v>4725</c:v>
                </c:pt>
                <c:pt idx="29">
                  <c:v>4640</c:v>
                </c:pt>
                <c:pt idx="30">
                  <c:v>4640</c:v>
                </c:pt>
                <c:pt idx="31">
                  <c:v>4895</c:v>
                </c:pt>
                <c:pt idx="32">
                  <c:v>4790</c:v>
                </c:pt>
                <c:pt idx="33">
                  <c:v>4845</c:v>
                </c:pt>
                <c:pt idx="34">
                  <c:v>4700</c:v>
                </c:pt>
                <c:pt idx="35">
                  <c:v>4600</c:v>
                </c:pt>
                <c:pt idx="36">
                  <c:v>4110</c:v>
                </c:pt>
                <c:pt idx="37">
                  <c:v>4410</c:v>
                </c:pt>
                <c:pt idx="38">
                  <c:v>4180</c:v>
                </c:pt>
                <c:pt idx="39">
                  <c:v>4790</c:v>
                </c:pt>
                <c:pt idx="40">
                  <c:v>4790</c:v>
                </c:pt>
                <c:pt idx="41">
                  <c:v>4340</c:v>
                </c:pt>
                <c:pt idx="42">
                  <c:v>4895</c:v>
                </c:pt>
                <c:pt idx="43">
                  <c:v>5750</c:v>
                </c:pt>
                <c:pt idx="44">
                  <c:v>4740</c:v>
                </c:pt>
                <c:pt idx="45">
                  <c:v>5000</c:v>
                </c:pt>
                <c:pt idx="46">
                  <c:v>4895</c:v>
                </c:pt>
                <c:pt idx="47">
                  <c:v>4255</c:v>
                </c:pt>
                <c:pt idx="48">
                  <c:v>4170</c:v>
                </c:pt>
                <c:pt idx="49">
                  <c:v>3850</c:v>
                </c:pt>
                <c:pt idx="50">
                  <c:v>4445</c:v>
                </c:pt>
                <c:pt idx="51">
                  <c:v>4650</c:v>
                </c:pt>
                <c:pt idx="52">
                  <c:v>4170</c:v>
                </c:pt>
                <c:pt idx="53">
                  <c:v>4255</c:v>
                </c:pt>
                <c:pt idx="54">
                  <c:v>4170</c:v>
                </c:pt>
                <c:pt idx="55">
                  <c:v>4375</c:v>
                </c:pt>
                <c:pt idx="56">
                  <c:v>4175</c:v>
                </c:pt>
                <c:pt idx="57">
                  <c:v>4550</c:v>
                </c:pt>
                <c:pt idx="58">
                  <c:v>4450</c:v>
                </c:pt>
                <c:pt idx="59">
                  <c:v>2855</c:v>
                </c:pt>
                <c:pt idx="60">
                  <c:v>2920</c:v>
                </c:pt>
                <c:pt idx="61">
                  <c:v>4375</c:v>
                </c:pt>
                <c:pt idx="62">
                  <c:v>4375</c:v>
                </c:pt>
                <c:pt idx="63">
                  <c:v>4355</c:v>
                </c:pt>
                <c:pt idx="64">
                  <c:v>4090</c:v>
                </c:pt>
                <c:pt idx="65">
                  <c:v>5000</c:v>
                </c:pt>
                <c:pt idx="66">
                  <c:v>4335</c:v>
                </c:pt>
                <c:pt idx="67">
                  <c:v>5000</c:v>
                </c:pt>
                <c:pt idx="68">
                  <c:v>4640</c:v>
                </c:pt>
                <c:pt idx="69">
                  <c:v>4335</c:v>
                </c:pt>
                <c:pt idx="70">
                  <c:v>5000</c:v>
                </c:pt>
                <c:pt idx="71">
                  <c:v>4615</c:v>
                </c:pt>
                <c:pt idx="72">
                  <c:v>4215</c:v>
                </c:pt>
                <c:pt idx="73">
                  <c:v>4275</c:v>
                </c:pt>
                <c:pt idx="74">
                  <c:v>4275</c:v>
                </c:pt>
                <c:pt idx="75">
                  <c:v>5000</c:v>
                </c:pt>
                <c:pt idx="76">
                  <c:v>4615</c:v>
                </c:pt>
                <c:pt idx="77">
                  <c:v>4735</c:v>
                </c:pt>
                <c:pt idx="78">
                  <c:v>4215</c:v>
                </c:pt>
                <c:pt idx="79">
                  <c:v>4700</c:v>
                </c:pt>
                <c:pt idx="80">
                  <c:v>4700</c:v>
                </c:pt>
                <c:pt idx="81">
                  <c:v>4700</c:v>
                </c:pt>
                <c:pt idx="82">
                  <c:v>4700</c:v>
                </c:pt>
                <c:pt idx="83">
                  <c:v>4095</c:v>
                </c:pt>
                <c:pt idx="84">
                  <c:v>4095</c:v>
                </c:pt>
                <c:pt idx="85">
                  <c:v>3940</c:v>
                </c:pt>
                <c:pt idx="86">
                  <c:v>3700</c:v>
                </c:pt>
                <c:pt idx="87">
                  <c:v>3650</c:v>
                </c:pt>
                <c:pt idx="88">
                  <c:v>4445</c:v>
                </c:pt>
                <c:pt idx="89">
                  <c:v>4000</c:v>
                </c:pt>
                <c:pt idx="90">
                  <c:v>4845</c:v>
                </c:pt>
                <c:pt idx="91">
                  <c:v>5000</c:v>
                </c:pt>
                <c:pt idx="92">
                  <c:v>4560</c:v>
                </c:pt>
                <c:pt idx="93">
                  <c:v>4700</c:v>
                </c:pt>
                <c:pt idx="94">
                  <c:v>4310</c:v>
                </c:pt>
                <c:pt idx="95">
                  <c:v>4310</c:v>
                </c:pt>
                <c:pt idx="96">
                  <c:v>5000</c:v>
                </c:pt>
                <c:pt idx="97">
                  <c:v>4575</c:v>
                </c:pt>
                <c:pt idx="98">
                  <c:v>4700</c:v>
                </c:pt>
                <c:pt idx="99">
                  <c:v>4430</c:v>
                </c:pt>
                <c:pt idx="100">
                  <c:v>4850</c:v>
                </c:pt>
                <c:pt idx="101">
                  <c:v>4850</c:v>
                </c:pt>
                <c:pt idx="102">
                  <c:v>4570</c:v>
                </c:pt>
                <c:pt idx="103">
                  <c:v>4570</c:v>
                </c:pt>
                <c:pt idx="104">
                  <c:v>4855</c:v>
                </c:pt>
                <c:pt idx="105">
                  <c:v>4160</c:v>
                </c:pt>
                <c:pt idx="106">
                  <c:v>4325</c:v>
                </c:pt>
                <c:pt idx="107">
                  <c:v>4125</c:v>
                </c:pt>
                <c:pt idx="108">
                  <c:v>4100</c:v>
                </c:pt>
                <c:pt idx="109">
                  <c:v>4340</c:v>
                </c:pt>
                <c:pt idx="110">
                  <c:v>4575</c:v>
                </c:pt>
                <c:pt idx="111">
                  <c:v>3875</c:v>
                </c:pt>
                <c:pt idx="112">
                  <c:v>4050</c:v>
                </c:pt>
                <c:pt idx="113">
                  <c:v>4050</c:v>
                </c:pt>
                <c:pt idx="114">
                  <c:v>4685</c:v>
                </c:pt>
                <c:pt idx="115">
                  <c:v>4685</c:v>
                </c:pt>
                <c:pt idx="116">
                  <c:v>4430</c:v>
                </c:pt>
                <c:pt idx="117">
                  <c:v>4300</c:v>
                </c:pt>
                <c:pt idx="118">
                  <c:v>4690</c:v>
                </c:pt>
                <c:pt idx="119">
                  <c:v>4560</c:v>
                </c:pt>
                <c:pt idx="120">
                  <c:v>3075</c:v>
                </c:pt>
                <c:pt idx="121">
                  <c:v>2965</c:v>
                </c:pt>
                <c:pt idx="122">
                  <c:v>4080</c:v>
                </c:pt>
                <c:pt idx="123">
                  <c:v>4080</c:v>
                </c:pt>
                <c:pt idx="124">
                  <c:v>4425</c:v>
                </c:pt>
                <c:pt idx="125">
                  <c:v>4300</c:v>
                </c:pt>
                <c:pt idx="126">
                  <c:v>4430</c:v>
                </c:pt>
                <c:pt idx="127">
                  <c:v>4840</c:v>
                </c:pt>
                <c:pt idx="128">
                  <c:v>4840</c:v>
                </c:pt>
                <c:pt idx="129">
                  <c:v>4310</c:v>
                </c:pt>
                <c:pt idx="130">
                  <c:v>4185</c:v>
                </c:pt>
                <c:pt idx="131">
                  <c:v>4570</c:v>
                </c:pt>
                <c:pt idx="132">
                  <c:v>4700</c:v>
                </c:pt>
                <c:pt idx="133">
                  <c:v>4440</c:v>
                </c:pt>
                <c:pt idx="134">
                  <c:v>4850</c:v>
                </c:pt>
                <c:pt idx="135">
                  <c:v>4125</c:v>
                </c:pt>
                <c:pt idx="136">
                  <c:v>4450</c:v>
                </c:pt>
                <c:pt idx="137">
                  <c:v>4450</c:v>
                </c:pt>
                <c:pt idx="138">
                  <c:v>4850</c:v>
                </c:pt>
                <c:pt idx="139">
                  <c:v>4450</c:v>
                </c:pt>
                <c:pt idx="140">
                  <c:v>3635</c:v>
                </c:pt>
                <c:pt idx="141">
                  <c:v>3635</c:v>
                </c:pt>
                <c:pt idx="142">
                  <c:v>3635</c:v>
                </c:pt>
                <c:pt idx="143">
                  <c:v>3900</c:v>
                </c:pt>
                <c:pt idx="144">
                  <c:v>4340</c:v>
                </c:pt>
                <c:pt idx="145">
                  <c:v>4340</c:v>
                </c:pt>
                <c:pt idx="146">
                  <c:v>3665</c:v>
                </c:pt>
                <c:pt idx="147">
                  <c:v>3775</c:v>
                </c:pt>
                <c:pt idx="148">
                  <c:v>5000</c:v>
                </c:pt>
                <c:pt idx="149">
                  <c:v>4850</c:v>
                </c:pt>
                <c:pt idx="150">
                  <c:v>4775</c:v>
                </c:pt>
                <c:pt idx="151">
                  <c:v>4500</c:v>
                </c:pt>
                <c:pt idx="152">
                  <c:v>4770</c:v>
                </c:pt>
                <c:pt idx="153">
                  <c:v>4500</c:v>
                </c:pt>
                <c:pt idx="154">
                  <c:v>4770</c:v>
                </c:pt>
                <c:pt idx="155">
                  <c:v>5150</c:v>
                </c:pt>
                <c:pt idx="156">
                  <c:v>4850</c:v>
                </c:pt>
                <c:pt idx="157">
                  <c:v>4700</c:v>
                </c:pt>
                <c:pt idx="158">
                  <c:v>5000</c:v>
                </c:pt>
                <c:pt idx="159">
                  <c:v>5000</c:v>
                </c:pt>
                <c:pt idx="160">
                  <c:v>5000</c:v>
                </c:pt>
                <c:pt idx="161">
                  <c:v>4700</c:v>
                </c:pt>
                <c:pt idx="162">
                  <c:v>4500</c:v>
                </c:pt>
                <c:pt idx="163">
                  <c:v>4840</c:v>
                </c:pt>
                <c:pt idx="164">
                  <c:v>5075</c:v>
                </c:pt>
                <c:pt idx="165">
                  <c:v>5000</c:v>
                </c:pt>
                <c:pt idx="166">
                  <c:v>4770</c:v>
                </c:pt>
                <c:pt idx="167">
                  <c:v>4570</c:v>
                </c:pt>
                <c:pt idx="168">
                  <c:v>4925</c:v>
                </c:pt>
                <c:pt idx="169">
                  <c:v>4775</c:v>
                </c:pt>
                <c:pt idx="170">
                  <c:v>5075</c:v>
                </c:pt>
                <c:pt idx="171">
                  <c:v>4925</c:v>
                </c:pt>
                <c:pt idx="172">
                  <c:v>5075</c:v>
                </c:pt>
                <c:pt idx="173">
                  <c:v>4925</c:v>
                </c:pt>
                <c:pt idx="174">
                  <c:v>5250</c:v>
                </c:pt>
                <c:pt idx="175">
                  <c:v>4915</c:v>
                </c:pt>
                <c:pt idx="176">
                  <c:v>5600</c:v>
                </c:pt>
                <c:pt idx="177">
                  <c:v>5075</c:v>
                </c:pt>
                <c:pt idx="178">
                  <c:v>4450</c:v>
                </c:pt>
                <c:pt idx="179">
                  <c:v>4215</c:v>
                </c:pt>
                <c:pt idx="180">
                  <c:v>4325</c:v>
                </c:pt>
                <c:pt idx="181">
                  <c:v>4665</c:v>
                </c:pt>
                <c:pt idx="182">
                  <c:v>4615</c:v>
                </c:pt>
                <c:pt idx="183">
                  <c:v>4615</c:v>
                </c:pt>
                <c:pt idx="184">
                  <c:v>4500</c:v>
                </c:pt>
                <c:pt idx="185">
                  <c:v>4765</c:v>
                </c:pt>
                <c:pt idx="186">
                  <c:v>4500</c:v>
                </c:pt>
                <c:pt idx="187">
                  <c:v>4500</c:v>
                </c:pt>
                <c:pt idx="188">
                  <c:v>4850</c:v>
                </c:pt>
                <c:pt idx="189">
                  <c:v>4930</c:v>
                </c:pt>
                <c:pt idx="190">
                  <c:v>4700</c:v>
                </c:pt>
                <c:pt idx="191">
                  <c:v>4890</c:v>
                </c:pt>
                <c:pt idx="192">
                  <c:v>4625</c:v>
                </c:pt>
                <c:pt idx="193">
                  <c:v>4425</c:v>
                </c:pt>
                <c:pt idx="194">
                  <c:v>4135</c:v>
                </c:pt>
                <c:pt idx="195">
                  <c:v>4190</c:v>
                </c:pt>
                <c:pt idx="196">
                  <c:v>4080</c:v>
                </c:pt>
                <c:pt idx="197">
                  <c:v>3690</c:v>
                </c:pt>
                <c:pt idx="198">
                  <c:v>5050</c:v>
                </c:pt>
                <c:pt idx="199">
                  <c:v>4625</c:v>
                </c:pt>
                <c:pt idx="200">
                  <c:v>5150</c:v>
                </c:pt>
                <c:pt idx="201">
                  <c:v>5250</c:v>
                </c:pt>
                <c:pt idx="202">
                  <c:v>5000</c:v>
                </c:pt>
                <c:pt idx="203">
                  <c:v>5000</c:v>
                </c:pt>
              </c:numCache>
            </c:numRef>
          </c:val>
          <c:smooth val="0"/>
          <c:extLst>
            <c:ext xmlns:c16="http://schemas.microsoft.com/office/drawing/2014/chart" uri="{C3380CC4-5D6E-409C-BE32-E72D297353CC}">
              <c16:uniqueId val="{00000000-64A9-4B94-87A4-DD69932FADA6}"/>
            </c:ext>
          </c:extLst>
        </c:ser>
        <c:ser>
          <c:idx val="1"/>
          <c:order val="1"/>
          <c:tx>
            <c:strRef>
              <c:f>'Fig 11.1. XmR chart'!$D$1</c:f>
              <c:strCache>
                <c:ptCount val="1"/>
                <c:pt idx="0">
                  <c:v>Mean</c:v>
                </c:pt>
              </c:strCache>
            </c:strRef>
          </c:tx>
          <c:spPr>
            <a:ln w="28575" cap="rnd">
              <a:solidFill>
                <a:schemeClr val="tx1"/>
              </a:solidFill>
              <a:round/>
            </a:ln>
            <a:effectLst/>
          </c:spPr>
          <c:marker>
            <c:symbol val="none"/>
          </c:marker>
          <c:cat>
            <c:strRef>
              <c:f>'Fig 11.1.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11.1. XmR chart'!$D$2:$D$205</c:f>
              <c:numCache>
                <c:formatCode>General</c:formatCode>
                <c:ptCount val="204"/>
                <c:pt idx="0">
                  <c:v>4498.18</c:v>
                </c:pt>
                <c:pt idx="1">
                  <c:v>4498.18</c:v>
                </c:pt>
                <c:pt idx="2">
                  <c:v>4498.18</c:v>
                </c:pt>
                <c:pt idx="3">
                  <c:v>4498.18</c:v>
                </c:pt>
                <c:pt idx="4">
                  <c:v>4498.18</c:v>
                </c:pt>
                <c:pt idx="5">
                  <c:v>4498.18</c:v>
                </c:pt>
                <c:pt idx="6">
                  <c:v>4498.18</c:v>
                </c:pt>
                <c:pt idx="7">
                  <c:v>4498.18</c:v>
                </c:pt>
                <c:pt idx="8">
                  <c:v>4498.18</c:v>
                </c:pt>
                <c:pt idx="9">
                  <c:v>4498.18</c:v>
                </c:pt>
                <c:pt idx="10">
                  <c:v>4498.18</c:v>
                </c:pt>
                <c:pt idx="11">
                  <c:v>4498.18</c:v>
                </c:pt>
                <c:pt idx="12">
                  <c:v>4498.18</c:v>
                </c:pt>
                <c:pt idx="13">
                  <c:v>4498.18</c:v>
                </c:pt>
                <c:pt idx="14">
                  <c:v>4498.18</c:v>
                </c:pt>
                <c:pt idx="15">
                  <c:v>4498.18</c:v>
                </c:pt>
                <c:pt idx="16">
                  <c:v>4498.18</c:v>
                </c:pt>
                <c:pt idx="17">
                  <c:v>4498.18</c:v>
                </c:pt>
                <c:pt idx="18">
                  <c:v>4498.18</c:v>
                </c:pt>
                <c:pt idx="19">
                  <c:v>4498.18</c:v>
                </c:pt>
                <c:pt idx="20">
                  <c:v>4498.18</c:v>
                </c:pt>
                <c:pt idx="21">
                  <c:v>4498.18</c:v>
                </c:pt>
                <c:pt idx="22">
                  <c:v>4498.18</c:v>
                </c:pt>
                <c:pt idx="23">
                  <c:v>4498.18</c:v>
                </c:pt>
                <c:pt idx="24">
                  <c:v>4498.18</c:v>
                </c:pt>
                <c:pt idx="25">
                  <c:v>4498.18</c:v>
                </c:pt>
                <c:pt idx="26">
                  <c:v>4498.18</c:v>
                </c:pt>
                <c:pt idx="27">
                  <c:v>4498.18</c:v>
                </c:pt>
                <c:pt idx="28">
                  <c:v>4498.18</c:v>
                </c:pt>
                <c:pt idx="29">
                  <c:v>4498.18</c:v>
                </c:pt>
                <c:pt idx="30">
                  <c:v>4498.18</c:v>
                </c:pt>
                <c:pt idx="31">
                  <c:v>4498.18</c:v>
                </c:pt>
                <c:pt idx="32">
                  <c:v>4498.18</c:v>
                </c:pt>
                <c:pt idx="33">
                  <c:v>4498.18</c:v>
                </c:pt>
                <c:pt idx="34">
                  <c:v>4498.18</c:v>
                </c:pt>
                <c:pt idx="35">
                  <c:v>4498.18</c:v>
                </c:pt>
                <c:pt idx="36">
                  <c:v>4498.18</c:v>
                </c:pt>
                <c:pt idx="37">
                  <c:v>4498.18</c:v>
                </c:pt>
                <c:pt idx="38">
                  <c:v>4498.18</c:v>
                </c:pt>
                <c:pt idx="39">
                  <c:v>4498.18</c:v>
                </c:pt>
                <c:pt idx="40">
                  <c:v>4498.18</c:v>
                </c:pt>
                <c:pt idx="41">
                  <c:v>4498.18</c:v>
                </c:pt>
                <c:pt idx="42">
                  <c:v>4498.18</c:v>
                </c:pt>
                <c:pt idx="43">
                  <c:v>4498.18</c:v>
                </c:pt>
                <c:pt idx="44">
                  <c:v>4498.18</c:v>
                </c:pt>
                <c:pt idx="45">
                  <c:v>4498.18</c:v>
                </c:pt>
                <c:pt idx="46">
                  <c:v>4498.18</c:v>
                </c:pt>
                <c:pt idx="47">
                  <c:v>4498.18</c:v>
                </c:pt>
                <c:pt idx="48">
                  <c:v>4498.18</c:v>
                </c:pt>
                <c:pt idx="49">
                  <c:v>4498.18</c:v>
                </c:pt>
                <c:pt idx="50">
                  <c:v>4498.18</c:v>
                </c:pt>
                <c:pt idx="51">
                  <c:v>4498.18</c:v>
                </c:pt>
                <c:pt idx="52">
                  <c:v>4498.18</c:v>
                </c:pt>
                <c:pt idx="53">
                  <c:v>4498.18</c:v>
                </c:pt>
                <c:pt idx="54">
                  <c:v>4498.18</c:v>
                </c:pt>
                <c:pt idx="55">
                  <c:v>4498.18</c:v>
                </c:pt>
                <c:pt idx="56">
                  <c:v>4498.18</c:v>
                </c:pt>
                <c:pt idx="57">
                  <c:v>4498.18</c:v>
                </c:pt>
                <c:pt idx="58">
                  <c:v>4498.18</c:v>
                </c:pt>
                <c:pt idx="59">
                  <c:v>4498.18</c:v>
                </c:pt>
                <c:pt idx="60">
                  <c:v>4498.18</c:v>
                </c:pt>
                <c:pt idx="61">
                  <c:v>4498.18</c:v>
                </c:pt>
                <c:pt idx="62">
                  <c:v>4498.18</c:v>
                </c:pt>
                <c:pt idx="63">
                  <c:v>4498.18</c:v>
                </c:pt>
                <c:pt idx="64">
                  <c:v>4498.18</c:v>
                </c:pt>
                <c:pt idx="65">
                  <c:v>4498.18</c:v>
                </c:pt>
                <c:pt idx="66">
                  <c:v>4498.18</c:v>
                </c:pt>
                <c:pt idx="67">
                  <c:v>4498.18</c:v>
                </c:pt>
                <c:pt idx="68">
                  <c:v>4498.18</c:v>
                </c:pt>
                <c:pt idx="69">
                  <c:v>4498.18</c:v>
                </c:pt>
                <c:pt idx="70">
                  <c:v>4498.18</c:v>
                </c:pt>
                <c:pt idx="71">
                  <c:v>4498.18</c:v>
                </c:pt>
                <c:pt idx="72">
                  <c:v>4498.18</c:v>
                </c:pt>
                <c:pt idx="73">
                  <c:v>4498.18</c:v>
                </c:pt>
                <c:pt idx="74">
                  <c:v>4498.18</c:v>
                </c:pt>
                <c:pt idx="75">
                  <c:v>4498.18</c:v>
                </c:pt>
                <c:pt idx="76">
                  <c:v>4498.18</c:v>
                </c:pt>
                <c:pt idx="77">
                  <c:v>4498.18</c:v>
                </c:pt>
                <c:pt idx="78">
                  <c:v>4498.18</c:v>
                </c:pt>
                <c:pt idx="79">
                  <c:v>4498.18</c:v>
                </c:pt>
                <c:pt idx="80">
                  <c:v>4498.18</c:v>
                </c:pt>
                <c:pt idx="81">
                  <c:v>4498.18</c:v>
                </c:pt>
                <c:pt idx="82">
                  <c:v>4498.18</c:v>
                </c:pt>
                <c:pt idx="83">
                  <c:v>4498.18</c:v>
                </c:pt>
                <c:pt idx="84">
                  <c:v>4498.18</c:v>
                </c:pt>
                <c:pt idx="85">
                  <c:v>4498.18</c:v>
                </c:pt>
                <c:pt idx="86">
                  <c:v>4498.18</c:v>
                </c:pt>
                <c:pt idx="87">
                  <c:v>4498.18</c:v>
                </c:pt>
                <c:pt idx="88">
                  <c:v>4498.18</c:v>
                </c:pt>
                <c:pt idx="89">
                  <c:v>4498.18</c:v>
                </c:pt>
                <c:pt idx="90">
                  <c:v>4498.18</c:v>
                </c:pt>
                <c:pt idx="91">
                  <c:v>4498.18</c:v>
                </c:pt>
                <c:pt idx="92">
                  <c:v>4498.18</c:v>
                </c:pt>
                <c:pt idx="93">
                  <c:v>4498.18</c:v>
                </c:pt>
                <c:pt idx="94">
                  <c:v>4498.18</c:v>
                </c:pt>
                <c:pt idx="95">
                  <c:v>4498.18</c:v>
                </c:pt>
                <c:pt idx="96">
                  <c:v>4498.18</c:v>
                </c:pt>
                <c:pt idx="97">
                  <c:v>4498.18</c:v>
                </c:pt>
                <c:pt idx="98">
                  <c:v>4498.18</c:v>
                </c:pt>
                <c:pt idx="99">
                  <c:v>4498.18</c:v>
                </c:pt>
                <c:pt idx="100">
                  <c:v>4498.18</c:v>
                </c:pt>
                <c:pt idx="101">
                  <c:v>4498.18</c:v>
                </c:pt>
                <c:pt idx="102">
                  <c:v>4498.18</c:v>
                </c:pt>
                <c:pt idx="103">
                  <c:v>4498.18</c:v>
                </c:pt>
                <c:pt idx="104">
                  <c:v>4498.18</c:v>
                </c:pt>
                <c:pt idx="105">
                  <c:v>4498.18</c:v>
                </c:pt>
                <c:pt idx="106">
                  <c:v>4498.18</c:v>
                </c:pt>
                <c:pt idx="107">
                  <c:v>4498.18</c:v>
                </c:pt>
                <c:pt idx="108">
                  <c:v>4498.18</c:v>
                </c:pt>
                <c:pt idx="109">
                  <c:v>4498.18</c:v>
                </c:pt>
                <c:pt idx="110">
                  <c:v>4498.18</c:v>
                </c:pt>
                <c:pt idx="111">
                  <c:v>4498.18</c:v>
                </c:pt>
                <c:pt idx="112">
                  <c:v>4498.18</c:v>
                </c:pt>
                <c:pt idx="113">
                  <c:v>4498.18</c:v>
                </c:pt>
                <c:pt idx="114">
                  <c:v>4498.18</c:v>
                </c:pt>
                <c:pt idx="115">
                  <c:v>4498.18</c:v>
                </c:pt>
                <c:pt idx="116">
                  <c:v>4498.18</c:v>
                </c:pt>
                <c:pt idx="117">
                  <c:v>4498.18</c:v>
                </c:pt>
                <c:pt idx="118">
                  <c:v>4498.18</c:v>
                </c:pt>
                <c:pt idx="119">
                  <c:v>4498.18</c:v>
                </c:pt>
                <c:pt idx="120">
                  <c:v>4498.18</c:v>
                </c:pt>
                <c:pt idx="121">
                  <c:v>4498.18</c:v>
                </c:pt>
                <c:pt idx="122">
                  <c:v>4498.18</c:v>
                </c:pt>
                <c:pt idx="123">
                  <c:v>4498.18</c:v>
                </c:pt>
                <c:pt idx="124">
                  <c:v>4498.18</c:v>
                </c:pt>
                <c:pt idx="125">
                  <c:v>4498.18</c:v>
                </c:pt>
                <c:pt idx="126">
                  <c:v>4498.18</c:v>
                </c:pt>
                <c:pt idx="127">
                  <c:v>4498.18</c:v>
                </c:pt>
                <c:pt idx="128">
                  <c:v>4498.18</c:v>
                </c:pt>
                <c:pt idx="129">
                  <c:v>4498.18</c:v>
                </c:pt>
                <c:pt idx="130">
                  <c:v>4498.18</c:v>
                </c:pt>
                <c:pt idx="131">
                  <c:v>4498.18</c:v>
                </c:pt>
                <c:pt idx="132">
                  <c:v>4498.18</c:v>
                </c:pt>
                <c:pt idx="133">
                  <c:v>4498.18</c:v>
                </c:pt>
                <c:pt idx="134">
                  <c:v>4498.18</c:v>
                </c:pt>
                <c:pt idx="135">
                  <c:v>4498.18</c:v>
                </c:pt>
                <c:pt idx="136">
                  <c:v>4498.18</c:v>
                </c:pt>
                <c:pt idx="137">
                  <c:v>4498.18</c:v>
                </c:pt>
                <c:pt idx="138">
                  <c:v>4498.18</c:v>
                </c:pt>
                <c:pt idx="139">
                  <c:v>4498.18</c:v>
                </c:pt>
                <c:pt idx="140">
                  <c:v>4498.18</c:v>
                </c:pt>
                <c:pt idx="141">
                  <c:v>4498.18</c:v>
                </c:pt>
                <c:pt idx="142">
                  <c:v>4498.18</c:v>
                </c:pt>
                <c:pt idx="143">
                  <c:v>4498.18</c:v>
                </c:pt>
                <c:pt idx="144">
                  <c:v>4498.18</c:v>
                </c:pt>
                <c:pt idx="145">
                  <c:v>4498.18</c:v>
                </c:pt>
                <c:pt idx="146">
                  <c:v>4498.18</c:v>
                </c:pt>
                <c:pt idx="147">
                  <c:v>4498.18</c:v>
                </c:pt>
                <c:pt idx="148">
                  <c:v>4498.18</c:v>
                </c:pt>
                <c:pt idx="149">
                  <c:v>4498.18</c:v>
                </c:pt>
                <c:pt idx="150">
                  <c:v>4498.18</c:v>
                </c:pt>
                <c:pt idx="151">
                  <c:v>4498.18</c:v>
                </c:pt>
                <c:pt idx="152">
                  <c:v>4498.18</c:v>
                </c:pt>
                <c:pt idx="153">
                  <c:v>4498.18</c:v>
                </c:pt>
                <c:pt idx="154">
                  <c:v>4498.18</c:v>
                </c:pt>
                <c:pt idx="155">
                  <c:v>4498.18</c:v>
                </c:pt>
                <c:pt idx="156">
                  <c:v>4498.18</c:v>
                </c:pt>
                <c:pt idx="157">
                  <c:v>4498.18</c:v>
                </c:pt>
                <c:pt idx="158">
                  <c:v>4498.18</c:v>
                </c:pt>
                <c:pt idx="159">
                  <c:v>4498.18</c:v>
                </c:pt>
                <c:pt idx="160">
                  <c:v>4498.18</c:v>
                </c:pt>
                <c:pt idx="161">
                  <c:v>4498.18</c:v>
                </c:pt>
                <c:pt idx="162">
                  <c:v>4498.18</c:v>
                </c:pt>
                <c:pt idx="163">
                  <c:v>4498.18</c:v>
                </c:pt>
                <c:pt idx="164">
                  <c:v>4498.18</c:v>
                </c:pt>
                <c:pt idx="165">
                  <c:v>4498.18</c:v>
                </c:pt>
                <c:pt idx="166">
                  <c:v>4498.18</c:v>
                </c:pt>
                <c:pt idx="167">
                  <c:v>4498.18</c:v>
                </c:pt>
                <c:pt idx="168">
                  <c:v>4498.18</c:v>
                </c:pt>
                <c:pt idx="169">
                  <c:v>4498.18</c:v>
                </c:pt>
                <c:pt idx="170">
                  <c:v>4498.18</c:v>
                </c:pt>
                <c:pt idx="171">
                  <c:v>4498.18</c:v>
                </c:pt>
                <c:pt idx="172">
                  <c:v>4498.18</c:v>
                </c:pt>
                <c:pt idx="173">
                  <c:v>4498.18</c:v>
                </c:pt>
                <c:pt idx="174">
                  <c:v>4498.18</c:v>
                </c:pt>
                <c:pt idx="175">
                  <c:v>4498.18</c:v>
                </c:pt>
                <c:pt idx="176">
                  <c:v>4498.18</c:v>
                </c:pt>
                <c:pt idx="177">
                  <c:v>4498.18</c:v>
                </c:pt>
                <c:pt idx="178">
                  <c:v>4498.18</c:v>
                </c:pt>
                <c:pt idx="179">
                  <c:v>4498.18</c:v>
                </c:pt>
                <c:pt idx="180">
                  <c:v>4498.18</c:v>
                </c:pt>
                <c:pt idx="181">
                  <c:v>4498.18</c:v>
                </c:pt>
                <c:pt idx="182">
                  <c:v>4498.18</c:v>
                </c:pt>
                <c:pt idx="183">
                  <c:v>4498.18</c:v>
                </c:pt>
                <c:pt idx="184">
                  <c:v>4498.18</c:v>
                </c:pt>
                <c:pt idx="185">
                  <c:v>4498.18</c:v>
                </c:pt>
                <c:pt idx="186">
                  <c:v>4498.18</c:v>
                </c:pt>
                <c:pt idx="187">
                  <c:v>4498.18</c:v>
                </c:pt>
                <c:pt idx="188">
                  <c:v>4498.18</c:v>
                </c:pt>
                <c:pt idx="189">
                  <c:v>4498.18</c:v>
                </c:pt>
                <c:pt idx="190">
                  <c:v>4498.18</c:v>
                </c:pt>
                <c:pt idx="191">
                  <c:v>4498.18</c:v>
                </c:pt>
                <c:pt idx="192">
                  <c:v>4498.18</c:v>
                </c:pt>
                <c:pt idx="193">
                  <c:v>4498.18</c:v>
                </c:pt>
                <c:pt idx="194">
                  <c:v>4498.18</c:v>
                </c:pt>
                <c:pt idx="195">
                  <c:v>4498.18</c:v>
                </c:pt>
                <c:pt idx="196">
                  <c:v>4498.18</c:v>
                </c:pt>
                <c:pt idx="197">
                  <c:v>4498.18</c:v>
                </c:pt>
                <c:pt idx="198">
                  <c:v>4498.18</c:v>
                </c:pt>
                <c:pt idx="199">
                  <c:v>4498.18</c:v>
                </c:pt>
                <c:pt idx="200">
                  <c:v>4498.18</c:v>
                </c:pt>
                <c:pt idx="201">
                  <c:v>4498.18</c:v>
                </c:pt>
                <c:pt idx="202">
                  <c:v>4498.18</c:v>
                </c:pt>
                <c:pt idx="203">
                  <c:v>4498.18</c:v>
                </c:pt>
              </c:numCache>
            </c:numRef>
          </c:val>
          <c:smooth val="0"/>
          <c:extLst>
            <c:ext xmlns:c16="http://schemas.microsoft.com/office/drawing/2014/chart" uri="{C3380CC4-5D6E-409C-BE32-E72D297353CC}">
              <c16:uniqueId val="{00000001-64A9-4B94-87A4-DD69932FADA6}"/>
            </c:ext>
          </c:extLst>
        </c:ser>
        <c:ser>
          <c:idx val="2"/>
          <c:order val="2"/>
          <c:tx>
            <c:strRef>
              <c:f>'Fig 11.1. XmR chart'!$E$1</c:f>
              <c:strCache>
                <c:ptCount val="1"/>
                <c:pt idx="0">
                  <c:v>UPL</c:v>
                </c:pt>
              </c:strCache>
            </c:strRef>
          </c:tx>
          <c:spPr>
            <a:ln w="28575" cap="rnd">
              <a:solidFill>
                <a:srgbClr val="D72323"/>
              </a:solidFill>
              <a:prstDash val="dash"/>
              <a:round/>
            </a:ln>
            <a:effectLst/>
          </c:spPr>
          <c:marker>
            <c:symbol val="none"/>
          </c:marker>
          <c:cat>
            <c:strRef>
              <c:f>'Fig 11.1.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11.1. XmR chart'!$E$2:$E$205</c:f>
              <c:numCache>
                <c:formatCode>General</c:formatCode>
                <c:ptCount val="204"/>
                <c:pt idx="0">
                  <c:v>5346.21</c:v>
                </c:pt>
                <c:pt idx="1">
                  <c:v>5346.21</c:v>
                </c:pt>
                <c:pt idx="2">
                  <c:v>5346.21</c:v>
                </c:pt>
                <c:pt idx="3">
                  <c:v>5346.21</c:v>
                </c:pt>
                <c:pt idx="4">
                  <c:v>5346.21</c:v>
                </c:pt>
                <c:pt idx="5">
                  <c:v>5346.21</c:v>
                </c:pt>
                <c:pt idx="6">
                  <c:v>5346.21</c:v>
                </c:pt>
                <c:pt idx="7">
                  <c:v>5346.21</c:v>
                </c:pt>
                <c:pt idx="8">
                  <c:v>5346.21</c:v>
                </c:pt>
                <c:pt idx="9">
                  <c:v>5346.21</c:v>
                </c:pt>
                <c:pt idx="10">
                  <c:v>5346.21</c:v>
                </c:pt>
                <c:pt idx="11">
                  <c:v>5346.21</c:v>
                </c:pt>
                <c:pt idx="12">
                  <c:v>5346.21</c:v>
                </c:pt>
                <c:pt idx="13">
                  <c:v>5346.21</c:v>
                </c:pt>
                <c:pt idx="14">
                  <c:v>5346.21</c:v>
                </c:pt>
                <c:pt idx="15">
                  <c:v>5346.21</c:v>
                </c:pt>
                <c:pt idx="16">
                  <c:v>5346.21</c:v>
                </c:pt>
                <c:pt idx="17">
                  <c:v>5346.21</c:v>
                </c:pt>
                <c:pt idx="18">
                  <c:v>5346.21</c:v>
                </c:pt>
                <c:pt idx="19">
                  <c:v>5346.21</c:v>
                </c:pt>
                <c:pt idx="20">
                  <c:v>5346.21</c:v>
                </c:pt>
                <c:pt idx="21">
                  <c:v>5346.21</c:v>
                </c:pt>
                <c:pt idx="22">
                  <c:v>5346.21</c:v>
                </c:pt>
                <c:pt idx="23">
                  <c:v>5346.21</c:v>
                </c:pt>
                <c:pt idx="24">
                  <c:v>5346.21</c:v>
                </c:pt>
                <c:pt idx="25">
                  <c:v>5346.21</c:v>
                </c:pt>
                <c:pt idx="26">
                  <c:v>5346.21</c:v>
                </c:pt>
                <c:pt idx="27">
                  <c:v>5346.21</c:v>
                </c:pt>
                <c:pt idx="28">
                  <c:v>5346.21</c:v>
                </c:pt>
                <c:pt idx="29">
                  <c:v>5346.21</c:v>
                </c:pt>
                <c:pt idx="30">
                  <c:v>5346.21</c:v>
                </c:pt>
                <c:pt idx="31">
                  <c:v>5346.21</c:v>
                </c:pt>
                <c:pt idx="32">
                  <c:v>5346.21</c:v>
                </c:pt>
                <c:pt idx="33">
                  <c:v>5346.21</c:v>
                </c:pt>
                <c:pt idx="34">
                  <c:v>5346.21</c:v>
                </c:pt>
                <c:pt idx="35">
                  <c:v>5346.21</c:v>
                </c:pt>
                <c:pt idx="36">
                  <c:v>5346.21</c:v>
                </c:pt>
                <c:pt idx="37">
                  <c:v>5346.21</c:v>
                </c:pt>
                <c:pt idx="38">
                  <c:v>5346.21</c:v>
                </c:pt>
                <c:pt idx="39">
                  <c:v>5346.21</c:v>
                </c:pt>
                <c:pt idx="40">
                  <c:v>5346.21</c:v>
                </c:pt>
                <c:pt idx="41">
                  <c:v>5346.21</c:v>
                </c:pt>
                <c:pt idx="42">
                  <c:v>5346.21</c:v>
                </c:pt>
                <c:pt idx="43">
                  <c:v>5346.21</c:v>
                </c:pt>
                <c:pt idx="44">
                  <c:v>5346.21</c:v>
                </c:pt>
                <c:pt idx="45">
                  <c:v>5346.21</c:v>
                </c:pt>
                <c:pt idx="46">
                  <c:v>5346.21</c:v>
                </c:pt>
                <c:pt idx="47">
                  <c:v>5346.21</c:v>
                </c:pt>
                <c:pt idx="48">
                  <c:v>5346.21</c:v>
                </c:pt>
                <c:pt idx="49">
                  <c:v>5346.21</c:v>
                </c:pt>
                <c:pt idx="50">
                  <c:v>5346.21</c:v>
                </c:pt>
                <c:pt idx="51">
                  <c:v>5346.21</c:v>
                </c:pt>
                <c:pt idx="52">
                  <c:v>5346.21</c:v>
                </c:pt>
                <c:pt idx="53">
                  <c:v>5346.21</c:v>
                </c:pt>
                <c:pt idx="54">
                  <c:v>5346.21</c:v>
                </c:pt>
                <c:pt idx="55">
                  <c:v>5346.21</c:v>
                </c:pt>
                <c:pt idx="56">
                  <c:v>5346.21</c:v>
                </c:pt>
                <c:pt idx="57">
                  <c:v>5346.21</c:v>
                </c:pt>
                <c:pt idx="58">
                  <c:v>5346.21</c:v>
                </c:pt>
                <c:pt idx="59">
                  <c:v>5346.21</c:v>
                </c:pt>
                <c:pt idx="60">
                  <c:v>5346.21</c:v>
                </c:pt>
                <c:pt idx="61">
                  <c:v>5346.21</c:v>
                </c:pt>
                <c:pt idx="62">
                  <c:v>5346.21</c:v>
                </c:pt>
                <c:pt idx="63">
                  <c:v>5346.21</c:v>
                </c:pt>
                <c:pt idx="64">
                  <c:v>5346.21</c:v>
                </c:pt>
                <c:pt idx="65">
                  <c:v>5346.21</c:v>
                </c:pt>
                <c:pt idx="66">
                  <c:v>5346.21</c:v>
                </c:pt>
                <c:pt idx="67">
                  <c:v>5346.21</c:v>
                </c:pt>
                <c:pt idx="68">
                  <c:v>5346.21</c:v>
                </c:pt>
                <c:pt idx="69">
                  <c:v>5346.21</c:v>
                </c:pt>
                <c:pt idx="70">
                  <c:v>5346.21</c:v>
                </c:pt>
                <c:pt idx="71">
                  <c:v>5346.21</c:v>
                </c:pt>
                <c:pt idx="72">
                  <c:v>5346.21</c:v>
                </c:pt>
                <c:pt idx="73">
                  <c:v>5346.21</c:v>
                </c:pt>
                <c:pt idx="74">
                  <c:v>5346.21</c:v>
                </c:pt>
                <c:pt idx="75">
                  <c:v>5346.21</c:v>
                </c:pt>
                <c:pt idx="76">
                  <c:v>5346.21</c:v>
                </c:pt>
                <c:pt idx="77">
                  <c:v>5346.21</c:v>
                </c:pt>
                <c:pt idx="78">
                  <c:v>5346.21</c:v>
                </c:pt>
                <c:pt idx="79">
                  <c:v>5346.21</c:v>
                </c:pt>
                <c:pt idx="80">
                  <c:v>5346.21</c:v>
                </c:pt>
                <c:pt idx="81">
                  <c:v>5346.21</c:v>
                </c:pt>
                <c:pt idx="82">
                  <c:v>5346.21</c:v>
                </c:pt>
                <c:pt idx="83">
                  <c:v>5346.21</c:v>
                </c:pt>
                <c:pt idx="84">
                  <c:v>5346.21</c:v>
                </c:pt>
                <c:pt idx="85">
                  <c:v>5346.21</c:v>
                </c:pt>
                <c:pt idx="86">
                  <c:v>5346.21</c:v>
                </c:pt>
                <c:pt idx="87">
                  <c:v>5346.21</c:v>
                </c:pt>
                <c:pt idx="88">
                  <c:v>5346.21</c:v>
                </c:pt>
                <c:pt idx="89">
                  <c:v>5346.21</c:v>
                </c:pt>
                <c:pt idx="90">
                  <c:v>5346.21</c:v>
                </c:pt>
                <c:pt idx="91">
                  <c:v>5346.21</c:v>
                </c:pt>
                <c:pt idx="92">
                  <c:v>5346.21</c:v>
                </c:pt>
                <c:pt idx="93">
                  <c:v>5346.21</c:v>
                </c:pt>
                <c:pt idx="94">
                  <c:v>5346.21</c:v>
                </c:pt>
                <c:pt idx="95">
                  <c:v>5346.21</c:v>
                </c:pt>
                <c:pt idx="96">
                  <c:v>5346.21</c:v>
                </c:pt>
                <c:pt idx="97">
                  <c:v>5346.21</c:v>
                </c:pt>
                <c:pt idx="98">
                  <c:v>5346.21</c:v>
                </c:pt>
                <c:pt idx="99">
                  <c:v>5346.21</c:v>
                </c:pt>
                <c:pt idx="100">
                  <c:v>5346.21</c:v>
                </c:pt>
                <c:pt idx="101">
                  <c:v>5346.21</c:v>
                </c:pt>
                <c:pt idx="102">
                  <c:v>5346.21</c:v>
                </c:pt>
                <c:pt idx="103">
                  <c:v>5346.21</c:v>
                </c:pt>
                <c:pt idx="104">
                  <c:v>5346.21</c:v>
                </c:pt>
                <c:pt idx="105">
                  <c:v>5346.21</c:v>
                </c:pt>
                <c:pt idx="106">
                  <c:v>5346.21</c:v>
                </c:pt>
                <c:pt idx="107">
                  <c:v>5346.21</c:v>
                </c:pt>
                <c:pt idx="108">
                  <c:v>5346.21</c:v>
                </c:pt>
                <c:pt idx="109">
                  <c:v>5346.21</c:v>
                </c:pt>
                <c:pt idx="110">
                  <c:v>5346.21</c:v>
                </c:pt>
                <c:pt idx="111">
                  <c:v>5346.21</c:v>
                </c:pt>
                <c:pt idx="112">
                  <c:v>5346.21</c:v>
                </c:pt>
                <c:pt idx="113">
                  <c:v>5346.21</c:v>
                </c:pt>
                <c:pt idx="114">
                  <c:v>5346.21</c:v>
                </c:pt>
                <c:pt idx="115">
                  <c:v>5346.21</c:v>
                </c:pt>
                <c:pt idx="116">
                  <c:v>5346.21</c:v>
                </c:pt>
                <c:pt idx="117">
                  <c:v>5346.21</c:v>
                </c:pt>
                <c:pt idx="118">
                  <c:v>5346.21</c:v>
                </c:pt>
                <c:pt idx="119">
                  <c:v>5346.21</c:v>
                </c:pt>
                <c:pt idx="120">
                  <c:v>5346.21</c:v>
                </c:pt>
                <c:pt idx="121">
                  <c:v>5346.21</c:v>
                </c:pt>
                <c:pt idx="122">
                  <c:v>5346.21</c:v>
                </c:pt>
                <c:pt idx="123">
                  <c:v>5346.21</c:v>
                </c:pt>
                <c:pt idx="124">
                  <c:v>5346.21</c:v>
                </c:pt>
                <c:pt idx="125">
                  <c:v>5346.21</c:v>
                </c:pt>
                <c:pt idx="126">
                  <c:v>5346.21</c:v>
                </c:pt>
                <c:pt idx="127">
                  <c:v>5346.21</c:v>
                </c:pt>
                <c:pt idx="128">
                  <c:v>5346.21</c:v>
                </c:pt>
                <c:pt idx="129">
                  <c:v>5346.21</c:v>
                </c:pt>
                <c:pt idx="130">
                  <c:v>5346.21</c:v>
                </c:pt>
                <c:pt idx="131">
                  <c:v>5346.21</c:v>
                </c:pt>
                <c:pt idx="132">
                  <c:v>5346.21</c:v>
                </c:pt>
                <c:pt idx="133">
                  <c:v>5346.21</c:v>
                </c:pt>
                <c:pt idx="134">
                  <c:v>5346.21</c:v>
                </c:pt>
                <c:pt idx="135">
                  <c:v>5346.21</c:v>
                </c:pt>
                <c:pt idx="136">
                  <c:v>5346.21</c:v>
                </c:pt>
                <c:pt idx="137">
                  <c:v>5346.21</c:v>
                </c:pt>
                <c:pt idx="138">
                  <c:v>5346.21</c:v>
                </c:pt>
                <c:pt idx="139">
                  <c:v>5346.21</c:v>
                </c:pt>
                <c:pt idx="140">
                  <c:v>5346.21</c:v>
                </c:pt>
                <c:pt idx="141">
                  <c:v>5346.21</c:v>
                </c:pt>
                <c:pt idx="142">
                  <c:v>5346.21</c:v>
                </c:pt>
                <c:pt idx="143">
                  <c:v>5346.21</c:v>
                </c:pt>
                <c:pt idx="144">
                  <c:v>5346.21</c:v>
                </c:pt>
                <c:pt idx="145">
                  <c:v>5346.21</c:v>
                </c:pt>
                <c:pt idx="146">
                  <c:v>5346.21</c:v>
                </c:pt>
                <c:pt idx="147">
                  <c:v>5346.21</c:v>
                </c:pt>
                <c:pt idx="148">
                  <c:v>5346.21</c:v>
                </c:pt>
                <c:pt idx="149">
                  <c:v>5346.21</c:v>
                </c:pt>
                <c:pt idx="150">
                  <c:v>5346.21</c:v>
                </c:pt>
                <c:pt idx="151">
                  <c:v>5346.21</c:v>
                </c:pt>
                <c:pt idx="152">
                  <c:v>5346.21</c:v>
                </c:pt>
                <c:pt idx="153">
                  <c:v>5346.21</c:v>
                </c:pt>
                <c:pt idx="154">
                  <c:v>5346.21</c:v>
                </c:pt>
                <c:pt idx="155">
                  <c:v>5346.21</c:v>
                </c:pt>
                <c:pt idx="156">
                  <c:v>5346.21</c:v>
                </c:pt>
                <c:pt idx="157">
                  <c:v>5346.21</c:v>
                </c:pt>
                <c:pt idx="158">
                  <c:v>5346.21</c:v>
                </c:pt>
                <c:pt idx="159">
                  <c:v>5346.21</c:v>
                </c:pt>
                <c:pt idx="160">
                  <c:v>5346.21</c:v>
                </c:pt>
                <c:pt idx="161">
                  <c:v>5346.21</c:v>
                </c:pt>
                <c:pt idx="162">
                  <c:v>5346.21</c:v>
                </c:pt>
                <c:pt idx="163">
                  <c:v>5346.21</c:v>
                </c:pt>
                <c:pt idx="164">
                  <c:v>5346.21</c:v>
                </c:pt>
                <c:pt idx="165">
                  <c:v>5346.21</c:v>
                </c:pt>
                <c:pt idx="166">
                  <c:v>5346.21</c:v>
                </c:pt>
                <c:pt idx="167">
                  <c:v>5346.21</c:v>
                </c:pt>
                <c:pt idx="168">
                  <c:v>5346.21</c:v>
                </c:pt>
                <c:pt idx="169">
                  <c:v>5346.21</c:v>
                </c:pt>
                <c:pt idx="170">
                  <c:v>5346.21</c:v>
                </c:pt>
                <c:pt idx="171">
                  <c:v>5346.21</c:v>
                </c:pt>
                <c:pt idx="172">
                  <c:v>5346.21</c:v>
                </c:pt>
                <c:pt idx="173">
                  <c:v>5346.21</c:v>
                </c:pt>
                <c:pt idx="174">
                  <c:v>5346.21</c:v>
                </c:pt>
                <c:pt idx="175">
                  <c:v>5346.21</c:v>
                </c:pt>
                <c:pt idx="176">
                  <c:v>5346.21</c:v>
                </c:pt>
                <c:pt idx="177">
                  <c:v>5346.21</c:v>
                </c:pt>
                <c:pt idx="178">
                  <c:v>5346.21</c:v>
                </c:pt>
                <c:pt idx="179">
                  <c:v>5346.21</c:v>
                </c:pt>
                <c:pt idx="180">
                  <c:v>5346.21</c:v>
                </c:pt>
                <c:pt idx="181">
                  <c:v>5346.21</c:v>
                </c:pt>
                <c:pt idx="182">
                  <c:v>5346.21</c:v>
                </c:pt>
                <c:pt idx="183">
                  <c:v>5346.21</c:v>
                </c:pt>
                <c:pt idx="184">
                  <c:v>5346.21</c:v>
                </c:pt>
                <c:pt idx="185">
                  <c:v>5346.21</c:v>
                </c:pt>
                <c:pt idx="186">
                  <c:v>5346.21</c:v>
                </c:pt>
                <c:pt idx="187">
                  <c:v>5346.21</c:v>
                </c:pt>
                <c:pt idx="188">
                  <c:v>5346.21</c:v>
                </c:pt>
                <c:pt idx="189">
                  <c:v>5346.21</c:v>
                </c:pt>
                <c:pt idx="190">
                  <c:v>5346.21</c:v>
                </c:pt>
                <c:pt idx="191">
                  <c:v>5346.21</c:v>
                </c:pt>
                <c:pt idx="192">
                  <c:v>5346.21</c:v>
                </c:pt>
                <c:pt idx="193">
                  <c:v>5346.21</c:v>
                </c:pt>
                <c:pt idx="194">
                  <c:v>5346.21</c:v>
                </c:pt>
                <c:pt idx="195">
                  <c:v>5346.21</c:v>
                </c:pt>
                <c:pt idx="196">
                  <c:v>5346.21</c:v>
                </c:pt>
                <c:pt idx="197">
                  <c:v>5346.21</c:v>
                </c:pt>
                <c:pt idx="198">
                  <c:v>5346.21</c:v>
                </c:pt>
                <c:pt idx="199">
                  <c:v>5346.21</c:v>
                </c:pt>
                <c:pt idx="200">
                  <c:v>5346.21</c:v>
                </c:pt>
                <c:pt idx="201">
                  <c:v>5346.21</c:v>
                </c:pt>
                <c:pt idx="202">
                  <c:v>5346.21</c:v>
                </c:pt>
                <c:pt idx="203">
                  <c:v>5346.21</c:v>
                </c:pt>
              </c:numCache>
            </c:numRef>
          </c:val>
          <c:smooth val="0"/>
          <c:extLst>
            <c:ext xmlns:c16="http://schemas.microsoft.com/office/drawing/2014/chart" uri="{C3380CC4-5D6E-409C-BE32-E72D297353CC}">
              <c16:uniqueId val="{00000002-64A9-4B94-87A4-DD69932FADA6}"/>
            </c:ext>
          </c:extLst>
        </c:ser>
        <c:ser>
          <c:idx val="3"/>
          <c:order val="3"/>
          <c:tx>
            <c:strRef>
              <c:f>'Fig 11.1. XmR chart'!$F$1</c:f>
              <c:strCache>
                <c:ptCount val="1"/>
                <c:pt idx="0">
                  <c:v>LPL</c:v>
                </c:pt>
              </c:strCache>
            </c:strRef>
          </c:tx>
          <c:spPr>
            <a:ln w="28575" cap="rnd">
              <a:solidFill>
                <a:srgbClr val="D72323"/>
              </a:solidFill>
              <a:prstDash val="dash"/>
              <a:round/>
            </a:ln>
            <a:effectLst/>
          </c:spPr>
          <c:marker>
            <c:symbol val="none"/>
          </c:marker>
          <c:cat>
            <c:strRef>
              <c:f>'Fig 11.1.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11.1. XmR chart'!$F$2:$F$205</c:f>
              <c:numCache>
                <c:formatCode>General</c:formatCode>
                <c:ptCount val="204"/>
                <c:pt idx="0">
                  <c:v>3650.15</c:v>
                </c:pt>
                <c:pt idx="1">
                  <c:v>3650.15</c:v>
                </c:pt>
                <c:pt idx="2">
                  <c:v>3650.15</c:v>
                </c:pt>
                <c:pt idx="3">
                  <c:v>3650.15</c:v>
                </c:pt>
                <c:pt idx="4">
                  <c:v>3650.15</c:v>
                </c:pt>
                <c:pt idx="5">
                  <c:v>3650.15</c:v>
                </c:pt>
                <c:pt idx="6">
                  <c:v>3650.15</c:v>
                </c:pt>
                <c:pt idx="7">
                  <c:v>3650.15</c:v>
                </c:pt>
                <c:pt idx="8">
                  <c:v>3650.15</c:v>
                </c:pt>
                <c:pt idx="9">
                  <c:v>3650.15</c:v>
                </c:pt>
                <c:pt idx="10">
                  <c:v>3650.15</c:v>
                </c:pt>
                <c:pt idx="11">
                  <c:v>3650.15</c:v>
                </c:pt>
                <c:pt idx="12">
                  <c:v>3650.15</c:v>
                </c:pt>
                <c:pt idx="13">
                  <c:v>3650.15</c:v>
                </c:pt>
                <c:pt idx="14">
                  <c:v>3650.15</c:v>
                </c:pt>
                <c:pt idx="15">
                  <c:v>3650.15</c:v>
                </c:pt>
                <c:pt idx="16">
                  <c:v>3650.15</c:v>
                </c:pt>
                <c:pt idx="17">
                  <c:v>3650.15</c:v>
                </c:pt>
                <c:pt idx="18">
                  <c:v>3650.15</c:v>
                </c:pt>
                <c:pt idx="19">
                  <c:v>3650.15</c:v>
                </c:pt>
                <c:pt idx="20">
                  <c:v>3650.15</c:v>
                </c:pt>
                <c:pt idx="21">
                  <c:v>3650.15</c:v>
                </c:pt>
                <c:pt idx="22">
                  <c:v>3650.15</c:v>
                </c:pt>
                <c:pt idx="23">
                  <c:v>3650.15</c:v>
                </c:pt>
                <c:pt idx="24">
                  <c:v>3650.15</c:v>
                </c:pt>
                <c:pt idx="25">
                  <c:v>3650.15</c:v>
                </c:pt>
                <c:pt idx="26">
                  <c:v>3650.15</c:v>
                </c:pt>
                <c:pt idx="27">
                  <c:v>3650.15</c:v>
                </c:pt>
                <c:pt idx="28">
                  <c:v>3650.15</c:v>
                </c:pt>
                <c:pt idx="29">
                  <c:v>3650.15</c:v>
                </c:pt>
                <c:pt idx="30">
                  <c:v>3650.15</c:v>
                </c:pt>
                <c:pt idx="31">
                  <c:v>3650.15</c:v>
                </c:pt>
                <c:pt idx="32">
                  <c:v>3650.15</c:v>
                </c:pt>
                <c:pt idx="33">
                  <c:v>3650.15</c:v>
                </c:pt>
                <c:pt idx="34">
                  <c:v>3650.15</c:v>
                </c:pt>
                <c:pt idx="35">
                  <c:v>3650.15</c:v>
                </c:pt>
                <c:pt idx="36">
                  <c:v>3650.15</c:v>
                </c:pt>
                <c:pt idx="37">
                  <c:v>3650.15</c:v>
                </c:pt>
                <c:pt idx="38">
                  <c:v>3650.15</c:v>
                </c:pt>
                <c:pt idx="39">
                  <c:v>3650.15</c:v>
                </c:pt>
                <c:pt idx="40">
                  <c:v>3650.15</c:v>
                </c:pt>
                <c:pt idx="41">
                  <c:v>3650.15</c:v>
                </c:pt>
                <c:pt idx="42">
                  <c:v>3650.15</c:v>
                </c:pt>
                <c:pt idx="43">
                  <c:v>3650.15</c:v>
                </c:pt>
                <c:pt idx="44">
                  <c:v>3650.15</c:v>
                </c:pt>
                <c:pt idx="45">
                  <c:v>3650.15</c:v>
                </c:pt>
                <c:pt idx="46">
                  <c:v>3650.15</c:v>
                </c:pt>
                <c:pt idx="47">
                  <c:v>3650.15</c:v>
                </c:pt>
                <c:pt idx="48">
                  <c:v>3650.15</c:v>
                </c:pt>
                <c:pt idx="49">
                  <c:v>3650.15</c:v>
                </c:pt>
                <c:pt idx="50">
                  <c:v>3650.15</c:v>
                </c:pt>
                <c:pt idx="51">
                  <c:v>3650.15</c:v>
                </c:pt>
                <c:pt idx="52">
                  <c:v>3650.15</c:v>
                </c:pt>
                <c:pt idx="53">
                  <c:v>3650.15</c:v>
                </c:pt>
                <c:pt idx="54">
                  <c:v>3650.15</c:v>
                </c:pt>
                <c:pt idx="55">
                  <c:v>3650.15</c:v>
                </c:pt>
                <c:pt idx="56">
                  <c:v>3650.15</c:v>
                </c:pt>
                <c:pt idx="57">
                  <c:v>3650.15</c:v>
                </c:pt>
                <c:pt idx="58">
                  <c:v>3650.15</c:v>
                </c:pt>
                <c:pt idx="59">
                  <c:v>3650.15</c:v>
                </c:pt>
                <c:pt idx="60">
                  <c:v>3650.15</c:v>
                </c:pt>
                <c:pt idx="61">
                  <c:v>3650.15</c:v>
                </c:pt>
                <c:pt idx="62">
                  <c:v>3650.15</c:v>
                </c:pt>
                <c:pt idx="63">
                  <c:v>3650.15</c:v>
                </c:pt>
                <c:pt idx="64">
                  <c:v>3650.15</c:v>
                </c:pt>
                <c:pt idx="65">
                  <c:v>3650.15</c:v>
                </c:pt>
                <c:pt idx="66">
                  <c:v>3650.15</c:v>
                </c:pt>
                <c:pt idx="67">
                  <c:v>3650.15</c:v>
                </c:pt>
                <c:pt idx="68">
                  <c:v>3650.15</c:v>
                </c:pt>
                <c:pt idx="69">
                  <c:v>3650.15</c:v>
                </c:pt>
                <c:pt idx="70">
                  <c:v>3650.15</c:v>
                </c:pt>
                <c:pt idx="71">
                  <c:v>3650.15</c:v>
                </c:pt>
                <c:pt idx="72">
                  <c:v>3650.15</c:v>
                </c:pt>
                <c:pt idx="73">
                  <c:v>3650.15</c:v>
                </c:pt>
                <c:pt idx="74">
                  <c:v>3650.15</c:v>
                </c:pt>
                <c:pt idx="75">
                  <c:v>3650.15</c:v>
                </c:pt>
                <c:pt idx="76">
                  <c:v>3650.15</c:v>
                </c:pt>
                <c:pt idx="77">
                  <c:v>3650.15</c:v>
                </c:pt>
                <c:pt idx="78">
                  <c:v>3650.15</c:v>
                </c:pt>
                <c:pt idx="79">
                  <c:v>3650.15</c:v>
                </c:pt>
                <c:pt idx="80">
                  <c:v>3650.15</c:v>
                </c:pt>
                <c:pt idx="81">
                  <c:v>3650.15</c:v>
                </c:pt>
                <c:pt idx="82">
                  <c:v>3650.15</c:v>
                </c:pt>
                <c:pt idx="83">
                  <c:v>3650.15</c:v>
                </c:pt>
                <c:pt idx="84">
                  <c:v>3650.15</c:v>
                </c:pt>
                <c:pt idx="85">
                  <c:v>3650.15</c:v>
                </c:pt>
                <c:pt idx="86">
                  <c:v>3650.15</c:v>
                </c:pt>
                <c:pt idx="87">
                  <c:v>3650.15</c:v>
                </c:pt>
                <c:pt idx="88">
                  <c:v>3650.15</c:v>
                </c:pt>
                <c:pt idx="89">
                  <c:v>3650.15</c:v>
                </c:pt>
                <c:pt idx="90">
                  <c:v>3650.15</c:v>
                </c:pt>
                <c:pt idx="91">
                  <c:v>3650.15</c:v>
                </c:pt>
                <c:pt idx="92">
                  <c:v>3650.15</c:v>
                </c:pt>
                <c:pt idx="93">
                  <c:v>3650.15</c:v>
                </c:pt>
                <c:pt idx="94">
                  <c:v>3650.15</c:v>
                </c:pt>
                <c:pt idx="95">
                  <c:v>3650.15</c:v>
                </c:pt>
                <c:pt idx="96">
                  <c:v>3650.15</c:v>
                </c:pt>
                <c:pt idx="97">
                  <c:v>3650.15</c:v>
                </c:pt>
                <c:pt idx="98">
                  <c:v>3650.15</c:v>
                </c:pt>
                <c:pt idx="99">
                  <c:v>3650.15</c:v>
                </c:pt>
                <c:pt idx="100">
                  <c:v>3650.15</c:v>
                </c:pt>
                <c:pt idx="101">
                  <c:v>3650.15</c:v>
                </c:pt>
                <c:pt idx="102">
                  <c:v>3650.15</c:v>
                </c:pt>
                <c:pt idx="103">
                  <c:v>3650.15</c:v>
                </c:pt>
                <c:pt idx="104">
                  <c:v>3650.15</c:v>
                </c:pt>
                <c:pt idx="105">
                  <c:v>3650.15</c:v>
                </c:pt>
                <c:pt idx="106">
                  <c:v>3650.15</c:v>
                </c:pt>
                <c:pt idx="107">
                  <c:v>3650.15</c:v>
                </c:pt>
                <c:pt idx="108">
                  <c:v>3650.15</c:v>
                </c:pt>
                <c:pt idx="109">
                  <c:v>3650.15</c:v>
                </c:pt>
                <c:pt idx="110">
                  <c:v>3650.15</c:v>
                </c:pt>
                <c:pt idx="111">
                  <c:v>3650.15</c:v>
                </c:pt>
                <c:pt idx="112">
                  <c:v>3650.15</c:v>
                </c:pt>
                <c:pt idx="113">
                  <c:v>3650.15</c:v>
                </c:pt>
                <c:pt idx="114">
                  <c:v>3650.15</c:v>
                </c:pt>
                <c:pt idx="115">
                  <c:v>3650.15</c:v>
                </c:pt>
                <c:pt idx="116">
                  <c:v>3650.15</c:v>
                </c:pt>
                <c:pt idx="117">
                  <c:v>3650.15</c:v>
                </c:pt>
                <c:pt idx="118">
                  <c:v>3650.15</c:v>
                </c:pt>
                <c:pt idx="119">
                  <c:v>3650.15</c:v>
                </c:pt>
                <c:pt idx="120">
                  <c:v>3650.15</c:v>
                </c:pt>
                <c:pt idx="121">
                  <c:v>3650.15</c:v>
                </c:pt>
                <c:pt idx="122">
                  <c:v>3650.15</c:v>
                </c:pt>
                <c:pt idx="123">
                  <c:v>3650.15</c:v>
                </c:pt>
                <c:pt idx="124">
                  <c:v>3650.15</c:v>
                </c:pt>
                <c:pt idx="125">
                  <c:v>3650.15</c:v>
                </c:pt>
                <c:pt idx="126">
                  <c:v>3650.15</c:v>
                </c:pt>
                <c:pt idx="127">
                  <c:v>3650.15</c:v>
                </c:pt>
                <c:pt idx="128">
                  <c:v>3650.15</c:v>
                </c:pt>
                <c:pt idx="129">
                  <c:v>3650.15</c:v>
                </c:pt>
                <c:pt idx="130">
                  <c:v>3650.15</c:v>
                </c:pt>
                <c:pt idx="131">
                  <c:v>3650.15</c:v>
                </c:pt>
                <c:pt idx="132">
                  <c:v>3650.15</c:v>
                </c:pt>
                <c:pt idx="133">
                  <c:v>3650.15</c:v>
                </c:pt>
                <c:pt idx="134">
                  <c:v>3650.15</c:v>
                </c:pt>
                <c:pt idx="135">
                  <c:v>3650.15</c:v>
                </c:pt>
                <c:pt idx="136">
                  <c:v>3650.15</c:v>
                </c:pt>
                <c:pt idx="137">
                  <c:v>3650.15</c:v>
                </c:pt>
                <c:pt idx="138">
                  <c:v>3650.15</c:v>
                </c:pt>
                <c:pt idx="139">
                  <c:v>3650.15</c:v>
                </c:pt>
                <c:pt idx="140">
                  <c:v>3650.15</c:v>
                </c:pt>
                <c:pt idx="141">
                  <c:v>3650.15</c:v>
                </c:pt>
                <c:pt idx="142">
                  <c:v>3650.15</c:v>
                </c:pt>
                <c:pt idx="143">
                  <c:v>3650.15</c:v>
                </c:pt>
                <c:pt idx="144">
                  <c:v>3650.15</c:v>
                </c:pt>
                <c:pt idx="145">
                  <c:v>3650.15</c:v>
                </c:pt>
                <c:pt idx="146">
                  <c:v>3650.15</c:v>
                </c:pt>
                <c:pt idx="147">
                  <c:v>3650.15</c:v>
                </c:pt>
                <c:pt idx="148">
                  <c:v>3650.15</c:v>
                </c:pt>
                <c:pt idx="149">
                  <c:v>3650.15</c:v>
                </c:pt>
                <c:pt idx="150">
                  <c:v>3650.15</c:v>
                </c:pt>
                <c:pt idx="151">
                  <c:v>3650.15</c:v>
                </c:pt>
                <c:pt idx="152">
                  <c:v>3650.15</c:v>
                </c:pt>
                <c:pt idx="153">
                  <c:v>3650.15</c:v>
                </c:pt>
                <c:pt idx="154">
                  <c:v>3650.15</c:v>
                </c:pt>
                <c:pt idx="155">
                  <c:v>3650.15</c:v>
                </c:pt>
                <c:pt idx="156">
                  <c:v>3650.15</c:v>
                </c:pt>
                <c:pt idx="157">
                  <c:v>3650.15</c:v>
                </c:pt>
                <c:pt idx="158">
                  <c:v>3650.15</c:v>
                </c:pt>
                <c:pt idx="159">
                  <c:v>3650.15</c:v>
                </c:pt>
                <c:pt idx="160">
                  <c:v>3650.15</c:v>
                </c:pt>
                <c:pt idx="161">
                  <c:v>3650.15</c:v>
                </c:pt>
                <c:pt idx="162">
                  <c:v>3650.15</c:v>
                </c:pt>
                <c:pt idx="163">
                  <c:v>3650.15</c:v>
                </c:pt>
                <c:pt idx="164">
                  <c:v>3650.15</c:v>
                </c:pt>
                <c:pt idx="165">
                  <c:v>3650.15</c:v>
                </c:pt>
                <c:pt idx="166">
                  <c:v>3650.15</c:v>
                </c:pt>
                <c:pt idx="167">
                  <c:v>3650.15</c:v>
                </c:pt>
                <c:pt idx="168">
                  <c:v>3650.15</c:v>
                </c:pt>
                <c:pt idx="169">
                  <c:v>3650.15</c:v>
                </c:pt>
                <c:pt idx="170">
                  <c:v>3650.15</c:v>
                </c:pt>
                <c:pt idx="171">
                  <c:v>3650.15</c:v>
                </c:pt>
                <c:pt idx="172">
                  <c:v>3650.15</c:v>
                </c:pt>
                <c:pt idx="173">
                  <c:v>3650.15</c:v>
                </c:pt>
                <c:pt idx="174">
                  <c:v>3650.15</c:v>
                </c:pt>
                <c:pt idx="175">
                  <c:v>3650.15</c:v>
                </c:pt>
                <c:pt idx="176">
                  <c:v>3650.15</c:v>
                </c:pt>
                <c:pt idx="177">
                  <c:v>3650.15</c:v>
                </c:pt>
                <c:pt idx="178">
                  <c:v>3650.15</c:v>
                </c:pt>
                <c:pt idx="179">
                  <c:v>3650.15</c:v>
                </c:pt>
                <c:pt idx="180">
                  <c:v>3650.15</c:v>
                </c:pt>
                <c:pt idx="181">
                  <c:v>3650.15</c:v>
                </c:pt>
                <c:pt idx="182">
                  <c:v>3650.15</c:v>
                </c:pt>
                <c:pt idx="183">
                  <c:v>3650.15</c:v>
                </c:pt>
                <c:pt idx="184">
                  <c:v>3650.15</c:v>
                </c:pt>
                <c:pt idx="185">
                  <c:v>3650.15</c:v>
                </c:pt>
                <c:pt idx="186">
                  <c:v>3650.15</c:v>
                </c:pt>
                <c:pt idx="187">
                  <c:v>3650.15</c:v>
                </c:pt>
                <c:pt idx="188">
                  <c:v>3650.15</c:v>
                </c:pt>
                <c:pt idx="189">
                  <c:v>3650.15</c:v>
                </c:pt>
                <c:pt idx="190">
                  <c:v>3650.15</c:v>
                </c:pt>
                <c:pt idx="191">
                  <c:v>3650.15</c:v>
                </c:pt>
                <c:pt idx="192">
                  <c:v>3650.15</c:v>
                </c:pt>
                <c:pt idx="193">
                  <c:v>3650.15</c:v>
                </c:pt>
                <c:pt idx="194">
                  <c:v>3650.15</c:v>
                </c:pt>
                <c:pt idx="195">
                  <c:v>3650.15</c:v>
                </c:pt>
                <c:pt idx="196">
                  <c:v>3650.15</c:v>
                </c:pt>
                <c:pt idx="197">
                  <c:v>3650.15</c:v>
                </c:pt>
                <c:pt idx="198">
                  <c:v>3650.15</c:v>
                </c:pt>
                <c:pt idx="199">
                  <c:v>3650.15</c:v>
                </c:pt>
                <c:pt idx="200">
                  <c:v>3650.15</c:v>
                </c:pt>
                <c:pt idx="201">
                  <c:v>3650.15</c:v>
                </c:pt>
                <c:pt idx="202">
                  <c:v>3650.15</c:v>
                </c:pt>
                <c:pt idx="203">
                  <c:v>3650.15</c:v>
                </c:pt>
              </c:numCache>
            </c:numRef>
          </c:val>
          <c:smooth val="0"/>
          <c:extLst>
            <c:ext xmlns:c16="http://schemas.microsoft.com/office/drawing/2014/chart" uri="{C3380CC4-5D6E-409C-BE32-E72D297353CC}">
              <c16:uniqueId val="{00000003-64A9-4B94-87A4-DD69932FADA6}"/>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in val="2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11.1. XmR chart'!$G$1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11.1. XmR chart'!$G$2:$G$205</c:f>
              <c:numCache>
                <c:formatCode>General</c:formatCode>
                <c:ptCount val="204"/>
                <c:pt idx="1">
                  <c:v>695</c:v>
                </c:pt>
                <c:pt idx="2">
                  <c:v>0</c:v>
                </c:pt>
                <c:pt idx="3">
                  <c:v>375</c:v>
                </c:pt>
                <c:pt idx="4">
                  <c:v>315</c:v>
                </c:pt>
                <c:pt idx="5">
                  <c:v>140</c:v>
                </c:pt>
                <c:pt idx="6">
                  <c:v>55</c:v>
                </c:pt>
                <c:pt idx="7">
                  <c:v>200</c:v>
                </c:pt>
                <c:pt idx="8">
                  <c:v>305</c:v>
                </c:pt>
                <c:pt idx="9">
                  <c:v>55</c:v>
                </c:pt>
                <c:pt idx="10">
                  <c:v>280</c:v>
                </c:pt>
                <c:pt idx="11">
                  <c:v>115</c:v>
                </c:pt>
                <c:pt idx="12">
                  <c:v>460</c:v>
                </c:pt>
                <c:pt idx="13">
                  <c:v>385</c:v>
                </c:pt>
                <c:pt idx="14">
                  <c:v>222</c:v>
                </c:pt>
                <c:pt idx="15">
                  <c:v>1737</c:v>
                </c:pt>
                <c:pt idx="16">
                  <c:v>100</c:v>
                </c:pt>
                <c:pt idx="17">
                  <c:v>465</c:v>
                </c:pt>
                <c:pt idx="18">
                  <c:v>465</c:v>
                </c:pt>
                <c:pt idx="19">
                  <c:v>350</c:v>
                </c:pt>
                <c:pt idx="20">
                  <c:v>815</c:v>
                </c:pt>
                <c:pt idx="21">
                  <c:v>85</c:v>
                </c:pt>
                <c:pt idx="22">
                  <c:v>90</c:v>
                </c:pt>
                <c:pt idx="23">
                  <c:v>245</c:v>
                </c:pt>
                <c:pt idx="24">
                  <c:v>155</c:v>
                </c:pt>
                <c:pt idx="25">
                  <c:v>345</c:v>
                </c:pt>
                <c:pt idx="26">
                  <c:v>500</c:v>
                </c:pt>
                <c:pt idx="27">
                  <c:v>625</c:v>
                </c:pt>
                <c:pt idx="28">
                  <c:v>465</c:v>
                </c:pt>
                <c:pt idx="29">
                  <c:v>85</c:v>
                </c:pt>
                <c:pt idx="30">
                  <c:v>0</c:v>
                </c:pt>
                <c:pt idx="31">
                  <c:v>255</c:v>
                </c:pt>
                <c:pt idx="32">
                  <c:v>105</c:v>
                </c:pt>
                <c:pt idx="33">
                  <c:v>55</c:v>
                </c:pt>
                <c:pt idx="34">
                  <c:v>145</c:v>
                </c:pt>
                <c:pt idx="35">
                  <c:v>100</c:v>
                </c:pt>
                <c:pt idx="36">
                  <c:v>490</c:v>
                </c:pt>
                <c:pt idx="37">
                  <c:v>300</c:v>
                </c:pt>
                <c:pt idx="38">
                  <c:v>230</c:v>
                </c:pt>
                <c:pt idx="39">
                  <c:v>610</c:v>
                </c:pt>
                <c:pt idx="40">
                  <c:v>0</c:v>
                </c:pt>
                <c:pt idx="41">
                  <c:v>450</c:v>
                </c:pt>
                <c:pt idx="42">
                  <c:v>555</c:v>
                </c:pt>
                <c:pt idx="43">
                  <c:v>855</c:v>
                </c:pt>
                <c:pt idx="44">
                  <c:v>1010</c:v>
                </c:pt>
                <c:pt idx="45">
                  <c:v>260</c:v>
                </c:pt>
                <c:pt idx="46">
                  <c:v>105</c:v>
                </c:pt>
                <c:pt idx="47">
                  <c:v>640</c:v>
                </c:pt>
                <c:pt idx="48">
                  <c:v>85</c:v>
                </c:pt>
                <c:pt idx="49">
                  <c:v>320</c:v>
                </c:pt>
                <c:pt idx="50">
                  <c:v>595</c:v>
                </c:pt>
                <c:pt idx="51">
                  <c:v>205</c:v>
                </c:pt>
                <c:pt idx="52">
                  <c:v>480</c:v>
                </c:pt>
                <c:pt idx="53">
                  <c:v>85</c:v>
                </c:pt>
                <c:pt idx="54">
                  <c:v>85</c:v>
                </c:pt>
                <c:pt idx="55">
                  <c:v>205</c:v>
                </c:pt>
                <c:pt idx="56">
                  <c:v>200</c:v>
                </c:pt>
                <c:pt idx="57">
                  <c:v>375</c:v>
                </c:pt>
                <c:pt idx="58">
                  <c:v>100</c:v>
                </c:pt>
                <c:pt idx="59">
                  <c:v>1595</c:v>
                </c:pt>
                <c:pt idx="60">
                  <c:v>65</c:v>
                </c:pt>
                <c:pt idx="61">
                  <c:v>1455</c:v>
                </c:pt>
                <c:pt idx="62">
                  <c:v>0</c:v>
                </c:pt>
                <c:pt idx="63">
                  <c:v>20</c:v>
                </c:pt>
                <c:pt idx="64">
                  <c:v>265</c:v>
                </c:pt>
                <c:pt idx="65">
                  <c:v>910</c:v>
                </c:pt>
                <c:pt idx="66">
                  <c:v>665</c:v>
                </c:pt>
                <c:pt idx="67">
                  <c:v>665</c:v>
                </c:pt>
                <c:pt idx="68">
                  <c:v>360</c:v>
                </c:pt>
                <c:pt idx="69">
                  <c:v>305</c:v>
                </c:pt>
                <c:pt idx="70">
                  <c:v>665</c:v>
                </c:pt>
                <c:pt idx="71">
                  <c:v>385</c:v>
                </c:pt>
                <c:pt idx="72">
                  <c:v>400</c:v>
                </c:pt>
                <c:pt idx="73">
                  <c:v>60</c:v>
                </c:pt>
                <c:pt idx="74">
                  <c:v>0</c:v>
                </c:pt>
                <c:pt idx="75">
                  <c:v>725</c:v>
                </c:pt>
                <c:pt idx="76">
                  <c:v>385</c:v>
                </c:pt>
                <c:pt idx="77">
                  <c:v>120</c:v>
                </c:pt>
                <c:pt idx="78">
                  <c:v>520</c:v>
                </c:pt>
                <c:pt idx="79">
                  <c:v>485</c:v>
                </c:pt>
                <c:pt idx="80">
                  <c:v>0</c:v>
                </c:pt>
                <c:pt idx="81">
                  <c:v>0</c:v>
                </c:pt>
                <c:pt idx="82">
                  <c:v>0</c:v>
                </c:pt>
                <c:pt idx="83">
                  <c:v>605</c:v>
                </c:pt>
                <c:pt idx="84">
                  <c:v>0</c:v>
                </c:pt>
                <c:pt idx="85">
                  <c:v>155</c:v>
                </c:pt>
                <c:pt idx="86">
                  <c:v>240</c:v>
                </c:pt>
                <c:pt idx="87">
                  <c:v>50</c:v>
                </c:pt>
                <c:pt idx="88">
                  <c:v>795</c:v>
                </c:pt>
                <c:pt idx="89">
                  <c:v>445</c:v>
                </c:pt>
                <c:pt idx="90">
                  <c:v>845</c:v>
                </c:pt>
                <c:pt idx="91">
                  <c:v>155</c:v>
                </c:pt>
                <c:pt idx="92">
                  <c:v>440</c:v>
                </c:pt>
                <c:pt idx="93">
                  <c:v>140</c:v>
                </c:pt>
                <c:pt idx="94">
                  <c:v>390</c:v>
                </c:pt>
                <c:pt idx="95">
                  <c:v>0</c:v>
                </c:pt>
                <c:pt idx="96">
                  <c:v>690</c:v>
                </c:pt>
                <c:pt idx="97">
                  <c:v>425</c:v>
                </c:pt>
                <c:pt idx="98">
                  <c:v>125</c:v>
                </c:pt>
                <c:pt idx="99">
                  <c:v>270</c:v>
                </c:pt>
                <c:pt idx="100">
                  <c:v>420</c:v>
                </c:pt>
                <c:pt idx="101">
                  <c:v>0</c:v>
                </c:pt>
                <c:pt idx="102">
                  <c:v>280</c:v>
                </c:pt>
                <c:pt idx="103">
                  <c:v>0</c:v>
                </c:pt>
                <c:pt idx="104">
                  <c:v>285</c:v>
                </c:pt>
                <c:pt idx="105">
                  <c:v>695</c:v>
                </c:pt>
                <c:pt idx="106">
                  <c:v>165</c:v>
                </c:pt>
                <c:pt idx="107">
                  <c:v>200</c:v>
                </c:pt>
                <c:pt idx="108">
                  <c:v>25</c:v>
                </c:pt>
                <c:pt idx="109">
                  <c:v>240</c:v>
                </c:pt>
                <c:pt idx="110">
                  <c:v>235</c:v>
                </c:pt>
                <c:pt idx="111">
                  <c:v>700</c:v>
                </c:pt>
                <c:pt idx="112">
                  <c:v>175</c:v>
                </c:pt>
                <c:pt idx="113">
                  <c:v>0</c:v>
                </c:pt>
                <c:pt idx="114">
                  <c:v>635</c:v>
                </c:pt>
                <c:pt idx="115">
                  <c:v>0</c:v>
                </c:pt>
                <c:pt idx="116">
                  <c:v>255</c:v>
                </c:pt>
                <c:pt idx="117">
                  <c:v>130</c:v>
                </c:pt>
                <c:pt idx="118">
                  <c:v>390</c:v>
                </c:pt>
                <c:pt idx="119">
                  <c:v>130</c:v>
                </c:pt>
                <c:pt idx="120">
                  <c:v>1485</c:v>
                </c:pt>
                <c:pt idx="121">
                  <c:v>110</c:v>
                </c:pt>
                <c:pt idx="122">
                  <c:v>1115</c:v>
                </c:pt>
                <c:pt idx="123">
                  <c:v>0</c:v>
                </c:pt>
                <c:pt idx="124">
                  <c:v>345</c:v>
                </c:pt>
                <c:pt idx="125">
                  <c:v>125</c:v>
                </c:pt>
                <c:pt idx="126">
                  <c:v>130</c:v>
                </c:pt>
                <c:pt idx="127">
                  <c:v>410</c:v>
                </c:pt>
                <c:pt idx="128">
                  <c:v>0</c:v>
                </c:pt>
                <c:pt idx="129">
                  <c:v>530</c:v>
                </c:pt>
                <c:pt idx="130">
                  <c:v>125</c:v>
                </c:pt>
                <c:pt idx="131">
                  <c:v>385</c:v>
                </c:pt>
                <c:pt idx="132">
                  <c:v>130</c:v>
                </c:pt>
                <c:pt idx="133">
                  <c:v>260</c:v>
                </c:pt>
                <c:pt idx="134">
                  <c:v>410</c:v>
                </c:pt>
                <c:pt idx="135">
                  <c:v>725</c:v>
                </c:pt>
                <c:pt idx="136">
                  <c:v>325</c:v>
                </c:pt>
                <c:pt idx="137">
                  <c:v>0</c:v>
                </c:pt>
                <c:pt idx="138">
                  <c:v>400</c:v>
                </c:pt>
                <c:pt idx="139">
                  <c:v>400</c:v>
                </c:pt>
                <c:pt idx="140">
                  <c:v>815</c:v>
                </c:pt>
                <c:pt idx="141">
                  <c:v>0</c:v>
                </c:pt>
                <c:pt idx="142">
                  <c:v>0</c:v>
                </c:pt>
                <c:pt idx="143">
                  <c:v>265</c:v>
                </c:pt>
                <c:pt idx="144">
                  <c:v>440</c:v>
                </c:pt>
                <c:pt idx="145">
                  <c:v>0</c:v>
                </c:pt>
                <c:pt idx="146">
                  <c:v>675</c:v>
                </c:pt>
                <c:pt idx="147">
                  <c:v>110</c:v>
                </c:pt>
                <c:pt idx="148">
                  <c:v>1225</c:v>
                </c:pt>
                <c:pt idx="149">
                  <c:v>150</c:v>
                </c:pt>
                <c:pt idx="150">
                  <c:v>75</c:v>
                </c:pt>
                <c:pt idx="151">
                  <c:v>275</c:v>
                </c:pt>
                <c:pt idx="152">
                  <c:v>270</c:v>
                </c:pt>
                <c:pt idx="153">
                  <c:v>270</c:v>
                </c:pt>
                <c:pt idx="154">
                  <c:v>270</c:v>
                </c:pt>
                <c:pt idx="155">
                  <c:v>380</c:v>
                </c:pt>
                <c:pt idx="156">
                  <c:v>300</c:v>
                </c:pt>
                <c:pt idx="157">
                  <c:v>150</c:v>
                </c:pt>
                <c:pt idx="158">
                  <c:v>300</c:v>
                </c:pt>
                <c:pt idx="159">
                  <c:v>0</c:v>
                </c:pt>
                <c:pt idx="160">
                  <c:v>0</c:v>
                </c:pt>
                <c:pt idx="161">
                  <c:v>300</c:v>
                </c:pt>
                <c:pt idx="162">
                  <c:v>200</c:v>
                </c:pt>
                <c:pt idx="163">
                  <c:v>340</c:v>
                </c:pt>
                <c:pt idx="164">
                  <c:v>235</c:v>
                </c:pt>
                <c:pt idx="165">
                  <c:v>75</c:v>
                </c:pt>
                <c:pt idx="166">
                  <c:v>230</c:v>
                </c:pt>
                <c:pt idx="167">
                  <c:v>200</c:v>
                </c:pt>
                <c:pt idx="168">
                  <c:v>355</c:v>
                </c:pt>
                <c:pt idx="169">
                  <c:v>150</c:v>
                </c:pt>
                <c:pt idx="170">
                  <c:v>300</c:v>
                </c:pt>
                <c:pt idx="171">
                  <c:v>150</c:v>
                </c:pt>
                <c:pt idx="172">
                  <c:v>150</c:v>
                </c:pt>
                <c:pt idx="173">
                  <c:v>150</c:v>
                </c:pt>
                <c:pt idx="174">
                  <c:v>325</c:v>
                </c:pt>
                <c:pt idx="175">
                  <c:v>335</c:v>
                </c:pt>
                <c:pt idx="176">
                  <c:v>685</c:v>
                </c:pt>
                <c:pt idx="177">
                  <c:v>525</c:v>
                </c:pt>
                <c:pt idx="178">
                  <c:v>625</c:v>
                </c:pt>
                <c:pt idx="179">
                  <c:v>235</c:v>
                </c:pt>
                <c:pt idx="180">
                  <c:v>110</c:v>
                </c:pt>
                <c:pt idx="181">
                  <c:v>340</c:v>
                </c:pt>
                <c:pt idx="182">
                  <c:v>50</c:v>
                </c:pt>
                <c:pt idx="183">
                  <c:v>0</c:v>
                </c:pt>
                <c:pt idx="184">
                  <c:v>115</c:v>
                </c:pt>
                <c:pt idx="185">
                  <c:v>265</c:v>
                </c:pt>
                <c:pt idx="186">
                  <c:v>265</c:v>
                </c:pt>
                <c:pt idx="187">
                  <c:v>0</c:v>
                </c:pt>
                <c:pt idx="188">
                  <c:v>350</c:v>
                </c:pt>
                <c:pt idx="189">
                  <c:v>80</c:v>
                </c:pt>
                <c:pt idx="190">
                  <c:v>230</c:v>
                </c:pt>
                <c:pt idx="191">
                  <c:v>190</c:v>
                </c:pt>
                <c:pt idx="192">
                  <c:v>265</c:v>
                </c:pt>
                <c:pt idx="193">
                  <c:v>200</c:v>
                </c:pt>
                <c:pt idx="194">
                  <c:v>290</c:v>
                </c:pt>
                <c:pt idx="195">
                  <c:v>55</c:v>
                </c:pt>
                <c:pt idx="196">
                  <c:v>110</c:v>
                </c:pt>
                <c:pt idx="197">
                  <c:v>390</c:v>
                </c:pt>
                <c:pt idx="198">
                  <c:v>1360</c:v>
                </c:pt>
                <c:pt idx="199">
                  <c:v>425</c:v>
                </c:pt>
                <c:pt idx="200">
                  <c:v>525</c:v>
                </c:pt>
                <c:pt idx="201">
                  <c:v>100</c:v>
                </c:pt>
                <c:pt idx="202">
                  <c:v>250</c:v>
                </c:pt>
                <c:pt idx="203">
                  <c:v>0</c:v>
                </c:pt>
              </c:numCache>
            </c:numRef>
          </c:val>
          <c:smooth val="0"/>
          <c:extLst>
            <c:ext xmlns:c16="http://schemas.microsoft.com/office/drawing/2014/chart" uri="{C3380CC4-5D6E-409C-BE32-E72D297353CC}">
              <c16:uniqueId val="{00000000-CE42-4A1B-8B5B-A9ED41B0D8AF}"/>
            </c:ext>
          </c:extLst>
        </c:ser>
        <c:ser>
          <c:idx val="1"/>
          <c:order val="1"/>
          <c:tx>
            <c:strRef>
              <c:f>'Fig 11.1. XmR chart'!$H$1</c:f>
              <c:strCache>
                <c:ptCount val="1"/>
                <c:pt idx="0">
                  <c:v>Ave. mR</c:v>
                </c:pt>
              </c:strCache>
            </c:strRef>
          </c:tx>
          <c:spPr>
            <a:ln w="28575" cap="rnd">
              <a:solidFill>
                <a:schemeClr val="tx1"/>
              </a:solidFill>
              <a:round/>
            </a:ln>
            <a:effectLst/>
          </c:spPr>
          <c:marker>
            <c:symbol val="none"/>
          </c:marker>
          <c:val>
            <c:numRef>
              <c:f>'Fig 11.1. XmR chart'!$H$2:$H$205</c:f>
              <c:numCache>
                <c:formatCode>General</c:formatCode>
                <c:ptCount val="204"/>
                <c:pt idx="0">
                  <c:v>318.81</c:v>
                </c:pt>
                <c:pt idx="1">
                  <c:v>318.81</c:v>
                </c:pt>
                <c:pt idx="2">
                  <c:v>318.81</c:v>
                </c:pt>
                <c:pt idx="3">
                  <c:v>318.81</c:v>
                </c:pt>
                <c:pt idx="4">
                  <c:v>318.81</c:v>
                </c:pt>
                <c:pt idx="5">
                  <c:v>318.81</c:v>
                </c:pt>
                <c:pt idx="6">
                  <c:v>318.81</c:v>
                </c:pt>
                <c:pt idx="7">
                  <c:v>318.81</c:v>
                </c:pt>
                <c:pt idx="8">
                  <c:v>318.81</c:v>
                </c:pt>
                <c:pt idx="9">
                  <c:v>318.81</c:v>
                </c:pt>
                <c:pt idx="10">
                  <c:v>318.81</c:v>
                </c:pt>
                <c:pt idx="11">
                  <c:v>318.81</c:v>
                </c:pt>
                <c:pt idx="12">
                  <c:v>318.81</c:v>
                </c:pt>
                <c:pt idx="13">
                  <c:v>318.81</c:v>
                </c:pt>
                <c:pt idx="14">
                  <c:v>318.81</c:v>
                </c:pt>
                <c:pt idx="15">
                  <c:v>318.81</c:v>
                </c:pt>
                <c:pt idx="16">
                  <c:v>318.81</c:v>
                </c:pt>
                <c:pt idx="17">
                  <c:v>318.81</c:v>
                </c:pt>
                <c:pt idx="18">
                  <c:v>318.81</c:v>
                </c:pt>
                <c:pt idx="19">
                  <c:v>318.81</c:v>
                </c:pt>
                <c:pt idx="20">
                  <c:v>318.81</c:v>
                </c:pt>
                <c:pt idx="21">
                  <c:v>318.81</c:v>
                </c:pt>
                <c:pt idx="22">
                  <c:v>318.81</c:v>
                </c:pt>
                <c:pt idx="23">
                  <c:v>318.81</c:v>
                </c:pt>
                <c:pt idx="24">
                  <c:v>318.81</c:v>
                </c:pt>
                <c:pt idx="25">
                  <c:v>318.81</c:v>
                </c:pt>
                <c:pt idx="26">
                  <c:v>318.81</c:v>
                </c:pt>
                <c:pt idx="27">
                  <c:v>318.81</c:v>
                </c:pt>
                <c:pt idx="28">
                  <c:v>318.81</c:v>
                </c:pt>
                <c:pt idx="29">
                  <c:v>318.81</c:v>
                </c:pt>
                <c:pt idx="30">
                  <c:v>318.81</c:v>
                </c:pt>
                <c:pt idx="31">
                  <c:v>318.81</c:v>
                </c:pt>
                <c:pt idx="32">
                  <c:v>318.81</c:v>
                </c:pt>
                <c:pt idx="33">
                  <c:v>318.81</c:v>
                </c:pt>
                <c:pt idx="34">
                  <c:v>318.81</c:v>
                </c:pt>
                <c:pt idx="35">
                  <c:v>318.81</c:v>
                </c:pt>
                <c:pt idx="36">
                  <c:v>318.81</c:v>
                </c:pt>
                <c:pt idx="37">
                  <c:v>318.81</c:v>
                </c:pt>
                <c:pt idx="38">
                  <c:v>318.81</c:v>
                </c:pt>
                <c:pt idx="39">
                  <c:v>318.81</c:v>
                </c:pt>
                <c:pt idx="40">
                  <c:v>318.81</c:v>
                </c:pt>
                <c:pt idx="41">
                  <c:v>318.81</c:v>
                </c:pt>
                <c:pt idx="42">
                  <c:v>318.81</c:v>
                </c:pt>
                <c:pt idx="43">
                  <c:v>318.81</c:v>
                </c:pt>
                <c:pt idx="44">
                  <c:v>318.81</c:v>
                </c:pt>
                <c:pt idx="45">
                  <c:v>318.81</c:v>
                </c:pt>
                <c:pt idx="46">
                  <c:v>318.81</c:v>
                </c:pt>
                <c:pt idx="47">
                  <c:v>318.81</c:v>
                </c:pt>
                <c:pt idx="48">
                  <c:v>318.81</c:v>
                </c:pt>
                <c:pt idx="49">
                  <c:v>318.81</c:v>
                </c:pt>
                <c:pt idx="50">
                  <c:v>318.81</c:v>
                </c:pt>
                <c:pt idx="51">
                  <c:v>318.81</c:v>
                </c:pt>
                <c:pt idx="52">
                  <c:v>318.81</c:v>
                </c:pt>
                <c:pt idx="53">
                  <c:v>318.81</c:v>
                </c:pt>
                <c:pt idx="54">
                  <c:v>318.81</c:v>
                </c:pt>
                <c:pt idx="55">
                  <c:v>318.81</c:v>
                </c:pt>
                <c:pt idx="56">
                  <c:v>318.81</c:v>
                </c:pt>
                <c:pt idx="57">
                  <c:v>318.81</c:v>
                </c:pt>
                <c:pt idx="58">
                  <c:v>318.81</c:v>
                </c:pt>
                <c:pt idx="59">
                  <c:v>318.81</c:v>
                </c:pt>
                <c:pt idx="60">
                  <c:v>318.81</c:v>
                </c:pt>
                <c:pt idx="61">
                  <c:v>318.81</c:v>
                </c:pt>
                <c:pt idx="62">
                  <c:v>318.81</c:v>
                </c:pt>
                <c:pt idx="63">
                  <c:v>318.81</c:v>
                </c:pt>
                <c:pt idx="64">
                  <c:v>318.81</c:v>
                </c:pt>
                <c:pt idx="65">
                  <c:v>318.81</c:v>
                </c:pt>
                <c:pt idx="66">
                  <c:v>318.81</c:v>
                </c:pt>
                <c:pt idx="67">
                  <c:v>318.81</c:v>
                </c:pt>
                <c:pt idx="68">
                  <c:v>318.81</c:v>
                </c:pt>
                <c:pt idx="69">
                  <c:v>318.81</c:v>
                </c:pt>
                <c:pt idx="70">
                  <c:v>318.81</c:v>
                </c:pt>
                <c:pt idx="71">
                  <c:v>318.81</c:v>
                </c:pt>
                <c:pt idx="72">
                  <c:v>318.81</c:v>
                </c:pt>
                <c:pt idx="73">
                  <c:v>318.81</c:v>
                </c:pt>
                <c:pt idx="74">
                  <c:v>318.81</c:v>
                </c:pt>
                <c:pt idx="75">
                  <c:v>318.81</c:v>
                </c:pt>
                <c:pt idx="76">
                  <c:v>318.81</c:v>
                </c:pt>
                <c:pt idx="77">
                  <c:v>318.81</c:v>
                </c:pt>
                <c:pt idx="78">
                  <c:v>318.81</c:v>
                </c:pt>
                <c:pt idx="79">
                  <c:v>318.81</c:v>
                </c:pt>
                <c:pt idx="80">
                  <c:v>318.81</c:v>
                </c:pt>
                <c:pt idx="81">
                  <c:v>318.81</c:v>
                </c:pt>
                <c:pt idx="82">
                  <c:v>318.81</c:v>
                </c:pt>
                <c:pt idx="83">
                  <c:v>318.81</c:v>
                </c:pt>
                <c:pt idx="84">
                  <c:v>318.81</c:v>
                </c:pt>
                <c:pt idx="85">
                  <c:v>318.81</c:v>
                </c:pt>
                <c:pt idx="86">
                  <c:v>318.81</c:v>
                </c:pt>
                <c:pt idx="87">
                  <c:v>318.81</c:v>
                </c:pt>
                <c:pt idx="88">
                  <c:v>318.81</c:v>
                </c:pt>
                <c:pt idx="89">
                  <c:v>318.81</c:v>
                </c:pt>
                <c:pt idx="90">
                  <c:v>318.81</c:v>
                </c:pt>
                <c:pt idx="91">
                  <c:v>318.81</c:v>
                </c:pt>
                <c:pt idx="92">
                  <c:v>318.81</c:v>
                </c:pt>
                <c:pt idx="93">
                  <c:v>318.81</c:v>
                </c:pt>
                <c:pt idx="94">
                  <c:v>318.81</c:v>
                </c:pt>
                <c:pt idx="95">
                  <c:v>318.81</c:v>
                </c:pt>
                <c:pt idx="96">
                  <c:v>318.81</c:v>
                </c:pt>
                <c:pt idx="97">
                  <c:v>318.81</c:v>
                </c:pt>
                <c:pt idx="98">
                  <c:v>318.81</c:v>
                </c:pt>
                <c:pt idx="99">
                  <c:v>318.81</c:v>
                </c:pt>
                <c:pt idx="100">
                  <c:v>318.81</c:v>
                </c:pt>
                <c:pt idx="101">
                  <c:v>318.81</c:v>
                </c:pt>
                <c:pt idx="102">
                  <c:v>318.81</c:v>
                </c:pt>
                <c:pt idx="103">
                  <c:v>318.81</c:v>
                </c:pt>
                <c:pt idx="104">
                  <c:v>318.81</c:v>
                </c:pt>
                <c:pt idx="105">
                  <c:v>318.81</c:v>
                </c:pt>
                <c:pt idx="106">
                  <c:v>318.81</c:v>
                </c:pt>
                <c:pt idx="107">
                  <c:v>318.81</c:v>
                </c:pt>
                <c:pt idx="108">
                  <c:v>318.81</c:v>
                </c:pt>
                <c:pt idx="109">
                  <c:v>318.81</c:v>
                </c:pt>
                <c:pt idx="110">
                  <c:v>318.81</c:v>
                </c:pt>
                <c:pt idx="111">
                  <c:v>318.81</c:v>
                </c:pt>
                <c:pt idx="112">
                  <c:v>318.81</c:v>
                </c:pt>
                <c:pt idx="113">
                  <c:v>318.81</c:v>
                </c:pt>
                <c:pt idx="114">
                  <c:v>318.81</c:v>
                </c:pt>
                <c:pt idx="115">
                  <c:v>318.81</c:v>
                </c:pt>
                <c:pt idx="116">
                  <c:v>318.81</c:v>
                </c:pt>
                <c:pt idx="117">
                  <c:v>318.81</c:v>
                </c:pt>
                <c:pt idx="118">
                  <c:v>318.81</c:v>
                </c:pt>
                <c:pt idx="119">
                  <c:v>318.81</c:v>
                </c:pt>
                <c:pt idx="120">
                  <c:v>318.81</c:v>
                </c:pt>
                <c:pt idx="121">
                  <c:v>318.81</c:v>
                </c:pt>
                <c:pt idx="122">
                  <c:v>318.81</c:v>
                </c:pt>
                <c:pt idx="123">
                  <c:v>318.81</c:v>
                </c:pt>
                <c:pt idx="124">
                  <c:v>318.81</c:v>
                </c:pt>
                <c:pt idx="125">
                  <c:v>318.81</c:v>
                </c:pt>
                <c:pt idx="126">
                  <c:v>318.81</c:v>
                </c:pt>
                <c:pt idx="127">
                  <c:v>318.81</c:v>
                </c:pt>
                <c:pt idx="128">
                  <c:v>318.81</c:v>
                </c:pt>
                <c:pt idx="129">
                  <c:v>318.81</c:v>
                </c:pt>
                <c:pt idx="130">
                  <c:v>318.81</c:v>
                </c:pt>
                <c:pt idx="131">
                  <c:v>318.81</c:v>
                </c:pt>
                <c:pt idx="132">
                  <c:v>318.81</c:v>
                </c:pt>
                <c:pt idx="133">
                  <c:v>318.81</c:v>
                </c:pt>
                <c:pt idx="134">
                  <c:v>318.81</c:v>
                </c:pt>
                <c:pt idx="135">
                  <c:v>318.81</c:v>
                </c:pt>
                <c:pt idx="136">
                  <c:v>318.81</c:v>
                </c:pt>
                <c:pt idx="137">
                  <c:v>318.81</c:v>
                </c:pt>
                <c:pt idx="138">
                  <c:v>318.81</c:v>
                </c:pt>
                <c:pt idx="139">
                  <c:v>318.81</c:v>
                </c:pt>
                <c:pt idx="140">
                  <c:v>318.81</c:v>
                </c:pt>
                <c:pt idx="141">
                  <c:v>318.81</c:v>
                </c:pt>
                <c:pt idx="142">
                  <c:v>318.81</c:v>
                </c:pt>
                <c:pt idx="143">
                  <c:v>318.81</c:v>
                </c:pt>
                <c:pt idx="144">
                  <c:v>318.81</c:v>
                </c:pt>
                <c:pt idx="145">
                  <c:v>318.81</c:v>
                </c:pt>
                <c:pt idx="146">
                  <c:v>318.81</c:v>
                </c:pt>
                <c:pt idx="147">
                  <c:v>318.81</c:v>
                </c:pt>
                <c:pt idx="148">
                  <c:v>318.81</c:v>
                </c:pt>
                <c:pt idx="149">
                  <c:v>318.81</c:v>
                </c:pt>
                <c:pt idx="150">
                  <c:v>318.81</c:v>
                </c:pt>
                <c:pt idx="151">
                  <c:v>318.81</c:v>
                </c:pt>
                <c:pt idx="152">
                  <c:v>318.81</c:v>
                </c:pt>
                <c:pt idx="153">
                  <c:v>318.81</c:v>
                </c:pt>
                <c:pt idx="154">
                  <c:v>318.81</c:v>
                </c:pt>
                <c:pt idx="155">
                  <c:v>318.81</c:v>
                </c:pt>
                <c:pt idx="156">
                  <c:v>318.81</c:v>
                </c:pt>
                <c:pt idx="157">
                  <c:v>318.81</c:v>
                </c:pt>
                <c:pt idx="158">
                  <c:v>318.81</c:v>
                </c:pt>
                <c:pt idx="159">
                  <c:v>318.81</c:v>
                </c:pt>
                <c:pt idx="160">
                  <c:v>318.81</c:v>
                </c:pt>
                <c:pt idx="161">
                  <c:v>318.81</c:v>
                </c:pt>
                <c:pt idx="162">
                  <c:v>318.81</c:v>
                </c:pt>
                <c:pt idx="163">
                  <c:v>318.81</c:v>
                </c:pt>
                <c:pt idx="164">
                  <c:v>318.81</c:v>
                </c:pt>
                <c:pt idx="165">
                  <c:v>318.81</c:v>
                </c:pt>
                <c:pt idx="166">
                  <c:v>318.81</c:v>
                </c:pt>
                <c:pt idx="167">
                  <c:v>318.81</c:v>
                </c:pt>
                <c:pt idx="168">
                  <c:v>318.81</c:v>
                </c:pt>
                <c:pt idx="169">
                  <c:v>318.81</c:v>
                </c:pt>
                <c:pt idx="170">
                  <c:v>318.81</c:v>
                </c:pt>
                <c:pt idx="171">
                  <c:v>318.81</c:v>
                </c:pt>
                <c:pt idx="172">
                  <c:v>318.81</c:v>
                </c:pt>
                <c:pt idx="173">
                  <c:v>318.81</c:v>
                </c:pt>
                <c:pt idx="174">
                  <c:v>318.81</c:v>
                </c:pt>
                <c:pt idx="175">
                  <c:v>318.81</c:v>
                </c:pt>
                <c:pt idx="176">
                  <c:v>318.81</c:v>
                </c:pt>
                <c:pt idx="177">
                  <c:v>318.81</c:v>
                </c:pt>
                <c:pt idx="178">
                  <c:v>318.81</c:v>
                </c:pt>
                <c:pt idx="179">
                  <c:v>318.81</c:v>
                </c:pt>
                <c:pt idx="180">
                  <c:v>318.81</c:v>
                </c:pt>
                <c:pt idx="181">
                  <c:v>318.81</c:v>
                </c:pt>
                <c:pt idx="182">
                  <c:v>318.81</c:v>
                </c:pt>
                <c:pt idx="183">
                  <c:v>318.81</c:v>
                </c:pt>
                <c:pt idx="184">
                  <c:v>318.81</c:v>
                </c:pt>
                <c:pt idx="185">
                  <c:v>318.81</c:v>
                </c:pt>
                <c:pt idx="186">
                  <c:v>318.81</c:v>
                </c:pt>
                <c:pt idx="187">
                  <c:v>318.81</c:v>
                </c:pt>
                <c:pt idx="188">
                  <c:v>318.81</c:v>
                </c:pt>
                <c:pt idx="189">
                  <c:v>318.81</c:v>
                </c:pt>
                <c:pt idx="190">
                  <c:v>318.81</c:v>
                </c:pt>
                <c:pt idx="191">
                  <c:v>318.81</c:v>
                </c:pt>
                <c:pt idx="192">
                  <c:v>318.81</c:v>
                </c:pt>
                <c:pt idx="193">
                  <c:v>318.81</c:v>
                </c:pt>
                <c:pt idx="194">
                  <c:v>318.81</c:v>
                </c:pt>
                <c:pt idx="195">
                  <c:v>318.81</c:v>
                </c:pt>
                <c:pt idx="196">
                  <c:v>318.81</c:v>
                </c:pt>
                <c:pt idx="197">
                  <c:v>318.81</c:v>
                </c:pt>
                <c:pt idx="198">
                  <c:v>318.81</c:v>
                </c:pt>
                <c:pt idx="199">
                  <c:v>318.81</c:v>
                </c:pt>
                <c:pt idx="200">
                  <c:v>318.81</c:v>
                </c:pt>
                <c:pt idx="201">
                  <c:v>318.81</c:v>
                </c:pt>
                <c:pt idx="202">
                  <c:v>318.81</c:v>
                </c:pt>
                <c:pt idx="203">
                  <c:v>318.81</c:v>
                </c:pt>
              </c:numCache>
            </c:numRef>
          </c:val>
          <c:smooth val="0"/>
          <c:extLst>
            <c:ext xmlns:c16="http://schemas.microsoft.com/office/drawing/2014/chart" uri="{C3380CC4-5D6E-409C-BE32-E72D297353CC}">
              <c16:uniqueId val="{00000001-CE42-4A1B-8B5B-A9ED41B0D8AF}"/>
            </c:ext>
          </c:extLst>
        </c:ser>
        <c:ser>
          <c:idx val="2"/>
          <c:order val="2"/>
          <c:tx>
            <c:strRef>
              <c:f>'Fig 11.1. XmR chart'!$I$1</c:f>
              <c:strCache>
                <c:ptCount val="1"/>
                <c:pt idx="0">
                  <c:v>URL</c:v>
                </c:pt>
              </c:strCache>
            </c:strRef>
          </c:tx>
          <c:spPr>
            <a:ln w="28575" cap="rnd">
              <a:solidFill>
                <a:srgbClr val="D72323"/>
              </a:solidFill>
              <a:prstDash val="dash"/>
              <a:round/>
            </a:ln>
            <a:effectLst/>
          </c:spPr>
          <c:marker>
            <c:symbol val="none"/>
          </c:marker>
          <c:val>
            <c:numRef>
              <c:f>'Fig 11.1. XmR chart'!$I$2:$I$205</c:f>
              <c:numCache>
                <c:formatCode>General</c:formatCode>
                <c:ptCount val="204"/>
                <c:pt idx="0">
                  <c:v>1041.8699999999999</c:v>
                </c:pt>
                <c:pt idx="1">
                  <c:v>1041.8699999999999</c:v>
                </c:pt>
                <c:pt idx="2">
                  <c:v>1041.8699999999999</c:v>
                </c:pt>
                <c:pt idx="3">
                  <c:v>1041.8699999999999</c:v>
                </c:pt>
                <c:pt idx="4">
                  <c:v>1041.8699999999999</c:v>
                </c:pt>
                <c:pt idx="5">
                  <c:v>1041.8699999999999</c:v>
                </c:pt>
                <c:pt idx="6">
                  <c:v>1041.8699999999999</c:v>
                </c:pt>
                <c:pt idx="7">
                  <c:v>1041.8699999999999</c:v>
                </c:pt>
                <c:pt idx="8">
                  <c:v>1041.8699999999999</c:v>
                </c:pt>
                <c:pt idx="9">
                  <c:v>1041.8699999999999</c:v>
                </c:pt>
                <c:pt idx="10">
                  <c:v>1041.8699999999999</c:v>
                </c:pt>
                <c:pt idx="11">
                  <c:v>1041.8699999999999</c:v>
                </c:pt>
                <c:pt idx="12">
                  <c:v>1041.8699999999999</c:v>
                </c:pt>
                <c:pt idx="13">
                  <c:v>1041.8699999999999</c:v>
                </c:pt>
                <c:pt idx="14">
                  <c:v>1041.8699999999999</c:v>
                </c:pt>
                <c:pt idx="15">
                  <c:v>1041.8699999999999</c:v>
                </c:pt>
                <c:pt idx="16">
                  <c:v>1041.8699999999999</c:v>
                </c:pt>
                <c:pt idx="17">
                  <c:v>1041.8699999999999</c:v>
                </c:pt>
                <c:pt idx="18">
                  <c:v>1041.8699999999999</c:v>
                </c:pt>
                <c:pt idx="19">
                  <c:v>1041.8699999999999</c:v>
                </c:pt>
                <c:pt idx="20">
                  <c:v>1041.8699999999999</c:v>
                </c:pt>
                <c:pt idx="21">
                  <c:v>1041.8699999999999</c:v>
                </c:pt>
                <c:pt idx="22">
                  <c:v>1041.8699999999999</c:v>
                </c:pt>
                <c:pt idx="23">
                  <c:v>1041.8699999999999</c:v>
                </c:pt>
                <c:pt idx="24">
                  <c:v>1041.8699999999999</c:v>
                </c:pt>
                <c:pt idx="25">
                  <c:v>1041.8699999999999</c:v>
                </c:pt>
                <c:pt idx="26">
                  <c:v>1041.8699999999999</c:v>
                </c:pt>
                <c:pt idx="27">
                  <c:v>1041.8699999999999</c:v>
                </c:pt>
                <c:pt idx="28">
                  <c:v>1041.8699999999999</c:v>
                </c:pt>
                <c:pt idx="29">
                  <c:v>1041.8699999999999</c:v>
                </c:pt>
                <c:pt idx="30">
                  <c:v>1041.8699999999999</c:v>
                </c:pt>
                <c:pt idx="31">
                  <c:v>1041.8699999999999</c:v>
                </c:pt>
                <c:pt idx="32">
                  <c:v>1041.8699999999999</c:v>
                </c:pt>
                <c:pt idx="33">
                  <c:v>1041.8699999999999</c:v>
                </c:pt>
                <c:pt idx="34">
                  <c:v>1041.8699999999999</c:v>
                </c:pt>
                <c:pt idx="35">
                  <c:v>1041.8699999999999</c:v>
                </c:pt>
                <c:pt idx="36">
                  <c:v>1041.8699999999999</c:v>
                </c:pt>
                <c:pt idx="37">
                  <c:v>1041.8699999999999</c:v>
                </c:pt>
                <c:pt idx="38">
                  <c:v>1041.8699999999999</c:v>
                </c:pt>
                <c:pt idx="39">
                  <c:v>1041.8699999999999</c:v>
                </c:pt>
                <c:pt idx="40">
                  <c:v>1041.8699999999999</c:v>
                </c:pt>
                <c:pt idx="41">
                  <c:v>1041.8699999999999</c:v>
                </c:pt>
                <c:pt idx="42">
                  <c:v>1041.8699999999999</c:v>
                </c:pt>
                <c:pt idx="43">
                  <c:v>1041.8699999999999</c:v>
                </c:pt>
                <c:pt idx="44">
                  <c:v>1041.8699999999999</c:v>
                </c:pt>
                <c:pt idx="45">
                  <c:v>1041.8699999999999</c:v>
                </c:pt>
                <c:pt idx="46">
                  <c:v>1041.8699999999999</c:v>
                </c:pt>
                <c:pt idx="47">
                  <c:v>1041.8699999999999</c:v>
                </c:pt>
                <c:pt idx="48">
                  <c:v>1041.8699999999999</c:v>
                </c:pt>
                <c:pt idx="49">
                  <c:v>1041.8699999999999</c:v>
                </c:pt>
                <c:pt idx="50">
                  <c:v>1041.8699999999999</c:v>
                </c:pt>
                <c:pt idx="51">
                  <c:v>1041.8699999999999</c:v>
                </c:pt>
                <c:pt idx="52">
                  <c:v>1041.8699999999999</c:v>
                </c:pt>
                <c:pt idx="53">
                  <c:v>1041.8699999999999</c:v>
                </c:pt>
                <c:pt idx="54">
                  <c:v>1041.8699999999999</c:v>
                </c:pt>
                <c:pt idx="55">
                  <c:v>1041.8699999999999</c:v>
                </c:pt>
                <c:pt idx="56">
                  <c:v>1041.8699999999999</c:v>
                </c:pt>
                <c:pt idx="57">
                  <c:v>1041.8699999999999</c:v>
                </c:pt>
                <c:pt idx="58">
                  <c:v>1041.8699999999999</c:v>
                </c:pt>
                <c:pt idx="59">
                  <c:v>1041.8699999999999</c:v>
                </c:pt>
                <c:pt idx="60">
                  <c:v>1041.8699999999999</c:v>
                </c:pt>
                <c:pt idx="61">
                  <c:v>1041.8699999999999</c:v>
                </c:pt>
                <c:pt idx="62">
                  <c:v>1041.8699999999999</c:v>
                </c:pt>
                <c:pt idx="63">
                  <c:v>1041.8699999999999</c:v>
                </c:pt>
                <c:pt idx="64">
                  <c:v>1041.8699999999999</c:v>
                </c:pt>
                <c:pt idx="65">
                  <c:v>1041.8699999999999</c:v>
                </c:pt>
                <c:pt idx="66">
                  <c:v>1041.8699999999999</c:v>
                </c:pt>
                <c:pt idx="67">
                  <c:v>1041.8699999999999</c:v>
                </c:pt>
                <c:pt idx="68">
                  <c:v>1041.8699999999999</c:v>
                </c:pt>
                <c:pt idx="69">
                  <c:v>1041.8699999999999</c:v>
                </c:pt>
                <c:pt idx="70">
                  <c:v>1041.8699999999999</c:v>
                </c:pt>
                <c:pt idx="71">
                  <c:v>1041.8699999999999</c:v>
                </c:pt>
                <c:pt idx="72">
                  <c:v>1041.8699999999999</c:v>
                </c:pt>
                <c:pt idx="73">
                  <c:v>1041.8699999999999</c:v>
                </c:pt>
                <c:pt idx="74">
                  <c:v>1041.8699999999999</c:v>
                </c:pt>
                <c:pt idx="75">
                  <c:v>1041.8699999999999</c:v>
                </c:pt>
                <c:pt idx="76">
                  <c:v>1041.8699999999999</c:v>
                </c:pt>
                <c:pt idx="77">
                  <c:v>1041.8699999999999</c:v>
                </c:pt>
                <c:pt idx="78">
                  <c:v>1041.8699999999999</c:v>
                </c:pt>
                <c:pt idx="79">
                  <c:v>1041.8699999999999</c:v>
                </c:pt>
                <c:pt idx="80">
                  <c:v>1041.8699999999999</c:v>
                </c:pt>
                <c:pt idx="81">
                  <c:v>1041.8699999999999</c:v>
                </c:pt>
                <c:pt idx="82">
                  <c:v>1041.8699999999999</c:v>
                </c:pt>
                <c:pt idx="83">
                  <c:v>1041.8699999999999</c:v>
                </c:pt>
                <c:pt idx="84">
                  <c:v>1041.8699999999999</c:v>
                </c:pt>
                <c:pt idx="85">
                  <c:v>1041.8699999999999</c:v>
                </c:pt>
                <c:pt idx="86">
                  <c:v>1041.8699999999999</c:v>
                </c:pt>
                <c:pt idx="87">
                  <c:v>1041.8699999999999</c:v>
                </c:pt>
                <c:pt idx="88">
                  <c:v>1041.8699999999999</c:v>
                </c:pt>
                <c:pt idx="89">
                  <c:v>1041.8699999999999</c:v>
                </c:pt>
                <c:pt idx="90">
                  <c:v>1041.8699999999999</c:v>
                </c:pt>
                <c:pt idx="91">
                  <c:v>1041.8699999999999</c:v>
                </c:pt>
                <c:pt idx="92">
                  <c:v>1041.8699999999999</c:v>
                </c:pt>
                <c:pt idx="93">
                  <c:v>1041.8699999999999</c:v>
                </c:pt>
                <c:pt idx="94">
                  <c:v>1041.8699999999999</c:v>
                </c:pt>
                <c:pt idx="95">
                  <c:v>1041.8699999999999</c:v>
                </c:pt>
                <c:pt idx="96">
                  <c:v>1041.8699999999999</c:v>
                </c:pt>
                <c:pt idx="97">
                  <c:v>1041.8699999999999</c:v>
                </c:pt>
                <c:pt idx="98">
                  <c:v>1041.8699999999999</c:v>
                </c:pt>
                <c:pt idx="99">
                  <c:v>1041.8699999999999</c:v>
                </c:pt>
                <c:pt idx="100">
                  <c:v>1041.8699999999999</c:v>
                </c:pt>
                <c:pt idx="101">
                  <c:v>1041.8699999999999</c:v>
                </c:pt>
                <c:pt idx="102">
                  <c:v>1041.8699999999999</c:v>
                </c:pt>
                <c:pt idx="103">
                  <c:v>1041.8699999999999</c:v>
                </c:pt>
                <c:pt idx="104">
                  <c:v>1041.8699999999999</c:v>
                </c:pt>
                <c:pt idx="105">
                  <c:v>1041.8699999999999</c:v>
                </c:pt>
                <c:pt idx="106">
                  <c:v>1041.8699999999999</c:v>
                </c:pt>
                <c:pt idx="107">
                  <c:v>1041.8699999999999</c:v>
                </c:pt>
                <c:pt idx="108">
                  <c:v>1041.8699999999999</c:v>
                </c:pt>
                <c:pt idx="109">
                  <c:v>1041.8699999999999</c:v>
                </c:pt>
                <c:pt idx="110">
                  <c:v>1041.8699999999999</c:v>
                </c:pt>
                <c:pt idx="111">
                  <c:v>1041.8699999999999</c:v>
                </c:pt>
                <c:pt idx="112">
                  <c:v>1041.8699999999999</c:v>
                </c:pt>
                <c:pt idx="113">
                  <c:v>1041.8699999999999</c:v>
                </c:pt>
                <c:pt idx="114">
                  <c:v>1041.8699999999999</c:v>
                </c:pt>
                <c:pt idx="115">
                  <c:v>1041.8699999999999</c:v>
                </c:pt>
                <c:pt idx="116">
                  <c:v>1041.8699999999999</c:v>
                </c:pt>
                <c:pt idx="117">
                  <c:v>1041.8699999999999</c:v>
                </c:pt>
                <c:pt idx="118">
                  <c:v>1041.8699999999999</c:v>
                </c:pt>
                <c:pt idx="119">
                  <c:v>1041.8699999999999</c:v>
                </c:pt>
                <c:pt idx="120">
                  <c:v>1041.8699999999999</c:v>
                </c:pt>
                <c:pt idx="121">
                  <c:v>1041.8699999999999</c:v>
                </c:pt>
                <c:pt idx="122">
                  <c:v>1041.8699999999999</c:v>
                </c:pt>
                <c:pt idx="123">
                  <c:v>1041.8699999999999</c:v>
                </c:pt>
                <c:pt idx="124">
                  <c:v>1041.8699999999999</c:v>
                </c:pt>
                <c:pt idx="125">
                  <c:v>1041.8699999999999</c:v>
                </c:pt>
                <c:pt idx="126">
                  <c:v>1041.8699999999999</c:v>
                </c:pt>
                <c:pt idx="127">
                  <c:v>1041.8699999999999</c:v>
                </c:pt>
                <c:pt idx="128">
                  <c:v>1041.8699999999999</c:v>
                </c:pt>
                <c:pt idx="129">
                  <c:v>1041.8699999999999</c:v>
                </c:pt>
                <c:pt idx="130">
                  <c:v>1041.8699999999999</c:v>
                </c:pt>
                <c:pt idx="131">
                  <c:v>1041.8699999999999</c:v>
                </c:pt>
                <c:pt idx="132">
                  <c:v>1041.8699999999999</c:v>
                </c:pt>
                <c:pt idx="133">
                  <c:v>1041.8699999999999</c:v>
                </c:pt>
                <c:pt idx="134">
                  <c:v>1041.8699999999999</c:v>
                </c:pt>
                <c:pt idx="135">
                  <c:v>1041.8699999999999</c:v>
                </c:pt>
                <c:pt idx="136">
                  <c:v>1041.8699999999999</c:v>
                </c:pt>
                <c:pt idx="137">
                  <c:v>1041.8699999999999</c:v>
                </c:pt>
                <c:pt idx="138">
                  <c:v>1041.8699999999999</c:v>
                </c:pt>
                <c:pt idx="139">
                  <c:v>1041.8699999999999</c:v>
                </c:pt>
                <c:pt idx="140">
                  <c:v>1041.8699999999999</c:v>
                </c:pt>
                <c:pt idx="141">
                  <c:v>1041.8699999999999</c:v>
                </c:pt>
                <c:pt idx="142">
                  <c:v>1041.8699999999999</c:v>
                </c:pt>
                <c:pt idx="143">
                  <c:v>1041.8699999999999</c:v>
                </c:pt>
                <c:pt idx="144">
                  <c:v>1041.8699999999999</c:v>
                </c:pt>
                <c:pt idx="145">
                  <c:v>1041.8699999999999</c:v>
                </c:pt>
                <c:pt idx="146">
                  <c:v>1041.8699999999999</c:v>
                </c:pt>
                <c:pt idx="147">
                  <c:v>1041.8699999999999</c:v>
                </c:pt>
                <c:pt idx="148">
                  <c:v>1041.8699999999999</c:v>
                </c:pt>
                <c:pt idx="149">
                  <c:v>1041.8699999999999</c:v>
                </c:pt>
                <c:pt idx="150">
                  <c:v>1041.8699999999999</c:v>
                </c:pt>
                <c:pt idx="151">
                  <c:v>1041.8699999999999</c:v>
                </c:pt>
                <c:pt idx="152">
                  <c:v>1041.8699999999999</c:v>
                </c:pt>
                <c:pt idx="153">
                  <c:v>1041.8699999999999</c:v>
                </c:pt>
                <c:pt idx="154">
                  <c:v>1041.8699999999999</c:v>
                </c:pt>
                <c:pt idx="155">
                  <c:v>1041.8699999999999</c:v>
                </c:pt>
                <c:pt idx="156">
                  <c:v>1041.8699999999999</c:v>
                </c:pt>
                <c:pt idx="157">
                  <c:v>1041.8699999999999</c:v>
                </c:pt>
                <c:pt idx="158">
                  <c:v>1041.8699999999999</c:v>
                </c:pt>
                <c:pt idx="159">
                  <c:v>1041.8699999999999</c:v>
                </c:pt>
                <c:pt idx="160">
                  <c:v>1041.8699999999999</c:v>
                </c:pt>
                <c:pt idx="161">
                  <c:v>1041.8699999999999</c:v>
                </c:pt>
                <c:pt idx="162">
                  <c:v>1041.8699999999999</c:v>
                </c:pt>
                <c:pt idx="163">
                  <c:v>1041.8699999999999</c:v>
                </c:pt>
                <c:pt idx="164">
                  <c:v>1041.8699999999999</c:v>
                </c:pt>
                <c:pt idx="165">
                  <c:v>1041.8699999999999</c:v>
                </c:pt>
                <c:pt idx="166">
                  <c:v>1041.8699999999999</c:v>
                </c:pt>
                <c:pt idx="167">
                  <c:v>1041.8699999999999</c:v>
                </c:pt>
                <c:pt idx="168">
                  <c:v>1041.8699999999999</c:v>
                </c:pt>
                <c:pt idx="169">
                  <c:v>1041.8699999999999</c:v>
                </c:pt>
                <c:pt idx="170">
                  <c:v>1041.8699999999999</c:v>
                </c:pt>
                <c:pt idx="171">
                  <c:v>1041.8699999999999</c:v>
                </c:pt>
                <c:pt idx="172">
                  <c:v>1041.8699999999999</c:v>
                </c:pt>
                <c:pt idx="173">
                  <c:v>1041.8699999999999</c:v>
                </c:pt>
                <c:pt idx="174">
                  <c:v>1041.8699999999999</c:v>
                </c:pt>
                <c:pt idx="175">
                  <c:v>1041.8699999999999</c:v>
                </c:pt>
                <c:pt idx="176">
                  <c:v>1041.8699999999999</c:v>
                </c:pt>
                <c:pt idx="177">
                  <c:v>1041.8699999999999</c:v>
                </c:pt>
                <c:pt idx="178">
                  <c:v>1041.8699999999999</c:v>
                </c:pt>
                <c:pt idx="179">
                  <c:v>1041.8699999999999</c:v>
                </c:pt>
                <c:pt idx="180">
                  <c:v>1041.8699999999999</c:v>
                </c:pt>
                <c:pt idx="181">
                  <c:v>1041.8699999999999</c:v>
                </c:pt>
                <c:pt idx="182">
                  <c:v>1041.8699999999999</c:v>
                </c:pt>
                <c:pt idx="183">
                  <c:v>1041.8699999999999</c:v>
                </c:pt>
                <c:pt idx="184">
                  <c:v>1041.8699999999999</c:v>
                </c:pt>
                <c:pt idx="185">
                  <c:v>1041.8699999999999</c:v>
                </c:pt>
                <c:pt idx="186">
                  <c:v>1041.8699999999999</c:v>
                </c:pt>
                <c:pt idx="187">
                  <c:v>1041.8699999999999</c:v>
                </c:pt>
                <c:pt idx="188">
                  <c:v>1041.8699999999999</c:v>
                </c:pt>
                <c:pt idx="189">
                  <c:v>1041.8699999999999</c:v>
                </c:pt>
                <c:pt idx="190">
                  <c:v>1041.8699999999999</c:v>
                </c:pt>
                <c:pt idx="191">
                  <c:v>1041.8699999999999</c:v>
                </c:pt>
                <c:pt idx="192">
                  <c:v>1041.8699999999999</c:v>
                </c:pt>
                <c:pt idx="193">
                  <c:v>1041.8699999999999</c:v>
                </c:pt>
                <c:pt idx="194">
                  <c:v>1041.8699999999999</c:v>
                </c:pt>
                <c:pt idx="195">
                  <c:v>1041.8699999999999</c:v>
                </c:pt>
                <c:pt idx="196">
                  <c:v>1041.8699999999999</c:v>
                </c:pt>
                <c:pt idx="197">
                  <c:v>1041.8699999999999</c:v>
                </c:pt>
                <c:pt idx="198">
                  <c:v>1041.8699999999999</c:v>
                </c:pt>
                <c:pt idx="199">
                  <c:v>1041.8699999999999</c:v>
                </c:pt>
                <c:pt idx="200">
                  <c:v>1041.8699999999999</c:v>
                </c:pt>
                <c:pt idx="201">
                  <c:v>1041.8699999999999</c:v>
                </c:pt>
                <c:pt idx="202">
                  <c:v>1041.8699999999999</c:v>
                </c:pt>
                <c:pt idx="203">
                  <c:v>1041.8699999999999</c:v>
                </c:pt>
              </c:numCache>
            </c:numRef>
          </c:val>
          <c:smooth val="0"/>
          <c:extLst>
            <c:ext xmlns:c16="http://schemas.microsoft.com/office/drawing/2014/chart" uri="{C3380CC4-5D6E-409C-BE32-E72D297353CC}">
              <c16:uniqueId val="{00000002-CE42-4A1B-8B5B-A9ED41B0D8AF}"/>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11.2. Average and Range'!$D$1</c:f>
              <c:strCache>
                <c:ptCount val="1"/>
                <c:pt idx="0">
                  <c:v>Average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11.2. Average and Range'!$C$2:$C$52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11.2. Average and Range'!$D$2:$D$52</c:f>
              <c:numCache>
                <c:formatCode>General</c:formatCode>
                <c:ptCount val="51"/>
                <c:pt idx="0">
                  <c:v>4430</c:v>
                </c:pt>
                <c:pt idx="1">
                  <c:v>4372.5</c:v>
                </c:pt>
                <c:pt idx="2">
                  <c:v>3827.5</c:v>
                </c:pt>
                <c:pt idx="3">
                  <c:v>3912</c:v>
                </c:pt>
                <c:pt idx="4">
                  <c:v>5071.3</c:v>
                </c:pt>
                <c:pt idx="5">
                  <c:v>4682.5</c:v>
                </c:pt>
                <c:pt idx="6">
                  <c:v>4557.5</c:v>
                </c:pt>
                <c:pt idx="7">
                  <c:v>4725</c:v>
                </c:pt>
                <c:pt idx="8">
                  <c:v>4733.8</c:v>
                </c:pt>
                <c:pt idx="9">
                  <c:v>4372.5</c:v>
                </c:pt>
                <c:pt idx="10">
                  <c:v>4943.8</c:v>
                </c:pt>
                <c:pt idx="11">
                  <c:v>4722.5</c:v>
                </c:pt>
                <c:pt idx="12">
                  <c:v>4278.8</c:v>
                </c:pt>
                <c:pt idx="13">
                  <c:v>4242.5</c:v>
                </c:pt>
                <c:pt idx="14">
                  <c:v>4007.5</c:v>
                </c:pt>
                <c:pt idx="15">
                  <c:v>4006.3</c:v>
                </c:pt>
                <c:pt idx="16">
                  <c:v>4606.3</c:v>
                </c:pt>
                <c:pt idx="17">
                  <c:v>4647.5</c:v>
                </c:pt>
                <c:pt idx="18">
                  <c:v>4441.3</c:v>
                </c:pt>
                <c:pt idx="19">
                  <c:v>4566.3</c:v>
                </c:pt>
                <c:pt idx="20">
                  <c:v>4548.8</c:v>
                </c:pt>
                <c:pt idx="21">
                  <c:v>3846.3</c:v>
                </c:pt>
                <c:pt idx="22">
                  <c:v>4572.5</c:v>
                </c:pt>
                <c:pt idx="23">
                  <c:v>4470</c:v>
                </c:pt>
                <c:pt idx="24">
                  <c:v>4676.3</c:v>
                </c:pt>
                <c:pt idx="25">
                  <c:v>4710</c:v>
                </c:pt>
                <c:pt idx="26">
                  <c:v>4366.3</c:v>
                </c:pt>
                <c:pt idx="27">
                  <c:v>4222.5</c:v>
                </c:pt>
                <c:pt idx="28">
                  <c:v>4367.5</c:v>
                </c:pt>
                <c:pt idx="29">
                  <c:v>4495</c:v>
                </c:pt>
                <c:pt idx="30">
                  <c:v>3550</c:v>
                </c:pt>
                <c:pt idx="31">
                  <c:v>4498.8</c:v>
                </c:pt>
                <c:pt idx="32">
                  <c:v>4476.3</c:v>
                </c:pt>
                <c:pt idx="33">
                  <c:v>4528.8</c:v>
                </c:pt>
                <c:pt idx="34">
                  <c:v>4550</c:v>
                </c:pt>
                <c:pt idx="35">
                  <c:v>3701.3</c:v>
                </c:pt>
                <c:pt idx="36">
                  <c:v>4030</c:v>
                </c:pt>
                <c:pt idx="37">
                  <c:v>4781.3</c:v>
                </c:pt>
                <c:pt idx="38">
                  <c:v>4797.5</c:v>
                </c:pt>
                <c:pt idx="39">
                  <c:v>4887.5</c:v>
                </c:pt>
                <c:pt idx="40">
                  <c:v>4760</c:v>
                </c:pt>
                <c:pt idx="41">
                  <c:v>4853.8</c:v>
                </c:pt>
                <c:pt idx="42">
                  <c:v>4925</c:v>
                </c:pt>
                <c:pt idx="43">
                  <c:v>5041.3</c:v>
                </c:pt>
                <c:pt idx="44">
                  <c:v>4835</c:v>
                </c:pt>
                <c:pt idx="45">
                  <c:v>4555</c:v>
                </c:pt>
                <c:pt idx="46">
                  <c:v>4566.3</c:v>
                </c:pt>
                <c:pt idx="47">
                  <c:v>4842.5</c:v>
                </c:pt>
                <c:pt idx="48">
                  <c:v>4343.8</c:v>
                </c:pt>
                <c:pt idx="49">
                  <c:v>4361.3</c:v>
                </c:pt>
                <c:pt idx="50">
                  <c:v>5100</c:v>
                </c:pt>
              </c:numCache>
            </c:numRef>
          </c:val>
          <c:smooth val="0"/>
          <c:extLst>
            <c:ext xmlns:c16="http://schemas.microsoft.com/office/drawing/2014/chart" uri="{C3380CC4-5D6E-409C-BE32-E72D297353CC}">
              <c16:uniqueId val="{00000000-329B-41D6-8340-43856FD2F6C5}"/>
            </c:ext>
          </c:extLst>
        </c:ser>
        <c:ser>
          <c:idx val="1"/>
          <c:order val="1"/>
          <c:tx>
            <c:strRef>
              <c:f>'Fig 11.2. Average and Range'!$E$1</c:f>
              <c:strCache>
                <c:ptCount val="1"/>
                <c:pt idx="0">
                  <c:v>Grand Average</c:v>
                </c:pt>
              </c:strCache>
            </c:strRef>
          </c:tx>
          <c:spPr>
            <a:ln w="28575" cap="rnd">
              <a:solidFill>
                <a:schemeClr val="tx1"/>
              </a:solidFill>
              <a:round/>
            </a:ln>
            <a:effectLst/>
          </c:spPr>
          <c:marker>
            <c:symbol val="none"/>
          </c:marker>
          <c:cat>
            <c:strRef>
              <c:f>'Fig 11.2. Average and Range'!$C$2:$C$52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11.2. Average and Range'!$E$2:$E$52</c:f>
              <c:numCache>
                <c:formatCode>General</c:formatCode>
                <c:ptCount val="51"/>
                <c:pt idx="0">
                  <c:v>4498.2</c:v>
                </c:pt>
                <c:pt idx="1">
                  <c:v>4498.2</c:v>
                </c:pt>
                <c:pt idx="2">
                  <c:v>4498.2</c:v>
                </c:pt>
                <c:pt idx="3">
                  <c:v>4498.2</c:v>
                </c:pt>
                <c:pt idx="4">
                  <c:v>4498.2</c:v>
                </c:pt>
                <c:pt idx="5">
                  <c:v>4498.2</c:v>
                </c:pt>
                <c:pt idx="6">
                  <c:v>4498.2</c:v>
                </c:pt>
                <c:pt idx="7">
                  <c:v>4498.2</c:v>
                </c:pt>
                <c:pt idx="8">
                  <c:v>4498.2</c:v>
                </c:pt>
                <c:pt idx="9">
                  <c:v>4498.2</c:v>
                </c:pt>
                <c:pt idx="10">
                  <c:v>4498.2</c:v>
                </c:pt>
                <c:pt idx="11">
                  <c:v>4498.2</c:v>
                </c:pt>
                <c:pt idx="12">
                  <c:v>4498.2</c:v>
                </c:pt>
                <c:pt idx="13">
                  <c:v>4498.2</c:v>
                </c:pt>
                <c:pt idx="14">
                  <c:v>4498.2</c:v>
                </c:pt>
                <c:pt idx="15">
                  <c:v>4498.2</c:v>
                </c:pt>
                <c:pt idx="16">
                  <c:v>4498.2</c:v>
                </c:pt>
                <c:pt idx="17">
                  <c:v>4498.2</c:v>
                </c:pt>
                <c:pt idx="18">
                  <c:v>4498.2</c:v>
                </c:pt>
                <c:pt idx="19">
                  <c:v>4498.2</c:v>
                </c:pt>
                <c:pt idx="20">
                  <c:v>4498.2</c:v>
                </c:pt>
                <c:pt idx="21">
                  <c:v>4498.2</c:v>
                </c:pt>
                <c:pt idx="22">
                  <c:v>4498.2</c:v>
                </c:pt>
                <c:pt idx="23">
                  <c:v>4498.2</c:v>
                </c:pt>
                <c:pt idx="24">
                  <c:v>4498.2</c:v>
                </c:pt>
                <c:pt idx="25">
                  <c:v>4498.2</c:v>
                </c:pt>
                <c:pt idx="26">
                  <c:v>4498.2</c:v>
                </c:pt>
                <c:pt idx="27">
                  <c:v>4498.2</c:v>
                </c:pt>
                <c:pt idx="28">
                  <c:v>4498.2</c:v>
                </c:pt>
                <c:pt idx="29">
                  <c:v>4498.2</c:v>
                </c:pt>
                <c:pt idx="30">
                  <c:v>4498.2</c:v>
                </c:pt>
                <c:pt idx="31">
                  <c:v>4498.2</c:v>
                </c:pt>
                <c:pt idx="32">
                  <c:v>4498.2</c:v>
                </c:pt>
                <c:pt idx="33">
                  <c:v>4498.2</c:v>
                </c:pt>
                <c:pt idx="34">
                  <c:v>4498.2</c:v>
                </c:pt>
                <c:pt idx="35">
                  <c:v>4498.2</c:v>
                </c:pt>
                <c:pt idx="36">
                  <c:v>4498.2</c:v>
                </c:pt>
                <c:pt idx="37">
                  <c:v>4498.2</c:v>
                </c:pt>
                <c:pt idx="38">
                  <c:v>4498.2</c:v>
                </c:pt>
                <c:pt idx="39">
                  <c:v>4498.2</c:v>
                </c:pt>
                <c:pt idx="40">
                  <c:v>4498.2</c:v>
                </c:pt>
                <c:pt idx="41">
                  <c:v>4498.2</c:v>
                </c:pt>
                <c:pt idx="42">
                  <c:v>4498.2</c:v>
                </c:pt>
                <c:pt idx="43">
                  <c:v>4498.2</c:v>
                </c:pt>
                <c:pt idx="44">
                  <c:v>4498.2</c:v>
                </c:pt>
                <c:pt idx="45">
                  <c:v>4498.2</c:v>
                </c:pt>
                <c:pt idx="46">
                  <c:v>4498.2</c:v>
                </c:pt>
                <c:pt idx="47">
                  <c:v>4498.2</c:v>
                </c:pt>
                <c:pt idx="48">
                  <c:v>4498.2</c:v>
                </c:pt>
                <c:pt idx="49">
                  <c:v>4498.2</c:v>
                </c:pt>
                <c:pt idx="50">
                  <c:v>4498.2</c:v>
                </c:pt>
              </c:numCache>
            </c:numRef>
          </c:val>
          <c:smooth val="0"/>
          <c:extLst>
            <c:ext xmlns:c16="http://schemas.microsoft.com/office/drawing/2014/chart" uri="{C3380CC4-5D6E-409C-BE32-E72D297353CC}">
              <c16:uniqueId val="{00000001-329B-41D6-8340-43856FD2F6C5}"/>
            </c:ext>
          </c:extLst>
        </c:ser>
        <c:ser>
          <c:idx val="2"/>
          <c:order val="2"/>
          <c:tx>
            <c:strRef>
              <c:f>'Fig 11.2. Average and Range'!$F$1</c:f>
              <c:strCache>
                <c:ptCount val="1"/>
                <c:pt idx="0">
                  <c:v>UAL</c:v>
                </c:pt>
              </c:strCache>
            </c:strRef>
          </c:tx>
          <c:spPr>
            <a:ln w="28575" cap="rnd">
              <a:solidFill>
                <a:srgbClr val="D72323"/>
              </a:solidFill>
              <a:prstDash val="dash"/>
              <a:round/>
            </a:ln>
            <a:effectLst/>
          </c:spPr>
          <c:marker>
            <c:symbol val="none"/>
          </c:marker>
          <c:cat>
            <c:strRef>
              <c:f>'Fig 11.2. Average and Range'!$C$2:$C$52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11.2. Average and Range'!$F$2:$F$52</c:f>
              <c:numCache>
                <c:formatCode>General</c:formatCode>
                <c:ptCount val="51"/>
                <c:pt idx="0">
                  <c:v>4978.3</c:v>
                </c:pt>
                <c:pt idx="1">
                  <c:v>4978.3</c:v>
                </c:pt>
                <c:pt idx="2">
                  <c:v>4978.3</c:v>
                </c:pt>
                <c:pt idx="3">
                  <c:v>4978.3</c:v>
                </c:pt>
                <c:pt idx="4">
                  <c:v>4978.3</c:v>
                </c:pt>
                <c:pt idx="5">
                  <c:v>4978.3</c:v>
                </c:pt>
                <c:pt idx="6">
                  <c:v>4978.3</c:v>
                </c:pt>
                <c:pt idx="7">
                  <c:v>4978.3</c:v>
                </c:pt>
                <c:pt idx="8">
                  <c:v>4978.3</c:v>
                </c:pt>
                <c:pt idx="9">
                  <c:v>4978.3</c:v>
                </c:pt>
                <c:pt idx="10">
                  <c:v>4978.3</c:v>
                </c:pt>
                <c:pt idx="11">
                  <c:v>4978.3</c:v>
                </c:pt>
                <c:pt idx="12">
                  <c:v>4978.3</c:v>
                </c:pt>
                <c:pt idx="13">
                  <c:v>4978.3</c:v>
                </c:pt>
                <c:pt idx="14">
                  <c:v>4978.3</c:v>
                </c:pt>
                <c:pt idx="15">
                  <c:v>4978.3</c:v>
                </c:pt>
                <c:pt idx="16">
                  <c:v>4978.3</c:v>
                </c:pt>
                <c:pt idx="17">
                  <c:v>4978.3</c:v>
                </c:pt>
                <c:pt idx="18">
                  <c:v>4978.3</c:v>
                </c:pt>
                <c:pt idx="19">
                  <c:v>4978.3</c:v>
                </c:pt>
                <c:pt idx="20">
                  <c:v>4978.3</c:v>
                </c:pt>
                <c:pt idx="21">
                  <c:v>4978.3</c:v>
                </c:pt>
                <c:pt idx="22">
                  <c:v>4978.3</c:v>
                </c:pt>
                <c:pt idx="23">
                  <c:v>4978.3</c:v>
                </c:pt>
                <c:pt idx="24">
                  <c:v>4978.3</c:v>
                </c:pt>
                <c:pt idx="25">
                  <c:v>4978.3</c:v>
                </c:pt>
                <c:pt idx="26">
                  <c:v>4978.3</c:v>
                </c:pt>
                <c:pt idx="27">
                  <c:v>4978.3</c:v>
                </c:pt>
                <c:pt idx="28">
                  <c:v>4978.3</c:v>
                </c:pt>
                <c:pt idx="29">
                  <c:v>4978.3</c:v>
                </c:pt>
                <c:pt idx="30">
                  <c:v>4978.3</c:v>
                </c:pt>
                <c:pt idx="31">
                  <c:v>4978.3</c:v>
                </c:pt>
                <c:pt idx="32">
                  <c:v>4978.3</c:v>
                </c:pt>
                <c:pt idx="33">
                  <c:v>4978.3</c:v>
                </c:pt>
                <c:pt idx="34">
                  <c:v>4978.3</c:v>
                </c:pt>
                <c:pt idx="35">
                  <c:v>4978.3</c:v>
                </c:pt>
                <c:pt idx="36">
                  <c:v>4978.3</c:v>
                </c:pt>
                <c:pt idx="37">
                  <c:v>4978.3</c:v>
                </c:pt>
                <c:pt idx="38">
                  <c:v>4978.3</c:v>
                </c:pt>
                <c:pt idx="39">
                  <c:v>4978.3</c:v>
                </c:pt>
                <c:pt idx="40">
                  <c:v>4978.3</c:v>
                </c:pt>
                <c:pt idx="41">
                  <c:v>4978.3</c:v>
                </c:pt>
                <c:pt idx="42">
                  <c:v>4978.3</c:v>
                </c:pt>
                <c:pt idx="43">
                  <c:v>4978.3</c:v>
                </c:pt>
                <c:pt idx="44">
                  <c:v>4978.3</c:v>
                </c:pt>
                <c:pt idx="45">
                  <c:v>4978.3</c:v>
                </c:pt>
                <c:pt idx="46">
                  <c:v>4978.3</c:v>
                </c:pt>
                <c:pt idx="47">
                  <c:v>4978.3</c:v>
                </c:pt>
                <c:pt idx="48">
                  <c:v>4978.3</c:v>
                </c:pt>
                <c:pt idx="49">
                  <c:v>4978.3</c:v>
                </c:pt>
                <c:pt idx="50">
                  <c:v>4978.3</c:v>
                </c:pt>
              </c:numCache>
            </c:numRef>
          </c:val>
          <c:smooth val="0"/>
          <c:extLst>
            <c:ext xmlns:c16="http://schemas.microsoft.com/office/drawing/2014/chart" uri="{C3380CC4-5D6E-409C-BE32-E72D297353CC}">
              <c16:uniqueId val="{00000002-329B-41D6-8340-43856FD2F6C5}"/>
            </c:ext>
          </c:extLst>
        </c:ser>
        <c:ser>
          <c:idx val="3"/>
          <c:order val="3"/>
          <c:tx>
            <c:strRef>
              <c:f>'Fig 11.2. Average and Range'!$G$1</c:f>
              <c:strCache>
                <c:ptCount val="1"/>
                <c:pt idx="0">
                  <c:v>LAL</c:v>
                </c:pt>
              </c:strCache>
            </c:strRef>
          </c:tx>
          <c:spPr>
            <a:ln w="28575" cap="rnd">
              <a:solidFill>
                <a:srgbClr val="D72323"/>
              </a:solidFill>
              <a:prstDash val="dash"/>
              <a:round/>
            </a:ln>
            <a:effectLst/>
          </c:spPr>
          <c:marker>
            <c:symbol val="none"/>
          </c:marker>
          <c:cat>
            <c:strRef>
              <c:f>'Fig 11.2. Average and Range'!$C$2:$C$52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11.2. Average and Range'!$G$2:$G$52</c:f>
              <c:numCache>
                <c:formatCode>General</c:formatCode>
                <c:ptCount val="51"/>
                <c:pt idx="0">
                  <c:v>4018.1</c:v>
                </c:pt>
                <c:pt idx="1">
                  <c:v>4018.1</c:v>
                </c:pt>
                <c:pt idx="2">
                  <c:v>4018.1</c:v>
                </c:pt>
                <c:pt idx="3">
                  <c:v>4018.1</c:v>
                </c:pt>
                <c:pt idx="4">
                  <c:v>4018.1</c:v>
                </c:pt>
                <c:pt idx="5">
                  <c:v>4018.1</c:v>
                </c:pt>
                <c:pt idx="6">
                  <c:v>4018.1</c:v>
                </c:pt>
                <c:pt idx="7">
                  <c:v>4018.1</c:v>
                </c:pt>
                <c:pt idx="8">
                  <c:v>4018.1</c:v>
                </c:pt>
                <c:pt idx="9">
                  <c:v>4018.1</c:v>
                </c:pt>
                <c:pt idx="10">
                  <c:v>4018.1</c:v>
                </c:pt>
                <c:pt idx="11">
                  <c:v>4018.1</c:v>
                </c:pt>
                <c:pt idx="12">
                  <c:v>4018.1</c:v>
                </c:pt>
                <c:pt idx="13">
                  <c:v>4018.1</c:v>
                </c:pt>
                <c:pt idx="14">
                  <c:v>4018.1</c:v>
                </c:pt>
                <c:pt idx="15">
                  <c:v>4018.1</c:v>
                </c:pt>
                <c:pt idx="16">
                  <c:v>4018.1</c:v>
                </c:pt>
                <c:pt idx="17">
                  <c:v>4018.1</c:v>
                </c:pt>
                <c:pt idx="18">
                  <c:v>4018.1</c:v>
                </c:pt>
                <c:pt idx="19">
                  <c:v>4018.1</c:v>
                </c:pt>
                <c:pt idx="20">
                  <c:v>4018.1</c:v>
                </c:pt>
                <c:pt idx="21">
                  <c:v>4018.1</c:v>
                </c:pt>
                <c:pt idx="22">
                  <c:v>4018.1</c:v>
                </c:pt>
                <c:pt idx="23">
                  <c:v>4018.1</c:v>
                </c:pt>
                <c:pt idx="24">
                  <c:v>4018.1</c:v>
                </c:pt>
                <c:pt idx="25">
                  <c:v>4018.1</c:v>
                </c:pt>
                <c:pt idx="26">
                  <c:v>4018.1</c:v>
                </c:pt>
                <c:pt idx="27">
                  <c:v>4018.1</c:v>
                </c:pt>
                <c:pt idx="28">
                  <c:v>4018.1</c:v>
                </c:pt>
                <c:pt idx="29">
                  <c:v>4018.1</c:v>
                </c:pt>
                <c:pt idx="30">
                  <c:v>4018.1</c:v>
                </c:pt>
                <c:pt idx="31">
                  <c:v>4018.1</c:v>
                </c:pt>
                <c:pt idx="32">
                  <c:v>4018.1</c:v>
                </c:pt>
                <c:pt idx="33">
                  <c:v>4018.1</c:v>
                </c:pt>
                <c:pt idx="34">
                  <c:v>4018.1</c:v>
                </c:pt>
                <c:pt idx="35">
                  <c:v>4018.1</c:v>
                </c:pt>
                <c:pt idx="36">
                  <c:v>4018.1</c:v>
                </c:pt>
                <c:pt idx="37">
                  <c:v>4018.1</c:v>
                </c:pt>
                <c:pt idx="38">
                  <c:v>4018.1</c:v>
                </c:pt>
                <c:pt idx="39">
                  <c:v>4018.1</c:v>
                </c:pt>
                <c:pt idx="40">
                  <c:v>4018.1</c:v>
                </c:pt>
                <c:pt idx="41">
                  <c:v>4018.1</c:v>
                </c:pt>
                <c:pt idx="42">
                  <c:v>4018.1</c:v>
                </c:pt>
                <c:pt idx="43">
                  <c:v>4018.1</c:v>
                </c:pt>
                <c:pt idx="44">
                  <c:v>4018.1</c:v>
                </c:pt>
                <c:pt idx="45">
                  <c:v>4018.1</c:v>
                </c:pt>
                <c:pt idx="46">
                  <c:v>4018.1</c:v>
                </c:pt>
                <c:pt idx="47">
                  <c:v>4018.1</c:v>
                </c:pt>
                <c:pt idx="48">
                  <c:v>4018.1</c:v>
                </c:pt>
                <c:pt idx="49">
                  <c:v>4018.1</c:v>
                </c:pt>
                <c:pt idx="50">
                  <c:v>4018.1</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tickLblSkip val="5"/>
        <c:tickMarkSkip val="1"/>
        <c:noMultiLvlLbl val="0"/>
      </c:catAx>
      <c:valAx>
        <c:axId val="2024057808"/>
        <c:scaling>
          <c:orientation val="minMax"/>
          <c:max val="5100"/>
          <c:min val="3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Subgroup</a:t>
                </a:r>
                <a:r>
                  <a:rPr lang="en-US" baseline="0"/>
                  <a:t> Average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11.2. Average and Range'!$H$1</c:f>
              <c:strCache>
                <c:ptCount val="1"/>
                <c:pt idx="0">
                  <c:v>Subgroup Range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11.2. Average and Range'!$C$2:$C$52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11.2. Average and Range'!$H$2:$H$52</c:f>
              <c:numCache>
                <c:formatCode>General</c:formatCode>
                <c:ptCount val="51"/>
                <c:pt idx="0">
                  <c:v>1070</c:v>
                </c:pt>
                <c:pt idx="1">
                  <c:v>200</c:v>
                </c:pt>
                <c:pt idx="2">
                  <c:v>335</c:v>
                </c:pt>
                <c:pt idx="3">
                  <c:v>1900</c:v>
                </c:pt>
                <c:pt idx="4">
                  <c:v>815</c:v>
                </c:pt>
                <c:pt idx="5">
                  <c:v>245</c:v>
                </c:pt>
                <c:pt idx="6">
                  <c:v>1125</c:v>
                </c:pt>
                <c:pt idx="7">
                  <c:v>255</c:v>
                </c:pt>
                <c:pt idx="8">
                  <c:v>245</c:v>
                </c:pt>
                <c:pt idx="9">
                  <c:v>680</c:v>
                </c:pt>
                <c:pt idx="10">
                  <c:v>1410</c:v>
                </c:pt>
                <c:pt idx="11">
                  <c:v>745</c:v>
                </c:pt>
                <c:pt idx="12">
                  <c:v>800</c:v>
                </c:pt>
                <c:pt idx="13">
                  <c:v>205</c:v>
                </c:pt>
                <c:pt idx="14">
                  <c:v>1695</c:v>
                </c:pt>
                <c:pt idx="15">
                  <c:v>1455</c:v>
                </c:pt>
                <c:pt idx="16">
                  <c:v>910</c:v>
                </c:pt>
                <c:pt idx="17">
                  <c:v>665</c:v>
                </c:pt>
                <c:pt idx="18">
                  <c:v>785</c:v>
                </c:pt>
                <c:pt idx="19">
                  <c:v>520</c:v>
                </c:pt>
                <c:pt idx="20">
                  <c:v>605</c:v>
                </c:pt>
                <c:pt idx="21">
                  <c:v>445</c:v>
                </c:pt>
                <c:pt idx="22">
                  <c:v>1000</c:v>
                </c:pt>
                <c:pt idx="23">
                  <c:v>390</c:v>
                </c:pt>
                <c:pt idx="24">
                  <c:v>570</c:v>
                </c:pt>
                <c:pt idx="25">
                  <c:v>280</c:v>
                </c:pt>
                <c:pt idx="26">
                  <c:v>730</c:v>
                </c:pt>
                <c:pt idx="27">
                  <c:v>700</c:v>
                </c:pt>
                <c:pt idx="28">
                  <c:v>635</c:v>
                </c:pt>
                <c:pt idx="29">
                  <c:v>390</c:v>
                </c:pt>
                <c:pt idx="30">
                  <c:v>1115</c:v>
                </c:pt>
                <c:pt idx="31">
                  <c:v>540</c:v>
                </c:pt>
                <c:pt idx="32">
                  <c:v>655</c:v>
                </c:pt>
                <c:pt idx="33">
                  <c:v>725</c:v>
                </c:pt>
                <c:pt idx="34">
                  <c:v>400</c:v>
                </c:pt>
                <c:pt idx="35">
                  <c:v>265</c:v>
                </c:pt>
                <c:pt idx="36">
                  <c:v>675</c:v>
                </c:pt>
                <c:pt idx="37">
                  <c:v>500</c:v>
                </c:pt>
                <c:pt idx="38">
                  <c:v>650</c:v>
                </c:pt>
                <c:pt idx="39">
                  <c:v>300</c:v>
                </c:pt>
                <c:pt idx="40">
                  <c:v>500</c:v>
                </c:pt>
                <c:pt idx="41">
                  <c:v>505</c:v>
                </c:pt>
                <c:pt idx="42">
                  <c:v>300</c:v>
                </c:pt>
                <c:pt idx="43">
                  <c:v>335</c:v>
                </c:pt>
                <c:pt idx="44">
                  <c:v>1385</c:v>
                </c:pt>
                <c:pt idx="45">
                  <c:v>340</c:v>
                </c:pt>
                <c:pt idx="46">
                  <c:v>265</c:v>
                </c:pt>
                <c:pt idx="47">
                  <c:v>230</c:v>
                </c:pt>
                <c:pt idx="48">
                  <c:v>490</c:v>
                </c:pt>
                <c:pt idx="49">
                  <c:v>1360</c:v>
                </c:pt>
                <c:pt idx="50">
                  <c:v>250</c:v>
                </c:pt>
              </c:numCache>
            </c:numRef>
          </c:val>
          <c:smooth val="0"/>
          <c:extLst>
            <c:ext xmlns:c16="http://schemas.microsoft.com/office/drawing/2014/chart" uri="{C3380CC4-5D6E-409C-BE32-E72D297353CC}">
              <c16:uniqueId val="{00000000-329B-41D6-8340-43856FD2F6C5}"/>
            </c:ext>
          </c:extLst>
        </c:ser>
        <c:ser>
          <c:idx val="1"/>
          <c:order val="1"/>
          <c:tx>
            <c:strRef>
              <c:f>'Fig 11.2. Average and Range'!$I$1</c:f>
              <c:strCache>
                <c:ptCount val="1"/>
                <c:pt idx="0">
                  <c:v>Average Range</c:v>
                </c:pt>
              </c:strCache>
            </c:strRef>
          </c:tx>
          <c:spPr>
            <a:ln w="28575" cap="rnd">
              <a:solidFill>
                <a:schemeClr val="tx1"/>
              </a:solidFill>
              <a:round/>
            </a:ln>
            <a:effectLst/>
          </c:spPr>
          <c:marker>
            <c:symbol val="none"/>
          </c:marker>
          <c:cat>
            <c:strRef>
              <c:f>'Fig 11.2. Average and Range'!$C$2:$C$52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11.2. Average and Range'!$I$2:$I$52</c:f>
              <c:numCache>
                <c:formatCode>0.0</c:formatCode>
                <c:ptCount val="51"/>
                <c:pt idx="0">
                  <c:v>658.6</c:v>
                </c:pt>
                <c:pt idx="1">
                  <c:v>658.6</c:v>
                </c:pt>
                <c:pt idx="2">
                  <c:v>658.6</c:v>
                </c:pt>
                <c:pt idx="3">
                  <c:v>658.6</c:v>
                </c:pt>
                <c:pt idx="4">
                  <c:v>658.6</c:v>
                </c:pt>
                <c:pt idx="5">
                  <c:v>658.6</c:v>
                </c:pt>
                <c:pt idx="6">
                  <c:v>658.6</c:v>
                </c:pt>
                <c:pt idx="7">
                  <c:v>658.6</c:v>
                </c:pt>
                <c:pt idx="8">
                  <c:v>658.6</c:v>
                </c:pt>
                <c:pt idx="9">
                  <c:v>658.6</c:v>
                </c:pt>
                <c:pt idx="10">
                  <c:v>658.6</c:v>
                </c:pt>
                <c:pt idx="11">
                  <c:v>658.6</c:v>
                </c:pt>
                <c:pt idx="12">
                  <c:v>658.6</c:v>
                </c:pt>
                <c:pt idx="13">
                  <c:v>658.6</c:v>
                </c:pt>
                <c:pt idx="14">
                  <c:v>658.6</c:v>
                </c:pt>
                <c:pt idx="15">
                  <c:v>658.6</c:v>
                </c:pt>
                <c:pt idx="16">
                  <c:v>658.6</c:v>
                </c:pt>
                <c:pt idx="17">
                  <c:v>658.6</c:v>
                </c:pt>
                <c:pt idx="18">
                  <c:v>658.6</c:v>
                </c:pt>
                <c:pt idx="19">
                  <c:v>658.6</c:v>
                </c:pt>
                <c:pt idx="20">
                  <c:v>658.6</c:v>
                </c:pt>
                <c:pt idx="21">
                  <c:v>658.6</c:v>
                </c:pt>
                <c:pt idx="22">
                  <c:v>658.6</c:v>
                </c:pt>
                <c:pt idx="23">
                  <c:v>658.6</c:v>
                </c:pt>
                <c:pt idx="24">
                  <c:v>658.6</c:v>
                </c:pt>
                <c:pt idx="25">
                  <c:v>658.6</c:v>
                </c:pt>
                <c:pt idx="26">
                  <c:v>658.6</c:v>
                </c:pt>
                <c:pt idx="27">
                  <c:v>658.6</c:v>
                </c:pt>
                <c:pt idx="28">
                  <c:v>658.6</c:v>
                </c:pt>
                <c:pt idx="29">
                  <c:v>658.6</c:v>
                </c:pt>
                <c:pt idx="30">
                  <c:v>658.6</c:v>
                </c:pt>
                <c:pt idx="31">
                  <c:v>658.6</c:v>
                </c:pt>
                <c:pt idx="32">
                  <c:v>658.6</c:v>
                </c:pt>
                <c:pt idx="33">
                  <c:v>658.6</c:v>
                </c:pt>
                <c:pt idx="34">
                  <c:v>658.6</c:v>
                </c:pt>
                <c:pt idx="35">
                  <c:v>658.6</c:v>
                </c:pt>
                <c:pt idx="36">
                  <c:v>658.6</c:v>
                </c:pt>
                <c:pt idx="37">
                  <c:v>658.6</c:v>
                </c:pt>
                <c:pt idx="38">
                  <c:v>658.6</c:v>
                </c:pt>
                <c:pt idx="39">
                  <c:v>658.6</c:v>
                </c:pt>
                <c:pt idx="40">
                  <c:v>658.6</c:v>
                </c:pt>
                <c:pt idx="41">
                  <c:v>658.6</c:v>
                </c:pt>
                <c:pt idx="42">
                  <c:v>658.6</c:v>
                </c:pt>
                <c:pt idx="43">
                  <c:v>658.6</c:v>
                </c:pt>
                <c:pt idx="44">
                  <c:v>658.6</c:v>
                </c:pt>
                <c:pt idx="45">
                  <c:v>658.6</c:v>
                </c:pt>
                <c:pt idx="46">
                  <c:v>658.6</c:v>
                </c:pt>
                <c:pt idx="47">
                  <c:v>658.6</c:v>
                </c:pt>
                <c:pt idx="48">
                  <c:v>658.6</c:v>
                </c:pt>
                <c:pt idx="49">
                  <c:v>658.6</c:v>
                </c:pt>
                <c:pt idx="50">
                  <c:v>658.6</c:v>
                </c:pt>
              </c:numCache>
            </c:numRef>
          </c:val>
          <c:smooth val="0"/>
          <c:extLst>
            <c:ext xmlns:c16="http://schemas.microsoft.com/office/drawing/2014/chart" uri="{C3380CC4-5D6E-409C-BE32-E72D297353CC}">
              <c16:uniqueId val="{00000001-329B-41D6-8340-43856FD2F6C5}"/>
            </c:ext>
          </c:extLst>
        </c:ser>
        <c:ser>
          <c:idx val="2"/>
          <c:order val="2"/>
          <c:tx>
            <c:strRef>
              <c:f>'Fig 11.2. Average and Range'!$J$1</c:f>
              <c:strCache>
                <c:ptCount val="1"/>
                <c:pt idx="0">
                  <c:v>URL</c:v>
                </c:pt>
              </c:strCache>
            </c:strRef>
          </c:tx>
          <c:spPr>
            <a:ln w="28575" cap="rnd">
              <a:solidFill>
                <a:srgbClr val="D72323"/>
              </a:solidFill>
              <a:prstDash val="dash"/>
              <a:round/>
            </a:ln>
            <a:effectLst/>
          </c:spPr>
          <c:marker>
            <c:symbol val="none"/>
          </c:marker>
          <c:cat>
            <c:strRef>
              <c:f>'Fig 11.2. Average and Range'!$C$2:$C$52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11.2. Average and Range'!$J$2:$J$52</c:f>
              <c:numCache>
                <c:formatCode>0.0</c:formatCode>
                <c:ptCount val="51"/>
                <c:pt idx="0">
                  <c:v>1502.9</c:v>
                </c:pt>
                <c:pt idx="1">
                  <c:v>1502.9</c:v>
                </c:pt>
                <c:pt idx="2">
                  <c:v>1502.9</c:v>
                </c:pt>
                <c:pt idx="3">
                  <c:v>1502.9</c:v>
                </c:pt>
                <c:pt idx="4">
                  <c:v>1502.9</c:v>
                </c:pt>
                <c:pt idx="5">
                  <c:v>1502.9</c:v>
                </c:pt>
                <c:pt idx="6">
                  <c:v>1502.9</c:v>
                </c:pt>
                <c:pt idx="7">
                  <c:v>1502.9</c:v>
                </c:pt>
                <c:pt idx="8">
                  <c:v>1502.9</c:v>
                </c:pt>
                <c:pt idx="9">
                  <c:v>1502.9</c:v>
                </c:pt>
                <c:pt idx="10">
                  <c:v>1502.9</c:v>
                </c:pt>
                <c:pt idx="11">
                  <c:v>1502.9</c:v>
                </c:pt>
                <c:pt idx="12">
                  <c:v>1502.9</c:v>
                </c:pt>
                <c:pt idx="13">
                  <c:v>1502.9</c:v>
                </c:pt>
                <c:pt idx="14">
                  <c:v>1502.9</c:v>
                </c:pt>
                <c:pt idx="15">
                  <c:v>1502.9</c:v>
                </c:pt>
                <c:pt idx="16">
                  <c:v>1502.9</c:v>
                </c:pt>
                <c:pt idx="17">
                  <c:v>1502.9</c:v>
                </c:pt>
                <c:pt idx="18">
                  <c:v>1502.9</c:v>
                </c:pt>
                <c:pt idx="19">
                  <c:v>1502.9</c:v>
                </c:pt>
                <c:pt idx="20">
                  <c:v>1502.9</c:v>
                </c:pt>
                <c:pt idx="21">
                  <c:v>1502.9</c:v>
                </c:pt>
                <c:pt idx="22">
                  <c:v>1502.9</c:v>
                </c:pt>
                <c:pt idx="23">
                  <c:v>1502.9</c:v>
                </c:pt>
                <c:pt idx="24">
                  <c:v>1502.9</c:v>
                </c:pt>
                <c:pt idx="25">
                  <c:v>1502.9</c:v>
                </c:pt>
                <c:pt idx="26">
                  <c:v>1502.9</c:v>
                </c:pt>
                <c:pt idx="27">
                  <c:v>1502.9</c:v>
                </c:pt>
                <c:pt idx="28">
                  <c:v>1502.9</c:v>
                </c:pt>
                <c:pt idx="29">
                  <c:v>1502.9</c:v>
                </c:pt>
                <c:pt idx="30">
                  <c:v>1502.9</c:v>
                </c:pt>
                <c:pt idx="31">
                  <c:v>1502.9</c:v>
                </c:pt>
                <c:pt idx="32">
                  <c:v>1502.9</c:v>
                </c:pt>
                <c:pt idx="33">
                  <c:v>1502.9</c:v>
                </c:pt>
                <c:pt idx="34">
                  <c:v>1502.9</c:v>
                </c:pt>
                <c:pt idx="35">
                  <c:v>1502.9</c:v>
                </c:pt>
                <c:pt idx="36">
                  <c:v>1502.9</c:v>
                </c:pt>
                <c:pt idx="37">
                  <c:v>1502.9</c:v>
                </c:pt>
                <c:pt idx="38">
                  <c:v>1502.9</c:v>
                </c:pt>
                <c:pt idx="39">
                  <c:v>1502.9</c:v>
                </c:pt>
                <c:pt idx="40">
                  <c:v>1502.9</c:v>
                </c:pt>
                <c:pt idx="41">
                  <c:v>1502.9</c:v>
                </c:pt>
                <c:pt idx="42">
                  <c:v>1502.9</c:v>
                </c:pt>
                <c:pt idx="43">
                  <c:v>1502.9</c:v>
                </c:pt>
                <c:pt idx="44">
                  <c:v>1502.9</c:v>
                </c:pt>
                <c:pt idx="45">
                  <c:v>1502.9</c:v>
                </c:pt>
                <c:pt idx="46">
                  <c:v>1502.9</c:v>
                </c:pt>
                <c:pt idx="47">
                  <c:v>1502.9</c:v>
                </c:pt>
                <c:pt idx="48">
                  <c:v>1502.9</c:v>
                </c:pt>
                <c:pt idx="49">
                  <c:v>1502.9</c:v>
                </c:pt>
                <c:pt idx="50">
                  <c:v>1502.9</c:v>
                </c:pt>
              </c:numCache>
            </c:numRef>
          </c:val>
          <c:smooth val="0"/>
          <c:extLst>
            <c:ext xmlns:c16="http://schemas.microsoft.com/office/drawing/2014/chart" uri="{C3380CC4-5D6E-409C-BE32-E72D297353CC}">
              <c16:uniqueId val="{00000002-329B-41D6-8340-43856FD2F6C5}"/>
            </c:ext>
          </c:extLst>
        </c:ser>
        <c:ser>
          <c:idx val="3"/>
          <c:order val="3"/>
          <c:tx>
            <c:strRef>
              <c:f>'Fig 11.2. Average and Range'!$K$1</c:f>
              <c:strCache>
                <c:ptCount val="1"/>
                <c:pt idx="0">
                  <c:v>LRL</c:v>
                </c:pt>
              </c:strCache>
            </c:strRef>
          </c:tx>
          <c:spPr>
            <a:ln w="28575" cap="rnd">
              <a:solidFill>
                <a:srgbClr val="D72323"/>
              </a:solidFill>
              <a:prstDash val="dash"/>
              <a:round/>
            </a:ln>
            <a:effectLst/>
          </c:spPr>
          <c:marker>
            <c:symbol val="none"/>
          </c:marker>
          <c:cat>
            <c:strRef>
              <c:f>'Fig 11.2. Average and Range'!$C$2:$C$52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11.2. Average and Range'!$K$2:$K$52</c:f>
              <c:numCache>
                <c:formatCode>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tickLblSkip val="5"/>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Subgroup Range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11.3. X &amp; Ave. charts'!$C$1</c:f>
              <c:strCache>
                <c:ptCount val="1"/>
                <c:pt idx="0">
                  <c:v>Resistance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11.3. X &amp; Ave. charts'!$B$2:$B$205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11.3. X &amp; Ave. charts'!$C$2:$C$205</c:f>
              <c:numCache>
                <c:formatCode>General</c:formatCode>
                <c:ptCount val="204"/>
                <c:pt idx="0">
                  <c:v>5045</c:v>
                </c:pt>
                <c:pt idx="1">
                  <c:v>4350</c:v>
                </c:pt>
                <c:pt idx="2">
                  <c:v>4350</c:v>
                </c:pt>
                <c:pt idx="3">
                  <c:v>3975</c:v>
                </c:pt>
                <c:pt idx="4">
                  <c:v>4290</c:v>
                </c:pt>
                <c:pt idx="5">
                  <c:v>4430</c:v>
                </c:pt>
                <c:pt idx="6">
                  <c:v>4485</c:v>
                </c:pt>
                <c:pt idx="7">
                  <c:v>4285</c:v>
                </c:pt>
                <c:pt idx="8">
                  <c:v>3980</c:v>
                </c:pt>
                <c:pt idx="9">
                  <c:v>3925</c:v>
                </c:pt>
                <c:pt idx="10">
                  <c:v>3645</c:v>
                </c:pt>
                <c:pt idx="11">
                  <c:v>3760</c:v>
                </c:pt>
                <c:pt idx="12">
                  <c:v>3300</c:v>
                </c:pt>
                <c:pt idx="13">
                  <c:v>3685</c:v>
                </c:pt>
                <c:pt idx="14">
                  <c:v>3463</c:v>
                </c:pt>
                <c:pt idx="15">
                  <c:v>5200</c:v>
                </c:pt>
                <c:pt idx="16">
                  <c:v>5100</c:v>
                </c:pt>
                <c:pt idx="17">
                  <c:v>4635</c:v>
                </c:pt>
                <c:pt idx="18">
                  <c:v>5100</c:v>
                </c:pt>
                <c:pt idx="19">
                  <c:v>5450</c:v>
                </c:pt>
                <c:pt idx="20">
                  <c:v>4635</c:v>
                </c:pt>
                <c:pt idx="21">
                  <c:v>4720</c:v>
                </c:pt>
                <c:pt idx="22">
                  <c:v>4810</c:v>
                </c:pt>
                <c:pt idx="23">
                  <c:v>4565</c:v>
                </c:pt>
                <c:pt idx="24">
                  <c:v>4410</c:v>
                </c:pt>
                <c:pt idx="25">
                  <c:v>4065</c:v>
                </c:pt>
                <c:pt idx="26">
                  <c:v>4565</c:v>
                </c:pt>
                <c:pt idx="27">
                  <c:v>5190</c:v>
                </c:pt>
                <c:pt idx="28">
                  <c:v>4725</c:v>
                </c:pt>
                <c:pt idx="29">
                  <c:v>4640</c:v>
                </c:pt>
                <c:pt idx="30">
                  <c:v>4640</c:v>
                </c:pt>
                <c:pt idx="31">
                  <c:v>4895</c:v>
                </c:pt>
                <c:pt idx="32">
                  <c:v>4790</c:v>
                </c:pt>
                <c:pt idx="33">
                  <c:v>4845</c:v>
                </c:pt>
                <c:pt idx="34">
                  <c:v>4700</c:v>
                </c:pt>
                <c:pt idx="35">
                  <c:v>4600</c:v>
                </c:pt>
                <c:pt idx="36">
                  <c:v>4110</c:v>
                </c:pt>
                <c:pt idx="37">
                  <c:v>4410</c:v>
                </c:pt>
                <c:pt idx="38">
                  <c:v>4180</c:v>
                </c:pt>
                <c:pt idx="39">
                  <c:v>4790</c:v>
                </c:pt>
                <c:pt idx="40">
                  <c:v>4790</c:v>
                </c:pt>
                <c:pt idx="41">
                  <c:v>4340</c:v>
                </c:pt>
                <c:pt idx="42">
                  <c:v>4895</c:v>
                </c:pt>
                <c:pt idx="43">
                  <c:v>5750</c:v>
                </c:pt>
                <c:pt idx="44">
                  <c:v>4740</c:v>
                </c:pt>
                <c:pt idx="45">
                  <c:v>5000</c:v>
                </c:pt>
                <c:pt idx="46">
                  <c:v>4895</c:v>
                </c:pt>
                <c:pt idx="47">
                  <c:v>4255</c:v>
                </c:pt>
                <c:pt idx="48">
                  <c:v>4170</c:v>
                </c:pt>
                <c:pt idx="49">
                  <c:v>3850</c:v>
                </c:pt>
                <c:pt idx="50">
                  <c:v>4445</c:v>
                </c:pt>
                <c:pt idx="51">
                  <c:v>4650</c:v>
                </c:pt>
                <c:pt idx="52">
                  <c:v>4170</c:v>
                </c:pt>
                <c:pt idx="53">
                  <c:v>4255</c:v>
                </c:pt>
                <c:pt idx="54">
                  <c:v>4170</c:v>
                </c:pt>
                <c:pt idx="55">
                  <c:v>4375</c:v>
                </c:pt>
                <c:pt idx="56">
                  <c:v>4175</c:v>
                </c:pt>
                <c:pt idx="57">
                  <c:v>4550</c:v>
                </c:pt>
                <c:pt idx="58">
                  <c:v>4450</c:v>
                </c:pt>
                <c:pt idx="59">
                  <c:v>2855</c:v>
                </c:pt>
                <c:pt idx="60">
                  <c:v>2920</c:v>
                </c:pt>
                <c:pt idx="61">
                  <c:v>4375</c:v>
                </c:pt>
                <c:pt idx="62">
                  <c:v>4375</c:v>
                </c:pt>
                <c:pt idx="63">
                  <c:v>4355</c:v>
                </c:pt>
                <c:pt idx="64">
                  <c:v>4090</c:v>
                </c:pt>
                <c:pt idx="65">
                  <c:v>5000</c:v>
                </c:pt>
                <c:pt idx="66">
                  <c:v>4335</c:v>
                </c:pt>
                <c:pt idx="67">
                  <c:v>5000</c:v>
                </c:pt>
                <c:pt idx="68">
                  <c:v>4640</c:v>
                </c:pt>
                <c:pt idx="69">
                  <c:v>4335</c:v>
                </c:pt>
                <c:pt idx="70">
                  <c:v>5000</c:v>
                </c:pt>
                <c:pt idx="71">
                  <c:v>4615</c:v>
                </c:pt>
                <c:pt idx="72">
                  <c:v>4215</c:v>
                </c:pt>
                <c:pt idx="73">
                  <c:v>4275</c:v>
                </c:pt>
                <c:pt idx="74">
                  <c:v>4275</c:v>
                </c:pt>
                <c:pt idx="75">
                  <c:v>5000</c:v>
                </c:pt>
                <c:pt idx="76">
                  <c:v>4615</c:v>
                </c:pt>
                <c:pt idx="77">
                  <c:v>4735</c:v>
                </c:pt>
                <c:pt idx="78">
                  <c:v>4215</c:v>
                </c:pt>
                <c:pt idx="79">
                  <c:v>4700</c:v>
                </c:pt>
                <c:pt idx="80">
                  <c:v>4700</c:v>
                </c:pt>
                <c:pt idx="81">
                  <c:v>4700</c:v>
                </c:pt>
                <c:pt idx="82">
                  <c:v>4700</c:v>
                </c:pt>
                <c:pt idx="83">
                  <c:v>4095</c:v>
                </c:pt>
                <c:pt idx="84">
                  <c:v>4095</c:v>
                </c:pt>
                <c:pt idx="85">
                  <c:v>3940</c:v>
                </c:pt>
                <c:pt idx="86">
                  <c:v>3700</c:v>
                </c:pt>
                <c:pt idx="87">
                  <c:v>3650</c:v>
                </c:pt>
                <c:pt idx="88">
                  <c:v>4445</c:v>
                </c:pt>
                <c:pt idx="89">
                  <c:v>4000</c:v>
                </c:pt>
                <c:pt idx="90">
                  <c:v>4845</c:v>
                </c:pt>
                <c:pt idx="91">
                  <c:v>5000</c:v>
                </c:pt>
                <c:pt idx="92">
                  <c:v>4560</c:v>
                </c:pt>
                <c:pt idx="93">
                  <c:v>4700</c:v>
                </c:pt>
                <c:pt idx="94">
                  <c:v>4310</c:v>
                </c:pt>
                <c:pt idx="95">
                  <c:v>4310</c:v>
                </c:pt>
                <c:pt idx="96">
                  <c:v>5000</c:v>
                </c:pt>
                <c:pt idx="97">
                  <c:v>4575</c:v>
                </c:pt>
                <c:pt idx="98">
                  <c:v>4700</c:v>
                </c:pt>
                <c:pt idx="99">
                  <c:v>4430</c:v>
                </c:pt>
                <c:pt idx="100">
                  <c:v>4850</c:v>
                </c:pt>
                <c:pt idx="101">
                  <c:v>4850</c:v>
                </c:pt>
                <c:pt idx="102">
                  <c:v>4570</c:v>
                </c:pt>
                <c:pt idx="103">
                  <c:v>4570</c:v>
                </c:pt>
                <c:pt idx="104">
                  <c:v>4855</c:v>
                </c:pt>
                <c:pt idx="105">
                  <c:v>4160</c:v>
                </c:pt>
                <c:pt idx="106">
                  <c:v>4325</c:v>
                </c:pt>
                <c:pt idx="107">
                  <c:v>4125</c:v>
                </c:pt>
                <c:pt idx="108">
                  <c:v>4100</c:v>
                </c:pt>
                <c:pt idx="109">
                  <c:v>4340</c:v>
                </c:pt>
                <c:pt idx="110">
                  <c:v>4575</c:v>
                </c:pt>
                <c:pt idx="111">
                  <c:v>3875</c:v>
                </c:pt>
                <c:pt idx="112">
                  <c:v>4050</c:v>
                </c:pt>
                <c:pt idx="113">
                  <c:v>4050</c:v>
                </c:pt>
                <c:pt idx="114">
                  <c:v>4685</c:v>
                </c:pt>
                <c:pt idx="115">
                  <c:v>4685</c:v>
                </c:pt>
                <c:pt idx="116">
                  <c:v>4430</c:v>
                </c:pt>
                <c:pt idx="117">
                  <c:v>4300</c:v>
                </c:pt>
                <c:pt idx="118">
                  <c:v>4690</c:v>
                </c:pt>
                <c:pt idx="119">
                  <c:v>4560</c:v>
                </c:pt>
                <c:pt idx="120">
                  <c:v>3075</c:v>
                </c:pt>
                <c:pt idx="121">
                  <c:v>2965</c:v>
                </c:pt>
                <c:pt idx="122">
                  <c:v>4080</c:v>
                </c:pt>
                <c:pt idx="123">
                  <c:v>4080</c:v>
                </c:pt>
                <c:pt idx="124">
                  <c:v>4425</c:v>
                </c:pt>
                <c:pt idx="125">
                  <c:v>4300</c:v>
                </c:pt>
                <c:pt idx="126">
                  <c:v>4430</c:v>
                </c:pt>
                <c:pt idx="127">
                  <c:v>4840</c:v>
                </c:pt>
                <c:pt idx="128">
                  <c:v>4840</c:v>
                </c:pt>
                <c:pt idx="129">
                  <c:v>4310</c:v>
                </c:pt>
                <c:pt idx="130">
                  <c:v>4185</c:v>
                </c:pt>
                <c:pt idx="131">
                  <c:v>4570</c:v>
                </c:pt>
                <c:pt idx="132">
                  <c:v>4700</c:v>
                </c:pt>
                <c:pt idx="133">
                  <c:v>4440</c:v>
                </c:pt>
                <c:pt idx="134">
                  <c:v>4850</c:v>
                </c:pt>
                <c:pt idx="135">
                  <c:v>4125</c:v>
                </c:pt>
                <c:pt idx="136">
                  <c:v>4450</c:v>
                </c:pt>
                <c:pt idx="137">
                  <c:v>4450</c:v>
                </c:pt>
                <c:pt idx="138">
                  <c:v>4850</c:v>
                </c:pt>
                <c:pt idx="139">
                  <c:v>4450</c:v>
                </c:pt>
                <c:pt idx="140">
                  <c:v>3635</c:v>
                </c:pt>
                <c:pt idx="141">
                  <c:v>3635</c:v>
                </c:pt>
                <c:pt idx="142">
                  <c:v>3635</c:v>
                </c:pt>
                <c:pt idx="143">
                  <c:v>3900</c:v>
                </c:pt>
                <c:pt idx="144">
                  <c:v>4340</c:v>
                </c:pt>
                <c:pt idx="145">
                  <c:v>4340</c:v>
                </c:pt>
                <c:pt idx="146">
                  <c:v>3665</c:v>
                </c:pt>
                <c:pt idx="147">
                  <c:v>3775</c:v>
                </c:pt>
                <c:pt idx="148">
                  <c:v>5000</c:v>
                </c:pt>
                <c:pt idx="149">
                  <c:v>4850</c:v>
                </c:pt>
                <c:pt idx="150">
                  <c:v>4775</c:v>
                </c:pt>
                <c:pt idx="151">
                  <c:v>4500</c:v>
                </c:pt>
                <c:pt idx="152">
                  <c:v>4770</c:v>
                </c:pt>
                <c:pt idx="153">
                  <c:v>4500</c:v>
                </c:pt>
                <c:pt idx="154">
                  <c:v>4770</c:v>
                </c:pt>
                <c:pt idx="155">
                  <c:v>5150</c:v>
                </c:pt>
                <c:pt idx="156">
                  <c:v>4850</c:v>
                </c:pt>
                <c:pt idx="157">
                  <c:v>4700</c:v>
                </c:pt>
                <c:pt idx="158">
                  <c:v>5000</c:v>
                </c:pt>
                <c:pt idx="159">
                  <c:v>5000</c:v>
                </c:pt>
                <c:pt idx="160">
                  <c:v>5000</c:v>
                </c:pt>
                <c:pt idx="161">
                  <c:v>4700</c:v>
                </c:pt>
                <c:pt idx="162">
                  <c:v>4500</c:v>
                </c:pt>
                <c:pt idx="163">
                  <c:v>4840</c:v>
                </c:pt>
                <c:pt idx="164">
                  <c:v>5075</c:v>
                </c:pt>
                <c:pt idx="165">
                  <c:v>5000</c:v>
                </c:pt>
                <c:pt idx="166">
                  <c:v>4770</c:v>
                </c:pt>
                <c:pt idx="167">
                  <c:v>4570</c:v>
                </c:pt>
                <c:pt idx="168">
                  <c:v>4925</c:v>
                </c:pt>
                <c:pt idx="169">
                  <c:v>4775</c:v>
                </c:pt>
                <c:pt idx="170">
                  <c:v>5075</c:v>
                </c:pt>
                <c:pt idx="171">
                  <c:v>4925</c:v>
                </c:pt>
                <c:pt idx="172">
                  <c:v>5075</c:v>
                </c:pt>
                <c:pt idx="173">
                  <c:v>4925</c:v>
                </c:pt>
                <c:pt idx="174">
                  <c:v>5250</c:v>
                </c:pt>
                <c:pt idx="175">
                  <c:v>4915</c:v>
                </c:pt>
                <c:pt idx="176">
                  <c:v>5600</c:v>
                </c:pt>
                <c:pt idx="177">
                  <c:v>5075</c:v>
                </c:pt>
                <c:pt idx="178">
                  <c:v>4450</c:v>
                </c:pt>
                <c:pt idx="179">
                  <c:v>4215</c:v>
                </c:pt>
                <c:pt idx="180">
                  <c:v>4325</c:v>
                </c:pt>
                <c:pt idx="181">
                  <c:v>4665</c:v>
                </c:pt>
                <c:pt idx="182">
                  <c:v>4615</c:v>
                </c:pt>
                <c:pt idx="183">
                  <c:v>4615</c:v>
                </c:pt>
                <c:pt idx="184">
                  <c:v>4500</c:v>
                </c:pt>
                <c:pt idx="185">
                  <c:v>4765</c:v>
                </c:pt>
                <c:pt idx="186">
                  <c:v>4500</c:v>
                </c:pt>
                <c:pt idx="187">
                  <c:v>4500</c:v>
                </c:pt>
                <c:pt idx="188">
                  <c:v>4850</c:v>
                </c:pt>
                <c:pt idx="189">
                  <c:v>4930</c:v>
                </c:pt>
                <c:pt idx="190">
                  <c:v>4700</c:v>
                </c:pt>
                <c:pt idx="191">
                  <c:v>4890</c:v>
                </c:pt>
                <c:pt idx="192">
                  <c:v>4625</c:v>
                </c:pt>
                <c:pt idx="193">
                  <c:v>4425</c:v>
                </c:pt>
                <c:pt idx="194">
                  <c:v>4135</c:v>
                </c:pt>
                <c:pt idx="195">
                  <c:v>4190</c:v>
                </c:pt>
                <c:pt idx="196">
                  <c:v>4080</c:v>
                </c:pt>
                <c:pt idx="197">
                  <c:v>3690</c:v>
                </c:pt>
                <c:pt idx="198">
                  <c:v>5050</c:v>
                </c:pt>
                <c:pt idx="199">
                  <c:v>4625</c:v>
                </c:pt>
                <c:pt idx="200">
                  <c:v>5150</c:v>
                </c:pt>
                <c:pt idx="201">
                  <c:v>5250</c:v>
                </c:pt>
                <c:pt idx="202">
                  <c:v>5000</c:v>
                </c:pt>
                <c:pt idx="203">
                  <c:v>5000</c:v>
                </c:pt>
              </c:numCache>
            </c:numRef>
          </c:val>
          <c:smooth val="0"/>
          <c:extLst>
            <c:ext xmlns:c16="http://schemas.microsoft.com/office/drawing/2014/chart" uri="{C3380CC4-5D6E-409C-BE32-E72D297353CC}">
              <c16:uniqueId val="{00000000-329B-41D6-8340-43856FD2F6C5}"/>
            </c:ext>
          </c:extLst>
        </c:ser>
        <c:ser>
          <c:idx val="1"/>
          <c:order val="1"/>
          <c:tx>
            <c:strRef>
              <c:f>'Fig 11.3. X &amp; Ave. charts'!$D$1</c:f>
              <c:strCache>
                <c:ptCount val="1"/>
                <c:pt idx="0">
                  <c:v>Mean</c:v>
                </c:pt>
              </c:strCache>
            </c:strRef>
          </c:tx>
          <c:spPr>
            <a:ln w="28575" cap="rnd">
              <a:solidFill>
                <a:schemeClr val="tx1"/>
              </a:solidFill>
              <a:round/>
            </a:ln>
            <a:effectLst/>
          </c:spPr>
          <c:marker>
            <c:symbol val="none"/>
          </c:marker>
          <c:cat>
            <c:strRef>
              <c:f>'Fig 11.3. X &amp; Ave. charts'!$B$2:$B$205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11.3. X &amp; Ave. charts'!$D$2:$D$205</c:f>
              <c:numCache>
                <c:formatCode>General</c:formatCode>
                <c:ptCount val="204"/>
                <c:pt idx="0">
                  <c:v>4498.18</c:v>
                </c:pt>
                <c:pt idx="1">
                  <c:v>4498.18</c:v>
                </c:pt>
                <c:pt idx="2">
                  <c:v>4498.18</c:v>
                </c:pt>
                <c:pt idx="3">
                  <c:v>4498.18</c:v>
                </c:pt>
                <c:pt idx="4">
                  <c:v>4498.18</c:v>
                </c:pt>
                <c:pt idx="5">
                  <c:v>4498.18</c:v>
                </c:pt>
                <c:pt idx="6">
                  <c:v>4498.18</c:v>
                </c:pt>
                <c:pt idx="7">
                  <c:v>4498.18</c:v>
                </c:pt>
                <c:pt idx="8">
                  <c:v>4498.18</c:v>
                </c:pt>
                <c:pt idx="9">
                  <c:v>4498.18</c:v>
                </c:pt>
                <c:pt idx="10">
                  <c:v>4498.18</c:v>
                </c:pt>
                <c:pt idx="11">
                  <c:v>4498.18</c:v>
                </c:pt>
                <c:pt idx="12">
                  <c:v>4498.18</c:v>
                </c:pt>
                <c:pt idx="13">
                  <c:v>4498.18</c:v>
                </c:pt>
                <c:pt idx="14">
                  <c:v>4498.18</c:v>
                </c:pt>
                <c:pt idx="15">
                  <c:v>4498.18</c:v>
                </c:pt>
                <c:pt idx="16">
                  <c:v>4498.18</c:v>
                </c:pt>
                <c:pt idx="17">
                  <c:v>4498.18</c:v>
                </c:pt>
                <c:pt idx="18">
                  <c:v>4498.18</c:v>
                </c:pt>
                <c:pt idx="19">
                  <c:v>4498.18</c:v>
                </c:pt>
                <c:pt idx="20">
                  <c:v>4498.18</c:v>
                </c:pt>
                <c:pt idx="21">
                  <c:v>4498.18</c:v>
                </c:pt>
                <c:pt idx="22">
                  <c:v>4498.18</c:v>
                </c:pt>
                <c:pt idx="23">
                  <c:v>4498.18</c:v>
                </c:pt>
                <c:pt idx="24">
                  <c:v>4498.18</c:v>
                </c:pt>
                <c:pt idx="25">
                  <c:v>4498.18</c:v>
                </c:pt>
                <c:pt idx="26">
                  <c:v>4498.18</c:v>
                </c:pt>
                <c:pt idx="27">
                  <c:v>4498.18</c:v>
                </c:pt>
                <c:pt idx="28">
                  <c:v>4498.18</c:v>
                </c:pt>
                <c:pt idx="29">
                  <c:v>4498.18</c:v>
                </c:pt>
                <c:pt idx="30">
                  <c:v>4498.18</c:v>
                </c:pt>
                <c:pt idx="31">
                  <c:v>4498.18</c:v>
                </c:pt>
                <c:pt idx="32">
                  <c:v>4498.18</c:v>
                </c:pt>
                <c:pt idx="33">
                  <c:v>4498.18</c:v>
                </c:pt>
                <c:pt idx="34">
                  <c:v>4498.18</c:v>
                </c:pt>
                <c:pt idx="35">
                  <c:v>4498.18</c:v>
                </c:pt>
                <c:pt idx="36">
                  <c:v>4498.18</c:v>
                </c:pt>
                <c:pt idx="37">
                  <c:v>4498.18</c:v>
                </c:pt>
                <c:pt idx="38">
                  <c:v>4498.18</c:v>
                </c:pt>
                <c:pt idx="39">
                  <c:v>4498.18</c:v>
                </c:pt>
                <c:pt idx="40">
                  <c:v>4498.18</c:v>
                </c:pt>
                <c:pt idx="41">
                  <c:v>4498.18</c:v>
                </c:pt>
                <c:pt idx="42">
                  <c:v>4498.18</c:v>
                </c:pt>
                <c:pt idx="43">
                  <c:v>4498.18</c:v>
                </c:pt>
                <c:pt idx="44">
                  <c:v>4498.18</c:v>
                </c:pt>
                <c:pt idx="45">
                  <c:v>4498.18</c:v>
                </c:pt>
                <c:pt idx="46">
                  <c:v>4498.18</c:v>
                </c:pt>
                <c:pt idx="47">
                  <c:v>4498.18</c:v>
                </c:pt>
                <c:pt idx="48">
                  <c:v>4498.18</c:v>
                </c:pt>
                <c:pt idx="49">
                  <c:v>4498.18</c:v>
                </c:pt>
                <c:pt idx="50">
                  <c:v>4498.18</c:v>
                </c:pt>
                <c:pt idx="51">
                  <c:v>4498.18</c:v>
                </c:pt>
                <c:pt idx="52">
                  <c:v>4498.18</c:v>
                </c:pt>
                <c:pt idx="53">
                  <c:v>4498.18</c:v>
                </c:pt>
                <c:pt idx="54">
                  <c:v>4498.18</c:v>
                </c:pt>
                <c:pt idx="55">
                  <c:v>4498.18</c:v>
                </c:pt>
                <c:pt idx="56">
                  <c:v>4498.18</c:v>
                </c:pt>
                <c:pt idx="57">
                  <c:v>4498.18</c:v>
                </c:pt>
                <c:pt idx="58">
                  <c:v>4498.18</c:v>
                </c:pt>
                <c:pt idx="59">
                  <c:v>4498.18</c:v>
                </c:pt>
                <c:pt idx="60">
                  <c:v>4498.18</c:v>
                </c:pt>
                <c:pt idx="61">
                  <c:v>4498.18</c:v>
                </c:pt>
                <c:pt idx="62">
                  <c:v>4498.18</c:v>
                </c:pt>
                <c:pt idx="63">
                  <c:v>4498.18</c:v>
                </c:pt>
                <c:pt idx="64">
                  <c:v>4498.18</c:v>
                </c:pt>
                <c:pt idx="65">
                  <c:v>4498.18</c:v>
                </c:pt>
                <c:pt idx="66">
                  <c:v>4498.18</c:v>
                </c:pt>
                <c:pt idx="67">
                  <c:v>4498.18</c:v>
                </c:pt>
                <c:pt idx="68">
                  <c:v>4498.18</c:v>
                </c:pt>
                <c:pt idx="69">
                  <c:v>4498.18</c:v>
                </c:pt>
                <c:pt idx="70">
                  <c:v>4498.18</c:v>
                </c:pt>
                <c:pt idx="71">
                  <c:v>4498.18</c:v>
                </c:pt>
                <c:pt idx="72">
                  <c:v>4498.18</c:v>
                </c:pt>
                <c:pt idx="73">
                  <c:v>4498.18</c:v>
                </c:pt>
                <c:pt idx="74">
                  <c:v>4498.18</c:v>
                </c:pt>
                <c:pt idx="75">
                  <c:v>4498.18</c:v>
                </c:pt>
                <c:pt idx="76">
                  <c:v>4498.18</c:v>
                </c:pt>
                <c:pt idx="77">
                  <c:v>4498.18</c:v>
                </c:pt>
                <c:pt idx="78">
                  <c:v>4498.18</c:v>
                </c:pt>
                <c:pt idx="79">
                  <c:v>4498.18</c:v>
                </c:pt>
                <c:pt idx="80">
                  <c:v>4498.18</c:v>
                </c:pt>
                <c:pt idx="81">
                  <c:v>4498.18</c:v>
                </c:pt>
                <c:pt idx="82">
                  <c:v>4498.18</c:v>
                </c:pt>
                <c:pt idx="83">
                  <c:v>4498.18</c:v>
                </c:pt>
                <c:pt idx="84">
                  <c:v>4498.18</c:v>
                </c:pt>
                <c:pt idx="85">
                  <c:v>4498.18</c:v>
                </c:pt>
                <c:pt idx="86">
                  <c:v>4498.18</c:v>
                </c:pt>
                <c:pt idx="87">
                  <c:v>4498.18</c:v>
                </c:pt>
                <c:pt idx="88">
                  <c:v>4498.18</c:v>
                </c:pt>
                <c:pt idx="89">
                  <c:v>4498.18</c:v>
                </c:pt>
                <c:pt idx="90">
                  <c:v>4498.18</c:v>
                </c:pt>
                <c:pt idx="91">
                  <c:v>4498.18</c:v>
                </c:pt>
                <c:pt idx="92">
                  <c:v>4498.18</c:v>
                </c:pt>
                <c:pt idx="93">
                  <c:v>4498.18</c:v>
                </c:pt>
                <c:pt idx="94">
                  <c:v>4498.18</c:v>
                </c:pt>
                <c:pt idx="95">
                  <c:v>4498.18</c:v>
                </c:pt>
                <c:pt idx="96">
                  <c:v>4498.18</c:v>
                </c:pt>
                <c:pt idx="97">
                  <c:v>4498.18</c:v>
                </c:pt>
                <c:pt idx="98">
                  <c:v>4498.18</c:v>
                </c:pt>
                <c:pt idx="99">
                  <c:v>4498.18</c:v>
                </c:pt>
                <c:pt idx="100">
                  <c:v>4498.18</c:v>
                </c:pt>
                <c:pt idx="101">
                  <c:v>4498.18</c:v>
                </c:pt>
                <c:pt idx="102">
                  <c:v>4498.18</c:v>
                </c:pt>
                <c:pt idx="103">
                  <c:v>4498.18</c:v>
                </c:pt>
                <c:pt idx="104">
                  <c:v>4498.18</c:v>
                </c:pt>
                <c:pt idx="105">
                  <c:v>4498.18</c:v>
                </c:pt>
                <c:pt idx="106">
                  <c:v>4498.18</c:v>
                </c:pt>
                <c:pt idx="107">
                  <c:v>4498.18</c:v>
                </c:pt>
                <c:pt idx="108">
                  <c:v>4498.18</c:v>
                </c:pt>
                <c:pt idx="109">
                  <c:v>4498.18</c:v>
                </c:pt>
                <c:pt idx="110">
                  <c:v>4498.18</c:v>
                </c:pt>
                <c:pt idx="111">
                  <c:v>4498.18</c:v>
                </c:pt>
                <c:pt idx="112">
                  <c:v>4498.18</c:v>
                </c:pt>
                <c:pt idx="113">
                  <c:v>4498.18</c:v>
                </c:pt>
                <c:pt idx="114">
                  <c:v>4498.18</c:v>
                </c:pt>
                <c:pt idx="115">
                  <c:v>4498.18</c:v>
                </c:pt>
                <c:pt idx="116">
                  <c:v>4498.18</c:v>
                </c:pt>
                <c:pt idx="117">
                  <c:v>4498.18</c:v>
                </c:pt>
                <c:pt idx="118">
                  <c:v>4498.18</c:v>
                </c:pt>
                <c:pt idx="119">
                  <c:v>4498.18</c:v>
                </c:pt>
                <c:pt idx="120">
                  <c:v>4498.18</c:v>
                </c:pt>
                <c:pt idx="121">
                  <c:v>4498.18</c:v>
                </c:pt>
                <c:pt idx="122">
                  <c:v>4498.18</c:v>
                </c:pt>
                <c:pt idx="123">
                  <c:v>4498.18</c:v>
                </c:pt>
                <c:pt idx="124">
                  <c:v>4498.18</c:v>
                </c:pt>
                <c:pt idx="125">
                  <c:v>4498.18</c:v>
                </c:pt>
                <c:pt idx="126">
                  <c:v>4498.18</c:v>
                </c:pt>
                <c:pt idx="127">
                  <c:v>4498.18</c:v>
                </c:pt>
                <c:pt idx="128">
                  <c:v>4498.18</c:v>
                </c:pt>
                <c:pt idx="129">
                  <c:v>4498.18</c:v>
                </c:pt>
                <c:pt idx="130">
                  <c:v>4498.18</c:v>
                </c:pt>
                <c:pt idx="131">
                  <c:v>4498.18</c:v>
                </c:pt>
                <c:pt idx="132">
                  <c:v>4498.18</c:v>
                </c:pt>
                <c:pt idx="133">
                  <c:v>4498.18</c:v>
                </c:pt>
                <c:pt idx="134">
                  <c:v>4498.18</c:v>
                </c:pt>
                <c:pt idx="135">
                  <c:v>4498.18</c:v>
                </c:pt>
                <c:pt idx="136">
                  <c:v>4498.18</c:v>
                </c:pt>
                <c:pt idx="137">
                  <c:v>4498.18</c:v>
                </c:pt>
                <c:pt idx="138">
                  <c:v>4498.18</c:v>
                </c:pt>
                <c:pt idx="139">
                  <c:v>4498.18</c:v>
                </c:pt>
                <c:pt idx="140">
                  <c:v>4498.18</c:v>
                </c:pt>
                <c:pt idx="141">
                  <c:v>4498.18</c:v>
                </c:pt>
                <c:pt idx="142">
                  <c:v>4498.18</c:v>
                </c:pt>
                <c:pt idx="143">
                  <c:v>4498.18</c:v>
                </c:pt>
                <c:pt idx="144">
                  <c:v>4498.18</c:v>
                </c:pt>
                <c:pt idx="145">
                  <c:v>4498.18</c:v>
                </c:pt>
                <c:pt idx="146">
                  <c:v>4498.18</c:v>
                </c:pt>
                <c:pt idx="147">
                  <c:v>4498.18</c:v>
                </c:pt>
                <c:pt idx="148">
                  <c:v>4498.18</c:v>
                </c:pt>
                <c:pt idx="149">
                  <c:v>4498.18</c:v>
                </c:pt>
                <c:pt idx="150">
                  <c:v>4498.18</c:v>
                </c:pt>
                <c:pt idx="151">
                  <c:v>4498.18</c:v>
                </c:pt>
                <c:pt idx="152">
                  <c:v>4498.18</c:v>
                </c:pt>
                <c:pt idx="153">
                  <c:v>4498.18</c:v>
                </c:pt>
                <c:pt idx="154">
                  <c:v>4498.18</c:v>
                </c:pt>
                <c:pt idx="155">
                  <c:v>4498.18</c:v>
                </c:pt>
                <c:pt idx="156">
                  <c:v>4498.18</c:v>
                </c:pt>
                <c:pt idx="157">
                  <c:v>4498.18</c:v>
                </c:pt>
                <c:pt idx="158">
                  <c:v>4498.18</c:v>
                </c:pt>
                <c:pt idx="159">
                  <c:v>4498.18</c:v>
                </c:pt>
                <c:pt idx="160">
                  <c:v>4498.18</c:v>
                </c:pt>
                <c:pt idx="161">
                  <c:v>4498.18</c:v>
                </c:pt>
                <c:pt idx="162">
                  <c:v>4498.18</c:v>
                </c:pt>
                <c:pt idx="163">
                  <c:v>4498.18</c:v>
                </c:pt>
                <c:pt idx="164">
                  <c:v>4498.18</c:v>
                </c:pt>
                <c:pt idx="165">
                  <c:v>4498.18</c:v>
                </c:pt>
                <c:pt idx="166">
                  <c:v>4498.18</c:v>
                </c:pt>
                <c:pt idx="167">
                  <c:v>4498.18</c:v>
                </c:pt>
                <c:pt idx="168">
                  <c:v>4498.18</c:v>
                </c:pt>
                <c:pt idx="169">
                  <c:v>4498.18</c:v>
                </c:pt>
                <c:pt idx="170">
                  <c:v>4498.18</c:v>
                </c:pt>
                <c:pt idx="171">
                  <c:v>4498.18</c:v>
                </c:pt>
                <c:pt idx="172">
                  <c:v>4498.18</c:v>
                </c:pt>
                <c:pt idx="173">
                  <c:v>4498.18</c:v>
                </c:pt>
                <c:pt idx="174">
                  <c:v>4498.18</c:v>
                </c:pt>
                <c:pt idx="175">
                  <c:v>4498.18</c:v>
                </c:pt>
                <c:pt idx="176">
                  <c:v>4498.18</c:v>
                </c:pt>
                <c:pt idx="177">
                  <c:v>4498.18</c:v>
                </c:pt>
                <c:pt idx="178">
                  <c:v>4498.18</c:v>
                </c:pt>
                <c:pt idx="179">
                  <c:v>4498.18</c:v>
                </c:pt>
                <c:pt idx="180">
                  <c:v>4498.18</c:v>
                </c:pt>
                <c:pt idx="181">
                  <c:v>4498.18</c:v>
                </c:pt>
                <c:pt idx="182">
                  <c:v>4498.18</c:v>
                </c:pt>
                <c:pt idx="183">
                  <c:v>4498.18</c:v>
                </c:pt>
                <c:pt idx="184">
                  <c:v>4498.18</c:v>
                </c:pt>
                <c:pt idx="185">
                  <c:v>4498.18</c:v>
                </c:pt>
                <c:pt idx="186">
                  <c:v>4498.18</c:v>
                </c:pt>
                <c:pt idx="187">
                  <c:v>4498.18</c:v>
                </c:pt>
                <c:pt idx="188">
                  <c:v>4498.18</c:v>
                </c:pt>
                <c:pt idx="189">
                  <c:v>4498.18</c:v>
                </c:pt>
                <c:pt idx="190">
                  <c:v>4498.18</c:v>
                </c:pt>
                <c:pt idx="191">
                  <c:v>4498.18</c:v>
                </c:pt>
                <c:pt idx="192">
                  <c:v>4498.18</c:v>
                </c:pt>
                <c:pt idx="193">
                  <c:v>4498.18</c:v>
                </c:pt>
                <c:pt idx="194">
                  <c:v>4498.18</c:v>
                </c:pt>
                <c:pt idx="195">
                  <c:v>4498.18</c:v>
                </c:pt>
                <c:pt idx="196">
                  <c:v>4498.18</c:v>
                </c:pt>
                <c:pt idx="197">
                  <c:v>4498.18</c:v>
                </c:pt>
                <c:pt idx="198">
                  <c:v>4498.18</c:v>
                </c:pt>
                <c:pt idx="199">
                  <c:v>4498.18</c:v>
                </c:pt>
                <c:pt idx="200">
                  <c:v>4498.18</c:v>
                </c:pt>
                <c:pt idx="201">
                  <c:v>4498.18</c:v>
                </c:pt>
                <c:pt idx="202">
                  <c:v>4498.18</c:v>
                </c:pt>
                <c:pt idx="203">
                  <c:v>4498.18</c:v>
                </c:pt>
              </c:numCache>
            </c:numRef>
          </c:val>
          <c:smooth val="0"/>
          <c:extLst>
            <c:ext xmlns:c16="http://schemas.microsoft.com/office/drawing/2014/chart" uri="{C3380CC4-5D6E-409C-BE32-E72D297353CC}">
              <c16:uniqueId val="{00000001-329B-41D6-8340-43856FD2F6C5}"/>
            </c:ext>
          </c:extLst>
        </c:ser>
        <c:ser>
          <c:idx val="2"/>
          <c:order val="2"/>
          <c:tx>
            <c:strRef>
              <c:f>'Fig 11.3. X &amp; Ave. charts'!$E$1</c:f>
              <c:strCache>
                <c:ptCount val="1"/>
                <c:pt idx="0">
                  <c:v>UPL</c:v>
                </c:pt>
              </c:strCache>
            </c:strRef>
          </c:tx>
          <c:spPr>
            <a:ln w="28575" cap="rnd">
              <a:solidFill>
                <a:srgbClr val="D72323"/>
              </a:solidFill>
              <a:prstDash val="dash"/>
              <a:round/>
            </a:ln>
            <a:effectLst/>
          </c:spPr>
          <c:marker>
            <c:symbol val="none"/>
          </c:marker>
          <c:cat>
            <c:strRef>
              <c:f>'Fig 11.3. X &amp; Ave. charts'!$B$2:$B$205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11.3. X &amp; Ave. charts'!$E$2:$E$205</c:f>
              <c:numCache>
                <c:formatCode>General</c:formatCode>
                <c:ptCount val="204"/>
                <c:pt idx="0">
                  <c:v>5346.21</c:v>
                </c:pt>
                <c:pt idx="1">
                  <c:v>5346.21</c:v>
                </c:pt>
                <c:pt idx="2">
                  <c:v>5346.21</c:v>
                </c:pt>
                <c:pt idx="3">
                  <c:v>5346.21</c:v>
                </c:pt>
                <c:pt idx="4">
                  <c:v>5346.21</c:v>
                </c:pt>
                <c:pt idx="5">
                  <c:v>5346.21</c:v>
                </c:pt>
                <c:pt idx="6">
                  <c:v>5346.21</c:v>
                </c:pt>
                <c:pt idx="7">
                  <c:v>5346.21</c:v>
                </c:pt>
                <c:pt idx="8">
                  <c:v>5346.21</c:v>
                </c:pt>
                <c:pt idx="9">
                  <c:v>5346.21</c:v>
                </c:pt>
                <c:pt idx="10">
                  <c:v>5346.21</c:v>
                </c:pt>
                <c:pt idx="11">
                  <c:v>5346.21</c:v>
                </c:pt>
                <c:pt idx="12">
                  <c:v>5346.21</c:v>
                </c:pt>
                <c:pt idx="13">
                  <c:v>5346.21</c:v>
                </c:pt>
                <c:pt idx="14">
                  <c:v>5346.21</c:v>
                </c:pt>
                <c:pt idx="15">
                  <c:v>5346.21</c:v>
                </c:pt>
                <c:pt idx="16">
                  <c:v>5346.21</c:v>
                </c:pt>
                <c:pt idx="17">
                  <c:v>5346.21</c:v>
                </c:pt>
                <c:pt idx="18">
                  <c:v>5346.21</c:v>
                </c:pt>
                <c:pt idx="19">
                  <c:v>5346.21</c:v>
                </c:pt>
                <c:pt idx="20">
                  <c:v>5346.21</c:v>
                </c:pt>
                <c:pt idx="21">
                  <c:v>5346.21</c:v>
                </c:pt>
                <c:pt idx="22">
                  <c:v>5346.21</c:v>
                </c:pt>
                <c:pt idx="23">
                  <c:v>5346.21</c:v>
                </c:pt>
                <c:pt idx="24">
                  <c:v>5346.21</c:v>
                </c:pt>
                <c:pt idx="25">
                  <c:v>5346.21</c:v>
                </c:pt>
                <c:pt idx="26">
                  <c:v>5346.21</c:v>
                </c:pt>
                <c:pt idx="27">
                  <c:v>5346.21</c:v>
                </c:pt>
                <c:pt idx="28">
                  <c:v>5346.21</c:v>
                </c:pt>
                <c:pt idx="29">
                  <c:v>5346.21</c:v>
                </c:pt>
                <c:pt idx="30">
                  <c:v>5346.21</c:v>
                </c:pt>
                <c:pt idx="31">
                  <c:v>5346.21</c:v>
                </c:pt>
                <c:pt idx="32">
                  <c:v>5346.21</c:v>
                </c:pt>
                <c:pt idx="33">
                  <c:v>5346.21</c:v>
                </c:pt>
                <c:pt idx="34">
                  <c:v>5346.21</c:v>
                </c:pt>
                <c:pt idx="35">
                  <c:v>5346.21</c:v>
                </c:pt>
                <c:pt idx="36">
                  <c:v>5346.21</c:v>
                </c:pt>
                <c:pt idx="37">
                  <c:v>5346.21</c:v>
                </c:pt>
                <c:pt idx="38">
                  <c:v>5346.21</c:v>
                </c:pt>
                <c:pt idx="39">
                  <c:v>5346.21</c:v>
                </c:pt>
                <c:pt idx="40">
                  <c:v>5346.21</c:v>
                </c:pt>
                <c:pt idx="41">
                  <c:v>5346.21</c:v>
                </c:pt>
                <c:pt idx="42">
                  <c:v>5346.21</c:v>
                </c:pt>
                <c:pt idx="43">
                  <c:v>5346.21</c:v>
                </c:pt>
                <c:pt idx="44">
                  <c:v>5346.21</c:v>
                </c:pt>
                <c:pt idx="45">
                  <c:v>5346.21</c:v>
                </c:pt>
                <c:pt idx="46">
                  <c:v>5346.21</c:v>
                </c:pt>
                <c:pt idx="47">
                  <c:v>5346.21</c:v>
                </c:pt>
                <c:pt idx="48">
                  <c:v>5346.21</c:v>
                </c:pt>
                <c:pt idx="49">
                  <c:v>5346.21</c:v>
                </c:pt>
                <c:pt idx="50">
                  <c:v>5346.21</c:v>
                </c:pt>
                <c:pt idx="51">
                  <c:v>5346.21</c:v>
                </c:pt>
                <c:pt idx="52">
                  <c:v>5346.21</c:v>
                </c:pt>
                <c:pt idx="53">
                  <c:v>5346.21</c:v>
                </c:pt>
                <c:pt idx="54">
                  <c:v>5346.21</c:v>
                </c:pt>
                <c:pt idx="55">
                  <c:v>5346.21</c:v>
                </c:pt>
                <c:pt idx="56">
                  <c:v>5346.21</c:v>
                </c:pt>
                <c:pt idx="57">
                  <c:v>5346.21</c:v>
                </c:pt>
                <c:pt idx="58">
                  <c:v>5346.21</c:v>
                </c:pt>
                <c:pt idx="59">
                  <c:v>5346.21</c:v>
                </c:pt>
                <c:pt idx="60">
                  <c:v>5346.21</c:v>
                </c:pt>
                <c:pt idx="61">
                  <c:v>5346.21</c:v>
                </c:pt>
                <c:pt idx="62">
                  <c:v>5346.21</c:v>
                </c:pt>
                <c:pt idx="63">
                  <c:v>5346.21</c:v>
                </c:pt>
                <c:pt idx="64">
                  <c:v>5346.21</c:v>
                </c:pt>
                <c:pt idx="65">
                  <c:v>5346.21</c:v>
                </c:pt>
                <c:pt idx="66">
                  <c:v>5346.21</c:v>
                </c:pt>
                <c:pt idx="67">
                  <c:v>5346.21</c:v>
                </c:pt>
                <c:pt idx="68">
                  <c:v>5346.21</c:v>
                </c:pt>
                <c:pt idx="69">
                  <c:v>5346.21</c:v>
                </c:pt>
                <c:pt idx="70">
                  <c:v>5346.21</c:v>
                </c:pt>
                <c:pt idx="71">
                  <c:v>5346.21</c:v>
                </c:pt>
                <c:pt idx="72">
                  <c:v>5346.21</c:v>
                </c:pt>
                <c:pt idx="73">
                  <c:v>5346.21</c:v>
                </c:pt>
                <c:pt idx="74">
                  <c:v>5346.21</c:v>
                </c:pt>
                <c:pt idx="75">
                  <c:v>5346.21</c:v>
                </c:pt>
                <c:pt idx="76">
                  <c:v>5346.21</c:v>
                </c:pt>
                <c:pt idx="77">
                  <c:v>5346.21</c:v>
                </c:pt>
                <c:pt idx="78">
                  <c:v>5346.21</c:v>
                </c:pt>
                <c:pt idx="79">
                  <c:v>5346.21</c:v>
                </c:pt>
                <c:pt idx="80">
                  <c:v>5346.21</c:v>
                </c:pt>
                <c:pt idx="81">
                  <c:v>5346.21</c:v>
                </c:pt>
                <c:pt idx="82">
                  <c:v>5346.21</c:v>
                </c:pt>
                <c:pt idx="83">
                  <c:v>5346.21</c:v>
                </c:pt>
                <c:pt idx="84">
                  <c:v>5346.21</c:v>
                </c:pt>
                <c:pt idx="85">
                  <c:v>5346.21</c:v>
                </c:pt>
                <c:pt idx="86">
                  <c:v>5346.21</c:v>
                </c:pt>
                <c:pt idx="87">
                  <c:v>5346.21</c:v>
                </c:pt>
                <c:pt idx="88">
                  <c:v>5346.21</c:v>
                </c:pt>
                <c:pt idx="89">
                  <c:v>5346.21</c:v>
                </c:pt>
                <c:pt idx="90">
                  <c:v>5346.21</c:v>
                </c:pt>
                <c:pt idx="91">
                  <c:v>5346.21</c:v>
                </c:pt>
                <c:pt idx="92">
                  <c:v>5346.21</c:v>
                </c:pt>
                <c:pt idx="93">
                  <c:v>5346.21</c:v>
                </c:pt>
                <c:pt idx="94">
                  <c:v>5346.21</c:v>
                </c:pt>
                <c:pt idx="95">
                  <c:v>5346.21</c:v>
                </c:pt>
                <c:pt idx="96">
                  <c:v>5346.21</c:v>
                </c:pt>
                <c:pt idx="97">
                  <c:v>5346.21</c:v>
                </c:pt>
                <c:pt idx="98">
                  <c:v>5346.21</c:v>
                </c:pt>
                <c:pt idx="99">
                  <c:v>5346.21</c:v>
                </c:pt>
                <c:pt idx="100">
                  <c:v>5346.21</c:v>
                </c:pt>
                <c:pt idx="101">
                  <c:v>5346.21</c:v>
                </c:pt>
                <c:pt idx="102">
                  <c:v>5346.21</c:v>
                </c:pt>
                <c:pt idx="103">
                  <c:v>5346.21</c:v>
                </c:pt>
                <c:pt idx="104">
                  <c:v>5346.21</c:v>
                </c:pt>
                <c:pt idx="105">
                  <c:v>5346.21</c:v>
                </c:pt>
                <c:pt idx="106">
                  <c:v>5346.21</c:v>
                </c:pt>
                <c:pt idx="107">
                  <c:v>5346.21</c:v>
                </c:pt>
                <c:pt idx="108">
                  <c:v>5346.21</c:v>
                </c:pt>
                <c:pt idx="109">
                  <c:v>5346.21</c:v>
                </c:pt>
                <c:pt idx="110">
                  <c:v>5346.21</c:v>
                </c:pt>
                <c:pt idx="111">
                  <c:v>5346.21</c:v>
                </c:pt>
                <c:pt idx="112">
                  <c:v>5346.21</c:v>
                </c:pt>
                <c:pt idx="113">
                  <c:v>5346.21</c:v>
                </c:pt>
                <c:pt idx="114">
                  <c:v>5346.21</c:v>
                </c:pt>
                <c:pt idx="115">
                  <c:v>5346.21</c:v>
                </c:pt>
                <c:pt idx="116">
                  <c:v>5346.21</c:v>
                </c:pt>
                <c:pt idx="117">
                  <c:v>5346.21</c:v>
                </c:pt>
                <c:pt idx="118">
                  <c:v>5346.21</c:v>
                </c:pt>
                <c:pt idx="119">
                  <c:v>5346.21</c:v>
                </c:pt>
                <c:pt idx="120">
                  <c:v>5346.21</c:v>
                </c:pt>
                <c:pt idx="121">
                  <c:v>5346.21</c:v>
                </c:pt>
                <c:pt idx="122">
                  <c:v>5346.21</c:v>
                </c:pt>
                <c:pt idx="123">
                  <c:v>5346.21</c:v>
                </c:pt>
                <c:pt idx="124">
                  <c:v>5346.21</c:v>
                </c:pt>
                <c:pt idx="125">
                  <c:v>5346.21</c:v>
                </c:pt>
                <c:pt idx="126">
                  <c:v>5346.21</c:v>
                </c:pt>
                <c:pt idx="127">
                  <c:v>5346.21</c:v>
                </c:pt>
                <c:pt idx="128">
                  <c:v>5346.21</c:v>
                </c:pt>
                <c:pt idx="129">
                  <c:v>5346.21</c:v>
                </c:pt>
                <c:pt idx="130">
                  <c:v>5346.21</c:v>
                </c:pt>
                <c:pt idx="131">
                  <c:v>5346.21</c:v>
                </c:pt>
                <c:pt idx="132">
                  <c:v>5346.21</c:v>
                </c:pt>
                <c:pt idx="133">
                  <c:v>5346.21</c:v>
                </c:pt>
                <c:pt idx="134">
                  <c:v>5346.21</c:v>
                </c:pt>
                <c:pt idx="135">
                  <c:v>5346.21</c:v>
                </c:pt>
                <c:pt idx="136">
                  <c:v>5346.21</c:v>
                </c:pt>
                <c:pt idx="137">
                  <c:v>5346.21</c:v>
                </c:pt>
                <c:pt idx="138">
                  <c:v>5346.21</c:v>
                </c:pt>
                <c:pt idx="139">
                  <c:v>5346.21</c:v>
                </c:pt>
                <c:pt idx="140">
                  <c:v>5346.21</c:v>
                </c:pt>
                <c:pt idx="141">
                  <c:v>5346.21</c:v>
                </c:pt>
                <c:pt idx="142">
                  <c:v>5346.21</c:v>
                </c:pt>
                <c:pt idx="143">
                  <c:v>5346.21</c:v>
                </c:pt>
                <c:pt idx="144">
                  <c:v>5346.21</c:v>
                </c:pt>
                <c:pt idx="145">
                  <c:v>5346.21</c:v>
                </c:pt>
                <c:pt idx="146">
                  <c:v>5346.21</c:v>
                </c:pt>
                <c:pt idx="147">
                  <c:v>5346.21</c:v>
                </c:pt>
                <c:pt idx="148">
                  <c:v>5346.21</c:v>
                </c:pt>
                <c:pt idx="149">
                  <c:v>5346.21</c:v>
                </c:pt>
                <c:pt idx="150">
                  <c:v>5346.21</c:v>
                </c:pt>
                <c:pt idx="151">
                  <c:v>5346.21</c:v>
                </c:pt>
                <c:pt idx="152">
                  <c:v>5346.21</c:v>
                </c:pt>
                <c:pt idx="153">
                  <c:v>5346.21</c:v>
                </c:pt>
                <c:pt idx="154">
                  <c:v>5346.21</c:v>
                </c:pt>
                <c:pt idx="155">
                  <c:v>5346.21</c:v>
                </c:pt>
                <c:pt idx="156">
                  <c:v>5346.21</c:v>
                </c:pt>
                <c:pt idx="157">
                  <c:v>5346.21</c:v>
                </c:pt>
                <c:pt idx="158">
                  <c:v>5346.21</c:v>
                </c:pt>
                <c:pt idx="159">
                  <c:v>5346.21</c:v>
                </c:pt>
                <c:pt idx="160">
                  <c:v>5346.21</c:v>
                </c:pt>
                <c:pt idx="161">
                  <c:v>5346.21</c:v>
                </c:pt>
                <c:pt idx="162">
                  <c:v>5346.21</c:v>
                </c:pt>
                <c:pt idx="163">
                  <c:v>5346.21</c:v>
                </c:pt>
                <c:pt idx="164">
                  <c:v>5346.21</c:v>
                </c:pt>
                <c:pt idx="165">
                  <c:v>5346.21</c:v>
                </c:pt>
                <c:pt idx="166">
                  <c:v>5346.21</c:v>
                </c:pt>
                <c:pt idx="167">
                  <c:v>5346.21</c:v>
                </c:pt>
                <c:pt idx="168">
                  <c:v>5346.21</c:v>
                </c:pt>
                <c:pt idx="169">
                  <c:v>5346.21</c:v>
                </c:pt>
                <c:pt idx="170">
                  <c:v>5346.21</c:v>
                </c:pt>
                <c:pt idx="171">
                  <c:v>5346.21</c:v>
                </c:pt>
                <c:pt idx="172">
                  <c:v>5346.21</c:v>
                </c:pt>
                <c:pt idx="173">
                  <c:v>5346.21</c:v>
                </c:pt>
                <c:pt idx="174">
                  <c:v>5346.21</c:v>
                </c:pt>
                <c:pt idx="175">
                  <c:v>5346.21</c:v>
                </c:pt>
                <c:pt idx="176">
                  <c:v>5346.21</c:v>
                </c:pt>
                <c:pt idx="177">
                  <c:v>5346.21</c:v>
                </c:pt>
                <c:pt idx="178">
                  <c:v>5346.21</c:v>
                </c:pt>
                <c:pt idx="179">
                  <c:v>5346.21</c:v>
                </c:pt>
                <c:pt idx="180">
                  <c:v>5346.21</c:v>
                </c:pt>
                <c:pt idx="181">
                  <c:v>5346.21</c:v>
                </c:pt>
                <c:pt idx="182">
                  <c:v>5346.21</c:v>
                </c:pt>
                <c:pt idx="183">
                  <c:v>5346.21</c:v>
                </c:pt>
                <c:pt idx="184">
                  <c:v>5346.21</c:v>
                </c:pt>
                <c:pt idx="185">
                  <c:v>5346.21</c:v>
                </c:pt>
                <c:pt idx="186">
                  <c:v>5346.21</c:v>
                </c:pt>
                <c:pt idx="187">
                  <c:v>5346.21</c:v>
                </c:pt>
                <c:pt idx="188">
                  <c:v>5346.21</c:v>
                </c:pt>
                <c:pt idx="189">
                  <c:v>5346.21</c:v>
                </c:pt>
                <c:pt idx="190">
                  <c:v>5346.21</c:v>
                </c:pt>
                <c:pt idx="191">
                  <c:v>5346.21</c:v>
                </c:pt>
                <c:pt idx="192">
                  <c:v>5346.21</c:v>
                </c:pt>
                <c:pt idx="193">
                  <c:v>5346.21</c:v>
                </c:pt>
                <c:pt idx="194">
                  <c:v>5346.21</c:v>
                </c:pt>
                <c:pt idx="195">
                  <c:v>5346.21</c:v>
                </c:pt>
                <c:pt idx="196">
                  <c:v>5346.21</c:v>
                </c:pt>
                <c:pt idx="197">
                  <c:v>5346.21</c:v>
                </c:pt>
                <c:pt idx="198">
                  <c:v>5346.21</c:v>
                </c:pt>
                <c:pt idx="199">
                  <c:v>5346.21</c:v>
                </c:pt>
                <c:pt idx="200">
                  <c:v>5346.21</c:v>
                </c:pt>
                <c:pt idx="201">
                  <c:v>5346.21</c:v>
                </c:pt>
                <c:pt idx="202">
                  <c:v>5346.21</c:v>
                </c:pt>
                <c:pt idx="203">
                  <c:v>5346.21</c:v>
                </c:pt>
              </c:numCache>
            </c:numRef>
          </c:val>
          <c:smooth val="0"/>
          <c:extLst>
            <c:ext xmlns:c16="http://schemas.microsoft.com/office/drawing/2014/chart" uri="{C3380CC4-5D6E-409C-BE32-E72D297353CC}">
              <c16:uniqueId val="{00000002-329B-41D6-8340-43856FD2F6C5}"/>
            </c:ext>
          </c:extLst>
        </c:ser>
        <c:ser>
          <c:idx val="3"/>
          <c:order val="3"/>
          <c:tx>
            <c:strRef>
              <c:f>'Fig 11.3. X &amp; Ave. charts'!$F$1</c:f>
              <c:strCache>
                <c:ptCount val="1"/>
                <c:pt idx="0">
                  <c:v>LPL</c:v>
                </c:pt>
              </c:strCache>
            </c:strRef>
          </c:tx>
          <c:spPr>
            <a:ln w="28575" cap="rnd">
              <a:solidFill>
                <a:srgbClr val="D72323"/>
              </a:solidFill>
              <a:prstDash val="dash"/>
              <a:round/>
            </a:ln>
            <a:effectLst/>
          </c:spPr>
          <c:marker>
            <c:symbol val="none"/>
          </c:marker>
          <c:cat>
            <c:strRef>
              <c:f>'Fig 11.3. X &amp; Ave. charts'!$B$2:$B$205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11.3. X &amp; Ave. charts'!$F$2:$F$205</c:f>
              <c:numCache>
                <c:formatCode>General</c:formatCode>
                <c:ptCount val="204"/>
                <c:pt idx="0">
                  <c:v>3650.15</c:v>
                </c:pt>
                <c:pt idx="1">
                  <c:v>3650.15</c:v>
                </c:pt>
                <c:pt idx="2">
                  <c:v>3650.15</c:v>
                </c:pt>
                <c:pt idx="3">
                  <c:v>3650.15</c:v>
                </c:pt>
                <c:pt idx="4">
                  <c:v>3650.15</c:v>
                </c:pt>
                <c:pt idx="5">
                  <c:v>3650.15</c:v>
                </c:pt>
                <c:pt idx="6">
                  <c:v>3650.15</c:v>
                </c:pt>
                <c:pt idx="7">
                  <c:v>3650.15</c:v>
                </c:pt>
                <c:pt idx="8">
                  <c:v>3650.15</c:v>
                </c:pt>
                <c:pt idx="9">
                  <c:v>3650.15</c:v>
                </c:pt>
                <c:pt idx="10">
                  <c:v>3650.15</c:v>
                </c:pt>
                <c:pt idx="11">
                  <c:v>3650.15</c:v>
                </c:pt>
                <c:pt idx="12">
                  <c:v>3650.15</c:v>
                </c:pt>
                <c:pt idx="13">
                  <c:v>3650.15</c:v>
                </c:pt>
                <c:pt idx="14">
                  <c:v>3650.15</c:v>
                </c:pt>
                <c:pt idx="15">
                  <c:v>3650.15</c:v>
                </c:pt>
                <c:pt idx="16">
                  <c:v>3650.15</c:v>
                </c:pt>
                <c:pt idx="17">
                  <c:v>3650.15</c:v>
                </c:pt>
                <c:pt idx="18">
                  <c:v>3650.15</c:v>
                </c:pt>
                <c:pt idx="19">
                  <c:v>3650.15</c:v>
                </c:pt>
                <c:pt idx="20">
                  <c:v>3650.15</c:v>
                </c:pt>
                <c:pt idx="21">
                  <c:v>3650.15</c:v>
                </c:pt>
                <c:pt idx="22">
                  <c:v>3650.15</c:v>
                </c:pt>
                <c:pt idx="23">
                  <c:v>3650.15</c:v>
                </c:pt>
                <c:pt idx="24">
                  <c:v>3650.15</c:v>
                </c:pt>
                <c:pt idx="25">
                  <c:v>3650.15</c:v>
                </c:pt>
                <c:pt idx="26">
                  <c:v>3650.15</c:v>
                </c:pt>
                <c:pt idx="27">
                  <c:v>3650.15</c:v>
                </c:pt>
                <c:pt idx="28">
                  <c:v>3650.15</c:v>
                </c:pt>
                <c:pt idx="29">
                  <c:v>3650.15</c:v>
                </c:pt>
                <c:pt idx="30">
                  <c:v>3650.15</c:v>
                </c:pt>
                <c:pt idx="31">
                  <c:v>3650.15</c:v>
                </c:pt>
                <c:pt idx="32">
                  <c:v>3650.15</c:v>
                </c:pt>
                <c:pt idx="33">
                  <c:v>3650.15</c:v>
                </c:pt>
                <c:pt idx="34">
                  <c:v>3650.15</c:v>
                </c:pt>
                <c:pt idx="35">
                  <c:v>3650.15</c:v>
                </c:pt>
                <c:pt idx="36">
                  <c:v>3650.15</c:v>
                </c:pt>
                <c:pt idx="37">
                  <c:v>3650.15</c:v>
                </c:pt>
                <c:pt idx="38">
                  <c:v>3650.15</c:v>
                </c:pt>
                <c:pt idx="39">
                  <c:v>3650.15</c:v>
                </c:pt>
                <c:pt idx="40">
                  <c:v>3650.15</c:v>
                </c:pt>
                <c:pt idx="41">
                  <c:v>3650.15</c:v>
                </c:pt>
                <c:pt idx="42">
                  <c:v>3650.15</c:v>
                </c:pt>
                <c:pt idx="43">
                  <c:v>3650.15</c:v>
                </c:pt>
                <c:pt idx="44">
                  <c:v>3650.15</c:v>
                </c:pt>
                <c:pt idx="45">
                  <c:v>3650.15</c:v>
                </c:pt>
                <c:pt idx="46">
                  <c:v>3650.15</c:v>
                </c:pt>
                <c:pt idx="47">
                  <c:v>3650.15</c:v>
                </c:pt>
                <c:pt idx="48">
                  <c:v>3650.15</c:v>
                </c:pt>
                <c:pt idx="49">
                  <c:v>3650.15</c:v>
                </c:pt>
                <c:pt idx="50">
                  <c:v>3650.15</c:v>
                </c:pt>
                <c:pt idx="51">
                  <c:v>3650.15</c:v>
                </c:pt>
                <c:pt idx="52">
                  <c:v>3650.15</c:v>
                </c:pt>
                <c:pt idx="53">
                  <c:v>3650.15</c:v>
                </c:pt>
                <c:pt idx="54">
                  <c:v>3650.15</c:v>
                </c:pt>
                <c:pt idx="55">
                  <c:v>3650.15</c:v>
                </c:pt>
                <c:pt idx="56">
                  <c:v>3650.15</c:v>
                </c:pt>
                <c:pt idx="57">
                  <c:v>3650.15</c:v>
                </c:pt>
                <c:pt idx="58">
                  <c:v>3650.15</c:v>
                </c:pt>
                <c:pt idx="59">
                  <c:v>3650.15</c:v>
                </c:pt>
                <c:pt idx="60">
                  <c:v>3650.15</c:v>
                </c:pt>
                <c:pt idx="61">
                  <c:v>3650.15</c:v>
                </c:pt>
                <c:pt idx="62">
                  <c:v>3650.15</c:v>
                </c:pt>
                <c:pt idx="63">
                  <c:v>3650.15</c:v>
                </c:pt>
                <c:pt idx="64">
                  <c:v>3650.15</c:v>
                </c:pt>
                <c:pt idx="65">
                  <c:v>3650.15</c:v>
                </c:pt>
                <c:pt idx="66">
                  <c:v>3650.15</c:v>
                </c:pt>
                <c:pt idx="67">
                  <c:v>3650.15</c:v>
                </c:pt>
                <c:pt idx="68">
                  <c:v>3650.15</c:v>
                </c:pt>
                <c:pt idx="69">
                  <c:v>3650.15</c:v>
                </c:pt>
                <c:pt idx="70">
                  <c:v>3650.15</c:v>
                </c:pt>
                <c:pt idx="71">
                  <c:v>3650.15</c:v>
                </c:pt>
                <c:pt idx="72">
                  <c:v>3650.15</c:v>
                </c:pt>
                <c:pt idx="73">
                  <c:v>3650.15</c:v>
                </c:pt>
                <c:pt idx="74">
                  <c:v>3650.15</c:v>
                </c:pt>
                <c:pt idx="75">
                  <c:v>3650.15</c:v>
                </c:pt>
                <c:pt idx="76">
                  <c:v>3650.15</c:v>
                </c:pt>
                <c:pt idx="77">
                  <c:v>3650.15</c:v>
                </c:pt>
                <c:pt idx="78">
                  <c:v>3650.15</c:v>
                </c:pt>
                <c:pt idx="79">
                  <c:v>3650.15</c:v>
                </c:pt>
                <c:pt idx="80">
                  <c:v>3650.15</c:v>
                </c:pt>
                <c:pt idx="81">
                  <c:v>3650.15</c:v>
                </c:pt>
                <c:pt idx="82">
                  <c:v>3650.15</c:v>
                </c:pt>
                <c:pt idx="83">
                  <c:v>3650.15</c:v>
                </c:pt>
                <c:pt idx="84">
                  <c:v>3650.15</c:v>
                </c:pt>
                <c:pt idx="85">
                  <c:v>3650.15</c:v>
                </c:pt>
                <c:pt idx="86">
                  <c:v>3650.15</c:v>
                </c:pt>
                <c:pt idx="87">
                  <c:v>3650.15</c:v>
                </c:pt>
                <c:pt idx="88">
                  <c:v>3650.15</c:v>
                </c:pt>
                <c:pt idx="89">
                  <c:v>3650.15</c:v>
                </c:pt>
                <c:pt idx="90">
                  <c:v>3650.15</c:v>
                </c:pt>
                <c:pt idx="91">
                  <c:v>3650.15</c:v>
                </c:pt>
                <c:pt idx="92">
                  <c:v>3650.15</c:v>
                </c:pt>
                <c:pt idx="93">
                  <c:v>3650.15</c:v>
                </c:pt>
                <c:pt idx="94">
                  <c:v>3650.15</c:v>
                </c:pt>
                <c:pt idx="95">
                  <c:v>3650.15</c:v>
                </c:pt>
                <c:pt idx="96">
                  <c:v>3650.15</c:v>
                </c:pt>
                <c:pt idx="97">
                  <c:v>3650.15</c:v>
                </c:pt>
                <c:pt idx="98">
                  <c:v>3650.15</c:v>
                </c:pt>
                <c:pt idx="99">
                  <c:v>3650.15</c:v>
                </c:pt>
                <c:pt idx="100">
                  <c:v>3650.15</c:v>
                </c:pt>
                <c:pt idx="101">
                  <c:v>3650.15</c:v>
                </c:pt>
                <c:pt idx="102">
                  <c:v>3650.15</c:v>
                </c:pt>
                <c:pt idx="103">
                  <c:v>3650.15</c:v>
                </c:pt>
                <c:pt idx="104">
                  <c:v>3650.15</c:v>
                </c:pt>
                <c:pt idx="105">
                  <c:v>3650.15</c:v>
                </c:pt>
                <c:pt idx="106">
                  <c:v>3650.15</c:v>
                </c:pt>
                <c:pt idx="107">
                  <c:v>3650.15</c:v>
                </c:pt>
                <c:pt idx="108">
                  <c:v>3650.15</c:v>
                </c:pt>
                <c:pt idx="109">
                  <c:v>3650.15</c:v>
                </c:pt>
                <c:pt idx="110">
                  <c:v>3650.15</c:v>
                </c:pt>
                <c:pt idx="111">
                  <c:v>3650.15</c:v>
                </c:pt>
                <c:pt idx="112">
                  <c:v>3650.15</c:v>
                </c:pt>
                <c:pt idx="113">
                  <c:v>3650.15</c:v>
                </c:pt>
                <c:pt idx="114">
                  <c:v>3650.15</c:v>
                </c:pt>
                <c:pt idx="115">
                  <c:v>3650.15</c:v>
                </c:pt>
                <c:pt idx="116">
                  <c:v>3650.15</c:v>
                </c:pt>
                <c:pt idx="117">
                  <c:v>3650.15</c:v>
                </c:pt>
                <c:pt idx="118">
                  <c:v>3650.15</c:v>
                </c:pt>
                <c:pt idx="119">
                  <c:v>3650.15</c:v>
                </c:pt>
                <c:pt idx="120">
                  <c:v>3650.15</c:v>
                </c:pt>
                <c:pt idx="121">
                  <c:v>3650.15</c:v>
                </c:pt>
                <c:pt idx="122">
                  <c:v>3650.15</c:v>
                </c:pt>
                <c:pt idx="123">
                  <c:v>3650.15</c:v>
                </c:pt>
                <c:pt idx="124">
                  <c:v>3650.15</c:v>
                </c:pt>
                <c:pt idx="125">
                  <c:v>3650.15</c:v>
                </c:pt>
                <c:pt idx="126">
                  <c:v>3650.15</c:v>
                </c:pt>
                <c:pt idx="127">
                  <c:v>3650.15</c:v>
                </c:pt>
                <c:pt idx="128">
                  <c:v>3650.15</c:v>
                </c:pt>
                <c:pt idx="129">
                  <c:v>3650.15</c:v>
                </c:pt>
                <c:pt idx="130">
                  <c:v>3650.15</c:v>
                </c:pt>
                <c:pt idx="131">
                  <c:v>3650.15</c:v>
                </c:pt>
                <c:pt idx="132">
                  <c:v>3650.15</c:v>
                </c:pt>
                <c:pt idx="133">
                  <c:v>3650.15</c:v>
                </c:pt>
                <c:pt idx="134">
                  <c:v>3650.15</c:v>
                </c:pt>
                <c:pt idx="135">
                  <c:v>3650.15</c:v>
                </c:pt>
                <c:pt idx="136">
                  <c:v>3650.15</c:v>
                </c:pt>
                <c:pt idx="137">
                  <c:v>3650.15</c:v>
                </c:pt>
                <c:pt idx="138">
                  <c:v>3650.15</c:v>
                </c:pt>
                <c:pt idx="139">
                  <c:v>3650.15</c:v>
                </c:pt>
                <c:pt idx="140">
                  <c:v>3650.15</c:v>
                </c:pt>
                <c:pt idx="141">
                  <c:v>3650.15</c:v>
                </c:pt>
                <c:pt idx="142">
                  <c:v>3650.15</c:v>
                </c:pt>
                <c:pt idx="143">
                  <c:v>3650.15</c:v>
                </c:pt>
                <c:pt idx="144">
                  <c:v>3650.15</c:v>
                </c:pt>
                <c:pt idx="145">
                  <c:v>3650.15</c:v>
                </c:pt>
                <c:pt idx="146">
                  <c:v>3650.15</c:v>
                </c:pt>
                <c:pt idx="147">
                  <c:v>3650.15</c:v>
                </c:pt>
                <c:pt idx="148">
                  <c:v>3650.15</c:v>
                </c:pt>
                <c:pt idx="149">
                  <c:v>3650.15</c:v>
                </c:pt>
                <c:pt idx="150">
                  <c:v>3650.15</c:v>
                </c:pt>
                <c:pt idx="151">
                  <c:v>3650.15</c:v>
                </c:pt>
                <c:pt idx="152">
                  <c:v>3650.15</c:v>
                </c:pt>
                <c:pt idx="153">
                  <c:v>3650.15</c:v>
                </c:pt>
                <c:pt idx="154">
                  <c:v>3650.15</c:v>
                </c:pt>
                <c:pt idx="155">
                  <c:v>3650.15</c:v>
                </c:pt>
                <c:pt idx="156">
                  <c:v>3650.15</c:v>
                </c:pt>
                <c:pt idx="157">
                  <c:v>3650.15</c:v>
                </c:pt>
                <c:pt idx="158">
                  <c:v>3650.15</c:v>
                </c:pt>
                <c:pt idx="159">
                  <c:v>3650.15</c:v>
                </c:pt>
                <c:pt idx="160">
                  <c:v>3650.15</c:v>
                </c:pt>
                <c:pt idx="161">
                  <c:v>3650.15</c:v>
                </c:pt>
                <c:pt idx="162">
                  <c:v>3650.15</c:v>
                </c:pt>
                <c:pt idx="163">
                  <c:v>3650.15</c:v>
                </c:pt>
                <c:pt idx="164">
                  <c:v>3650.15</c:v>
                </c:pt>
                <c:pt idx="165">
                  <c:v>3650.15</c:v>
                </c:pt>
                <c:pt idx="166">
                  <c:v>3650.15</c:v>
                </c:pt>
                <c:pt idx="167">
                  <c:v>3650.15</c:v>
                </c:pt>
                <c:pt idx="168">
                  <c:v>3650.15</c:v>
                </c:pt>
                <c:pt idx="169">
                  <c:v>3650.15</c:v>
                </c:pt>
                <c:pt idx="170">
                  <c:v>3650.15</c:v>
                </c:pt>
                <c:pt idx="171">
                  <c:v>3650.15</c:v>
                </c:pt>
                <c:pt idx="172">
                  <c:v>3650.15</c:v>
                </c:pt>
                <c:pt idx="173">
                  <c:v>3650.15</c:v>
                </c:pt>
                <c:pt idx="174">
                  <c:v>3650.15</c:v>
                </c:pt>
                <c:pt idx="175">
                  <c:v>3650.15</c:v>
                </c:pt>
                <c:pt idx="176">
                  <c:v>3650.15</c:v>
                </c:pt>
                <c:pt idx="177">
                  <c:v>3650.15</c:v>
                </c:pt>
                <c:pt idx="178">
                  <c:v>3650.15</c:v>
                </c:pt>
                <c:pt idx="179">
                  <c:v>3650.15</c:v>
                </c:pt>
                <c:pt idx="180">
                  <c:v>3650.15</c:v>
                </c:pt>
                <c:pt idx="181">
                  <c:v>3650.15</c:v>
                </c:pt>
                <c:pt idx="182">
                  <c:v>3650.15</c:v>
                </c:pt>
                <c:pt idx="183">
                  <c:v>3650.15</c:v>
                </c:pt>
                <c:pt idx="184">
                  <c:v>3650.15</c:v>
                </c:pt>
                <c:pt idx="185">
                  <c:v>3650.15</c:v>
                </c:pt>
                <c:pt idx="186">
                  <c:v>3650.15</c:v>
                </c:pt>
                <c:pt idx="187">
                  <c:v>3650.15</c:v>
                </c:pt>
                <c:pt idx="188">
                  <c:v>3650.15</c:v>
                </c:pt>
                <c:pt idx="189">
                  <c:v>3650.15</c:v>
                </c:pt>
                <c:pt idx="190">
                  <c:v>3650.15</c:v>
                </c:pt>
                <c:pt idx="191">
                  <c:v>3650.15</c:v>
                </c:pt>
                <c:pt idx="192">
                  <c:v>3650.15</c:v>
                </c:pt>
                <c:pt idx="193">
                  <c:v>3650.15</c:v>
                </c:pt>
                <c:pt idx="194">
                  <c:v>3650.15</c:v>
                </c:pt>
                <c:pt idx="195">
                  <c:v>3650.15</c:v>
                </c:pt>
                <c:pt idx="196">
                  <c:v>3650.15</c:v>
                </c:pt>
                <c:pt idx="197">
                  <c:v>3650.15</c:v>
                </c:pt>
                <c:pt idx="198">
                  <c:v>3650.15</c:v>
                </c:pt>
                <c:pt idx="199">
                  <c:v>3650.15</c:v>
                </c:pt>
                <c:pt idx="200">
                  <c:v>3650.15</c:v>
                </c:pt>
                <c:pt idx="201">
                  <c:v>3650.15</c:v>
                </c:pt>
                <c:pt idx="202">
                  <c:v>3650.15</c:v>
                </c:pt>
                <c:pt idx="203">
                  <c:v>3650.15</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in val="2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11.3. X &amp; Ave. charts'!$N$1</c:f>
              <c:strCache>
                <c:ptCount val="1"/>
                <c:pt idx="0">
                  <c:v>Average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11.3. X &amp; Ave. charts'!$M$2:$M$52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11.3. X &amp; Ave. charts'!$N$2:$N$52</c:f>
              <c:numCache>
                <c:formatCode>General</c:formatCode>
                <c:ptCount val="51"/>
                <c:pt idx="0">
                  <c:v>4430</c:v>
                </c:pt>
                <c:pt idx="1">
                  <c:v>4372.5</c:v>
                </c:pt>
                <c:pt idx="2">
                  <c:v>3827.5</c:v>
                </c:pt>
                <c:pt idx="3">
                  <c:v>3912</c:v>
                </c:pt>
                <c:pt idx="4">
                  <c:v>5071.3</c:v>
                </c:pt>
                <c:pt idx="5">
                  <c:v>4682.5</c:v>
                </c:pt>
                <c:pt idx="6">
                  <c:v>4557.5</c:v>
                </c:pt>
                <c:pt idx="7">
                  <c:v>4725</c:v>
                </c:pt>
                <c:pt idx="8">
                  <c:v>4733.8</c:v>
                </c:pt>
                <c:pt idx="9">
                  <c:v>4372.5</c:v>
                </c:pt>
                <c:pt idx="10">
                  <c:v>4943.8</c:v>
                </c:pt>
                <c:pt idx="11">
                  <c:v>4722.5</c:v>
                </c:pt>
                <c:pt idx="12">
                  <c:v>4278.8</c:v>
                </c:pt>
                <c:pt idx="13">
                  <c:v>4242.5</c:v>
                </c:pt>
                <c:pt idx="14">
                  <c:v>4007.5</c:v>
                </c:pt>
                <c:pt idx="15">
                  <c:v>4006.3</c:v>
                </c:pt>
                <c:pt idx="16">
                  <c:v>4606.3</c:v>
                </c:pt>
                <c:pt idx="17">
                  <c:v>4647.5</c:v>
                </c:pt>
                <c:pt idx="18">
                  <c:v>4441.3</c:v>
                </c:pt>
                <c:pt idx="19">
                  <c:v>4566.3</c:v>
                </c:pt>
                <c:pt idx="20">
                  <c:v>4548.8</c:v>
                </c:pt>
                <c:pt idx="21">
                  <c:v>3846.3</c:v>
                </c:pt>
                <c:pt idx="22">
                  <c:v>4572.5</c:v>
                </c:pt>
                <c:pt idx="23">
                  <c:v>4470</c:v>
                </c:pt>
                <c:pt idx="24">
                  <c:v>4676.3</c:v>
                </c:pt>
                <c:pt idx="25">
                  <c:v>4710</c:v>
                </c:pt>
                <c:pt idx="26">
                  <c:v>4366.3</c:v>
                </c:pt>
                <c:pt idx="27">
                  <c:v>4222.5</c:v>
                </c:pt>
                <c:pt idx="28">
                  <c:v>4367.5</c:v>
                </c:pt>
                <c:pt idx="29">
                  <c:v>4495</c:v>
                </c:pt>
                <c:pt idx="30">
                  <c:v>3550</c:v>
                </c:pt>
                <c:pt idx="31">
                  <c:v>4498.8</c:v>
                </c:pt>
                <c:pt idx="32">
                  <c:v>4476.3</c:v>
                </c:pt>
                <c:pt idx="33">
                  <c:v>4528.8</c:v>
                </c:pt>
                <c:pt idx="34">
                  <c:v>4550</c:v>
                </c:pt>
                <c:pt idx="35">
                  <c:v>3701.3</c:v>
                </c:pt>
                <c:pt idx="36">
                  <c:v>4030</c:v>
                </c:pt>
                <c:pt idx="37">
                  <c:v>4781.3</c:v>
                </c:pt>
                <c:pt idx="38">
                  <c:v>4797.5</c:v>
                </c:pt>
                <c:pt idx="39">
                  <c:v>4887.5</c:v>
                </c:pt>
                <c:pt idx="40">
                  <c:v>4760</c:v>
                </c:pt>
                <c:pt idx="41">
                  <c:v>4853.8</c:v>
                </c:pt>
                <c:pt idx="42">
                  <c:v>4925</c:v>
                </c:pt>
                <c:pt idx="43">
                  <c:v>5041.3</c:v>
                </c:pt>
                <c:pt idx="44">
                  <c:v>4835</c:v>
                </c:pt>
                <c:pt idx="45">
                  <c:v>4555</c:v>
                </c:pt>
                <c:pt idx="46">
                  <c:v>4566.3</c:v>
                </c:pt>
                <c:pt idx="47">
                  <c:v>4842.5</c:v>
                </c:pt>
                <c:pt idx="48">
                  <c:v>4343.8</c:v>
                </c:pt>
                <c:pt idx="49">
                  <c:v>4361.3</c:v>
                </c:pt>
                <c:pt idx="50">
                  <c:v>5100</c:v>
                </c:pt>
              </c:numCache>
            </c:numRef>
          </c:val>
          <c:smooth val="0"/>
          <c:extLst>
            <c:ext xmlns:c16="http://schemas.microsoft.com/office/drawing/2014/chart" uri="{C3380CC4-5D6E-409C-BE32-E72D297353CC}">
              <c16:uniqueId val="{00000000-329B-41D6-8340-43856FD2F6C5}"/>
            </c:ext>
          </c:extLst>
        </c:ser>
        <c:ser>
          <c:idx val="1"/>
          <c:order val="1"/>
          <c:tx>
            <c:strRef>
              <c:f>'Fig 11.3. X &amp; Ave. charts'!$O$1</c:f>
              <c:strCache>
                <c:ptCount val="1"/>
                <c:pt idx="0">
                  <c:v>Grand Average</c:v>
                </c:pt>
              </c:strCache>
            </c:strRef>
          </c:tx>
          <c:spPr>
            <a:ln w="28575" cap="rnd">
              <a:solidFill>
                <a:schemeClr val="tx1"/>
              </a:solidFill>
              <a:round/>
            </a:ln>
            <a:effectLst/>
          </c:spPr>
          <c:marker>
            <c:symbol val="none"/>
          </c:marker>
          <c:cat>
            <c:strRef>
              <c:f>'Fig 11.3. X &amp; Ave. charts'!$M$2:$M$52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11.3. X &amp; Ave. charts'!$O$2:$O$52</c:f>
              <c:numCache>
                <c:formatCode>General</c:formatCode>
                <c:ptCount val="51"/>
                <c:pt idx="0">
                  <c:v>4498.2</c:v>
                </c:pt>
                <c:pt idx="1">
                  <c:v>4498.2</c:v>
                </c:pt>
                <c:pt idx="2">
                  <c:v>4498.2</c:v>
                </c:pt>
                <c:pt idx="3">
                  <c:v>4498.2</c:v>
                </c:pt>
                <c:pt idx="4">
                  <c:v>4498.2</c:v>
                </c:pt>
                <c:pt idx="5">
                  <c:v>4498.2</c:v>
                </c:pt>
                <c:pt idx="6">
                  <c:v>4498.2</c:v>
                </c:pt>
                <c:pt idx="7">
                  <c:v>4498.2</c:v>
                </c:pt>
                <c:pt idx="8">
                  <c:v>4498.2</c:v>
                </c:pt>
                <c:pt idx="9">
                  <c:v>4498.2</c:v>
                </c:pt>
                <c:pt idx="10">
                  <c:v>4498.2</c:v>
                </c:pt>
                <c:pt idx="11">
                  <c:v>4498.2</c:v>
                </c:pt>
                <c:pt idx="12">
                  <c:v>4498.2</c:v>
                </c:pt>
                <c:pt idx="13">
                  <c:v>4498.2</c:v>
                </c:pt>
                <c:pt idx="14">
                  <c:v>4498.2</c:v>
                </c:pt>
                <c:pt idx="15">
                  <c:v>4498.2</c:v>
                </c:pt>
                <c:pt idx="16">
                  <c:v>4498.2</c:v>
                </c:pt>
                <c:pt idx="17">
                  <c:v>4498.2</c:v>
                </c:pt>
                <c:pt idx="18">
                  <c:v>4498.2</c:v>
                </c:pt>
                <c:pt idx="19">
                  <c:v>4498.2</c:v>
                </c:pt>
                <c:pt idx="20">
                  <c:v>4498.2</c:v>
                </c:pt>
                <c:pt idx="21">
                  <c:v>4498.2</c:v>
                </c:pt>
                <c:pt idx="22">
                  <c:v>4498.2</c:v>
                </c:pt>
                <c:pt idx="23">
                  <c:v>4498.2</c:v>
                </c:pt>
                <c:pt idx="24">
                  <c:v>4498.2</c:v>
                </c:pt>
                <c:pt idx="25">
                  <c:v>4498.2</c:v>
                </c:pt>
                <c:pt idx="26">
                  <c:v>4498.2</c:v>
                </c:pt>
                <c:pt idx="27">
                  <c:v>4498.2</c:v>
                </c:pt>
                <c:pt idx="28">
                  <c:v>4498.2</c:v>
                </c:pt>
                <c:pt idx="29">
                  <c:v>4498.2</c:v>
                </c:pt>
                <c:pt idx="30">
                  <c:v>4498.2</c:v>
                </c:pt>
                <c:pt idx="31">
                  <c:v>4498.2</c:v>
                </c:pt>
                <c:pt idx="32">
                  <c:v>4498.2</c:v>
                </c:pt>
                <c:pt idx="33">
                  <c:v>4498.2</c:v>
                </c:pt>
                <c:pt idx="34">
                  <c:v>4498.2</c:v>
                </c:pt>
                <c:pt idx="35">
                  <c:v>4498.2</c:v>
                </c:pt>
                <c:pt idx="36">
                  <c:v>4498.2</c:v>
                </c:pt>
                <c:pt idx="37">
                  <c:v>4498.2</c:v>
                </c:pt>
                <c:pt idx="38">
                  <c:v>4498.2</c:v>
                </c:pt>
                <c:pt idx="39">
                  <c:v>4498.2</c:v>
                </c:pt>
                <c:pt idx="40">
                  <c:v>4498.2</c:v>
                </c:pt>
                <c:pt idx="41">
                  <c:v>4498.2</c:v>
                </c:pt>
                <c:pt idx="42">
                  <c:v>4498.2</c:v>
                </c:pt>
                <c:pt idx="43">
                  <c:v>4498.2</c:v>
                </c:pt>
                <c:pt idx="44">
                  <c:v>4498.2</c:v>
                </c:pt>
                <c:pt idx="45">
                  <c:v>4498.2</c:v>
                </c:pt>
                <c:pt idx="46">
                  <c:v>4498.2</c:v>
                </c:pt>
                <c:pt idx="47">
                  <c:v>4498.2</c:v>
                </c:pt>
                <c:pt idx="48">
                  <c:v>4498.2</c:v>
                </c:pt>
                <c:pt idx="49">
                  <c:v>4498.2</c:v>
                </c:pt>
                <c:pt idx="50">
                  <c:v>4498.2</c:v>
                </c:pt>
              </c:numCache>
            </c:numRef>
          </c:val>
          <c:smooth val="0"/>
          <c:extLst>
            <c:ext xmlns:c16="http://schemas.microsoft.com/office/drawing/2014/chart" uri="{C3380CC4-5D6E-409C-BE32-E72D297353CC}">
              <c16:uniqueId val="{00000001-329B-41D6-8340-43856FD2F6C5}"/>
            </c:ext>
          </c:extLst>
        </c:ser>
        <c:ser>
          <c:idx val="2"/>
          <c:order val="2"/>
          <c:tx>
            <c:strRef>
              <c:f>'Fig 11.3. X &amp; Ave. charts'!$P$1</c:f>
              <c:strCache>
                <c:ptCount val="1"/>
                <c:pt idx="0">
                  <c:v>UAL</c:v>
                </c:pt>
              </c:strCache>
            </c:strRef>
          </c:tx>
          <c:spPr>
            <a:ln w="28575" cap="rnd">
              <a:solidFill>
                <a:srgbClr val="D72323"/>
              </a:solidFill>
              <a:prstDash val="dash"/>
              <a:round/>
            </a:ln>
            <a:effectLst/>
          </c:spPr>
          <c:marker>
            <c:symbol val="none"/>
          </c:marker>
          <c:cat>
            <c:strRef>
              <c:f>'Fig 11.3. X &amp; Ave. charts'!$M$2:$M$52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11.3. X &amp; Ave. charts'!$P$2:$P$52</c:f>
              <c:numCache>
                <c:formatCode>General</c:formatCode>
                <c:ptCount val="51"/>
                <c:pt idx="0">
                  <c:v>4730.6000000000004</c:v>
                </c:pt>
                <c:pt idx="1">
                  <c:v>4730.6000000000004</c:v>
                </c:pt>
                <c:pt idx="2">
                  <c:v>4730.6000000000004</c:v>
                </c:pt>
                <c:pt idx="3">
                  <c:v>4730.6000000000004</c:v>
                </c:pt>
                <c:pt idx="4">
                  <c:v>4730.6000000000004</c:v>
                </c:pt>
                <c:pt idx="5">
                  <c:v>4730.6000000000004</c:v>
                </c:pt>
                <c:pt idx="6">
                  <c:v>4730.6000000000004</c:v>
                </c:pt>
                <c:pt idx="7">
                  <c:v>4730.6000000000004</c:v>
                </c:pt>
                <c:pt idx="8">
                  <c:v>4730.6000000000004</c:v>
                </c:pt>
                <c:pt idx="9">
                  <c:v>4730.6000000000004</c:v>
                </c:pt>
                <c:pt idx="10">
                  <c:v>4730.6000000000004</c:v>
                </c:pt>
                <c:pt idx="11">
                  <c:v>4730.6000000000004</c:v>
                </c:pt>
                <c:pt idx="12">
                  <c:v>4730.6000000000004</c:v>
                </c:pt>
                <c:pt idx="13">
                  <c:v>4730.6000000000004</c:v>
                </c:pt>
                <c:pt idx="14">
                  <c:v>4730.6000000000004</c:v>
                </c:pt>
                <c:pt idx="15">
                  <c:v>4730.6000000000004</c:v>
                </c:pt>
                <c:pt idx="16">
                  <c:v>4730.6000000000004</c:v>
                </c:pt>
                <c:pt idx="17">
                  <c:v>4730.6000000000004</c:v>
                </c:pt>
                <c:pt idx="18">
                  <c:v>4730.6000000000004</c:v>
                </c:pt>
                <c:pt idx="19">
                  <c:v>4730.6000000000004</c:v>
                </c:pt>
                <c:pt idx="20">
                  <c:v>4730.6000000000004</c:v>
                </c:pt>
                <c:pt idx="21">
                  <c:v>4730.6000000000004</c:v>
                </c:pt>
                <c:pt idx="22">
                  <c:v>4730.6000000000004</c:v>
                </c:pt>
                <c:pt idx="23">
                  <c:v>4730.6000000000004</c:v>
                </c:pt>
                <c:pt idx="24">
                  <c:v>4730.6000000000004</c:v>
                </c:pt>
                <c:pt idx="25">
                  <c:v>4730.6000000000004</c:v>
                </c:pt>
                <c:pt idx="26">
                  <c:v>4730.6000000000004</c:v>
                </c:pt>
                <c:pt idx="27">
                  <c:v>4730.6000000000004</c:v>
                </c:pt>
                <c:pt idx="28">
                  <c:v>4730.6000000000004</c:v>
                </c:pt>
                <c:pt idx="29">
                  <c:v>4730.6000000000004</c:v>
                </c:pt>
                <c:pt idx="30">
                  <c:v>4730.6000000000004</c:v>
                </c:pt>
                <c:pt idx="31">
                  <c:v>4730.6000000000004</c:v>
                </c:pt>
                <c:pt idx="32">
                  <c:v>4730.6000000000004</c:v>
                </c:pt>
                <c:pt idx="33">
                  <c:v>4730.6000000000004</c:v>
                </c:pt>
                <c:pt idx="34">
                  <c:v>4730.6000000000004</c:v>
                </c:pt>
                <c:pt idx="35">
                  <c:v>4730.6000000000004</c:v>
                </c:pt>
                <c:pt idx="36">
                  <c:v>4730.6000000000004</c:v>
                </c:pt>
                <c:pt idx="37">
                  <c:v>4730.6000000000004</c:v>
                </c:pt>
                <c:pt idx="38">
                  <c:v>4730.6000000000004</c:v>
                </c:pt>
                <c:pt idx="39">
                  <c:v>4730.6000000000004</c:v>
                </c:pt>
                <c:pt idx="40">
                  <c:v>4730.6000000000004</c:v>
                </c:pt>
                <c:pt idx="41">
                  <c:v>4730.6000000000004</c:v>
                </c:pt>
                <c:pt idx="42">
                  <c:v>4730.6000000000004</c:v>
                </c:pt>
                <c:pt idx="43">
                  <c:v>4730.6000000000004</c:v>
                </c:pt>
                <c:pt idx="44">
                  <c:v>4730.6000000000004</c:v>
                </c:pt>
                <c:pt idx="45">
                  <c:v>4730.6000000000004</c:v>
                </c:pt>
                <c:pt idx="46">
                  <c:v>4730.6000000000004</c:v>
                </c:pt>
                <c:pt idx="47">
                  <c:v>4730.6000000000004</c:v>
                </c:pt>
                <c:pt idx="48">
                  <c:v>4730.6000000000004</c:v>
                </c:pt>
                <c:pt idx="49">
                  <c:v>4730.6000000000004</c:v>
                </c:pt>
                <c:pt idx="50">
                  <c:v>4730.6000000000004</c:v>
                </c:pt>
              </c:numCache>
            </c:numRef>
          </c:val>
          <c:smooth val="0"/>
          <c:extLst>
            <c:ext xmlns:c16="http://schemas.microsoft.com/office/drawing/2014/chart" uri="{C3380CC4-5D6E-409C-BE32-E72D297353CC}">
              <c16:uniqueId val="{00000002-329B-41D6-8340-43856FD2F6C5}"/>
            </c:ext>
          </c:extLst>
        </c:ser>
        <c:ser>
          <c:idx val="3"/>
          <c:order val="3"/>
          <c:tx>
            <c:strRef>
              <c:f>'Fig 11.3. X &amp; Ave. charts'!$Q$1</c:f>
              <c:strCache>
                <c:ptCount val="1"/>
                <c:pt idx="0">
                  <c:v>LAL</c:v>
                </c:pt>
              </c:strCache>
            </c:strRef>
          </c:tx>
          <c:spPr>
            <a:ln w="28575" cap="rnd">
              <a:solidFill>
                <a:srgbClr val="D72323"/>
              </a:solidFill>
              <a:prstDash val="dash"/>
              <a:round/>
            </a:ln>
            <a:effectLst/>
          </c:spPr>
          <c:marker>
            <c:symbol val="none"/>
          </c:marker>
          <c:cat>
            <c:strRef>
              <c:f>'Fig 11.3. X &amp; Ave. charts'!$M$2:$M$52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11.3. X &amp; Ave. charts'!$Q$2:$Q$52</c:f>
              <c:numCache>
                <c:formatCode>General</c:formatCode>
                <c:ptCount val="51"/>
                <c:pt idx="0">
                  <c:v>4265.8</c:v>
                </c:pt>
                <c:pt idx="1">
                  <c:v>4265.8</c:v>
                </c:pt>
                <c:pt idx="2">
                  <c:v>4265.8</c:v>
                </c:pt>
                <c:pt idx="3">
                  <c:v>4265.8</c:v>
                </c:pt>
                <c:pt idx="4">
                  <c:v>4265.8</c:v>
                </c:pt>
                <c:pt idx="5">
                  <c:v>4265.8</c:v>
                </c:pt>
                <c:pt idx="6">
                  <c:v>4265.8</c:v>
                </c:pt>
                <c:pt idx="7">
                  <c:v>4265.8</c:v>
                </c:pt>
                <c:pt idx="8">
                  <c:v>4265.8</c:v>
                </c:pt>
                <c:pt idx="9">
                  <c:v>4265.8</c:v>
                </c:pt>
                <c:pt idx="10">
                  <c:v>4265.8</c:v>
                </c:pt>
                <c:pt idx="11">
                  <c:v>4265.8</c:v>
                </c:pt>
                <c:pt idx="12">
                  <c:v>4265.8</c:v>
                </c:pt>
                <c:pt idx="13">
                  <c:v>4265.8</c:v>
                </c:pt>
                <c:pt idx="14">
                  <c:v>4265.8</c:v>
                </c:pt>
                <c:pt idx="15">
                  <c:v>4265.8</c:v>
                </c:pt>
                <c:pt idx="16">
                  <c:v>4265.8</c:v>
                </c:pt>
                <c:pt idx="17">
                  <c:v>4265.8</c:v>
                </c:pt>
                <c:pt idx="18">
                  <c:v>4265.8</c:v>
                </c:pt>
                <c:pt idx="19">
                  <c:v>4265.8</c:v>
                </c:pt>
                <c:pt idx="20">
                  <c:v>4265.8</c:v>
                </c:pt>
                <c:pt idx="21">
                  <c:v>4265.8</c:v>
                </c:pt>
                <c:pt idx="22">
                  <c:v>4265.8</c:v>
                </c:pt>
                <c:pt idx="23">
                  <c:v>4265.8</c:v>
                </c:pt>
                <c:pt idx="24">
                  <c:v>4265.8</c:v>
                </c:pt>
                <c:pt idx="25">
                  <c:v>4265.8</c:v>
                </c:pt>
                <c:pt idx="26">
                  <c:v>4265.8</c:v>
                </c:pt>
                <c:pt idx="27">
                  <c:v>4265.8</c:v>
                </c:pt>
                <c:pt idx="28">
                  <c:v>4265.8</c:v>
                </c:pt>
                <c:pt idx="29">
                  <c:v>4265.8</c:v>
                </c:pt>
                <c:pt idx="30">
                  <c:v>4265.8</c:v>
                </c:pt>
                <c:pt idx="31">
                  <c:v>4265.8</c:v>
                </c:pt>
                <c:pt idx="32">
                  <c:v>4265.8</c:v>
                </c:pt>
                <c:pt idx="33">
                  <c:v>4265.8</c:v>
                </c:pt>
                <c:pt idx="34">
                  <c:v>4265.8</c:v>
                </c:pt>
                <c:pt idx="35">
                  <c:v>4265.8</c:v>
                </c:pt>
                <c:pt idx="36">
                  <c:v>4265.8</c:v>
                </c:pt>
                <c:pt idx="37">
                  <c:v>4265.8</c:v>
                </c:pt>
                <c:pt idx="38">
                  <c:v>4265.8</c:v>
                </c:pt>
                <c:pt idx="39">
                  <c:v>4265.8</c:v>
                </c:pt>
                <c:pt idx="40">
                  <c:v>4265.8</c:v>
                </c:pt>
                <c:pt idx="41">
                  <c:v>4265.8</c:v>
                </c:pt>
                <c:pt idx="42">
                  <c:v>4265.8</c:v>
                </c:pt>
                <c:pt idx="43">
                  <c:v>4265.8</c:v>
                </c:pt>
                <c:pt idx="44">
                  <c:v>4265.8</c:v>
                </c:pt>
                <c:pt idx="45">
                  <c:v>4265.8</c:v>
                </c:pt>
                <c:pt idx="46">
                  <c:v>4265.8</c:v>
                </c:pt>
                <c:pt idx="47">
                  <c:v>4265.8</c:v>
                </c:pt>
                <c:pt idx="48">
                  <c:v>4265.8</c:v>
                </c:pt>
                <c:pt idx="49">
                  <c:v>4265.8</c:v>
                </c:pt>
                <c:pt idx="50">
                  <c:v>4265.8</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in val="3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Subgroup Average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Range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11.4. mR &amp; Range'!$R$1</c:f>
              <c:strCache>
                <c:ptCount val="1"/>
                <c:pt idx="0">
                  <c:v>Subgroup Range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11.4. mR &amp; Range'!$R$2:$R$52</c:f>
              <c:numCache>
                <c:formatCode>General</c:formatCode>
                <c:ptCount val="51"/>
                <c:pt idx="0">
                  <c:v>1070</c:v>
                </c:pt>
                <c:pt idx="1">
                  <c:v>200</c:v>
                </c:pt>
                <c:pt idx="2">
                  <c:v>335</c:v>
                </c:pt>
                <c:pt idx="3">
                  <c:v>1900</c:v>
                </c:pt>
                <c:pt idx="4">
                  <c:v>815</c:v>
                </c:pt>
                <c:pt idx="5">
                  <c:v>245</c:v>
                </c:pt>
                <c:pt idx="6">
                  <c:v>1125</c:v>
                </c:pt>
                <c:pt idx="7">
                  <c:v>255</c:v>
                </c:pt>
                <c:pt idx="8">
                  <c:v>245</c:v>
                </c:pt>
                <c:pt idx="9">
                  <c:v>680</c:v>
                </c:pt>
                <c:pt idx="10">
                  <c:v>1410</c:v>
                </c:pt>
                <c:pt idx="11">
                  <c:v>745</c:v>
                </c:pt>
                <c:pt idx="12">
                  <c:v>800</c:v>
                </c:pt>
                <c:pt idx="13">
                  <c:v>205</c:v>
                </c:pt>
                <c:pt idx="14">
                  <c:v>1695</c:v>
                </c:pt>
                <c:pt idx="15">
                  <c:v>1455</c:v>
                </c:pt>
                <c:pt idx="16">
                  <c:v>910</c:v>
                </c:pt>
                <c:pt idx="17">
                  <c:v>665</c:v>
                </c:pt>
                <c:pt idx="18">
                  <c:v>785</c:v>
                </c:pt>
                <c:pt idx="19">
                  <c:v>520</c:v>
                </c:pt>
                <c:pt idx="20">
                  <c:v>605</c:v>
                </c:pt>
                <c:pt idx="21">
                  <c:v>445</c:v>
                </c:pt>
                <c:pt idx="22">
                  <c:v>1000</c:v>
                </c:pt>
                <c:pt idx="23">
                  <c:v>390</c:v>
                </c:pt>
                <c:pt idx="24">
                  <c:v>570</c:v>
                </c:pt>
                <c:pt idx="25">
                  <c:v>280</c:v>
                </c:pt>
                <c:pt idx="26">
                  <c:v>730</c:v>
                </c:pt>
                <c:pt idx="27">
                  <c:v>700</c:v>
                </c:pt>
                <c:pt idx="28">
                  <c:v>635</c:v>
                </c:pt>
                <c:pt idx="29">
                  <c:v>390</c:v>
                </c:pt>
                <c:pt idx="30">
                  <c:v>1115</c:v>
                </c:pt>
                <c:pt idx="31">
                  <c:v>540</c:v>
                </c:pt>
                <c:pt idx="32">
                  <c:v>655</c:v>
                </c:pt>
                <c:pt idx="33">
                  <c:v>725</c:v>
                </c:pt>
                <c:pt idx="34">
                  <c:v>400</c:v>
                </c:pt>
                <c:pt idx="35">
                  <c:v>265</c:v>
                </c:pt>
                <c:pt idx="36">
                  <c:v>675</c:v>
                </c:pt>
                <c:pt idx="37">
                  <c:v>500</c:v>
                </c:pt>
                <c:pt idx="38">
                  <c:v>650</c:v>
                </c:pt>
                <c:pt idx="39">
                  <c:v>300</c:v>
                </c:pt>
                <c:pt idx="40">
                  <c:v>500</c:v>
                </c:pt>
                <c:pt idx="41">
                  <c:v>505</c:v>
                </c:pt>
                <c:pt idx="42">
                  <c:v>300</c:v>
                </c:pt>
                <c:pt idx="43">
                  <c:v>335</c:v>
                </c:pt>
                <c:pt idx="44">
                  <c:v>1385</c:v>
                </c:pt>
                <c:pt idx="45">
                  <c:v>340</c:v>
                </c:pt>
                <c:pt idx="46">
                  <c:v>265</c:v>
                </c:pt>
                <c:pt idx="47">
                  <c:v>230</c:v>
                </c:pt>
                <c:pt idx="48">
                  <c:v>490</c:v>
                </c:pt>
                <c:pt idx="49">
                  <c:v>1360</c:v>
                </c:pt>
                <c:pt idx="50">
                  <c:v>250</c:v>
                </c:pt>
              </c:numCache>
            </c:numRef>
          </c:val>
          <c:smooth val="0"/>
          <c:extLst>
            <c:ext xmlns:c16="http://schemas.microsoft.com/office/drawing/2014/chart" uri="{C3380CC4-5D6E-409C-BE32-E72D297353CC}">
              <c16:uniqueId val="{00000000-329B-41D6-8340-43856FD2F6C5}"/>
            </c:ext>
          </c:extLst>
        </c:ser>
        <c:ser>
          <c:idx val="1"/>
          <c:order val="1"/>
          <c:tx>
            <c:strRef>
              <c:f>'Fig 11.4. mR &amp; Range'!$S$1</c:f>
              <c:strCache>
                <c:ptCount val="1"/>
                <c:pt idx="0">
                  <c:v>Average Range</c:v>
                </c:pt>
              </c:strCache>
            </c:strRef>
          </c:tx>
          <c:spPr>
            <a:ln w="28575" cap="rnd">
              <a:solidFill>
                <a:schemeClr val="tx1"/>
              </a:solidFill>
              <a:round/>
            </a:ln>
            <a:effectLst/>
          </c:spPr>
          <c:marker>
            <c:symbol val="none"/>
          </c:marker>
          <c:val>
            <c:numRef>
              <c:f>'Fig 11.4. mR &amp; Range'!$S$2:$S$52</c:f>
              <c:numCache>
                <c:formatCode>0.0</c:formatCode>
                <c:ptCount val="51"/>
                <c:pt idx="0">
                  <c:v>318.8</c:v>
                </c:pt>
                <c:pt idx="1">
                  <c:v>318.8</c:v>
                </c:pt>
                <c:pt idx="2">
                  <c:v>318.8</c:v>
                </c:pt>
                <c:pt idx="3">
                  <c:v>318.8</c:v>
                </c:pt>
                <c:pt idx="4">
                  <c:v>318.8</c:v>
                </c:pt>
                <c:pt idx="5">
                  <c:v>318.8</c:v>
                </c:pt>
                <c:pt idx="6">
                  <c:v>318.8</c:v>
                </c:pt>
                <c:pt idx="7">
                  <c:v>318.8</c:v>
                </c:pt>
                <c:pt idx="8">
                  <c:v>318.8</c:v>
                </c:pt>
                <c:pt idx="9">
                  <c:v>318.8</c:v>
                </c:pt>
                <c:pt idx="10">
                  <c:v>318.8</c:v>
                </c:pt>
                <c:pt idx="11">
                  <c:v>318.8</c:v>
                </c:pt>
                <c:pt idx="12">
                  <c:v>318.8</c:v>
                </c:pt>
                <c:pt idx="13">
                  <c:v>318.8</c:v>
                </c:pt>
                <c:pt idx="14">
                  <c:v>318.8</c:v>
                </c:pt>
                <c:pt idx="15">
                  <c:v>318.8</c:v>
                </c:pt>
                <c:pt idx="16">
                  <c:v>318.8</c:v>
                </c:pt>
                <c:pt idx="17">
                  <c:v>318.8</c:v>
                </c:pt>
                <c:pt idx="18">
                  <c:v>318.8</c:v>
                </c:pt>
                <c:pt idx="19">
                  <c:v>318.8</c:v>
                </c:pt>
                <c:pt idx="20">
                  <c:v>318.8</c:v>
                </c:pt>
                <c:pt idx="21">
                  <c:v>318.8</c:v>
                </c:pt>
                <c:pt idx="22">
                  <c:v>318.8</c:v>
                </c:pt>
                <c:pt idx="23">
                  <c:v>318.8</c:v>
                </c:pt>
                <c:pt idx="24">
                  <c:v>318.8</c:v>
                </c:pt>
                <c:pt idx="25">
                  <c:v>318.8</c:v>
                </c:pt>
                <c:pt idx="26">
                  <c:v>318.8</c:v>
                </c:pt>
                <c:pt idx="27">
                  <c:v>318.8</c:v>
                </c:pt>
                <c:pt idx="28">
                  <c:v>318.8</c:v>
                </c:pt>
                <c:pt idx="29">
                  <c:v>318.8</c:v>
                </c:pt>
                <c:pt idx="30">
                  <c:v>318.8</c:v>
                </c:pt>
                <c:pt idx="31">
                  <c:v>318.8</c:v>
                </c:pt>
                <c:pt idx="32">
                  <c:v>318.8</c:v>
                </c:pt>
                <c:pt idx="33">
                  <c:v>318.8</c:v>
                </c:pt>
                <c:pt idx="34">
                  <c:v>318.8</c:v>
                </c:pt>
                <c:pt idx="35">
                  <c:v>318.8</c:v>
                </c:pt>
                <c:pt idx="36">
                  <c:v>318.8</c:v>
                </c:pt>
                <c:pt idx="37">
                  <c:v>318.8</c:v>
                </c:pt>
                <c:pt idx="38">
                  <c:v>318.8</c:v>
                </c:pt>
                <c:pt idx="39">
                  <c:v>318.8</c:v>
                </c:pt>
                <c:pt idx="40">
                  <c:v>318.8</c:v>
                </c:pt>
                <c:pt idx="41">
                  <c:v>318.8</c:v>
                </c:pt>
                <c:pt idx="42">
                  <c:v>318.8</c:v>
                </c:pt>
                <c:pt idx="43">
                  <c:v>318.8</c:v>
                </c:pt>
                <c:pt idx="44">
                  <c:v>318.8</c:v>
                </c:pt>
                <c:pt idx="45">
                  <c:v>318.8</c:v>
                </c:pt>
                <c:pt idx="46">
                  <c:v>318.8</c:v>
                </c:pt>
                <c:pt idx="47">
                  <c:v>318.8</c:v>
                </c:pt>
                <c:pt idx="48">
                  <c:v>318.8</c:v>
                </c:pt>
                <c:pt idx="49">
                  <c:v>318.8</c:v>
                </c:pt>
                <c:pt idx="50">
                  <c:v>318.8</c:v>
                </c:pt>
              </c:numCache>
            </c:numRef>
          </c:val>
          <c:smooth val="0"/>
          <c:extLst>
            <c:ext xmlns:c16="http://schemas.microsoft.com/office/drawing/2014/chart" uri="{C3380CC4-5D6E-409C-BE32-E72D297353CC}">
              <c16:uniqueId val="{00000001-329B-41D6-8340-43856FD2F6C5}"/>
            </c:ext>
          </c:extLst>
        </c:ser>
        <c:ser>
          <c:idx val="2"/>
          <c:order val="2"/>
          <c:tx>
            <c:strRef>
              <c:f>'Fig 11.4. mR &amp; Range'!$T$1</c:f>
              <c:strCache>
                <c:ptCount val="1"/>
                <c:pt idx="0">
                  <c:v>URL</c:v>
                </c:pt>
              </c:strCache>
            </c:strRef>
          </c:tx>
          <c:spPr>
            <a:ln w="28575" cap="rnd">
              <a:solidFill>
                <a:srgbClr val="D72323"/>
              </a:solidFill>
              <a:prstDash val="dash"/>
              <a:round/>
            </a:ln>
            <a:effectLst/>
          </c:spPr>
          <c:marker>
            <c:symbol val="none"/>
          </c:marker>
          <c:val>
            <c:numRef>
              <c:f>'Fig 11.4. mR &amp; Range'!$T$2:$T$52</c:f>
              <c:numCache>
                <c:formatCode>0.0</c:formatCode>
                <c:ptCount val="51"/>
                <c:pt idx="0">
                  <c:v>727.5</c:v>
                </c:pt>
                <c:pt idx="1">
                  <c:v>727.5</c:v>
                </c:pt>
                <c:pt idx="2">
                  <c:v>727.5</c:v>
                </c:pt>
                <c:pt idx="3">
                  <c:v>727.5</c:v>
                </c:pt>
                <c:pt idx="4">
                  <c:v>727.5</c:v>
                </c:pt>
                <c:pt idx="5">
                  <c:v>727.5</c:v>
                </c:pt>
                <c:pt idx="6">
                  <c:v>727.5</c:v>
                </c:pt>
                <c:pt idx="7">
                  <c:v>727.5</c:v>
                </c:pt>
                <c:pt idx="8">
                  <c:v>727.5</c:v>
                </c:pt>
                <c:pt idx="9">
                  <c:v>727.5</c:v>
                </c:pt>
                <c:pt idx="10">
                  <c:v>727.5</c:v>
                </c:pt>
                <c:pt idx="11">
                  <c:v>727.5</c:v>
                </c:pt>
                <c:pt idx="12">
                  <c:v>727.5</c:v>
                </c:pt>
                <c:pt idx="13">
                  <c:v>727.5</c:v>
                </c:pt>
                <c:pt idx="14">
                  <c:v>727.5</c:v>
                </c:pt>
                <c:pt idx="15">
                  <c:v>727.5</c:v>
                </c:pt>
                <c:pt idx="16">
                  <c:v>727.5</c:v>
                </c:pt>
                <c:pt idx="17">
                  <c:v>727.5</c:v>
                </c:pt>
                <c:pt idx="18">
                  <c:v>727.5</c:v>
                </c:pt>
                <c:pt idx="19">
                  <c:v>727.5</c:v>
                </c:pt>
                <c:pt idx="20">
                  <c:v>727.5</c:v>
                </c:pt>
                <c:pt idx="21">
                  <c:v>727.5</c:v>
                </c:pt>
                <c:pt idx="22">
                  <c:v>727.5</c:v>
                </c:pt>
                <c:pt idx="23">
                  <c:v>727.5</c:v>
                </c:pt>
                <c:pt idx="24">
                  <c:v>727.5</c:v>
                </c:pt>
                <c:pt idx="25">
                  <c:v>727.5</c:v>
                </c:pt>
                <c:pt idx="26">
                  <c:v>727.5</c:v>
                </c:pt>
                <c:pt idx="27">
                  <c:v>727.5</c:v>
                </c:pt>
                <c:pt idx="28">
                  <c:v>727.5</c:v>
                </c:pt>
                <c:pt idx="29">
                  <c:v>727.5</c:v>
                </c:pt>
                <c:pt idx="30">
                  <c:v>727.5</c:v>
                </c:pt>
                <c:pt idx="31">
                  <c:v>727.5</c:v>
                </c:pt>
                <c:pt idx="32">
                  <c:v>727.5</c:v>
                </c:pt>
                <c:pt idx="33">
                  <c:v>727.5</c:v>
                </c:pt>
                <c:pt idx="34">
                  <c:v>727.5</c:v>
                </c:pt>
                <c:pt idx="35">
                  <c:v>727.5</c:v>
                </c:pt>
                <c:pt idx="36">
                  <c:v>727.5</c:v>
                </c:pt>
                <c:pt idx="37">
                  <c:v>727.5</c:v>
                </c:pt>
                <c:pt idx="38">
                  <c:v>727.5</c:v>
                </c:pt>
                <c:pt idx="39">
                  <c:v>727.5</c:v>
                </c:pt>
                <c:pt idx="40">
                  <c:v>727.5</c:v>
                </c:pt>
                <c:pt idx="41">
                  <c:v>727.5</c:v>
                </c:pt>
                <c:pt idx="42">
                  <c:v>727.5</c:v>
                </c:pt>
                <c:pt idx="43">
                  <c:v>727.5</c:v>
                </c:pt>
                <c:pt idx="44">
                  <c:v>727.5</c:v>
                </c:pt>
                <c:pt idx="45">
                  <c:v>727.5</c:v>
                </c:pt>
                <c:pt idx="46">
                  <c:v>727.5</c:v>
                </c:pt>
                <c:pt idx="47">
                  <c:v>727.5</c:v>
                </c:pt>
                <c:pt idx="48">
                  <c:v>727.5</c:v>
                </c:pt>
                <c:pt idx="49">
                  <c:v>727.5</c:v>
                </c:pt>
                <c:pt idx="50">
                  <c:v>727.5</c:v>
                </c:pt>
              </c:numCache>
            </c:numRef>
          </c:val>
          <c:smooth val="0"/>
          <c:extLst>
            <c:ext xmlns:c16="http://schemas.microsoft.com/office/drawing/2014/chart" uri="{C3380CC4-5D6E-409C-BE32-E72D297353CC}">
              <c16:uniqueId val="{00000002-329B-41D6-8340-43856FD2F6C5}"/>
            </c:ext>
          </c:extLst>
        </c:ser>
        <c:ser>
          <c:idx val="3"/>
          <c:order val="3"/>
          <c:tx>
            <c:strRef>
              <c:f>'Fig 11.4. mR &amp; Range'!$U$1</c:f>
              <c:strCache>
                <c:ptCount val="1"/>
                <c:pt idx="0">
                  <c:v>LRL</c:v>
                </c:pt>
              </c:strCache>
            </c:strRef>
          </c:tx>
          <c:spPr>
            <a:ln w="28575" cap="rnd">
              <a:solidFill>
                <a:srgbClr val="D72323"/>
              </a:solidFill>
              <a:prstDash val="dash"/>
              <a:round/>
            </a:ln>
            <a:effectLst/>
          </c:spPr>
          <c:marker>
            <c:symbol val="none"/>
          </c:marker>
          <c:val>
            <c:numRef>
              <c:f>'Fig 11.4. mR &amp; Range'!$U$2:$U$52</c:f>
              <c:numCache>
                <c:formatCode>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Subgroup Range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11.4. mR &amp; Range'!$G$1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11.4. mR &amp; Range'!$G$2:$G$205</c:f>
              <c:numCache>
                <c:formatCode>General</c:formatCode>
                <c:ptCount val="204"/>
                <c:pt idx="1">
                  <c:v>695</c:v>
                </c:pt>
                <c:pt idx="2">
                  <c:v>0</c:v>
                </c:pt>
                <c:pt idx="3">
                  <c:v>375</c:v>
                </c:pt>
                <c:pt idx="4">
                  <c:v>315</c:v>
                </c:pt>
                <c:pt idx="5">
                  <c:v>140</c:v>
                </c:pt>
                <c:pt idx="6">
                  <c:v>55</c:v>
                </c:pt>
                <c:pt idx="7">
                  <c:v>200</c:v>
                </c:pt>
                <c:pt idx="8">
                  <c:v>305</c:v>
                </c:pt>
                <c:pt idx="9">
                  <c:v>55</c:v>
                </c:pt>
                <c:pt idx="10">
                  <c:v>280</c:v>
                </c:pt>
                <c:pt idx="11">
                  <c:v>115</c:v>
                </c:pt>
                <c:pt idx="12">
                  <c:v>460</c:v>
                </c:pt>
                <c:pt idx="13">
                  <c:v>385</c:v>
                </c:pt>
                <c:pt idx="14">
                  <c:v>222</c:v>
                </c:pt>
                <c:pt idx="15">
                  <c:v>1737</c:v>
                </c:pt>
                <c:pt idx="16">
                  <c:v>100</c:v>
                </c:pt>
                <c:pt idx="17">
                  <c:v>465</c:v>
                </c:pt>
                <c:pt idx="18">
                  <c:v>465</c:v>
                </c:pt>
                <c:pt idx="19">
                  <c:v>350</c:v>
                </c:pt>
                <c:pt idx="20">
                  <c:v>815</c:v>
                </c:pt>
                <c:pt idx="21">
                  <c:v>85</c:v>
                </c:pt>
                <c:pt idx="22">
                  <c:v>90</c:v>
                </c:pt>
                <c:pt idx="23">
                  <c:v>245</c:v>
                </c:pt>
                <c:pt idx="24">
                  <c:v>155</c:v>
                </c:pt>
                <c:pt idx="25">
                  <c:v>345</c:v>
                </c:pt>
                <c:pt idx="26">
                  <c:v>500</c:v>
                </c:pt>
                <c:pt idx="27">
                  <c:v>625</c:v>
                </c:pt>
                <c:pt idx="28">
                  <c:v>465</c:v>
                </c:pt>
                <c:pt idx="29">
                  <c:v>85</c:v>
                </c:pt>
                <c:pt idx="30">
                  <c:v>0</c:v>
                </c:pt>
                <c:pt idx="31">
                  <c:v>255</c:v>
                </c:pt>
                <c:pt idx="32">
                  <c:v>105</c:v>
                </c:pt>
                <c:pt idx="33">
                  <c:v>55</c:v>
                </c:pt>
                <c:pt idx="34">
                  <c:v>145</c:v>
                </c:pt>
                <c:pt idx="35">
                  <c:v>100</c:v>
                </c:pt>
                <c:pt idx="36">
                  <c:v>490</c:v>
                </c:pt>
                <c:pt idx="37">
                  <c:v>300</c:v>
                </c:pt>
                <c:pt idx="38">
                  <c:v>230</c:v>
                </c:pt>
                <c:pt idx="39">
                  <c:v>610</c:v>
                </c:pt>
                <c:pt idx="40">
                  <c:v>0</c:v>
                </c:pt>
                <c:pt idx="41">
                  <c:v>450</c:v>
                </c:pt>
                <c:pt idx="42">
                  <c:v>555</c:v>
                </c:pt>
                <c:pt idx="43">
                  <c:v>855</c:v>
                </c:pt>
                <c:pt idx="44">
                  <c:v>1010</c:v>
                </c:pt>
                <c:pt idx="45">
                  <c:v>260</c:v>
                </c:pt>
                <c:pt idx="46">
                  <c:v>105</c:v>
                </c:pt>
                <c:pt idx="47">
                  <c:v>640</c:v>
                </c:pt>
                <c:pt idx="48">
                  <c:v>85</c:v>
                </c:pt>
                <c:pt idx="49">
                  <c:v>320</c:v>
                </c:pt>
                <c:pt idx="50">
                  <c:v>595</c:v>
                </c:pt>
                <c:pt idx="51">
                  <c:v>205</c:v>
                </c:pt>
                <c:pt idx="52">
                  <c:v>480</c:v>
                </c:pt>
                <c:pt idx="53">
                  <c:v>85</c:v>
                </c:pt>
                <c:pt idx="54">
                  <c:v>85</c:v>
                </c:pt>
                <c:pt idx="55">
                  <c:v>205</c:v>
                </c:pt>
                <c:pt idx="56">
                  <c:v>200</c:v>
                </c:pt>
                <c:pt idx="57">
                  <c:v>375</c:v>
                </c:pt>
                <c:pt idx="58">
                  <c:v>100</c:v>
                </c:pt>
                <c:pt idx="59">
                  <c:v>1595</c:v>
                </c:pt>
                <c:pt idx="60">
                  <c:v>65</c:v>
                </c:pt>
                <c:pt idx="61">
                  <c:v>1455</c:v>
                </c:pt>
                <c:pt idx="62">
                  <c:v>0</c:v>
                </c:pt>
                <c:pt idx="63">
                  <c:v>20</c:v>
                </c:pt>
                <c:pt idx="64">
                  <c:v>265</c:v>
                </c:pt>
                <c:pt idx="65">
                  <c:v>910</c:v>
                </c:pt>
                <c:pt idx="66">
                  <c:v>665</c:v>
                </c:pt>
                <c:pt idx="67">
                  <c:v>665</c:v>
                </c:pt>
                <c:pt idx="68">
                  <c:v>360</c:v>
                </c:pt>
                <c:pt idx="69">
                  <c:v>305</c:v>
                </c:pt>
                <c:pt idx="70">
                  <c:v>665</c:v>
                </c:pt>
                <c:pt idx="71">
                  <c:v>385</c:v>
                </c:pt>
                <c:pt idx="72">
                  <c:v>400</c:v>
                </c:pt>
                <c:pt idx="73">
                  <c:v>60</c:v>
                </c:pt>
                <c:pt idx="74">
                  <c:v>0</c:v>
                </c:pt>
                <c:pt idx="75">
                  <c:v>725</c:v>
                </c:pt>
                <c:pt idx="76">
                  <c:v>385</c:v>
                </c:pt>
                <c:pt idx="77">
                  <c:v>120</c:v>
                </c:pt>
                <c:pt idx="78">
                  <c:v>520</c:v>
                </c:pt>
                <c:pt idx="79">
                  <c:v>485</c:v>
                </c:pt>
                <c:pt idx="80">
                  <c:v>0</c:v>
                </c:pt>
                <c:pt idx="81">
                  <c:v>0</c:v>
                </c:pt>
                <c:pt idx="82">
                  <c:v>0</c:v>
                </c:pt>
                <c:pt idx="83">
                  <c:v>605</c:v>
                </c:pt>
                <c:pt idx="84">
                  <c:v>0</c:v>
                </c:pt>
                <c:pt idx="85">
                  <c:v>155</c:v>
                </c:pt>
                <c:pt idx="86">
                  <c:v>240</c:v>
                </c:pt>
                <c:pt idx="87">
                  <c:v>50</c:v>
                </c:pt>
                <c:pt idx="88">
                  <c:v>795</c:v>
                </c:pt>
                <c:pt idx="89">
                  <c:v>445</c:v>
                </c:pt>
                <c:pt idx="90">
                  <c:v>845</c:v>
                </c:pt>
                <c:pt idx="91">
                  <c:v>155</c:v>
                </c:pt>
                <c:pt idx="92">
                  <c:v>440</c:v>
                </c:pt>
                <c:pt idx="93">
                  <c:v>140</c:v>
                </c:pt>
                <c:pt idx="94">
                  <c:v>390</c:v>
                </c:pt>
                <c:pt idx="95">
                  <c:v>0</c:v>
                </c:pt>
                <c:pt idx="96">
                  <c:v>690</c:v>
                </c:pt>
                <c:pt idx="97">
                  <c:v>425</c:v>
                </c:pt>
                <c:pt idx="98">
                  <c:v>125</c:v>
                </c:pt>
                <c:pt idx="99">
                  <c:v>270</c:v>
                </c:pt>
                <c:pt idx="100">
                  <c:v>420</c:v>
                </c:pt>
                <c:pt idx="101">
                  <c:v>0</c:v>
                </c:pt>
                <c:pt idx="102">
                  <c:v>280</c:v>
                </c:pt>
                <c:pt idx="103">
                  <c:v>0</c:v>
                </c:pt>
                <c:pt idx="104">
                  <c:v>285</c:v>
                </c:pt>
                <c:pt idx="105">
                  <c:v>695</c:v>
                </c:pt>
                <c:pt idx="106">
                  <c:v>165</c:v>
                </c:pt>
                <c:pt idx="107">
                  <c:v>200</c:v>
                </c:pt>
                <c:pt idx="108">
                  <c:v>25</c:v>
                </c:pt>
                <c:pt idx="109">
                  <c:v>240</c:v>
                </c:pt>
                <c:pt idx="110">
                  <c:v>235</c:v>
                </c:pt>
                <c:pt idx="111">
                  <c:v>700</c:v>
                </c:pt>
                <c:pt idx="112">
                  <c:v>175</c:v>
                </c:pt>
                <c:pt idx="113">
                  <c:v>0</c:v>
                </c:pt>
                <c:pt idx="114">
                  <c:v>635</c:v>
                </c:pt>
                <c:pt idx="115">
                  <c:v>0</c:v>
                </c:pt>
                <c:pt idx="116">
                  <c:v>255</c:v>
                </c:pt>
                <c:pt idx="117">
                  <c:v>130</c:v>
                </c:pt>
                <c:pt idx="118">
                  <c:v>390</c:v>
                </c:pt>
                <c:pt idx="119">
                  <c:v>130</c:v>
                </c:pt>
                <c:pt idx="120">
                  <c:v>1485</c:v>
                </c:pt>
                <c:pt idx="121">
                  <c:v>110</c:v>
                </c:pt>
                <c:pt idx="122">
                  <c:v>1115</c:v>
                </c:pt>
                <c:pt idx="123">
                  <c:v>0</c:v>
                </c:pt>
                <c:pt idx="124">
                  <c:v>345</c:v>
                </c:pt>
                <c:pt idx="125">
                  <c:v>125</c:v>
                </c:pt>
                <c:pt idx="126">
                  <c:v>130</c:v>
                </c:pt>
                <c:pt idx="127">
                  <c:v>410</c:v>
                </c:pt>
                <c:pt idx="128">
                  <c:v>0</c:v>
                </c:pt>
                <c:pt idx="129">
                  <c:v>530</c:v>
                </c:pt>
                <c:pt idx="130">
                  <c:v>125</c:v>
                </c:pt>
                <c:pt idx="131">
                  <c:v>385</c:v>
                </c:pt>
                <c:pt idx="132">
                  <c:v>130</c:v>
                </c:pt>
                <c:pt idx="133">
                  <c:v>260</c:v>
                </c:pt>
                <c:pt idx="134">
                  <c:v>410</c:v>
                </c:pt>
                <c:pt idx="135">
                  <c:v>725</c:v>
                </c:pt>
                <c:pt idx="136">
                  <c:v>325</c:v>
                </c:pt>
                <c:pt idx="137">
                  <c:v>0</c:v>
                </c:pt>
                <c:pt idx="138">
                  <c:v>400</c:v>
                </c:pt>
                <c:pt idx="139">
                  <c:v>400</c:v>
                </c:pt>
                <c:pt idx="140">
                  <c:v>815</c:v>
                </c:pt>
                <c:pt idx="141">
                  <c:v>0</c:v>
                </c:pt>
                <c:pt idx="142">
                  <c:v>0</c:v>
                </c:pt>
                <c:pt idx="143">
                  <c:v>265</c:v>
                </c:pt>
                <c:pt idx="144">
                  <c:v>440</c:v>
                </c:pt>
                <c:pt idx="145">
                  <c:v>0</c:v>
                </c:pt>
                <c:pt idx="146">
                  <c:v>675</c:v>
                </c:pt>
                <c:pt idx="147">
                  <c:v>110</c:v>
                </c:pt>
                <c:pt idx="148">
                  <c:v>1225</c:v>
                </c:pt>
                <c:pt idx="149">
                  <c:v>150</c:v>
                </c:pt>
                <c:pt idx="150">
                  <c:v>75</c:v>
                </c:pt>
                <c:pt idx="151">
                  <c:v>275</c:v>
                </c:pt>
                <c:pt idx="152">
                  <c:v>270</c:v>
                </c:pt>
                <c:pt idx="153">
                  <c:v>270</c:v>
                </c:pt>
                <c:pt idx="154">
                  <c:v>270</c:v>
                </c:pt>
                <c:pt idx="155">
                  <c:v>380</c:v>
                </c:pt>
                <c:pt idx="156">
                  <c:v>300</c:v>
                </c:pt>
                <c:pt idx="157">
                  <c:v>150</c:v>
                </c:pt>
                <c:pt idx="158">
                  <c:v>300</c:v>
                </c:pt>
                <c:pt idx="159">
                  <c:v>0</c:v>
                </c:pt>
                <c:pt idx="160">
                  <c:v>0</c:v>
                </c:pt>
                <c:pt idx="161">
                  <c:v>300</c:v>
                </c:pt>
                <c:pt idx="162">
                  <c:v>200</c:v>
                </c:pt>
                <c:pt idx="163">
                  <c:v>340</c:v>
                </c:pt>
                <c:pt idx="164">
                  <c:v>235</c:v>
                </c:pt>
                <c:pt idx="165">
                  <c:v>75</c:v>
                </c:pt>
                <c:pt idx="166">
                  <c:v>230</c:v>
                </c:pt>
                <c:pt idx="167">
                  <c:v>200</c:v>
                </c:pt>
                <c:pt idx="168">
                  <c:v>355</c:v>
                </c:pt>
                <c:pt idx="169">
                  <c:v>150</c:v>
                </c:pt>
                <c:pt idx="170">
                  <c:v>300</c:v>
                </c:pt>
                <c:pt idx="171">
                  <c:v>150</c:v>
                </c:pt>
                <c:pt idx="172">
                  <c:v>150</c:v>
                </c:pt>
                <c:pt idx="173">
                  <c:v>150</c:v>
                </c:pt>
                <c:pt idx="174">
                  <c:v>325</c:v>
                </c:pt>
                <c:pt idx="175">
                  <c:v>335</c:v>
                </c:pt>
                <c:pt idx="176">
                  <c:v>685</c:v>
                </c:pt>
                <c:pt idx="177">
                  <c:v>525</c:v>
                </c:pt>
                <c:pt idx="178">
                  <c:v>625</c:v>
                </c:pt>
                <c:pt idx="179">
                  <c:v>235</c:v>
                </c:pt>
                <c:pt idx="180">
                  <c:v>110</c:v>
                </c:pt>
                <c:pt idx="181">
                  <c:v>340</c:v>
                </c:pt>
                <c:pt idx="182">
                  <c:v>50</c:v>
                </c:pt>
                <c:pt idx="183">
                  <c:v>0</c:v>
                </c:pt>
                <c:pt idx="184">
                  <c:v>115</c:v>
                </c:pt>
                <c:pt idx="185">
                  <c:v>265</c:v>
                </c:pt>
                <c:pt idx="186">
                  <c:v>265</c:v>
                </c:pt>
                <c:pt idx="187">
                  <c:v>0</c:v>
                </c:pt>
                <c:pt idx="188">
                  <c:v>350</c:v>
                </c:pt>
                <c:pt idx="189">
                  <c:v>80</c:v>
                </c:pt>
                <c:pt idx="190">
                  <c:v>230</c:v>
                </c:pt>
                <c:pt idx="191">
                  <c:v>190</c:v>
                </c:pt>
                <c:pt idx="192">
                  <c:v>265</c:v>
                </c:pt>
                <c:pt idx="193">
                  <c:v>200</c:v>
                </c:pt>
                <c:pt idx="194">
                  <c:v>290</c:v>
                </c:pt>
                <c:pt idx="195">
                  <c:v>55</c:v>
                </c:pt>
                <c:pt idx="196">
                  <c:v>110</c:v>
                </c:pt>
                <c:pt idx="197">
                  <c:v>390</c:v>
                </c:pt>
                <c:pt idx="198">
                  <c:v>1360</c:v>
                </c:pt>
                <c:pt idx="199">
                  <c:v>425</c:v>
                </c:pt>
                <c:pt idx="200">
                  <c:v>525</c:v>
                </c:pt>
                <c:pt idx="201">
                  <c:v>100</c:v>
                </c:pt>
                <c:pt idx="202">
                  <c:v>250</c:v>
                </c:pt>
                <c:pt idx="203">
                  <c:v>0</c:v>
                </c:pt>
              </c:numCache>
            </c:numRef>
          </c:val>
          <c:smooth val="0"/>
          <c:extLst>
            <c:ext xmlns:c16="http://schemas.microsoft.com/office/drawing/2014/chart" uri="{C3380CC4-5D6E-409C-BE32-E72D297353CC}">
              <c16:uniqueId val="{00000000-329B-41D6-8340-43856FD2F6C5}"/>
            </c:ext>
          </c:extLst>
        </c:ser>
        <c:ser>
          <c:idx val="1"/>
          <c:order val="1"/>
          <c:tx>
            <c:strRef>
              <c:f>'Fig 11.4. mR &amp; Range'!$H$1</c:f>
              <c:strCache>
                <c:ptCount val="1"/>
                <c:pt idx="0">
                  <c:v>Ave. mR</c:v>
                </c:pt>
              </c:strCache>
            </c:strRef>
          </c:tx>
          <c:spPr>
            <a:ln w="28575" cap="rnd">
              <a:solidFill>
                <a:schemeClr val="tx1"/>
              </a:solidFill>
              <a:round/>
            </a:ln>
            <a:effectLst/>
          </c:spPr>
          <c:marker>
            <c:symbol val="none"/>
          </c:marker>
          <c:val>
            <c:numRef>
              <c:f>'Fig 11.4. mR &amp; Range'!$H$2:$H$205</c:f>
              <c:numCache>
                <c:formatCode>General</c:formatCode>
                <c:ptCount val="204"/>
                <c:pt idx="0">
                  <c:v>318.81</c:v>
                </c:pt>
                <c:pt idx="1">
                  <c:v>318.81</c:v>
                </c:pt>
                <c:pt idx="2">
                  <c:v>318.81</c:v>
                </c:pt>
                <c:pt idx="3">
                  <c:v>318.81</c:v>
                </c:pt>
                <c:pt idx="4">
                  <c:v>318.81</c:v>
                </c:pt>
                <c:pt idx="5">
                  <c:v>318.81</c:v>
                </c:pt>
                <c:pt idx="6">
                  <c:v>318.81</c:v>
                </c:pt>
                <c:pt idx="7">
                  <c:v>318.81</c:v>
                </c:pt>
                <c:pt idx="8">
                  <c:v>318.81</c:v>
                </c:pt>
                <c:pt idx="9">
                  <c:v>318.81</c:v>
                </c:pt>
                <c:pt idx="10">
                  <c:v>318.81</c:v>
                </c:pt>
                <c:pt idx="11">
                  <c:v>318.81</c:v>
                </c:pt>
                <c:pt idx="12">
                  <c:v>318.81</c:v>
                </c:pt>
                <c:pt idx="13">
                  <c:v>318.81</c:v>
                </c:pt>
                <c:pt idx="14">
                  <c:v>318.81</c:v>
                </c:pt>
                <c:pt idx="15">
                  <c:v>318.81</c:v>
                </c:pt>
                <c:pt idx="16">
                  <c:v>318.81</c:v>
                </c:pt>
                <c:pt idx="17">
                  <c:v>318.81</c:v>
                </c:pt>
                <c:pt idx="18">
                  <c:v>318.81</c:v>
                </c:pt>
                <c:pt idx="19">
                  <c:v>318.81</c:v>
                </c:pt>
                <c:pt idx="20">
                  <c:v>318.81</c:v>
                </c:pt>
                <c:pt idx="21">
                  <c:v>318.81</c:v>
                </c:pt>
                <c:pt idx="22">
                  <c:v>318.81</c:v>
                </c:pt>
                <c:pt idx="23">
                  <c:v>318.81</c:v>
                </c:pt>
                <c:pt idx="24">
                  <c:v>318.81</c:v>
                </c:pt>
                <c:pt idx="25">
                  <c:v>318.81</c:v>
                </c:pt>
                <c:pt idx="26">
                  <c:v>318.81</c:v>
                </c:pt>
                <c:pt idx="27">
                  <c:v>318.81</c:v>
                </c:pt>
                <c:pt idx="28">
                  <c:v>318.81</c:v>
                </c:pt>
                <c:pt idx="29">
                  <c:v>318.81</c:v>
                </c:pt>
                <c:pt idx="30">
                  <c:v>318.81</c:v>
                </c:pt>
                <c:pt idx="31">
                  <c:v>318.81</c:v>
                </c:pt>
                <c:pt idx="32">
                  <c:v>318.81</c:v>
                </c:pt>
                <c:pt idx="33">
                  <c:v>318.81</c:v>
                </c:pt>
                <c:pt idx="34">
                  <c:v>318.81</c:v>
                </c:pt>
                <c:pt idx="35">
                  <c:v>318.81</c:v>
                </c:pt>
                <c:pt idx="36">
                  <c:v>318.81</c:v>
                </c:pt>
                <c:pt idx="37">
                  <c:v>318.81</c:v>
                </c:pt>
                <c:pt idx="38">
                  <c:v>318.81</c:v>
                </c:pt>
                <c:pt idx="39">
                  <c:v>318.81</c:v>
                </c:pt>
                <c:pt idx="40">
                  <c:v>318.81</c:v>
                </c:pt>
                <c:pt idx="41">
                  <c:v>318.81</c:v>
                </c:pt>
                <c:pt idx="42">
                  <c:v>318.81</c:v>
                </c:pt>
                <c:pt idx="43">
                  <c:v>318.81</c:v>
                </c:pt>
                <c:pt idx="44">
                  <c:v>318.81</c:v>
                </c:pt>
                <c:pt idx="45">
                  <c:v>318.81</c:v>
                </c:pt>
                <c:pt idx="46">
                  <c:v>318.81</c:v>
                </c:pt>
                <c:pt idx="47">
                  <c:v>318.81</c:v>
                </c:pt>
                <c:pt idx="48">
                  <c:v>318.81</c:v>
                </c:pt>
                <c:pt idx="49">
                  <c:v>318.81</c:v>
                </c:pt>
                <c:pt idx="50">
                  <c:v>318.81</c:v>
                </c:pt>
                <c:pt idx="51">
                  <c:v>318.81</c:v>
                </c:pt>
                <c:pt idx="52">
                  <c:v>318.81</c:v>
                </c:pt>
                <c:pt idx="53">
                  <c:v>318.81</c:v>
                </c:pt>
                <c:pt idx="54">
                  <c:v>318.81</c:v>
                </c:pt>
                <c:pt idx="55">
                  <c:v>318.81</c:v>
                </c:pt>
                <c:pt idx="56">
                  <c:v>318.81</c:v>
                </c:pt>
                <c:pt idx="57">
                  <c:v>318.81</c:v>
                </c:pt>
                <c:pt idx="58">
                  <c:v>318.81</c:v>
                </c:pt>
                <c:pt idx="59">
                  <c:v>318.81</c:v>
                </c:pt>
                <c:pt idx="60">
                  <c:v>318.81</c:v>
                </c:pt>
                <c:pt idx="61">
                  <c:v>318.81</c:v>
                </c:pt>
                <c:pt idx="62">
                  <c:v>318.81</c:v>
                </c:pt>
                <c:pt idx="63">
                  <c:v>318.81</c:v>
                </c:pt>
                <c:pt idx="64">
                  <c:v>318.81</c:v>
                </c:pt>
                <c:pt idx="65">
                  <c:v>318.81</c:v>
                </c:pt>
                <c:pt idx="66">
                  <c:v>318.81</c:v>
                </c:pt>
                <c:pt idx="67">
                  <c:v>318.81</c:v>
                </c:pt>
                <c:pt idx="68">
                  <c:v>318.81</c:v>
                </c:pt>
                <c:pt idx="69">
                  <c:v>318.81</c:v>
                </c:pt>
                <c:pt idx="70">
                  <c:v>318.81</c:v>
                </c:pt>
                <c:pt idx="71">
                  <c:v>318.81</c:v>
                </c:pt>
                <c:pt idx="72">
                  <c:v>318.81</c:v>
                </c:pt>
                <c:pt idx="73">
                  <c:v>318.81</c:v>
                </c:pt>
                <c:pt idx="74">
                  <c:v>318.81</c:v>
                </c:pt>
                <c:pt idx="75">
                  <c:v>318.81</c:v>
                </c:pt>
                <c:pt idx="76">
                  <c:v>318.81</c:v>
                </c:pt>
                <c:pt idx="77">
                  <c:v>318.81</c:v>
                </c:pt>
                <c:pt idx="78">
                  <c:v>318.81</c:v>
                </c:pt>
                <c:pt idx="79">
                  <c:v>318.81</c:v>
                </c:pt>
                <c:pt idx="80">
                  <c:v>318.81</c:v>
                </c:pt>
                <c:pt idx="81">
                  <c:v>318.81</c:v>
                </c:pt>
                <c:pt idx="82">
                  <c:v>318.81</c:v>
                </c:pt>
                <c:pt idx="83">
                  <c:v>318.81</c:v>
                </c:pt>
                <c:pt idx="84">
                  <c:v>318.81</c:v>
                </c:pt>
                <c:pt idx="85">
                  <c:v>318.81</c:v>
                </c:pt>
                <c:pt idx="86">
                  <c:v>318.81</c:v>
                </c:pt>
                <c:pt idx="87">
                  <c:v>318.81</c:v>
                </c:pt>
                <c:pt idx="88">
                  <c:v>318.81</c:v>
                </c:pt>
                <c:pt idx="89">
                  <c:v>318.81</c:v>
                </c:pt>
                <c:pt idx="90">
                  <c:v>318.81</c:v>
                </c:pt>
                <c:pt idx="91">
                  <c:v>318.81</c:v>
                </c:pt>
                <c:pt idx="92">
                  <c:v>318.81</c:v>
                </c:pt>
                <c:pt idx="93">
                  <c:v>318.81</c:v>
                </c:pt>
                <c:pt idx="94">
                  <c:v>318.81</c:v>
                </c:pt>
                <c:pt idx="95">
                  <c:v>318.81</c:v>
                </c:pt>
                <c:pt idx="96">
                  <c:v>318.81</c:v>
                </c:pt>
                <c:pt idx="97">
                  <c:v>318.81</c:v>
                </c:pt>
                <c:pt idx="98">
                  <c:v>318.81</c:v>
                </c:pt>
                <c:pt idx="99">
                  <c:v>318.81</c:v>
                </c:pt>
                <c:pt idx="100">
                  <c:v>318.81</c:v>
                </c:pt>
                <c:pt idx="101">
                  <c:v>318.81</c:v>
                </c:pt>
                <c:pt idx="102">
                  <c:v>318.81</c:v>
                </c:pt>
                <c:pt idx="103">
                  <c:v>318.81</c:v>
                </c:pt>
                <c:pt idx="104">
                  <c:v>318.81</c:v>
                </c:pt>
                <c:pt idx="105">
                  <c:v>318.81</c:v>
                </c:pt>
                <c:pt idx="106">
                  <c:v>318.81</c:v>
                </c:pt>
                <c:pt idx="107">
                  <c:v>318.81</c:v>
                </c:pt>
                <c:pt idx="108">
                  <c:v>318.81</c:v>
                </c:pt>
                <c:pt idx="109">
                  <c:v>318.81</c:v>
                </c:pt>
                <c:pt idx="110">
                  <c:v>318.81</c:v>
                </c:pt>
                <c:pt idx="111">
                  <c:v>318.81</c:v>
                </c:pt>
                <c:pt idx="112">
                  <c:v>318.81</c:v>
                </c:pt>
                <c:pt idx="113">
                  <c:v>318.81</c:v>
                </c:pt>
                <c:pt idx="114">
                  <c:v>318.81</c:v>
                </c:pt>
                <c:pt idx="115">
                  <c:v>318.81</c:v>
                </c:pt>
                <c:pt idx="116">
                  <c:v>318.81</c:v>
                </c:pt>
                <c:pt idx="117">
                  <c:v>318.81</c:v>
                </c:pt>
                <c:pt idx="118">
                  <c:v>318.81</c:v>
                </c:pt>
                <c:pt idx="119">
                  <c:v>318.81</c:v>
                </c:pt>
                <c:pt idx="120">
                  <c:v>318.81</c:v>
                </c:pt>
                <c:pt idx="121">
                  <c:v>318.81</c:v>
                </c:pt>
                <c:pt idx="122">
                  <c:v>318.81</c:v>
                </c:pt>
                <c:pt idx="123">
                  <c:v>318.81</c:v>
                </c:pt>
                <c:pt idx="124">
                  <c:v>318.81</c:v>
                </c:pt>
                <c:pt idx="125">
                  <c:v>318.81</c:v>
                </c:pt>
                <c:pt idx="126">
                  <c:v>318.81</c:v>
                </c:pt>
                <c:pt idx="127">
                  <c:v>318.81</c:v>
                </c:pt>
                <c:pt idx="128">
                  <c:v>318.81</c:v>
                </c:pt>
                <c:pt idx="129">
                  <c:v>318.81</c:v>
                </c:pt>
                <c:pt idx="130">
                  <c:v>318.81</c:v>
                </c:pt>
                <c:pt idx="131">
                  <c:v>318.81</c:v>
                </c:pt>
                <c:pt idx="132">
                  <c:v>318.81</c:v>
                </c:pt>
                <c:pt idx="133">
                  <c:v>318.81</c:v>
                </c:pt>
                <c:pt idx="134">
                  <c:v>318.81</c:v>
                </c:pt>
                <c:pt idx="135">
                  <c:v>318.81</c:v>
                </c:pt>
                <c:pt idx="136">
                  <c:v>318.81</c:v>
                </c:pt>
                <c:pt idx="137">
                  <c:v>318.81</c:v>
                </c:pt>
                <c:pt idx="138">
                  <c:v>318.81</c:v>
                </c:pt>
                <c:pt idx="139">
                  <c:v>318.81</c:v>
                </c:pt>
                <c:pt idx="140">
                  <c:v>318.81</c:v>
                </c:pt>
                <c:pt idx="141">
                  <c:v>318.81</c:v>
                </c:pt>
                <c:pt idx="142">
                  <c:v>318.81</c:v>
                </c:pt>
                <c:pt idx="143">
                  <c:v>318.81</c:v>
                </c:pt>
                <c:pt idx="144">
                  <c:v>318.81</c:v>
                </c:pt>
                <c:pt idx="145">
                  <c:v>318.81</c:v>
                </c:pt>
                <c:pt idx="146">
                  <c:v>318.81</c:v>
                </c:pt>
                <c:pt idx="147">
                  <c:v>318.81</c:v>
                </c:pt>
                <c:pt idx="148">
                  <c:v>318.81</c:v>
                </c:pt>
                <c:pt idx="149">
                  <c:v>318.81</c:v>
                </c:pt>
                <c:pt idx="150">
                  <c:v>318.81</c:v>
                </c:pt>
                <c:pt idx="151">
                  <c:v>318.81</c:v>
                </c:pt>
                <c:pt idx="152">
                  <c:v>318.81</c:v>
                </c:pt>
                <c:pt idx="153">
                  <c:v>318.81</c:v>
                </c:pt>
                <c:pt idx="154">
                  <c:v>318.81</c:v>
                </c:pt>
                <c:pt idx="155">
                  <c:v>318.81</c:v>
                </c:pt>
                <c:pt idx="156">
                  <c:v>318.81</c:v>
                </c:pt>
                <c:pt idx="157">
                  <c:v>318.81</c:v>
                </c:pt>
                <c:pt idx="158">
                  <c:v>318.81</c:v>
                </c:pt>
                <c:pt idx="159">
                  <c:v>318.81</c:v>
                </c:pt>
                <c:pt idx="160">
                  <c:v>318.81</c:v>
                </c:pt>
                <c:pt idx="161">
                  <c:v>318.81</c:v>
                </c:pt>
                <c:pt idx="162">
                  <c:v>318.81</c:v>
                </c:pt>
                <c:pt idx="163">
                  <c:v>318.81</c:v>
                </c:pt>
                <c:pt idx="164">
                  <c:v>318.81</c:v>
                </c:pt>
                <c:pt idx="165">
                  <c:v>318.81</c:v>
                </c:pt>
                <c:pt idx="166">
                  <c:v>318.81</c:v>
                </c:pt>
                <c:pt idx="167">
                  <c:v>318.81</c:v>
                </c:pt>
                <c:pt idx="168">
                  <c:v>318.81</c:v>
                </c:pt>
                <c:pt idx="169">
                  <c:v>318.81</c:v>
                </c:pt>
                <c:pt idx="170">
                  <c:v>318.81</c:v>
                </c:pt>
                <c:pt idx="171">
                  <c:v>318.81</c:v>
                </c:pt>
                <c:pt idx="172">
                  <c:v>318.81</c:v>
                </c:pt>
                <c:pt idx="173">
                  <c:v>318.81</c:v>
                </c:pt>
                <c:pt idx="174">
                  <c:v>318.81</c:v>
                </c:pt>
                <c:pt idx="175">
                  <c:v>318.81</c:v>
                </c:pt>
                <c:pt idx="176">
                  <c:v>318.81</c:v>
                </c:pt>
                <c:pt idx="177">
                  <c:v>318.81</c:v>
                </c:pt>
                <c:pt idx="178">
                  <c:v>318.81</c:v>
                </c:pt>
                <c:pt idx="179">
                  <c:v>318.81</c:v>
                </c:pt>
                <c:pt idx="180">
                  <c:v>318.81</c:v>
                </c:pt>
                <c:pt idx="181">
                  <c:v>318.81</c:v>
                </c:pt>
                <c:pt idx="182">
                  <c:v>318.81</c:v>
                </c:pt>
                <c:pt idx="183">
                  <c:v>318.81</c:v>
                </c:pt>
                <c:pt idx="184">
                  <c:v>318.81</c:v>
                </c:pt>
                <c:pt idx="185">
                  <c:v>318.81</c:v>
                </c:pt>
                <c:pt idx="186">
                  <c:v>318.81</c:v>
                </c:pt>
                <c:pt idx="187">
                  <c:v>318.81</c:v>
                </c:pt>
                <c:pt idx="188">
                  <c:v>318.81</c:v>
                </c:pt>
                <c:pt idx="189">
                  <c:v>318.81</c:v>
                </c:pt>
                <c:pt idx="190">
                  <c:v>318.81</c:v>
                </c:pt>
                <c:pt idx="191">
                  <c:v>318.81</c:v>
                </c:pt>
                <c:pt idx="192">
                  <c:v>318.81</c:v>
                </c:pt>
                <c:pt idx="193">
                  <c:v>318.81</c:v>
                </c:pt>
                <c:pt idx="194">
                  <c:v>318.81</c:v>
                </c:pt>
                <c:pt idx="195">
                  <c:v>318.81</c:v>
                </c:pt>
                <c:pt idx="196">
                  <c:v>318.81</c:v>
                </c:pt>
                <c:pt idx="197">
                  <c:v>318.81</c:v>
                </c:pt>
                <c:pt idx="198">
                  <c:v>318.81</c:v>
                </c:pt>
                <c:pt idx="199">
                  <c:v>318.81</c:v>
                </c:pt>
                <c:pt idx="200">
                  <c:v>318.81</c:v>
                </c:pt>
                <c:pt idx="201">
                  <c:v>318.81</c:v>
                </c:pt>
                <c:pt idx="202">
                  <c:v>318.81</c:v>
                </c:pt>
                <c:pt idx="203">
                  <c:v>318.81</c:v>
                </c:pt>
              </c:numCache>
            </c:numRef>
          </c:val>
          <c:smooth val="0"/>
          <c:extLst>
            <c:ext xmlns:c16="http://schemas.microsoft.com/office/drawing/2014/chart" uri="{C3380CC4-5D6E-409C-BE32-E72D297353CC}">
              <c16:uniqueId val="{00000001-329B-41D6-8340-43856FD2F6C5}"/>
            </c:ext>
          </c:extLst>
        </c:ser>
        <c:ser>
          <c:idx val="2"/>
          <c:order val="2"/>
          <c:tx>
            <c:strRef>
              <c:f>'Fig 11.4. mR &amp; Range'!$I$1</c:f>
              <c:strCache>
                <c:ptCount val="1"/>
                <c:pt idx="0">
                  <c:v>URL</c:v>
                </c:pt>
              </c:strCache>
            </c:strRef>
          </c:tx>
          <c:spPr>
            <a:ln w="28575" cap="rnd">
              <a:solidFill>
                <a:srgbClr val="D72323"/>
              </a:solidFill>
              <a:prstDash val="dash"/>
              <a:round/>
            </a:ln>
            <a:effectLst/>
          </c:spPr>
          <c:marker>
            <c:symbol val="none"/>
          </c:marker>
          <c:val>
            <c:numRef>
              <c:f>'Fig 11.4. mR &amp; Range'!$I$2:$I$205</c:f>
              <c:numCache>
                <c:formatCode>General</c:formatCode>
                <c:ptCount val="204"/>
                <c:pt idx="0">
                  <c:v>1041.8699999999999</c:v>
                </c:pt>
                <c:pt idx="1">
                  <c:v>1041.8699999999999</c:v>
                </c:pt>
                <c:pt idx="2">
                  <c:v>1041.8699999999999</c:v>
                </c:pt>
                <c:pt idx="3">
                  <c:v>1041.8699999999999</c:v>
                </c:pt>
                <c:pt idx="4">
                  <c:v>1041.8699999999999</c:v>
                </c:pt>
                <c:pt idx="5">
                  <c:v>1041.8699999999999</c:v>
                </c:pt>
                <c:pt idx="6">
                  <c:v>1041.8699999999999</c:v>
                </c:pt>
                <c:pt idx="7">
                  <c:v>1041.8699999999999</c:v>
                </c:pt>
                <c:pt idx="8">
                  <c:v>1041.8699999999999</c:v>
                </c:pt>
                <c:pt idx="9">
                  <c:v>1041.8699999999999</c:v>
                </c:pt>
                <c:pt idx="10">
                  <c:v>1041.8699999999999</c:v>
                </c:pt>
                <c:pt idx="11">
                  <c:v>1041.8699999999999</c:v>
                </c:pt>
                <c:pt idx="12">
                  <c:v>1041.8699999999999</c:v>
                </c:pt>
                <c:pt idx="13">
                  <c:v>1041.8699999999999</c:v>
                </c:pt>
                <c:pt idx="14">
                  <c:v>1041.8699999999999</c:v>
                </c:pt>
                <c:pt idx="15">
                  <c:v>1041.8699999999999</c:v>
                </c:pt>
                <c:pt idx="16">
                  <c:v>1041.8699999999999</c:v>
                </c:pt>
                <c:pt idx="17">
                  <c:v>1041.8699999999999</c:v>
                </c:pt>
                <c:pt idx="18">
                  <c:v>1041.8699999999999</c:v>
                </c:pt>
                <c:pt idx="19">
                  <c:v>1041.8699999999999</c:v>
                </c:pt>
                <c:pt idx="20">
                  <c:v>1041.8699999999999</c:v>
                </c:pt>
                <c:pt idx="21">
                  <c:v>1041.8699999999999</c:v>
                </c:pt>
                <c:pt idx="22">
                  <c:v>1041.8699999999999</c:v>
                </c:pt>
                <c:pt idx="23">
                  <c:v>1041.8699999999999</c:v>
                </c:pt>
                <c:pt idx="24">
                  <c:v>1041.8699999999999</c:v>
                </c:pt>
                <c:pt idx="25">
                  <c:v>1041.8699999999999</c:v>
                </c:pt>
                <c:pt idx="26">
                  <c:v>1041.8699999999999</c:v>
                </c:pt>
                <c:pt idx="27">
                  <c:v>1041.8699999999999</c:v>
                </c:pt>
                <c:pt idx="28">
                  <c:v>1041.8699999999999</c:v>
                </c:pt>
                <c:pt idx="29">
                  <c:v>1041.8699999999999</c:v>
                </c:pt>
                <c:pt idx="30">
                  <c:v>1041.8699999999999</c:v>
                </c:pt>
                <c:pt idx="31">
                  <c:v>1041.8699999999999</c:v>
                </c:pt>
                <c:pt idx="32">
                  <c:v>1041.8699999999999</c:v>
                </c:pt>
                <c:pt idx="33">
                  <c:v>1041.8699999999999</c:v>
                </c:pt>
                <c:pt idx="34">
                  <c:v>1041.8699999999999</c:v>
                </c:pt>
                <c:pt idx="35">
                  <c:v>1041.8699999999999</c:v>
                </c:pt>
                <c:pt idx="36">
                  <c:v>1041.8699999999999</c:v>
                </c:pt>
                <c:pt idx="37">
                  <c:v>1041.8699999999999</c:v>
                </c:pt>
                <c:pt idx="38">
                  <c:v>1041.8699999999999</c:v>
                </c:pt>
                <c:pt idx="39">
                  <c:v>1041.8699999999999</c:v>
                </c:pt>
                <c:pt idx="40">
                  <c:v>1041.8699999999999</c:v>
                </c:pt>
                <c:pt idx="41">
                  <c:v>1041.8699999999999</c:v>
                </c:pt>
                <c:pt idx="42">
                  <c:v>1041.8699999999999</c:v>
                </c:pt>
                <c:pt idx="43">
                  <c:v>1041.8699999999999</c:v>
                </c:pt>
                <c:pt idx="44">
                  <c:v>1041.8699999999999</c:v>
                </c:pt>
                <c:pt idx="45">
                  <c:v>1041.8699999999999</c:v>
                </c:pt>
                <c:pt idx="46">
                  <c:v>1041.8699999999999</c:v>
                </c:pt>
                <c:pt idx="47">
                  <c:v>1041.8699999999999</c:v>
                </c:pt>
                <c:pt idx="48">
                  <c:v>1041.8699999999999</c:v>
                </c:pt>
                <c:pt idx="49">
                  <c:v>1041.8699999999999</c:v>
                </c:pt>
                <c:pt idx="50">
                  <c:v>1041.8699999999999</c:v>
                </c:pt>
                <c:pt idx="51">
                  <c:v>1041.8699999999999</c:v>
                </c:pt>
                <c:pt idx="52">
                  <c:v>1041.8699999999999</c:v>
                </c:pt>
                <c:pt idx="53">
                  <c:v>1041.8699999999999</c:v>
                </c:pt>
                <c:pt idx="54">
                  <c:v>1041.8699999999999</c:v>
                </c:pt>
                <c:pt idx="55">
                  <c:v>1041.8699999999999</c:v>
                </c:pt>
                <c:pt idx="56">
                  <c:v>1041.8699999999999</c:v>
                </c:pt>
                <c:pt idx="57">
                  <c:v>1041.8699999999999</c:v>
                </c:pt>
                <c:pt idx="58">
                  <c:v>1041.8699999999999</c:v>
                </c:pt>
                <c:pt idx="59">
                  <c:v>1041.8699999999999</c:v>
                </c:pt>
                <c:pt idx="60">
                  <c:v>1041.8699999999999</c:v>
                </c:pt>
                <c:pt idx="61">
                  <c:v>1041.8699999999999</c:v>
                </c:pt>
                <c:pt idx="62">
                  <c:v>1041.8699999999999</c:v>
                </c:pt>
                <c:pt idx="63">
                  <c:v>1041.8699999999999</c:v>
                </c:pt>
                <c:pt idx="64">
                  <c:v>1041.8699999999999</c:v>
                </c:pt>
                <c:pt idx="65">
                  <c:v>1041.8699999999999</c:v>
                </c:pt>
                <c:pt idx="66">
                  <c:v>1041.8699999999999</c:v>
                </c:pt>
                <c:pt idx="67">
                  <c:v>1041.8699999999999</c:v>
                </c:pt>
                <c:pt idx="68">
                  <c:v>1041.8699999999999</c:v>
                </c:pt>
                <c:pt idx="69">
                  <c:v>1041.8699999999999</c:v>
                </c:pt>
                <c:pt idx="70">
                  <c:v>1041.8699999999999</c:v>
                </c:pt>
                <c:pt idx="71">
                  <c:v>1041.8699999999999</c:v>
                </c:pt>
                <c:pt idx="72">
                  <c:v>1041.8699999999999</c:v>
                </c:pt>
                <c:pt idx="73">
                  <c:v>1041.8699999999999</c:v>
                </c:pt>
                <c:pt idx="74">
                  <c:v>1041.8699999999999</c:v>
                </c:pt>
                <c:pt idx="75">
                  <c:v>1041.8699999999999</c:v>
                </c:pt>
                <c:pt idx="76">
                  <c:v>1041.8699999999999</c:v>
                </c:pt>
                <c:pt idx="77">
                  <c:v>1041.8699999999999</c:v>
                </c:pt>
                <c:pt idx="78">
                  <c:v>1041.8699999999999</c:v>
                </c:pt>
                <c:pt idx="79">
                  <c:v>1041.8699999999999</c:v>
                </c:pt>
                <c:pt idx="80">
                  <c:v>1041.8699999999999</c:v>
                </c:pt>
                <c:pt idx="81">
                  <c:v>1041.8699999999999</c:v>
                </c:pt>
                <c:pt idx="82">
                  <c:v>1041.8699999999999</c:v>
                </c:pt>
                <c:pt idx="83">
                  <c:v>1041.8699999999999</c:v>
                </c:pt>
                <c:pt idx="84">
                  <c:v>1041.8699999999999</c:v>
                </c:pt>
                <c:pt idx="85">
                  <c:v>1041.8699999999999</c:v>
                </c:pt>
                <c:pt idx="86">
                  <c:v>1041.8699999999999</c:v>
                </c:pt>
                <c:pt idx="87">
                  <c:v>1041.8699999999999</c:v>
                </c:pt>
                <c:pt idx="88">
                  <c:v>1041.8699999999999</c:v>
                </c:pt>
                <c:pt idx="89">
                  <c:v>1041.8699999999999</c:v>
                </c:pt>
                <c:pt idx="90">
                  <c:v>1041.8699999999999</c:v>
                </c:pt>
                <c:pt idx="91">
                  <c:v>1041.8699999999999</c:v>
                </c:pt>
                <c:pt idx="92">
                  <c:v>1041.8699999999999</c:v>
                </c:pt>
                <c:pt idx="93">
                  <c:v>1041.8699999999999</c:v>
                </c:pt>
                <c:pt idx="94">
                  <c:v>1041.8699999999999</c:v>
                </c:pt>
                <c:pt idx="95">
                  <c:v>1041.8699999999999</c:v>
                </c:pt>
                <c:pt idx="96">
                  <c:v>1041.8699999999999</c:v>
                </c:pt>
                <c:pt idx="97">
                  <c:v>1041.8699999999999</c:v>
                </c:pt>
                <c:pt idx="98">
                  <c:v>1041.8699999999999</c:v>
                </c:pt>
                <c:pt idx="99">
                  <c:v>1041.8699999999999</c:v>
                </c:pt>
                <c:pt idx="100">
                  <c:v>1041.8699999999999</c:v>
                </c:pt>
                <c:pt idx="101">
                  <c:v>1041.8699999999999</c:v>
                </c:pt>
                <c:pt idx="102">
                  <c:v>1041.8699999999999</c:v>
                </c:pt>
                <c:pt idx="103">
                  <c:v>1041.8699999999999</c:v>
                </c:pt>
                <c:pt idx="104">
                  <c:v>1041.8699999999999</c:v>
                </c:pt>
                <c:pt idx="105">
                  <c:v>1041.8699999999999</c:v>
                </c:pt>
                <c:pt idx="106">
                  <c:v>1041.8699999999999</c:v>
                </c:pt>
                <c:pt idx="107">
                  <c:v>1041.8699999999999</c:v>
                </c:pt>
                <c:pt idx="108">
                  <c:v>1041.8699999999999</c:v>
                </c:pt>
                <c:pt idx="109">
                  <c:v>1041.8699999999999</c:v>
                </c:pt>
                <c:pt idx="110">
                  <c:v>1041.8699999999999</c:v>
                </c:pt>
                <c:pt idx="111">
                  <c:v>1041.8699999999999</c:v>
                </c:pt>
                <c:pt idx="112">
                  <c:v>1041.8699999999999</c:v>
                </c:pt>
                <c:pt idx="113">
                  <c:v>1041.8699999999999</c:v>
                </c:pt>
                <c:pt idx="114">
                  <c:v>1041.8699999999999</c:v>
                </c:pt>
                <c:pt idx="115">
                  <c:v>1041.8699999999999</c:v>
                </c:pt>
                <c:pt idx="116">
                  <c:v>1041.8699999999999</c:v>
                </c:pt>
                <c:pt idx="117">
                  <c:v>1041.8699999999999</c:v>
                </c:pt>
                <c:pt idx="118">
                  <c:v>1041.8699999999999</c:v>
                </c:pt>
                <c:pt idx="119">
                  <c:v>1041.8699999999999</c:v>
                </c:pt>
                <c:pt idx="120">
                  <c:v>1041.8699999999999</c:v>
                </c:pt>
                <c:pt idx="121">
                  <c:v>1041.8699999999999</c:v>
                </c:pt>
                <c:pt idx="122">
                  <c:v>1041.8699999999999</c:v>
                </c:pt>
                <c:pt idx="123">
                  <c:v>1041.8699999999999</c:v>
                </c:pt>
                <c:pt idx="124">
                  <c:v>1041.8699999999999</c:v>
                </c:pt>
                <c:pt idx="125">
                  <c:v>1041.8699999999999</c:v>
                </c:pt>
                <c:pt idx="126">
                  <c:v>1041.8699999999999</c:v>
                </c:pt>
                <c:pt idx="127">
                  <c:v>1041.8699999999999</c:v>
                </c:pt>
                <c:pt idx="128">
                  <c:v>1041.8699999999999</c:v>
                </c:pt>
                <c:pt idx="129">
                  <c:v>1041.8699999999999</c:v>
                </c:pt>
                <c:pt idx="130">
                  <c:v>1041.8699999999999</c:v>
                </c:pt>
                <c:pt idx="131">
                  <c:v>1041.8699999999999</c:v>
                </c:pt>
                <c:pt idx="132">
                  <c:v>1041.8699999999999</c:v>
                </c:pt>
                <c:pt idx="133">
                  <c:v>1041.8699999999999</c:v>
                </c:pt>
                <c:pt idx="134">
                  <c:v>1041.8699999999999</c:v>
                </c:pt>
                <c:pt idx="135">
                  <c:v>1041.8699999999999</c:v>
                </c:pt>
                <c:pt idx="136">
                  <c:v>1041.8699999999999</c:v>
                </c:pt>
                <c:pt idx="137">
                  <c:v>1041.8699999999999</c:v>
                </c:pt>
                <c:pt idx="138">
                  <c:v>1041.8699999999999</c:v>
                </c:pt>
                <c:pt idx="139">
                  <c:v>1041.8699999999999</c:v>
                </c:pt>
                <c:pt idx="140">
                  <c:v>1041.8699999999999</c:v>
                </c:pt>
                <c:pt idx="141">
                  <c:v>1041.8699999999999</c:v>
                </c:pt>
                <c:pt idx="142">
                  <c:v>1041.8699999999999</c:v>
                </c:pt>
                <c:pt idx="143">
                  <c:v>1041.8699999999999</c:v>
                </c:pt>
                <c:pt idx="144">
                  <c:v>1041.8699999999999</c:v>
                </c:pt>
                <c:pt idx="145">
                  <c:v>1041.8699999999999</c:v>
                </c:pt>
                <c:pt idx="146">
                  <c:v>1041.8699999999999</c:v>
                </c:pt>
                <c:pt idx="147">
                  <c:v>1041.8699999999999</c:v>
                </c:pt>
                <c:pt idx="148">
                  <c:v>1041.8699999999999</c:v>
                </c:pt>
                <c:pt idx="149">
                  <c:v>1041.8699999999999</c:v>
                </c:pt>
                <c:pt idx="150">
                  <c:v>1041.8699999999999</c:v>
                </c:pt>
                <c:pt idx="151">
                  <c:v>1041.8699999999999</c:v>
                </c:pt>
                <c:pt idx="152">
                  <c:v>1041.8699999999999</c:v>
                </c:pt>
                <c:pt idx="153">
                  <c:v>1041.8699999999999</c:v>
                </c:pt>
                <c:pt idx="154">
                  <c:v>1041.8699999999999</c:v>
                </c:pt>
                <c:pt idx="155">
                  <c:v>1041.8699999999999</c:v>
                </c:pt>
                <c:pt idx="156">
                  <c:v>1041.8699999999999</c:v>
                </c:pt>
                <c:pt idx="157">
                  <c:v>1041.8699999999999</c:v>
                </c:pt>
                <c:pt idx="158">
                  <c:v>1041.8699999999999</c:v>
                </c:pt>
                <c:pt idx="159">
                  <c:v>1041.8699999999999</c:v>
                </c:pt>
                <c:pt idx="160">
                  <c:v>1041.8699999999999</c:v>
                </c:pt>
                <c:pt idx="161">
                  <c:v>1041.8699999999999</c:v>
                </c:pt>
                <c:pt idx="162">
                  <c:v>1041.8699999999999</c:v>
                </c:pt>
                <c:pt idx="163">
                  <c:v>1041.8699999999999</c:v>
                </c:pt>
                <c:pt idx="164">
                  <c:v>1041.8699999999999</c:v>
                </c:pt>
                <c:pt idx="165">
                  <c:v>1041.8699999999999</c:v>
                </c:pt>
                <c:pt idx="166">
                  <c:v>1041.8699999999999</c:v>
                </c:pt>
                <c:pt idx="167">
                  <c:v>1041.8699999999999</c:v>
                </c:pt>
                <c:pt idx="168">
                  <c:v>1041.8699999999999</c:v>
                </c:pt>
                <c:pt idx="169">
                  <c:v>1041.8699999999999</c:v>
                </c:pt>
                <c:pt idx="170">
                  <c:v>1041.8699999999999</c:v>
                </c:pt>
                <c:pt idx="171">
                  <c:v>1041.8699999999999</c:v>
                </c:pt>
                <c:pt idx="172">
                  <c:v>1041.8699999999999</c:v>
                </c:pt>
                <c:pt idx="173">
                  <c:v>1041.8699999999999</c:v>
                </c:pt>
                <c:pt idx="174">
                  <c:v>1041.8699999999999</c:v>
                </c:pt>
                <c:pt idx="175">
                  <c:v>1041.8699999999999</c:v>
                </c:pt>
                <c:pt idx="176">
                  <c:v>1041.8699999999999</c:v>
                </c:pt>
                <c:pt idx="177">
                  <c:v>1041.8699999999999</c:v>
                </c:pt>
                <c:pt idx="178">
                  <c:v>1041.8699999999999</c:v>
                </c:pt>
                <c:pt idx="179">
                  <c:v>1041.8699999999999</c:v>
                </c:pt>
                <c:pt idx="180">
                  <c:v>1041.8699999999999</c:v>
                </c:pt>
                <c:pt idx="181">
                  <c:v>1041.8699999999999</c:v>
                </c:pt>
                <c:pt idx="182">
                  <c:v>1041.8699999999999</c:v>
                </c:pt>
                <c:pt idx="183">
                  <c:v>1041.8699999999999</c:v>
                </c:pt>
                <c:pt idx="184">
                  <c:v>1041.8699999999999</c:v>
                </c:pt>
                <c:pt idx="185">
                  <c:v>1041.8699999999999</c:v>
                </c:pt>
                <c:pt idx="186">
                  <c:v>1041.8699999999999</c:v>
                </c:pt>
                <c:pt idx="187">
                  <c:v>1041.8699999999999</c:v>
                </c:pt>
                <c:pt idx="188">
                  <c:v>1041.8699999999999</c:v>
                </c:pt>
                <c:pt idx="189">
                  <c:v>1041.8699999999999</c:v>
                </c:pt>
                <c:pt idx="190">
                  <c:v>1041.8699999999999</c:v>
                </c:pt>
                <c:pt idx="191">
                  <c:v>1041.8699999999999</c:v>
                </c:pt>
                <c:pt idx="192">
                  <c:v>1041.8699999999999</c:v>
                </c:pt>
                <c:pt idx="193">
                  <c:v>1041.8699999999999</c:v>
                </c:pt>
                <c:pt idx="194">
                  <c:v>1041.8699999999999</c:v>
                </c:pt>
                <c:pt idx="195">
                  <c:v>1041.8699999999999</c:v>
                </c:pt>
                <c:pt idx="196">
                  <c:v>1041.8699999999999</c:v>
                </c:pt>
                <c:pt idx="197">
                  <c:v>1041.8699999999999</c:v>
                </c:pt>
                <c:pt idx="198">
                  <c:v>1041.8699999999999</c:v>
                </c:pt>
                <c:pt idx="199">
                  <c:v>1041.8699999999999</c:v>
                </c:pt>
                <c:pt idx="200">
                  <c:v>1041.8699999999999</c:v>
                </c:pt>
                <c:pt idx="201">
                  <c:v>1041.8699999999999</c:v>
                </c:pt>
                <c:pt idx="202">
                  <c:v>1041.8699999999999</c:v>
                </c:pt>
                <c:pt idx="203">
                  <c:v>1041.8699999999999</c:v>
                </c:pt>
              </c:numCache>
            </c:numRef>
          </c:val>
          <c:smooth val="0"/>
          <c:extLst>
            <c:ext xmlns:c16="http://schemas.microsoft.com/office/drawing/2014/chart" uri="{C3380CC4-5D6E-409C-BE32-E72D297353CC}">
              <c16:uniqueId val="{00000002-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92710</xdr:rowOff>
    </xdr:to>
    <xdr:pic>
      <xdr:nvPicPr>
        <xdr:cNvPr id="3" name="image1.jpg">
          <a:extLst>
            <a:ext uri="{FF2B5EF4-FFF2-40B4-BE49-F238E27FC236}">
              <a16:creationId xmlns:a16="http://schemas.microsoft.com/office/drawing/2014/main" id="{CE138505-E1A5-4B99-BCBE-7C9A761A5470}"/>
            </a:ext>
          </a:extLst>
        </xdr:cNvPr>
        <xdr:cNvPicPr preferRelativeResize="0"/>
      </xdr:nvPicPr>
      <xdr:blipFill>
        <a:blip xmlns:r="http://schemas.openxmlformats.org/officeDocument/2006/relationships" r:embed="rId1" cstate="print"/>
        <a:stretch>
          <a:fillRect/>
        </a:stretch>
      </xdr:blipFill>
      <xdr:spPr>
        <a:xfrm>
          <a:off x="6162675" y="314325"/>
          <a:ext cx="2636308" cy="409321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866774</xdr:colOff>
      <xdr:row>1</xdr:row>
      <xdr:rowOff>0</xdr:rowOff>
    </xdr:from>
    <xdr:to>
      <xdr:col>18</xdr:col>
      <xdr:colOff>866774</xdr:colOff>
      <xdr:row>17</xdr:row>
      <xdr:rowOff>0</xdr:rowOff>
    </xdr:to>
    <xdr:graphicFrame macro="">
      <xdr:nvGraphicFramePr>
        <xdr:cNvPr id="2" name="Chart 1">
          <a:extLst>
            <a:ext uri="{FF2B5EF4-FFF2-40B4-BE49-F238E27FC236}">
              <a16:creationId xmlns:a16="http://schemas.microsoft.com/office/drawing/2014/main" id="{6B161F9A-1E9C-4982-B32B-C6928D68D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866774</xdr:colOff>
      <xdr:row>17</xdr:row>
      <xdr:rowOff>0</xdr:rowOff>
    </xdr:from>
    <xdr:to>
      <xdr:col>18</xdr:col>
      <xdr:colOff>866774</xdr:colOff>
      <xdr:row>33</xdr:row>
      <xdr:rowOff>0</xdr:rowOff>
    </xdr:to>
    <xdr:graphicFrame macro="">
      <xdr:nvGraphicFramePr>
        <xdr:cNvPr id="3" name="Chart 2">
          <a:extLst>
            <a:ext uri="{FF2B5EF4-FFF2-40B4-BE49-F238E27FC236}">
              <a16:creationId xmlns:a16="http://schemas.microsoft.com/office/drawing/2014/main" id="{5158295E-B291-4328-AD07-2AA15E225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866774</xdr:colOff>
      <xdr:row>1</xdr:row>
      <xdr:rowOff>0</xdr:rowOff>
    </xdr:from>
    <xdr:to>
      <xdr:col>20</xdr:col>
      <xdr:colOff>866774</xdr:colOff>
      <xdr:row>17</xdr:row>
      <xdr:rowOff>0</xdr:rowOff>
    </xdr:to>
    <xdr:graphicFrame macro="">
      <xdr:nvGraphicFramePr>
        <xdr:cNvPr id="3" name="Chart 2">
          <a:extLst>
            <a:ext uri="{FF2B5EF4-FFF2-40B4-BE49-F238E27FC236}">
              <a16:creationId xmlns:a16="http://schemas.microsoft.com/office/drawing/2014/main" id="{DD95F465-4A55-0D44-2CFD-117BDDAEA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866774</xdr:colOff>
      <xdr:row>17</xdr:row>
      <xdr:rowOff>0</xdr:rowOff>
    </xdr:from>
    <xdr:to>
      <xdr:col>20</xdr:col>
      <xdr:colOff>866774</xdr:colOff>
      <xdr:row>33</xdr:row>
      <xdr:rowOff>0</xdr:rowOff>
    </xdr:to>
    <xdr:graphicFrame macro="">
      <xdr:nvGraphicFramePr>
        <xdr:cNvPr id="4" name="Chart 3">
          <a:extLst>
            <a:ext uri="{FF2B5EF4-FFF2-40B4-BE49-F238E27FC236}">
              <a16:creationId xmlns:a16="http://schemas.microsoft.com/office/drawing/2014/main" id="{4FEB136F-E54A-8C09-4A41-A58B37A13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22</xdr:col>
      <xdr:colOff>0</xdr:colOff>
      <xdr:row>1</xdr:row>
      <xdr:rowOff>0</xdr:rowOff>
    </xdr:from>
    <xdr:to>
      <xdr:col>32</xdr:col>
      <xdr:colOff>0</xdr:colOff>
      <xdr:row>15</xdr:row>
      <xdr:rowOff>0</xdr:rowOff>
    </xdr:to>
    <xdr:graphicFrame macro="">
      <xdr:nvGraphicFramePr>
        <xdr:cNvPr id="2" name="Chart 1">
          <a:extLst>
            <a:ext uri="{FF2B5EF4-FFF2-40B4-BE49-F238E27FC236}">
              <a16:creationId xmlns:a16="http://schemas.microsoft.com/office/drawing/2014/main" id="{41B99983-EF69-7885-9E6C-FA2BF45AE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17</xdr:row>
      <xdr:rowOff>0</xdr:rowOff>
    </xdr:from>
    <xdr:to>
      <xdr:col>32</xdr:col>
      <xdr:colOff>0</xdr:colOff>
      <xdr:row>31</xdr:row>
      <xdr:rowOff>0</xdr:rowOff>
    </xdr:to>
    <xdr:graphicFrame macro="">
      <xdr:nvGraphicFramePr>
        <xdr:cNvPr id="4" name="Chart 3">
          <a:extLst>
            <a:ext uri="{FF2B5EF4-FFF2-40B4-BE49-F238E27FC236}">
              <a16:creationId xmlns:a16="http://schemas.microsoft.com/office/drawing/2014/main" id="{08F8A25C-6416-C881-50C6-CFE9E0634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22</xdr:col>
      <xdr:colOff>0</xdr:colOff>
      <xdr:row>17</xdr:row>
      <xdr:rowOff>0</xdr:rowOff>
    </xdr:from>
    <xdr:to>
      <xdr:col>32</xdr:col>
      <xdr:colOff>0</xdr:colOff>
      <xdr:row>31</xdr:row>
      <xdr:rowOff>0</xdr:rowOff>
    </xdr:to>
    <xdr:graphicFrame macro="">
      <xdr:nvGraphicFramePr>
        <xdr:cNvPr id="4" name="Chart 3">
          <a:extLst>
            <a:ext uri="{FF2B5EF4-FFF2-40B4-BE49-F238E27FC236}">
              <a16:creationId xmlns:a16="http://schemas.microsoft.com/office/drawing/2014/main" id="{076C1448-7B99-8B69-2B3B-021338C90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1</xdr:row>
      <xdr:rowOff>0</xdr:rowOff>
    </xdr:from>
    <xdr:to>
      <xdr:col>32</xdr:col>
      <xdr:colOff>0</xdr:colOff>
      <xdr:row>15</xdr:row>
      <xdr:rowOff>0</xdr:rowOff>
    </xdr:to>
    <xdr:graphicFrame macro="">
      <xdr:nvGraphicFramePr>
        <xdr:cNvPr id="5" name="Chart 4">
          <a:extLst>
            <a:ext uri="{FF2B5EF4-FFF2-40B4-BE49-F238E27FC236}">
              <a16:creationId xmlns:a16="http://schemas.microsoft.com/office/drawing/2014/main" id="{8251AAD7-0A4A-5F9D-8848-F61B737C1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28B4DB19-BC3E-4E3F-8944-E8CACDD9BBD2}" autoFormatId="16" applyNumberFormats="0" applyBorderFormats="0" applyFontFormats="0" applyPatternFormats="0" applyAlignmentFormats="0" applyWidthHeightFormats="0">
  <queryTableRefresh nextId="10" unboundColumnsRight="6">
    <queryTableFields count="9">
      <queryTableField id="1" name="Stage" tableColumnId="1"/>
      <queryTableField id="2" name="Value" tableColumnId="2"/>
      <queryTableField id="3" name="Resistanc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0977AAB5-0CFF-4EF9-93CD-B3D39460FE9F}" autoFormatId="16" applyNumberFormats="0" applyBorderFormats="0" applyFontFormats="0" applyPatternFormats="0" applyAlignmentFormats="0" applyWidthHeightFormats="0">
  <queryTableRefresh nextId="12" unboundColumnsRight="3">
    <queryTableFields count="11">
      <queryTableField id="1" name="Stage" tableColumnId="1"/>
      <queryTableField id="2" name="Subgroup size (n)" tableColumnId="2"/>
      <queryTableField id="3" name="Subgroup" tableColumnId="3"/>
      <queryTableField id="4" name="Average" tableColumnId="4"/>
      <queryTableField id="6" dataBound="0" tableColumnId="6"/>
      <queryTableField id="8" dataBound="0" tableColumnId="8"/>
      <queryTableField id="7" dataBound="0" tableColumnId="7"/>
      <queryTableField id="5" name="Range" tableColumnId="5"/>
      <queryTableField id="9" dataBound="0" tableColumnId="9"/>
      <queryTableField id="10" dataBound="0" tableColumnId="10"/>
      <queryTableField id="11" dataBound="0"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266133EB-E04E-4942-B840-08A6E6837C9B}" autoFormatId="16" applyNumberFormats="0" applyBorderFormats="0" applyFontFormats="0" applyPatternFormats="0" applyAlignmentFormats="0" applyWidthHeightFormats="0">
  <queryTableRefresh nextId="10" unboundColumnsRight="6">
    <queryTableFields count="9">
      <queryTableField id="1" name="Stage" tableColumnId="1"/>
      <queryTableField id="2" name="Value" tableColumnId="2"/>
      <queryTableField id="3" name="Resistanc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7" xr16:uid="{77877F50-1CBF-46CE-A813-9E2B81634086}" autoFormatId="16" applyNumberFormats="0" applyBorderFormats="0" applyFontFormats="0" applyPatternFormats="0" applyAlignmentFormats="0" applyWidthHeightFormats="0">
  <queryTableRefresh nextId="12" unboundColumnsRight="3">
    <queryTableFields count="11">
      <queryTableField id="1" name="Stage" tableColumnId="1"/>
      <queryTableField id="2" name="Subgroup size (n)" tableColumnId="2"/>
      <queryTableField id="3" name="Subgroup" tableColumnId="3"/>
      <queryTableField id="4" name="Average" tableColumnId="4"/>
      <queryTableField id="6" dataBound="0" tableColumnId="6"/>
      <queryTableField id="8" dataBound="0" tableColumnId="8"/>
      <queryTableField id="7" dataBound="0" tableColumnId="7"/>
      <queryTableField id="5" name="Range" tableColumnId="5"/>
      <queryTableField id="9" dataBound="0" tableColumnId="9"/>
      <queryTableField id="10" dataBound="0" tableColumnId="10"/>
      <queryTableField id="11" dataBound="0"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A0ADDEA6-75F7-40C5-9A48-FCFF3774451A}" autoFormatId="16" applyNumberFormats="0" applyBorderFormats="0" applyFontFormats="0" applyPatternFormats="0" applyAlignmentFormats="0" applyWidthHeightFormats="0">
  <queryTableRefresh nextId="10" unboundColumnsRight="6">
    <queryTableFields count="9">
      <queryTableField id="1" name="Stage" tableColumnId="1"/>
      <queryTableField id="2" name="Value" tableColumnId="2"/>
      <queryTableField id="3" name="Resistanc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8" xr16:uid="{3ED48E07-10DF-45A1-8687-EF2CE77E2559}" autoFormatId="16" applyNumberFormats="0" applyBorderFormats="0" applyFontFormats="0" applyPatternFormats="0" applyAlignmentFormats="0" applyWidthHeightFormats="0">
  <queryTableRefresh nextId="12" unboundColumnsRight="3">
    <queryTableFields count="11">
      <queryTableField id="1" name="Stage" tableColumnId="1"/>
      <queryTableField id="2" name="Subgroup size (n)" tableColumnId="2"/>
      <queryTableField id="3" name="Subgroup" tableColumnId="3"/>
      <queryTableField id="4" name="Average" tableColumnId="4"/>
      <queryTableField id="6" dataBound="0" tableColumnId="6"/>
      <queryTableField id="8" dataBound="0" tableColumnId="8"/>
      <queryTableField id="7" dataBound="0" tableColumnId="7"/>
      <queryTableField id="5" name="Range" tableColumnId="5"/>
      <queryTableField id="9" dataBound="0" tableColumnId="9"/>
      <queryTableField id="10" dataBound="0" tableColumnId="10"/>
      <queryTableField id="11" dataBound="0" tableColumnId="1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9CD99021-9149-4E4B-9995-F6ED8E2B0422}" autoFormatId="16" applyNumberFormats="0" applyBorderFormats="0" applyFontFormats="0" applyPatternFormats="0" applyAlignmentFormats="0" applyWidthHeightFormats="0">
  <queryTableRefresh nextId="5">
    <queryTableFields count="4">
      <queryTableField id="1" name="Stage" tableColumnId="1"/>
      <queryTableField id="2" name="Units" tableColumnId="2"/>
      <queryTableField id="3" name="Value" tableColumnId="3"/>
      <queryTableField id="4" name="Resistance"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2" xr16:uid="{0C9D7C53-7D19-4E88-9B8C-38BDBB5773E7}" autoFormatId="16" applyNumberFormats="0" applyBorderFormats="0" applyFontFormats="0" applyPatternFormats="0" applyAlignmentFormats="0" applyWidthHeightFormats="0">
  <queryTableRefresh nextId="6">
    <queryTableFields count="5">
      <queryTableField id="1" name="Stage" tableColumnId="1"/>
      <queryTableField id="2" name="Subgroup size (n)" tableColumnId="2"/>
      <queryTableField id="3" name="Subgroup" tableColumnId="3"/>
      <queryTableField id="4" name="Average" tableColumnId="4"/>
      <queryTableField id="5" name="Range"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4FA439-FC99-4CBD-BCBD-5CD1F7C18557}" name="shewharts_resistance_measurements" displayName="shewharts_resistance_measurements" ref="A1:I205" tableType="queryTable" totalsRowShown="0" headerRowDxfId="69" dataDxfId="68">
  <autoFilter ref="A1:I205" xr:uid="{FC7DD801-E43C-4DD7-87CA-4AFC36D0F73D}"/>
  <tableColumns count="9">
    <tableColumn id="1" xr3:uid="{6D62DACB-5ABA-4AD0-8240-A9FEAC0D68F9}" uniqueName="1" name="Stage" queryTableFieldId="1" dataDxfId="67"/>
    <tableColumn id="2" xr3:uid="{5D534C78-FA41-4CDD-B22F-6032509693D2}" uniqueName="2" name="Value" queryTableFieldId="2" dataDxfId="66"/>
    <tableColumn id="3" xr3:uid="{8E2E6ABA-15D3-46BA-BDB8-704985C704C6}" uniqueName="3" name="Resistance" queryTableFieldId="3" dataDxfId="65"/>
    <tableColumn id="4" xr3:uid="{A6E907C9-32DE-464D-A69B-4DE77E51041F}" uniqueName="4" name="Mean" queryTableFieldId="4" dataDxfId="64">
      <calculatedColumnFormula>ROUND(AVERAGE($C$2:$C$205),2)</calculatedColumnFormula>
    </tableColumn>
    <tableColumn id="5" xr3:uid="{C2AEFA8D-7E1F-473B-9910-FC5A80BFEB62}" uniqueName="5" name="UPL" queryTableFieldId="5" dataDxfId="63">
      <calculatedColumnFormula>ROUND(D2+(2.66*H2),2)</calculatedColumnFormula>
    </tableColumn>
    <tableColumn id="6" xr3:uid="{457C1995-571F-43A0-AA7C-E6D2832D4BEA}" uniqueName="6" name="LPL" queryTableFieldId="6" dataDxfId="62">
      <calculatedColumnFormula>ROUND(D2-(2.66*H2),2)</calculatedColumnFormula>
    </tableColumn>
    <tableColumn id="7" xr3:uid="{C2A39CA0-7683-40D2-A302-487293D2712D}" uniqueName="7" name="mR" queryTableFieldId="7" dataDxfId="61">
      <calculatedColumnFormula>ABS(C1-C2)</calculatedColumnFormula>
    </tableColumn>
    <tableColumn id="8" xr3:uid="{97B72CFC-0B06-47B0-A91E-C09C6FB839C8}" uniqueName="8" name="Ave. mR" queryTableFieldId="8" dataDxfId="60">
      <calculatedColumnFormula>ROUND(AVERAGE($G$3:$G$205),2)</calculatedColumnFormula>
    </tableColumn>
    <tableColumn id="9" xr3:uid="{A1B84E2B-9F7E-4ED1-B77D-4F63ADACD1C2}" uniqueName="9" name="URL" queryTableFieldId="9" dataDxfId="59">
      <calculatedColumnFormula>ROUND(3.268*H2,2)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302775-D965-42BB-B75D-FAFE43273D42}" name="shewharts_resistance_measurements_rational_subgroups" displayName="shewharts_resistance_measurements_rational_subgroups" ref="A1:K52" tableType="queryTable" totalsRowShown="0" headerRowDxfId="58">
  <autoFilter ref="A1:K52" xr:uid="{2D302775-D965-42BB-B75D-FAFE43273D42}"/>
  <tableColumns count="11">
    <tableColumn id="1" xr3:uid="{3B9DD016-D11F-4F71-B4D1-59DD933CD177}" uniqueName="1" name="Stage" queryTableFieldId="1" dataDxfId="57"/>
    <tableColumn id="2" xr3:uid="{9CFAA347-411D-4386-A355-B2B3B2B9D2B0}" uniqueName="2" name="Subgroup size (n)" queryTableFieldId="2"/>
    <tableColumn id="3" xr3:uid="{C1E688E4-C001-44EE-9BBD-D3D72B4F7A4E}" uniqueName="3" name="Subgroup" queryTableFieldId="3" dataDxfId="56"/>
    <tableColumn id="4" xr3:uid="{D727FCC6-C260-4CF3-BC99-64511B9B6537}" uniqueName="4" name="Average" queryTableFieldId="4"/>
    <tableColumn id="6" xr3:uid="{EDCFA547-CC64-45CD-8A73-CD2D24CF182D}" uniqueName="6" name="Grand Average" queryTableFieldId="6" dataDxfId="55">
      <calculatedColumnFormula>ROUND(AVERAGE($D$2:$D$52),1)</calculatedColumnFormula>
    </tableColumn>
    <tableColumn id="8" xr3:uid="{03859012-43AA-44D5-8D56-19DC710D0DA5}" uniqueName="8" name="UAL" queryTableFieldId="8" dataDxfId="54">
      <calculatedColumnFormula>ROUND(E2+(0.729*I2),1)</calculatedColumnFormula>
    </tableColumn>
    <tableColumn id="7" xr3:uid="{0F739914-DC78-473A-96A7-2B459EAC6BFF}" uniqueName="7" name="LAL" queryTableFieldId="7" dataDxfId="53">
      <calculatedColumnFormula>ROUND(E2-(0.729*I2),1)</calculatedColumnFormula>
    </tableColumn>
    <tableColumn id="5" xr3:uid="{145341C6-FED4-4F39-9C8B-AFA87FD6732A}" uniqueName="5" name="Subgroup Range" queryTableFieldId="5"/>
    <tableColumn id="9" xr3:uid="{F98AC807-5C0A-4829-83BB-25345A3B9265}" uniqueName="9" name="Average Range" queryTableFieldId="9" dataDxfId="52">
      <calculatedColumnFormula>ROUND(AVERAGE($H$2:$H$52),1)</calculatedColumnFormula>
    </tableColumn>
    <tableColumn id="10" xr3:uid="{AAA982C2-593C-4F7C-8B30-4E38CE8FC060}" uniqueName="10" name="URL" queryTableFieldId="10" dataDxfId="51">
      <calculatedColumnFormula>ROUND(2.282*I2,1)</calculatedColumnFormula>
    </tableColumn>
    <tableColumn id="11" xr3:uid="{04C5993D-86E5-48FA-8812-ADD5ADE417E5}" uniqueName="11" name="LRL" queryTableFieldId="11" dataDxfId="50">
      <calculatedColumnFormula>0*I2</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B98DF3-3993-4C25-86CA-887794F3A5EB}" name="shewharts_resistance_measurements5" displayName="shewharts_resistance_measurements5" ref="A1:I205" tableType="queryTable" totalsRowShown="0" headerRowDxfId="49" dataDxfId="48">
  <autoFilter ref="A1:I205" xr:uid="{B5B98DF3-3993-4C25-86CA-887794F3A5EB}"/>
  <tableColumns count="9">
    <tableColumn id="1" xr3:uid="{05A36F63-A3A2-462B-8C45-4B0C2BB3D676}" uniqueName="1" name="Stage" queryTableFieldId="1" dataDxfId="47"/>
    <tableColumn id="2" xr3:uid="{5EC960D7-5D80-40E8-B8EB-4A40CA9CEFC0}" uniqueName="2" name="Value" queryTableFieldId="2" dataDxfId="46"/>
    <tableColumn id="3" xr3:uid="{9FF60C8F-CD41-4A39-AE85-CDEB1F6A6A10}" uniqueName="3" name="Resistance" queryTableFieldId="3" dataDxfId="45"/>
    <tableColumn id="4" xr3:uid="{8CB050F4-8CC3-4A8F-AA54-4806B07F3927}" uniqueName="4" name="Mean" queryTableFieldId="4" dataDxfId="44">
      <calculatedColumnFormula>ROUND(AVERAGE($C$2:$C$205),2)</calculatedColumnFormula>
    </tableColumn>
    <tableColumn id="5" xr3:uid="{08D2A93D-5BE8-471F-9997-2AEABD10E1E6}" uniqueName="5" name="UPL" queryTableFieldId="5" dataDxfId="43">
      <calculatedColumnFormula>ROUND(D2+(2.66*H2),2)</calculatedColumnFormula>
    </tableColumn>
    <tableColumn id="6" xr3:uid="{ACA23BB0-5C39-46B7-A350-10BE992B7C1E}" uniqueName="6" name="LPL" queryTableFieldId="6" dataDxfId="42">
      <calculatedColumnFormula>ROUND(D2-(2.66*H2),2)</calculatedColumnFormula>
    </tableColumn>
    <tableColumn id="7" xr3:uid="{51CD09F9-F206-4748-8204-55BEA04D9EFA}" uniqueName="7" name="mR" queryTableFieldId="7" dataDxfId="41">
      <calculatedColumnFormula>ABS(C1-C2)</calculatedColumnFormula>
    </tableColumn>
    <tableColumn id="8" xr3:uid="{41D7E47B-8A5C-4A33-8ED5-DE50CDD46DCE}" uniqueName="8" name="Ave. mR" queryTableFieldId="8" dataDxfId="40">
      <calculatedColumnFormula>ROUND(AVERAGE($G$3:$G$205),2)</calculatedColumnFormula>
    </tableColumn>
    <tableColumn id="9" xr3:uid="{0203BD1D-7059-48EE-9E17-79C0DC9D09A6}" uniqueName="9" name="URL" queryTableFieldId="9" dataDxfId="39">
      <calculatedColumnFormula>ROUND(3.268*H2,2)</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884B05-D7F1-46A2-A4DC-3C21E168F436}" name="shewharts_resistance_measurements_rational_subgroups6" displayName="shewharts_resistance_measurements_rational_subgroups6" ref="K1:U52" tableType="queryTable" totalsRowShown="0" headerRowDxfId="38">
  <autoFilter ref="K1:U52" xr:uid="{76884B05-D7F1-46A2-A4DC-3C21E168F436}"/>
  <tableColumns count="11">
    <tableColumn id="1" xr3:uid="{4A469A09-C24C-4851-94DB-6CE65B1CD41A}" uniqueName="1" name="Stage" queryTableFieldId="1" dataDxfId="37"/>
    <tableColumn id="2" xr3:uid="{79E0AAE9-62C6-4205-8633-E8E6D74AD77F}" uniqueName="2" name="Subgroup size (n)" queryTableFieldId="2"/>
    <tableColumn id="3" xr3:uid="{34467A81-CD27-4400-B3F3-09DA778E2268}" uniqueName="3" name="Subgroup" queryTableFieldId="3" dataDxfId="36"/>
    <tableColumn id="4" xr3:uid="{1BF71378-012E-4417-81A5-D672FB2E5235}" uniqueName="4" name="Average" queryTableFieldId="4"/>
    <tableColumn id="6" xr3:uid="{A4EC0BA1-74D6-48F2-8AB4-50DDE2068AF2}" uniqueName="6" name="Grand Average" queryTableFieldId="6" dataDxfId="35">
      <calculatedColumnFormula>ROUND(AVERAGE($D$2:$D$52),1)</calculatedColumnFormula>
    </tableColumn>
    <tableColumn id="8" xr3:uid="{24C1F09F-3BE9-4493-A58B-243B170B7F43}" uniqueName="8" name="UAL" queryTableFieldId="8" dataDxfId="34">
      <calculatedColumnFormula>ROUND(O2+(0.729*S2),1)</calculatedColumnFormula>
    </tableColumn>
    <tableColumn id="7" xr3:uid="{366B11DB-BDB3-49A9-84C3-E03DC05F3795}" uniqueName="7" name="LAL" queryTableFieldId="7" dataDxfId="33">
      <calculatedColumnFormula>ROUND(O2-(0.729*S2),1)</calculatedColumnFormula>
    </tableColumn>
    <tableColumn id="5" xr3:uid="{C3467F20-53F7-49CC-91D6-C8D006EB32FE}" uniqueName="5" name="Subgroup Range" queryTableFieldId="5"/>
    <tableColumn id="9" xr3:uid="{125ECC07-31DC-48CE-9FBA-37BCCB726081}" uniqueName="9" name="Average Range" queryTableFieldId="9" dataDxfId="32">
      <calculatedColumnFormula>ROUND(AVERAGE($H$2:$H$52),1)</calculatedColumnFormula>
    </tableColumn>
    <tableColumn id="10" xr3:uid="{A30FF4C4-5A03-4D4D-B214-F89AFD1FCAAF}" uniqueName="10" name="URL" queryTableFieldId="10" dataDxfId="31">
      <calculatedColumnFormula>ROUND(2.282*S2,1)</calculatedColumnFormula>
    </tableColumn>
    <tableColumn id="11" xr3:uid="{6A29E117-5983-4ACE-957F-79B697DD465F}" uniqueName="11" name="LRL" queryTableFieldId="11" dataDxfId="30">
      <calculatedColumnFormula>0*S2</calculatedColumnFormula>
    </tableColumn>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528F86A-53B5-4C08-8F8E-FD437920C3B3}" name="shewharts_resistance_measurements57" displayName="shewharts_resistance_measurements57" ref="A1:I205" tableType="queryTable" totalsRowShown="0" headerRowDxfId="29" dataDxfId="28">
  <autoFilter ref="A1:I205" xr:uid="{B5B98DF3-3993-4C25-86CA-887794F3A5EB}"/>
  <tableColumns count="9">
    <tableColumn id="1" xr3:uid="{6FE827B0-2E2F-46FC-ADD0-77F636365A80}" uniqueName="1" name="Stage" queryTableFieldId="1" dataDxfId="27"/>
    <tableColumn id="2" xr3:uid="{08FAFA3B-E148-4387-AB2A-AF228EE2C0D8}" uniqueName="2" name="Value" queryTableFieldId="2" dataDxfId="26"/>
    <tableColumn id="3" xr3:uid="{2B942099-F743-4F08-BEC6-6547036F2A5D}" uniqueName="3" name="Resistance" queryTableFieldId="3" dataDxfId="25"/>
    <tableColumn id="4" xr3:uid="{D7645209-0D47-45EC-B538-0FA0975A0B08}" uniqueName="4" name="Mean" queryTableFieldId="4" dataDxfId="24">
      <calculatedColumnFormula>ROUND(AVERAGE($C$2:$C$205),2)</calculatedColumnFormula>
    </tableColumn>
    <tableColumn id="5" xr3:uid="{9EE41E48-B7B7-4E14-BE49-466DBA747A59}" uniqueName="5" name="UPL" queryTableFieldId="5" dataDxfId="23">
      <calculatedColumnFormula>ROUND(D2+(2.66*H2),2)</calculatedColumnFormula>
    </tableColumn>
    <tableColumn id="6" xr3:uid="{F9D7B07C-0353-4155-8A7C-CCDD9423143A}" uniqueName="6" name="LPL" queryTableFieldId="6" dataDxfId="22">
      <calculatedColumnFormula>ROUND(D2-(2.66*H2),2)</calculatedColumnFormula>
    </tableColumn>
    <tableColumn id="7" xr3:uid="{018FCDFC-308E-4841-AFEC-FC0CA33B0AE1}" uniqueName="7" name="mR" queryTableFieldId="7" dataDxfId="21">
      <calculatedColumnFormula>ABS(C1-C2)</calculatedColumnFormula>
    </tableColumn>
    <tableColumn id="8" xr3:uid="{0C1DC73B-D5AF-46E8-B904-883A04A6EAF1}" uniqueName="8" name="Ave. mR" queryTableFieldId="8" dataDxfId="20">
      <calculatedColumnFormula>ROUND(AVERAGE($G$3:$G$205),2)</calculatedColumnFormula>
    </tableColumn>
    <tableColumn id="9" xr3:uid="{3B107E0A-8EA3-4C9B-B6C4-5861B53F2AE5}" uniqueName="9" name="URL" queryTableFieldId="9" dataDxfId="19">
      <calculatedColumnFormula>ROUND(3.268*H2,2)</calculatedColumnFormula>
    </tableColumn>
  </tableColumns>
  <tableStyleInfo name="The Virus of Variatio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FCB956-CA53-4309-A2AB-889A3C964D33}" name="shewharts_resistance_measurements_rational_subgroups68" displayName="shewharts_resistance_measurements_rational_subgroups68" ref="K1:U52" tableType="queryTable" totalsRowShown="0" headerRowDxfId="18">
  <autoFilter ref="K1:U52" xr:uid="{76884B05-D7F1-46A2-A4DC-3C21E168F436}"/>
  <tableColumns count="11">
    <tableColumn id="1" xr3:uid="{FE3DEE1B-F4E8-4F0D-8940-FF46C823B193}" uniqueName="1" name="Stage" queryTableFieldId="1" dataDxfId="17"/>
    <tableColumn id="2" xr3:uid="{6C5DE035-EE73-4BA1-98FE-C5D8EC6CD2FA}" uniqueName="2" name="Subgroup size (n)" queryTableFieldId="2"/>
    <tableColumn id="3" xr3:uid="{60585BBF-0385-4D2B-B344-ED7556F539E6}" uniqueName="3" name="Subgroup" queryTableFieldId="3" dataDxfId="16"/>
    <tableColumn id="4" xr3:uid="{722D762E-4178-4051-8D32-62566A9DB2F5}" uniqueName="4" name="Average" queryTableFieldId="4"/>
    <tableColumn id="6" xr3:uid="{3AA31A0B-2120-4B6A-A808-C1B031C132C5}" uniqueName="6" name="Grand Average" queryTableFieldId="6" dataDxfId="15">
      <calculatedColumnFormula>ROUND(AVERAGE($D$2:$D$52),1)</calculatedColumnFormula>
    </tableColumn>
    <tableColumn id="8" xr3:uid="{AD009E7E-1D52-4486-9A00-31F715F3D22B}" uniqueName="8" name="UAL" queryTableFieldId="8" dataDxfId="14">
      <calculatedColumnFormula>ROUND(O2+(0.729*S2),1)</calculatedColumnFormula>
    </tableColumn>
    <tableColumn id="7" xr3:uid="{A9262A2C-D30F-4C3D-9E0C-E5808AEBBFBC}" uniqueName="7" name="LAL" queryTableFieldId="7" dataDxfId="13">
      <calculatedColumnFormula>ROUND(O2-(0.729*S2),1)</calculatedColumnFormula>
    </tableColumn>
    <tableColumn id="5" xr3:uid="{141F35A5-8795-4652-80BB-AE4C893BB9D0}" uniqueName="5" name="Subgroup Range" queryTableFieldId="5"/>
    <tableColumn id="9" xr3:uid="{0E317579-EF6C-491B-964B-A92FB93AABE2}" uniqueName="9" name="Average Range" queryTableFieldId="9" dataDxfId="12">
      <calculatedColumnFormula>ROUND(AVERAGE($H$2:$H$52),1)</calculatedColumnFormula>
    </tableColumn>
    <tableColumn id="10" xr3:uid="{E85B977D-6870-4EE9-8126-C40058611237}" uniqueName="10" name="URL" queryTableFieldId="10" dataDxfId="11">
      <calculatedColumnFormula>ROUND(2.282*S2,1)</calculatedColumnFormula>
    </tableColumn>
    <tableColumn id="11" xr3:uid="{23AE9A8C-75B4-467F-B291-37DE564BBA4F}" uniqueName="11" name="LRL" queryTableFieldId="11" dataDxfId="10">
      <calculatedColumnFormula>0*S2</calculatedColumnFormula>
    </tableColumn>
  </tableColumns>
  <tableStyleInfo name="The Virus of Variatio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EC6285-0DAD-4A72-94B2-CF4C57543F24}" name="Query1" displayName="Query1" ref="A1:D270" tableType="queryTable" totalsRowShown="0" headerRowDxfId="9">
  <autoFilter ref="A1:D270" xr:uid="{41EC6285-0DAD-4A72-94B2-CF4C57543F24}"/>
  <tableColumns count="4">
    <tableColumn id="1" xr3:uid="{AA1B3670-2D3D-458F-B14C-602B2C2F4B90}" uniqueName="1" name="Stage" queryTableFieldId="1" dataDxfId="8"/>
    <tableColumn id="2" xr3:uid="{F5C3FA04-CD4D-4C46-8898-2876456A4176}" uniqueName="2" name="Units" queryTableFieldId="2" dataDxfId="7"/>
    <tableColumn id="3" xr3:uid="{FED09A22-F822-4405-89FD-30CC9B6D9814}" uniqueName="3" name="Value" queryTableFieldId="3"/>
    <tableColumn id="4" xr3:uid="{B72521F7-55FC-48AB-853E-2505D84520D8}" uniqueName="4" name="Resistance" queryTableFieldId="4"/>
  </tableColumns>
  <tableStyleInfo name="The Virus of Variatio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2E2A49E-D7D3-4855-A01A-9024150B498D}" name="Query2" displayName="Query2" ref="F1:J68" tableType="queryTable" totalsRowShown="0" headerRowDxfId="6" dataDxfId="5">
  <autoFilter ref="F1:J68" xr:uid="{12E2A49E-D7D3-4855-A01A-9024150B498D}"/>
  <tableColumns count="5">
    <tableColumn id="1" xr3:uid="{4355909C-563D-404C-A4A5-0BADD3967B6D}" uniqueName="1" name="Stage" queryTableFieldId="1" dataDxfId="4"/>
    <tableColumn id="2" xr3:uid="{A14F3B51-EB0C-4101-B0A9-1A9B810A94C1}" uniqueName="2" name="Subgroup size (n)" queryTableFieldId="2" dataDxfId="3"/>
    <tableColumn id="3" xr3:uid="{1FBD630B-79DC-4E97-BC18-21ACFF8CAD6B}" uniqueName="3" name="Subgroup" queryTableFieldId="3" dataDxfId="2"/>
    <tableColumn id="4" xr3:uid="{C5B87824-A606-4729-B62B-6FB86D78ED34}" uniqueName="4" name="Average" queryTableFieldId="4" dataDxfId="1"/>
    <tableColumn id="5" xr3:uid="{B3BEDC95-963E-47B3-82AF-0D26F4FF2CDC}" uniqueName="5" name="Range" queryTableFieldId="5"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9"/>
  <sheetViews>
    <sheetView showGridLines="0" tabSelected="1" workbookViewId="0">
      <selection activeCell="A37" sqref="A37:G39"/>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35" t="s">
        <v>0</v>
      </c>
      <c r="B1" s="36"/>
      <c r="C1" s="36"/>
      <c r="D1" s="36"/>
      <c r="E1" s="36"/>
      <c r="F1" s="36"/>
      <c r="G1" s="37"/>
      <c r="H1" s="1"/>
      <c r="I1" s="1"/>
      <c r="J1" s="1"/>
      <c r="K1" s="1"/>
      <c r="L1" s="1"/>
    </row>
    <row r="2" spans="1:12" ht="15.75" customHeight="1" x14ac:dyDescent="0.25">
      <c r="A2" s="38" t="s">
        <v>233</v>
      </c>
      <c r="B2" s="39"/>
      <c r="C2" s="39"/>
      <c r="D2" s="39"/>
      <c r="E2" s="39"/>
      <c r="F2" s="39"/>
      <c r="G2" s="40"/>
      <c r="H2" s="1"/>
      <c r="I2" s="1"/>
    </row>
    <row r="3" spans="1:12" ht="15.75" customHeight="1" x14ac:dyDescent="0.25">
      <c r="A3" s="41"/>
      <c r="B3" s="42"/>
      <c r="C3" s="42"/>
      <c r="D3" s="42"/>
      <c r="E3" s="42"/>
      <c r="F3" s="42"/>
      <c r="G3" s="43"/>
      <c r="H3" s="1"/>
    </row>
    <row r="4" spans="1:12" ht="15.75" customHeight="1" x14ac:dyDescent="0.25">
      <c r="A4" s="41"/>
      <c r="B4" s="42"/>
      <c r="C4" s="42"/>
      <c r="D4" s="42"/>
      <c r="E4" s="42"/>
      <c r="F4" s="42"/>
      <c r="G4" s="43"/>
      <c r="H4" s="1"/>
    </row>
    <row r="5" spans="1:12" ht="15.75" customHeight="1" x14ac:dyDescent="0.25">
      <c r="A5" s="41"/>
      <c r="B5" s="42"/>
      <c r="C5" s="42"/>
      <c r="D5" s="42"/>
      <c r="E5" s="42"/>
      <c r="F5" s="42"/>
      <c r="G5" s="43"/>
      <c r="H5" s="1"/>
    </row>
    <row r="6" spans="1:12" ht="15.75" customHeight="1" x14ac:dyDescent="0.25">
      <c r="A6" s="41"/>
      <c r="B6" s="42"/>
      <c r="C6" s="42"/>
      <c r="D6" s="42"/>
      <c r="E6" s="42"/>
      <c r="F6" s="42"/>
      <c r="G6" s="43"/>
      <c r="H6" s="1"/>
    </row>
    <row r="7" spans="1:12" ht="15.75" customHeight="1" x14ac:dyDescent="0.25">
      <c r="A7" s="41"/>
      <c r="B7" s="42"/>
      <c r="C7" s="42"/>
      <c r="D7" s="42"/>
      <c r="E7" s="42"/>
      <c r="F7" s="42"/>
      <c r="G7" s="43"/>
      <c r="H7" s="1"/>
    </row>
    <row r="8" spans="1:12" ht="15.75" customHeight="1" x14ac:dyDescent="0.25">
      <c r="A8" s="41"/>
      <c r="B8" s="42"/>
      <c r="C8" s="42"/>
      <c r="D8" s="42"/>
      <c r="E8" s="42"/>
      <c r="F8" s="42"/>
      <c r="G8" s="43"/>
      <c r="H8" s="1"/>
    </row>
    <row r="9" spans="1:12" ht="15.75" customHeight="1" x14ac:dyDescent="0.25">
      <c r="A9" s="41"/>
      <c r="B9" s="42"/>
      <c r="C9" s="42"/>
      <c r="D9" s="42"/>
      <c r="E9" s="42"/>
      <c r="F9" s="42"/>
      <c r="G9" s="43"/>
      <c r="H9" s="1"/>
    </row>
    <row r="10" spans="1:12" ht="15.75" customHeight="1" x14ac:dyDescent="0.25">
      <c r="A10" s="41"/>
      <c r="B10" s="42"/>
      <c r="C10" s="42"/>
      <c r="D10" s="42"/>
      <c r="E10" s="42"/>
      <c r="F10" s="42"/>
      <c r="G10" s="43"/>
      <c r="H10" s="1"/>
    </row>
    <row r="11" spans="1:12" ht="15.75" customHeight="1" x14ac:dyDescent="0.25">
      <c r="A11" s="41"/>
      <c r="B11" s="42"/>
      <c r="C11" s="42"/>
      <c r="D11" s="42"/>
      <c r="E11" s="42"/>
      <c r="F11" s="42"/>
      <c r="G11" s="43"/>
      <c r="H11" s="1"/>
    </row>
    <row r="12" spans="1:12" ht="15.75" customHeight="1" x14ac:dyDescent="0.25">
      <c r="A12" s="41"/>
      <c r="B12" s="42"/>
      <c r="C12" s="42"/>
      <c r="D12" s="42"/>
      <c r="E12" s="42"/>
      <c r="F12" s="42"/>
      <c r="G12" s="43"/>
      <c r="H12" s="1"/>
    </row>
    <row r="13" spans="1:12" ht="15.75" customHeight="1" x14ac:dyDescent="0.25">
      <c r="A13" s="41"/>
      <c r="B13" s="42"/>
      <c r="C13" s="42"/>
      <c r="D13" s="42"/>
      <c r="E13" s="42"/>
      <c r="F13" s="42"/>
      <c r="G13" s="43"/>
      <c r="H13" s="1"/>
    </row>
    <row r="14" spans="1:12" ht="15.75" customHeight="1" x14ac:dyDescent="0.25">
      <c r="A14" s="41"/>
      <c r="B14" s="42"/>
      <c r="C14" s="42"/>
      <c r="D14" s="42"/>
      <c r="E14" s="42"/>
      <c r="F14" s="42"/>
      <c r="G14" s="43"/>
      <c r="H14" s="1"/>
    </row>
    <row r="15" spans="1:12" ht="15.75" customHeight="1" x14ac:dyDescent="0.25">
      <c r="A15" s="41"/>
      <c r="B15" s="42"/>
      <c r="C15" s="42"/>
      <c r="D15" s="42"/>
      <c r="E15" s="42"/>
      <c r="F15" s="42"/>
      <c r="G15" s="43"/>
      <c r="H15" s="1"/>
    </row>
    <row r="16" spans="1:12" ht="15.75" customHeight="1" x14ac:dyDescent="0.25">
      <c r="A16" s="41"/>
      <c r="B16" s="42"/>
      <c r="C16" s="42"/>
      <c r="D16" s="42"/>
      <c r="E16" s="42"/>
      <c r="F16" s="42"/>
      <c r="G16" s="43"/>
      <c r="H16" s="1"/>
    </row>
    <row r="17" spans="1:8" ht="15.75" customHeight="1" x14ac:dyDescent="0.25">
      <c r="A17" s="41"/>
      <c r="B17" s="42"/>
      <c r="C17" s="42"/>
      <c r="D17" s="42"/>
      <c r="E17" s="42"/>
      <c r="F17" s="42"/>
      <c r="G17" s="43"/>
      <c r="H17" s="1"/>
    </row>
    <row r="18" spans="1:8" ht="15.75" customHeight="1" x14ac:dyDescent="0.25">
      <c r="A18" s="41"/>
      <c r="B18" s="42"/>
      <c r="C18" s="42"/>
      <c r="D18" s="42"/>
      <c r="E18" s="42"/>
      <c r="F18" s="42"/>
      <c r="G18" s="43"/>
      <c r="H18" s="1"/>
    </row>
    <row r="19" spans="1:8" ht="15.75" customHeight="1" x14ac:dyDescent="0.25">
      <c r="A19" s="41"/>
      <c r="B19" s="42"/>
      <c r="C19" s="42"/>
      <c r="D19" s="42"/>
      <c r="E19" s="42"/>
      <c r="F19" s="42"/>
      <c r="G19" s="43"/>
      <c r="H19" s="1"/>
    </row>
    <row r="20" spans="1:8" ht="15.75" customHeight="1" x14ac:dyDescent="0.25">
      <c r="A20" s="41"/>
      <c r="B20" s="42"/>
      <c r="C20" s="42"/>
      <c r="D20" s="42"/>
      <c r="E20" s="42"/>
      <c r="F20" s="42"/>
      <c r="G20" s="43"/>
      <c r="H20" s="1"/>
    </row>
    <row r="21" spans="1:8" ht="15.75" customHeight="1" x14ac:dyDescent="0.25">
      <c r="A21" s="41"/>
      <c r="B21" s="42"/>
      <c r="C21" s="42"/>
      <c r="D21" s="42"/>
      <c r="E21" s="42"/>
      <c r="F21" s="42"/>
      <c r="G21" s="43"/>
      <c r="H21" s="1"/>
    </row>
    <row r="22" spans="1:8" ht="15.75" customHeight="1" x14ac:dyDescent="0.25">
      <c r="A22" s="41"/>
      <c r="B22" s="42"/>
      <c r="C22" s="42"/>
      <c r="D22" s="42"/>
      <c r="E22" s="42"/>
      <c r="F22" s="42"/>
      <c r="G22" s="43"/>
      <c r="H22" s="1"/>
    </row>
    <row r="23" spans="1:8" ht="15.75" customHeight="1" x14ac:dyDescent="0.25">
      <c r="A23" s="41"/>
      <c r="B23" s="42"/>
      <c r="C23" s="42"/>
      <c r="D23" s="42"/>
      <c r="E23" s="42"/>
      <c r="F23" s="42"/>
      <c r="G23" s="43"/>
      <c r="H23" s="1"/>
    </row>
    <row r="24" spans="1:8" ht="15.75" customHeight="1" x14ac:dyDescent="0.25">
      <c r="A24" s="41"/>
      <c r="B24" s="42"/>
      <c r="C24" s="42"/>
      <c r="D24" s="42"/>
      <c r="E24" s="42"/>
      <c r="F24" s="42"/>
      <c r="G24" s="43"/>
      <c r="H24" s="1"/>
    </row>
    <row r="25" spans="1:8" ht="15.75" customHeight="1" x14ac:dyDescent="0.25">
      <c r="A25" s="41"/>
      <c r="B25" s="42"/>
      <c r="C25" s="42"/>
      <c r="D25" s="42"/>
      <c r="E25" s="42"/>
      <c r="F25" s="42"/>
      <c r="G25" s="43"/>
      <c r="H25" s="1"/>
    </row>
    <row r="26" spans="1:8" ht="15.75" customHeight="1" x14ac:dyDescent="0.25">
      <c r="A26" s="41"/>
      <c r="B26" s="42"/>
      <c r="C26" s="42"/>
      <c r="D26" s="42"/>
      <c r="E26" s="42"/>
      <c r="F26" s="42"/>
      <c r="G26" s="43"/>
      <c r="H26" s="1"/>
    </row>
    <row r="27" spans="1:8" ht="15.75" customHeight="1" x14ac:dyDescent="0.25">
      <c r="A27" s="41"/>
      <c r="B27" s="42"/>
      <c r="C27" s="42"/>
      <c r="D27" s="42"/>
      <c r="E27" s="42"/>
      <c r="F27" s="42"/>
      <c r="G27" s="43"/>
      <c r="H27" s="1"/>
    </row>
    <row r="28" spans="1:8" ht="15.75" customHeight="1" x14ac:dyDescent="0.25">
      <c r="A28" s="41"/>
      <c r="B28" s="42"/>
      <c r="C28" s="42"/>
      <c r="D28" s="42"/>
      <c r="E28" s="42"/>
      <c r="F28" s="42"/>
      <c r="G28" s="43"/>
    </row>
    <row r="29" spans="1:8" ht="15.75" customHeight="1" x14ac:dyDescent="0.25">
      <c r="A29" s="44"/>
      <c r="B29" s="45"/>
      <c r="C29" s="45"/>
      <c r="D29" s="45"/>
      <c r="E29" s="45"/>
      <c r="F29" s="45"/>
      <c r="G29" s="46"/>
    </row>
    <row r="30" spans="1:8" ht="15.75" customHeight="1" x14ac:dyDescent="0.25">
      <c r="A30" s="47" t="s">
        <v>226</v>
      </c>
      <c r="B30" s="48"/>
      <c r="C30" s="48"/>
      <c r="D30" s="48"/>
      <c r="E30" s="48"/>
      <c r="F30" s="48"/>
      <c r="G30" s="49"/>
    </row>
    <row r="31" spans="1:8" ht="15.75" customHeight="1" x14ac:dyDescent="0.25">
      <c r="A31" s="26" t="s">
        <v>227</v>
      </c>
      <c r="B31" s="27"/>
      <c r="C31" s="27"/>
      <c r="D31" s="27"/>
      <c r="E31" s="27"/>
      <c r="F31" s="27"/>
      <c r="G31" s="28"/>
    </row>
    <row r="32" spans="1:8" ht="15.75" customHeight="1" x14ac:dyDescent="0.25">
      <c r="A32" s="29" t="s">
        <v>228</v>
      </c>
      <c r="B32" s="30"/>
      <c r="C32" s="30"/>
      <c r="D32" s="30"/>
      <c r="E32" s="30"/>
      <c r="F32" s="30"/>
      <c r="G32" s="31"/>
    </row>
    <row r="33" spans="1:7" ht="15.75" customHeight="1" x14ac:dyDescent="0.25">
      <c r="A33" s="26" t="s">
        <v>229</v>
      </c>
      <c r="B33" s="27"/>
      <c r="C33" s="27"/>
      <c r="D33" s="27"/>
      <c r="E33" s="27"/>
      <c r="F33" s="27"/>
      <c r="G33" s="28"/>
    </row>
    <row r="34" spans="1:7" ht="15.75" customHeight="1" x14ac:dyDescent="0.25">
      <c r="A34" s="29" t="s">
        <v>230</v>
      </c>
      <c r="B34" s="30"/>
      <c r="C34" s="30"/>
      <c r="D34" s="30"/>
      <c r="E34" s="30"/>
      <c r="F34" s="30"/>
      <c r="G34" s="31"/>
    </row>
    <row r="35" spans="1:7" ht="15.75" customHeight="1" x14ac:dyDescent="0.25">
      <c r="A35" s="26" t="s">
        <v>231</v>
      </c>
      <c r="B35" s="27"/>
      <c r="C35" s="27"/>
      <c r="D35" s="27"/>
      <c r="E35" s="27"/>
      <c r="F35" s="27"/>
      <c r="G35" s="28"/>
    </row>
    <row r="36" spans="1:7" ht="15.75" customHeight="1" x14ac:dyDescent="0.25">
      <c r="A36" s="32" t="s">
        <v>232</v>
      </c>
      <c r="B36" s="33"/>
      <c r="C36" s="33"/>
      <c r="D36" s="33"/>
      <c r="E36" s="33"/>
      <c r="F36" s="33"/>
      <c r="G36" s="34"/>
    </row>
    <row r="37" spans="1:7" ht="15.75" customHeight="1" x14ac:dyDescent="0.25">
      <c r="A37" s="19" t="s">
        <v>234</v>
      </c>
      <c r="B37" s="20"/>
      <c r="C37" s="20"/>
      <c r="D37" s="20"/>
      <c r="E37" s="20"/>
      <c r="F37" s="20"/>
      <c r="G37" s="21"/>
    </row>
    <row r="38" spans="1:7" ht="15.75" customHeight="1" x14ac:dyDescent="0.25">
      <c r="A38" s="14" t="s">
        <v>237</v>
      </c>
      <c r="B38" s="24" t="s">
        <v>235</v>
      </c>
      <c r="C38" s="24"/>
      <c r="D38" s="24"/>
      <c r="E38" s="24"/>
      <c r="F38" s="24"/>
      <c r="G38" s="25"/>
    </row>
    <row r="39" spans="1:7" ht="15.75" customHeight="1" x14ac:dyDescent="0.25">
      <c r="A39" s="15" t="s">
        <v>238</v>
      </c>
      <c r="B39" s="22" t="s">
        <v>236</v>
      </c>
      <c r="C39" s="22"/>
      <c r="D39" s="22"/>
      <c r="E39" s="22"/>
      <c r="F39" s="22"/>
      <c r="G39" s="23"/>
    </row>
  </sheetData>
  <mergeCells count="12">
    <mergeCell ref="A1:G1"/>
    <mergeCell ref="A2:G29"/>
    <mergeCell ref="A30:G30"/>
    <mergeCell ref="A31:G31"/>
    <mergeCell ref="A32:G32"/>
    <mergeCell ref="A37:G37"/>
    <mergeCell ref="B39:G39"/>
    <mergeCell ref="B38:G38"/>
    <mergeCell ref="A33:G33"/>
    <mergeCell ref="A34:G34"/>
    <mergeCell ref="A35:G35"/>
    <mergeCell ref="A36:G36"/>
  </mergeCells>
  <hyperlinks>
    <hyperlink ref="A33" r:id="rId1" xr:uid="{9754199A-AB85-4256-94C6-749DC1492101}"/>
    <hyperlink ref="A31" r:id="rId2" xr:uid="{730FA8BE-501E-4973-A8E5-51670FFECFD7}"/>
    <hyperlink ref="A35" r:id="rId3" xr:uid="{D14E6BF1-9418-4938-823C-AA62FB1F221D}"/>
    <hyperlink ref="A36" r:id="rId4" xr:uid="{AF49C3D1-3522-42C8-86F6-ACD981A76A6D}"/>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246DC-1B81-421C-AC70-58B57B6294AA}">
  <sheetPr>
    <outlinePr summaryBelow="0" summaryRight="0"/>
  </sheetPr>
  <dimension ref="A1:I206"/>
  <sheetViews>
    <sheetView workbookViewId="0">
      <selection activeCell="M39" sqref="M39"/>
    </sheetView>
  </sheetViews>
  <sheetFormatPr defaultColWidth="12.6640625" defaultRowHeight="15.75" customHeight="1" x14ac:dyDescent="0.25"/>
  <cols>
    <col min="1" max="1" width="7.88671875" style="9" bestFit="1" customWidth="1"/>
    <col min="2" max="2" width="7.77734375" style="9" bestFit="1" customWidth="1"/>
    <col min="3" max="3" width="12.21875" style="9" bestFit="1" customWidth="1"/>
    <col min="4" max="16384" width="12.6640625" style="9"/>
  </cols>
  <sheetData>
    <row r="1" spans="1:9" ht="13.2" x14ac:dyDescent="0.25">
      <c r="A1" s="10" t="s">
        <v>1</v>
      </c>
      <c r="B1" s="10" t="s">
        <v>2</v>
      </c>
      <c r="C1" s="10" t="s">
        <v>3</v>
      </c>
      <c r="D1" s="10" t="s">
        <v>4</v>
      </c>
      <c r="E1" s="10" t="s">
        <v>5</v>
      </c>
      <c r="F1" s="10" t="s">
        <v>6</v>
      </c>
      <c r="G1" s="10" t="s">
        <v>7</v>
      </c>
      <c r="H1" s="10" t="s">
        <v>8</v>
      </c>
      <c r="I1" s="10" t="s">
        <v>9</v>
      </c>
    </row>
    <row r="2" spans="1:9" ht="13.2" x14ac:dyDescent="0.25">
      <c r="A2" s="11" t="s">
        <v>10</v>
      </c>
      <c r="B2" s="11" t="s">
        <v>11</v>
      </c>
      <c r="C2" s="9">
        <v>5045</v>
      </c>
      <c r="D2" s="11">
        <f t="shared" ref="D2:D65" si="0">ROUND(AVERAGE($C$2:$C$205),2)</f>
        <v>4498.18</v>
      </c>
      <c r="E2" s="11">
        <f t="shared" ref="E2:E65" si="1">ROUND(D2+(2.66*H2),2)</f>
        <v>5346.21</v>
      </c>
      <c r="F2" s="11">
        <f t="shared" ref="F2:F65" si="2">ROUND(D2-(2.66*H2),2)</f>
        <v>3650.15</v>
      </c>
      <c r="G2" s="11"/>
      <c r="H2" s="11">
        <f>ROUND(AVERAGE($G$3:$G$205),2)</f>
        <v>318.81</v>
      </c>
      <c r="I2" s="11">
        <f t="shared" ref="I2:I65" si="3">ROUND(3.268*H2,2)</f>
        <v>1041.8699999999999</v>
      </c>
    </row>
    <row r="3" spans="1:9" ht="13.2" x14ac:dyDescent="0.25">
      <c r="A3" s="11" t="s">
        <v>10</v>
      </c>
      <c r="B3" s="11" t="s">
        <v>12</v>
      </c>
      <c r="C3" s="9">
        <v>4350</v>
      </c>
      <c r="D3" s="11">
        <f t="shared" si="0"/>
        <v>4498.18</v>
      </c>
      <c r="E3" s="11">
        <f t="shared" si="1"/>
        <v>5346.21</v>
      </c>
      <c r="F3" s="11">
        <f t="shared" si="2"/>
        <v>3650.15</v>
      </c>
      <c r="G3" s="11">
        <f t="shared" ref="G3:G66" si="4">ABS(C2-C3)</f>
        <v>695</v>
      </c>
      <c r="H3" s="11">
        <f t="shared" ref="H3:H66" si="5">ROUND(AVERAGE($G$3:$G$205),2)</f>
        <v>318.81</v>
      </c>
      <c r="I3" s="11">
        <f t="shared" si="3"/>
        <v>1041.8699999999999</v>
      </c>
    </row>
    <row r="4" spans="1:9" ht="13.2" x14ac:dyDescent="0.25">
      <c r="A4" s="11" t="s">
        <v>10</v>
      </c>
      <c r="B4" s="11" t="s">
        <v>13</v>
      </c>
      <c r="C4" s="9">
        <v>4350</v>
      </c>
      <c r="D4" s="11">
        <f t="shared" si="0"/>
        <v>4498.18</v>
      </c>
      <c r="E4" s="11">
        <f t="shared" si="1"/>
        <v>5346.21</v>
      </c>
      <c r="F4" s="11">
        <f t="shared" si="2"/>
        <v>3650.15</v>
      </c>
      <c r="G4" s="11">
        <f t="shared" si="4"/>
        <v>0</v>
      </c>
      <c r="H4" s="11">
        <f t="shared" si="5"/>
        <v>318.81</v>
      </c>
      <c r="I4" s="11">
        <f t="shared" si="3"/>
        <v>1041.8699999999999</v>
      </c>
    </row>
    <row r="5" spans="1:9" ht="13.2" x14ac:dyDescent="0.25">
      <c r="A5" s="11" t="s">
        <v>10</v>
      </c>
      <c r="B5" s="11" t="s">
        <v>14</v>
      </c>
      <c r="C5" s="9">
        <v>3975</v>
      </c>
      <c r="D5" s="11">
        <f t="shared" si="0"/>
        <v>4498.18</v>
      </c>
      <c r="E5" s="11">
        <f t="shared" si="1"/>
        <v>5346.21</v>
      </c>
      <c r="F5" s="11">
        <f t="shared" si="2"/>
        <v>3650.15</v>
      </c>
      <c r="G5" s="11">
        <f t="shared" si="4"/>
        <v>375</v>
      </c>
      <c r="H5" s="11">
        <f t="shared" si="5"/>
        <v>318.81</v>
      </c>
      <c r="I5" s="11">
        <f t="shared" si="3"/>
        <v>1041.8699999999999</v>
      </c>
    </row>
    <row r="6" spans="1:9" ht="13.2" x14ac:dyDescent="0.25">
      <c r="A6" s="11" t="s">
        <v>10</v>
      </c>
      <c r="B6" s="11" t="s">
        <v>15</v>
      </c>
      <c r="C6" s="9">
        <v>4290</v>
      </c>
      <c r="D6" s="11">
        <f t="shared" si="0"/>
        <v>4498.18</v>
      </c>
      <c r="E6" s="11">
        <f t="shared" si="1"/>
        <v>5346.21</v>
      </c>
      <c r="F6" s="11">
        <f t="shared" si="2"/>
        <v>3650.15</v>
      </c>
      <c r="G6" s="11">
        <f t="shared" si="4"/>
        <v>315</v>
      </c>
      <c r="H6" s="11">
        <f t="shared" si="5"/>
        <v>318.81</v>
      </c>
      <c r="I6" s="11">
        <f t="shared" si="3"/>
        <v>1041.8699999999999</v>
      </c>
    </row>
    <row r="7" spans="1:9" ht="13.2" x14ac:dyDescent="0.25">
      <c r="A7" s="11" t="s">
        <v>10</v>
      </c>
      <c r="B7" s="11" t="s">
        <v>16</v>
      </c>
      <c r="C7" s="9">
        <v>4430</v>
      </c>
      <c r="D7" s="11">
        <f t="shared" si="0"/>
        <v>4498.18</v>
      </c>
      <c r="E7" s="11">
        <f t="shared" si="1"/>
        <v>5346.21</v>
      </c>
      <c r="F7" s="11">
        <f t="shared" si="2"/>
        <v>3650.15</v>
      </c>
      <c r="G7" s="11">
        <f t="shared" si="4"/>
        <v>140</v>
      </c>
      <c r="H7" s="11">
        <f t="shared" si="5"/>
        <v>318.81</v>
      </c>
      <c r="I7" s="11">
        <f t="shared" si="3"/>
        <v>1041.8699999999999</v>
      </c>
    </row>
    <row r="8" spans="1:9" ht="13.2" x14ac:dyDescent="0.25">
      <c r="A8" s="11" t="s">
        <v>10</v>
      </c>
      <c r="B8" s="11" t="s">
        <v>17</v>
      </c>
      <c r="C8" s="9">
        <v>4485</v>
      </c>
      <c r="D8" s="11">
        <f t="shared" si="0"/>
        <v>4498.18</v>
      </c>
      <c r="E8" s="11">
        <f t="shared" si="1"/>
        <v>5346.21</v>
      </c>
      <c r="F8" s="11">
        <f t="shared" si="2"/>
        <v>3650.15</v>
      </c>
      <c r="G8" s="11">
        <f t="shared" si="4"/>
        <v>55</v>
      </c>
      <c r="H8" s="11">
        <f t="shared" si="5"/>
        <v>318.81</v>
      </c>
      <c r="I8" s="11">
        <f t="shared" si="3"/>
        <v>1041.8699999999999</v>
      </c>
    </row>
    <row r="9" spans="1:9" ht="13.2" x14ac:dyDescent="0.25">
      <c r="A9" s="11" t="s">
        <v>10</v>
      </c>
      <c r="B9" s="11" t="s">
        <v>18</v>
      </c>
      <c r="C9" s="9">
        <v>4285</v>
      </c>
      <c r="D9" s="11">
        <f t="shared" si="0"/>
        <v>4498.18</v>
      </c>
      <c r="E9" s="11">
        <f t="shared" si="1"/>
        <v>5346.21</v>
      </c>
      <c r="F9" s="11">
        <f t="shared" si="2"/>
        <v>3650.15</v>
      </c>
      <c r="G9" s="11">
        <f t="shared" si="4"/>
        <v>200</v>
      </c>
      <c r="H9" s="11">
        <f t="shared" si="5"/>
        <v>318.81</v>
      </c>
      <c r="I9" s="11">
        <f t="shared" si="3"/>
        <v>1041.8699999999999</v>
      </c>
    </row>
    <row r="10" spans="1:9" ht="13.2" x14ac:dyDescent="0.25">
      <c r="A10" s="11" t="s">
        <v>10</v>
      </c>
      <c r="B10" s="11" t="s">
        <v>19</v>
      </c>
      <c r="C10" s="9">
        <v>3980</v>
      </c>
      <c r="D10" s="11">
        <f t="shared" si="0"/>
        <v>4498.18</v>
      </c>
      <c r="E10" s="11">
        <f t="shared" si="1"/>
        <v>5346.21</v>
      </c>
      <c r="F10" s="11">
        <f t="shared" si="2"/>
        <v>3650.15</v>
      </c>
      <c r="G10" s="11">
        <f t="shared" si="4"/>
        <v>305</v>
      </c>
      <c r="H10" s="11">
        <f t="shared" si="5"/>
        <v>318.81</v>
      </c>
      <c r="I10" s="11">
        <f t="shared" si="3"/>
        <v>1041.8699999999999</v>
      </c>
    </row>
    <row r="11" spans="1:9" ht="13.2" x14ac:dyDescent="0.25">
      <c r="A11" s="11" t="s">
        <v>10</v>
      </c>
      <c r="B11" s="11" t="s">
        <v>20</v>
      </c>
      <c r="C11" s="9">
        <v>3925</v>
      </c>
      <c r="D11" s="11">
        <f t="shared" si="0"/>
        <v>4498.18</v>
      </c>
      <c r="E11" s="11">
        <f t="shared" si="1"/>
        <v>5346.21</v>
      </c>
      <c r="F11" s="11">
        <f t="shared" si="2"/>
        <v>3650.15</v>
      </c>
      <c r="G11" s="11">
        <f t="shared" si="4"/>
        <v>55</v>
      </c>
      <c r="H11" s="11">
        <f t="shared" si="5"/>
        <v>318.81</v>
      </c>
      <c r="I11" s="11">
        <f t="shared" si="3"/>
        <v>1041.8699999999999</v>
      </c>
    </row>
    <row r="12" spans="1:9" ht="13.2" x14ac:dyDescent="0.25">
      <c r="A12" s="11" t="s">
        <v>10</v>
      </c>
      <c r="B12" s="11" t="s">
        <v>21</v>
      </c>
      <c r="C12" s="9">
        <v>3645</v>
      </c>
      <c r="D12" s="11">
        <f t="shared" si="0"/>
        <v>4498.18</v>
      </c>
      <c r="E12" s="11">
        <f t="shared" si="1"/>
        <v>5346.21</v>
      </c>
      <c r="F12" s="11">
        <f t="shared" si="2"/>
        <v>3650.15</v>
      </c>
      <c r="G12" s="11">
        <f t="shared" si="4"/>
        <v>280</v>
      </c>
      <c r="H12" s="11">
        <f t="shared" si="5"/>
        <v>318.81</v>
      </c>
      <c r="I12" s="11">
        <f t="shared" si="3"/>
        <v>1041.8699999999999</v>
      </c>
    </row>
    <row r="13" spans="1:9" ht="13.2" x14ac:dyDescent="0.25">
      <c r="A13" s="11" t="s">
        <v>10</v>
      </c>
      <c r="B13" s="11" t="s">
        <v>22</v>
      </c>
      <c r="C13" s="9">
        <v>3760</v>
      </c>
      <c r="D13" s="11">
        <f t="shared" si="0"/>
        <v>4498.18</v>
      </c>
      <c r="E13" s="11">
        <f t="shared" si="1"/>
        <v>5346.21</v>
      </c>
      <c r="F13" s="11">
        <f t="shared" si="2"/>
        <v>3650.15</v>
      </c>
      <c r="G13" s="11">
        <f t="shared" si="4"/>
        <v>115</v>
      </c>
      <c r="H13" s="11">
        <f t="shared" si="5"/>
        <v>318.81</v>
      </c>
      <c r="I13" s="11">
        <f t="shared" si="3"/>
        <v>1041.8699999999999</v>
      </c>
    </row>
    <row r="14" spans="1:9" ht="13.2" x14ac:dyDescent="0.25">
      <c r="A14" s="11" t="s">
        <v>10</v>
      </c>
      <c r="B14" s="11" t="s">
        <v>23</v>
      </c>
      <c r="C14" s="9">
        <v>3300</v>
      </c>
      <c r="D14" s="11">
        <f t="shared" si="0"/>
        <v>4498.18</v>
      </c>
      <c r="E14" s="11">
        <f t="shared" si="1"/>
        <v>5346.21</v>
      </c>
      <c r="F14" s="11">
        <f t="shared" si="2"/>
        <v>3650.15</v>
      </c>
      <c r="G14" s="11">
        <f t="shared" si="4"/>
        <v>460</v>
      </c>
      <c r="H14" s="11">
        <f t="shared" si="5"/>
        <v>318.81</v>
      </c>
      <c r="I14" s="11">
        <f t="shared" si="3"/>
        <v>1041.8699999999999</v>
      </c>
    </row>
    <row r="15" spans="1:9" ht="13.2" x14ac:dyDescent="0.25">
      <c r="A15" s="11" t="s">
        <v>10</v>
      </c>
      <c r="B15" s="11" t="s">
        <v>24</v>
      </c>
      <c r="C15" s="9">
        <v>3685</v>
      </c>
      <c r="D15" s="11">
        <f t="shared" si="0"/>
        <v>4498.18</v>
      </c>
      <c r="E15" s="11">
        <f t="shared" si="1"/>
        <v>5346.21</v>
      </c>
      <c r="F15" s="11">
        <f t="shared" si="2"/>
        <v>3650.15</v>
      </c>
      <c r="G15" s="11">
        <f t="shared" si="4"/>
        <v>385</v>
      </c>
      <c r="H15" s="11">
        <f t="shared" si="5"/>
        <v>318.81</v>
      </c>
      <c r="I15" s="11">
        <f t="shared" si="3"/>
        <v>1041.8699999999999</v>
      </c>
    </row>
    <row r="16" spans="1:9" ht="13.2" x14ac:dyDescent="0.25">
      <c r="A16" s="11" t="s">
        <v>10</v>
      </c>
      <c r="B16" s="11" t="s">
        <v>25</v>
      </c>
      <c r="C16" s="9">
        <v>3463</v>
      </c>
      <c r="D16" s="11">
        <f t="shared" si="0"/>
        <v>4498.18</v>
      </c>
      <c r="E16" s="11">
        <f t="shared" si="1"/>
        <v>5346.21</v>
      </c>
      <c r="F16" s="11">
        <f t="shared" si="2"/>
        <v>3650.15</v>
      </c>
      <c r="G16" s="11">
        <f t="shared" si="4"/>
        <v>222</v>
      </c>
      <c r="H16" s="11">
        <f t="shared" si="5"/>
        <v>318.81</v>
      </c>
      <c r="I16" s="11">
        <f t="shared" si="3"/>
        <v>1041.8699999999999</v>
      </c>
    </row>
    <row r="17" spans="1:9" ht="13.2" x14ac:dyDescent="0.25">
      <c r="A17" s="11" t="s">
        <v>10</v>
      </c>
      <c r="B17" s="11" t="s">
        <v>26</v>
      </c>
      <c r="C17" s="9">
        <v>5200</v>
      </c>
      <c r="D17" s="11">
        <f t="shared" si="0"/>
        <v>4498.18</v>
      </c>
      <c r="E17" s="11">
        <f t="shared" si="1"/>
        <v>5346.21</v>
      </c>
      <c r="F17" s="11">
        <f t="shared" si="2"/>
        <v>3650.15</v>
      </c>
      <c r="G17" s="11">
        <f t="shared" si="4"/>
        <v>1737</v>
      </c>
      <c r="H17" s="11">
        <f t="shared" si="5"/>
        <v>318.81</v>
      </c>
      <c r="I17" s="11">
        <f t="shared" si="3"/>
        <v>1041.8699999999999</v>
      </c>
    </row>
    <row r="18" spans="1:9" ht="13.2" x14ac:dyDescent="0.25">
      <c r="A18" s="11" t="s">
        <v>10</v>
      </c>
      <c r="B18" s="11" t="s">
        <v>27</v>
      </c>
      <c r="C18" s="9">
        <v>5100</v>
      </c>
      <c r="D18" s="11">
        <f t="shared" si="0"/>
        <v>4498.18</v>
      </c>
      <c r="E18" s="11">
        <f t="shared" si="1"/>
        <v>5346.21</v>
      </c>
      <c r="F18" s="11">
        <f t="shared" si="2"/>
        <v>3650.15</v>
      </c>
      <c r="G18" s="11">
        <f t="shared" si="4"/>
        <v>100</v>
      </c>
      <c r="H18" s="11">
        <f t="shared" si="5"/>
        <v>318.81</v>
      </c>
      <c r="I18" s="11">
        <f t="shared" si="3"/>
        <v>1041.8699999999999</v>
      </c>
    </row>
    <row r="19" spans="1:9" ht="13.2" x14ac:dyDescent="0.25">
      <c r="A19" s="11" t="s">
        <v>10</v>
      </c>
      <c r="B19" s="11" t="s">
        <v>28</v>
      </c>
      <c r="C19" s="9">
        <v>4635</v>
      </c>
      <c r="D19" s="11">
        <f t="shared" si="0"/>
        <v>4498.18</v>
      </c>
      <c r="E19" s="11">
        <f t="shared" si="1"/>
        <v>5346.21</v>
      </c>
      <c r="F19" s="11">
        <f t="shared" si="2"/>
        <v>3650.15</v>
      </c>
      <c r="G19" s="11">
        <f t="shared" si="4"/>
        <v>465</v>
      </c>
      <c r="H19" s="11">
        <f t="shared" si="5"/>
        <v>318.81</v>
      </c>
      <c r="I19" s="11">
        <f t="shared" si="3"/>
        <v>1041.8699999999999</v>
      </c>
    </row>
    <row r="20" spans="1:9" ht="13.2" x14ac:dyDescent="0.25">
      <c r="A20" s="11" t="s">
        <v>10</v>
      </c>
      <c r="B20" s="11" t="s">
        <v>29</v>
      </c>
      <c r="C20" s="9">
        <v>5100</v>
      </c>
      <c r="D20" s="11">
        <f t="shared" si="0"/>
        <v>4498.18</v>
      </c>
      <c r="E20" s="11">
        <f t="shared" si="1"/>
        <v>5346.21</v>
      </c>
      <c r="F20" s="11">
        <f t="shared" si="2"/>
        <v>3650.15</v>
      </c>
      <c r="G20" s="11">
        <f t="shared" si="4"/>
        <v>465</v>
      </c>
      <c r="H20" s="11">
        <f t="shared" si="5"/>
        <v>318.81</v>
      </c>
      <c r="I20" s="11">
        <f t="shared" si="3"/>
        <v>1041.8699999999999</v>
      </c>
    </row>
    <row r="21" spans="1:9" ht="13.2" x14ac:dyDescent="0.25">
      <c r="A21" s="11" t="s">
        <v>10</v>
      </c>
      <c r="B21" s="11" t="s">
        <v>30</v>
      </c>
      <c r="C21" s="9">
        <v>5450</v>
      </c>
      <c r="D21" s="11">
        <f t="shared" si="0"/>
        <v>4498.18</v>
      </c>
      <c r="E21" s="11">
        <f t="shared" si="1"/>
        <v>5346.21</v>
      </c>
      <c r="F21" s="11">
        <f t="shared" si="2"/>
        <v>3650.15</v>
      </c>
      <c r="G21" s="11">
        <f t="shared" si="4"/>
        <v>350</v>
      </c>
      <c r="H21" s="11">
        <f t="shared" si="5"/>
        <v>318.81</v>
      </c>
      <c r="I21" s="11">
        <f t="shared" si="3"/>
        <v>1041.8699999999999</v>
      </c>
    </row>
    <row r="22" spans="1:9" ht="13.2" x14ac:dyDescent="0.25">
      <c r="A22" s="11" t="s">
        <v>10</v>
      </c>
      <c r="B22" s="11" t="s">
        <v>31</v>
      </c>
      <c r="C22" s="9">
        <v>4635</v>
      </c>
      <c r="D22" s="11">
        <f t="shared" si="0"/>
        <v>4498.18</v>
      </c>
      <c r="E22" s="11">
        <f t="shared" si="1"/>
        <v>5346.21</v>
      </c>
      <c r="F22" s="11">
        <f t="shared" si="2"/>
        <v>3650.15</v>
      </c>
      <c r="G22" s="11">
        <f t="shared" si="4"/>
        <v>815</v>
      </c>
      <c r="H22" s="11">
        <f t="shared" si="5"/>
        <v>318.81</v>
      </c>
      <c r="I22" s="11">
        <f t="shared" si="3"/>
        <v>1041.8699999999999</v>
      </c>
    </row>
    <row r="23" spans="1:9" ht="13.2" x14ac:dyDescent="0.25">
      <c r="A23" s="11" t="s">
        <v>10</v>
      </c>
      <c r="B23" s="11" t="s">
        <v>32</v>
      </c>
      <c r="C23" s="9">
        <v>4720</v>
      </c>
      <c r="D23" s="11">
        <f t="shared" si="0"/>
        <v>4498.18</v>
      </c>
      <c r="E23" s="11">
        <f t="shared" si="1"/>
        <v>5346.21</v>
      </c>
      <c r="F23" s="11">
        <f t="shared" si="2"/>
        <v>3650.15</v>
      </c>
      <c r="G23" s="11">
        <f t="shared" si="4"/>
        <v>85</v>
      </c>
      <c r="H23" s="11">
        <f t="shared" si="5"/>
        <v>318.81</v>
      </c>
      <c r="I23" s="11">
        <f t="shared" si="3"/>
        <v>1041.8699999999999</v>
      </c>
    </row>
    <row r="24" spans="1:9" ht="13.2" x14ac:dyDescent="0.25">
      <c r="A24" s="11" t="s">
        <v>10</v>
      </c>
      <c r="B24" s="11" t="s">
        <v>33</v>
      </c>
      <c r="C24" s="9">
        <v>4810</v>
      </c>
      <c r="D24" s="11">
        <f t="shared" si="0"/>
        <v>4498.18</v>
      </c>
      <c r="E24" s="11">
        <f t="shared" si="1"/>
        <v>5346.21</v>
      </c>
      <c r="F24" s="11">
        <f t="shared" si="2"/>
        <v>3650.15</v>
      </c>
      <c r="G24" s="11">
        <f t="shared" si="4"/>
        <v>90</v>
      </c>
      <c r="H24" s="11">
        <f t="shared" si="5"/>
        <v>318.81</v>
      </c>
      <c r="I24" s="11">
        <f t="shared" si="3"/>
        <v>1041.8699999999999</v>
      </c>
    </row>
    <row r="25" spans="1:9" ht="13.2" x14ac:dyDescent="0.25">
      <c r="A25" s="11" t="s">
        <v>10</v>
      </c>
      <c r="B25" s="11" t="s">
        <v>34</v>
      </c>
      <c r="C25" s="9">
        <v>4565</v>
      </c>
      <c r="D25" s="11">
        <f t="shared" si="0"/>
        <v>4498.18</v>
      </c>
      <c r="E25" s="11">
        <f t="shared" si="1"/>
        <v>5346.21</v>
      </c>
      <c r="F25" s="11">
        <f t="shared" si="2"/>
        <v>3650.15</v>
      </c>
      <c r="G25" s="11">
        <f t="shared" si="4"/>
        <v>245</v>
      </c>
      <c r="H25" s="11">
        <f t="shared" si="5"/>
        <v>318.81</v>
      </c>
      <c r="I25" s="11">
        <f t="shared" si="3"/>
        <v>1041.8699999999999</v>
      </c>
    </row>
    <row r="26" spans="1:9" ht="13.2" x14ac:dyDescent="0.25">
      <c r="A26" s="11" t="s">
        <v>10</v>
      </c>
      <c r="B26" s="11" t="s">
        <v>35</v>
      </c>
      <c r="C26" s="9">
        <v>4410</v>
      </c>
      <c r="D26" s="11">
        <f t="shared" si="0"/>
        <v>4498.18</v>
      </c>
      <c r="E26" s="11">
        <f t="shared" si="1"/>
        <v>5346.21</v>
      </c>
      <c r="F26" s="11">
        <f t="shared" si="2"/>
        <v>3650.15</v>
      </c>
      <c r="G26" s="11">
        <f t="shared" si="4"/>
        <v>155</v>
      </c>
      <c r="H26" s="11">
        <f t="shared" si="5"/>
        <v>318.81</v>
      </c>
      <c r="I26" s="11">
        <f t="shared" si="3"/>
        <v>1041.8699999999999</v>
      </c>
    </row>
    <row r="27" spans="1:9" ht="13.2" x14ac:dyDescent="0.25">
      <c r="A27" s="11" t="s">
        <v>10</v>
      </c>
      <c r="B27" s="11" t="s">
        <v>36</v>
      </c>
      <c r="C27" s="9">
        <v>4065</v>
      </c>
      <c r="D27" s="11">
        <f t="shared" si="0"/>
        <v>4498.18</v>
      </c>
      <c r="E27" s="11">
        <f t="shared" si="1"/>
        <v>5346.21</v>
      </c>
      <c r="F27" s="11">
        <f t="shared" si="2"/>
        <v>3650.15</v>
      </c>
      <c r="G27" s="11">
        <f t="shared" si="4"/>
        <v>345</v>
      </c>
      <c r="H27" s="11">
        <f t="shared" si="5"/>
        <v>318.81</v>
      </c>
      <c r="I27" s="11">
        <f t="shared" si="3"/>
        <v>1041.8699999999999</v>
      </c>
    </row>
    <row r="28" spans="1:9" ht="13.2" x14ac:dyDescent="0.25">
      <c r="A28" s="11" t="s">
        <v>10</v>
      </c>
      <c r="B28" s="11" t="s">
        <v>37</v>
      </c>
      <c r="C28" s="9">
        <v>4565</v>
      </c>
      <c r="D28" s="11">
        <f t="shared" si="0"/>
        <v>4498.18</v>
      </c>
      <c r="E28" s="11">
        <f t="shared" si="1"/>
        <v>5346.21</v>
      </c>
      <c r="F28" s="11">
        <f t="shared" si="2"/>
        <v>3650.15</v>
      </c>
      <c r="G28" s="11">
        <f t="shared" si="4"/>
        <v>500</v>
      </c>
      <c r="H28" s="11">
        <f t="shared" si="5"/>
        <v>318.81</v>
      </c>
      <c r="I28" s="11">
        <f t="shared" si="3"/>
        <v>1041.8699999999999</v>
      </c>
    </row>
    <row r="29" spans="1:9" ht="13.2" x14ac:dyDescent="0.25">
      <c r="A29" s="11" t="s">
        <v>10</v>
      </c>
      <c r="B29" s="11" t="s">
        <v>38</v>
      </c>
      <c r="C29" s="9">
        <v>5190</v>
      </c>
      <c r="D29" s="11">
        <f t="shared" si="0"/>
        <v>4498.18</v>
      </c>
      <c r="E29" s="11">
        <f t="shared" si="1"/>
        <v>5346.21</v>
      </c>
      <c r="F29" s="11">
        <f t="shared" si="2"/>
        <v>3650.15</v>
      </c>
      <c r="G29" s="11">
        <f t="shared" si="4"/>
        <v>625</v>
      </c>
      <c r="H29" s="11">
        <f t="shared" si="5"/>
        <v>318.81</v>
      </c>
      <c r="I29" s="11">
        <f t="shared" si="3"/>
        <v>1041.8699999999999</v>
      </c>
    </row>
    <row r="30" spans="1:9" ht="13.2" x14ac:dyDescent="0.25">
      <c r="A30" s="11" t="s">
        <v>10</v>
      </c>
      <c r="B30" s="11" t="s">
        <v>39</v>
      </c>
      <c r="C30" s="9">
        <v>4725</v>
      </c>
      <c r="D30" s="11">
        <f t="shared" si="0"/>
        <v>4498.18</v>
      </c>
      <c r="E30" s="11">
        <f t="shared" si="1"/>
        <v>5346.21</v>
      </c>
      <c r="F30" s="11">
        <f t="shared" si="2"/>
        <v>3650.15</v>
      </c>
      <c r="G30" s="11">
        <f t="shared" si="4"/>
        <v>465</v>
      </c>
      <c r="H30" s="11">
        <f t="shared" si="5"/>
        <v>318.81</v>
      </c>
      <c r="I30" s="11">
        <f t="shared" si="3"/>
        <v>1041.8699999999999</v>
      </c>
    </row>
    <row r="31" spans="1:9" ht="13.2" x14ac:dyDescent="0.25">
      <c r="A31" s="11" t="s">
        <v>10</v>
      </c>
      <c r="B31" s="11" t="s">
        <v>40</v>
      </c>
      <c r="C31" s="9">
        <v>4640</v>
      </c>
      <c r="D31" s="11">
        <f t="shared" si="0"/>
        <v>4498.18</v>
      </c>
      <c r="E31" s="11">
        <f t="shared" si="1"/>
        <v>5346.21</v>
      </c>
      <c r="F31" s="11">
        <f t="shared" si="2"/>
        <v>3650.15</v>
      </c>
      <c r="G31" s="11">
        <f t="shared" si="4"/>
        <v>85</v>
      </c>
      <c r="H31" s="11">
        <f t="shared" si="5"/>
        <v>318.81</v>
      </c>
      <c r="I31" s="11">
        <f t="shared" si="3"/>
        <v>1041.8699999999999</v>
      </c>
    </row>
    <row r="32" spans="1:9" ht="13.2" x14ac:dyDescent="0.25">
      <c r="A32" s="11" t="s">
        <v>10</v>
      </c>
      <c r="B32" s="11" t="s">
        <v>41</v>
      </c>
      <c r="C32" s="9">
        <v>4640</v>
      </c>
      <c r="D32" s="11">
        <f t="shared" si="0"/>
        <v>4498.18</v>
      </c>
      <c r="E32" s="11">
        <f t="shared" si="1"/>
        <v>5346.21</v>
      </c>
      <c r="F32" s="11">
        <f t="shared" si="2"/>
        <v>3650.15</v>
      </c>
      <c r="G32" s="11">
        <f t="shared" si="4"/>
        <v>0</v>
      </c>
      <c r="H32" s="11">
        <f t="shared" si="5"/>
        <v>318.81</v>
      </c>
      <c r="I32" s="11">
        <f t="shared" si="3"/>
        <v>1041.8699999999999</v>
      </c>
    </row>
    <row r="33" spans="1:9" ht="13.2" x14ac:dyDescent="0.25">
      <c r="A33" s="11" t="s">
        <v>10</v>
      </c>
      <c r="B33" s="11" t="s">
        <v>42</v>
      </c>
      <c r="C33" s="9">
        <v>4895</v>
      </c>
      <c r="D33" s="11">
        <f t="shared" si="0"/>
        <v>4498.18</v>
      </c>
      <c r="E33" s="11">
        <f t="shared" si="1"/>
        <v>5346.21</v>
      </c>
      <c r="F33" s="11">
        <f t="shared" si="2"/>
        <v>3650.15</v>
      </c>
      <c r="G33" s="11">
        <f t="shared" si="4"/>
        <v>255</v>
      </c>
      <c r="H33" s="11">
        <f t="shared" si="5"/>
        <v>318.81</v>
      </c>
      <c r="I33" s="11">
        <f t="shared" si="3"/>
        <v>1041.8699999999999</v>
      </c>
    </row>
    <row r="34" spans="1:9" ht="13.2" x14ac:dyDescent="0.25">
      <c r="A34" s="11" t="s">
        <v>10</v>
      </c>
      <c r="B34" s="11" t="s">
        <v>43</v>
      </c>
      <c r="C34" s="9">
        <v>4790</v>
      </c>
      <c r="D34" s="11">
        <f t="shared" si="0"/>
        <v>4498.18</v>
      </c>
      <c r="E34" s="11">
        <f t="shared" si="1"/>
        <v>5346.21</v>
      </c>
      <c r="F34" s="11">
        <f t="shared" si="2"/>
        <v>3650.15</v>
      </c>
      <c r="G34" s="11">
        <f t="shared" si="4"/>
        <v>105</v>
      </c>
      <c r="H34" s="11">
        <f t="shared" si="5"/>
        <v>318.81</v>
      </c>
      <c r="I34" s="11">
        <f t="shared" si="3"/>
        <v>1041.8699999999999</v>
      </c>
    </row>
    <row r="35" spans="1:9" ht="13.2" x14ac:dyDescent="0.25">
      <c r="A35" s="11" t="s">
        <v>10</v>
      </c>
      <c r="B35" s="11" t="s">
        <v>44</v>
      </c>
      <c r="C35" s="9">
        <v>4845</v>
      </c>
      <c r="D35" s="11">
        <f t="shared" si="0"/>
        <v>4498.18</v>
      </c>
      <c r="E35" s="11">
        <f t="shared" si="1"/>
        <v>5346.21</v>
      </c>
      <c r="F35" s="11">
        <f t="shared" si="2"/>
        <v>3650.15</v>
      </c>
      <c r="G35" s="11">
        <f t="shared" si="4"/>
        <v>55</v>
      </c>
      <c r="H35" s="11">
        <f t="shared" si="5"/>
        <v>318.81</v>
      </c>
      <c r="I35" s="11">
        <f t="shared" si="3"/>
        <v>1041.8699999999999</v>
      </c>
    </row>
    <row r="36" spans="1:9" ht="13.2" x14ac:dyDescent="0.25">
      <c r="A36" s="11" t="s">
        <v>10</v>
      </c>
      <c r="B36" s="11" t="s">
        <v>45</v>
      </c>
      <c r="C36" s="9">
        <v>4700</v>
      </c>
      <c r="D36" s="11">
        <f t="shared" si="0"/>
        <v>4498.18</v>
      </c>
      <c r="E36" s="11">
        <f t="shared" si="1"/>
        <v>5346.21</v>
      </c>
      <c r="F36" s="11">
        <f t="shared" si="2"/>
        <v>3650.15</v>
      </c>
      <c r="G36" s="11">
        <f t="shared" si="4"/>
        <v>145</v>
      </c>
      <c r="H36" s="11">
        <f t="shared" si="5"/>
        <v>318.81</v>
      </c>
      <c r="I36" s="11">
        <f t="shared" si="3"/>
        <v>1041.8699999999999</v>
      </c>
    </row>
    <row r="37" spans="1:9" ht="13.2" x14ac:dyDescent="0.25">
      <c r="A37" s="11" t="s">
        <v>10</v>
      </c>
      <c r="B37" s="11" t="s">
        <v>46</v>
      </c>
      <c r="C37" s="9">
        <v>4600</v>
      </c>
      <c r="D37" s="11">
        <f t="shared" si="0"/>
        <v>4498.18</v>
      </c>
      <c r="E37" s="11">
        <f t="shared" si="1"/>
        <v>5346.21</v>
      </c>
      <c r="F37" s="11">
        <f t="shared" si="2"/>
        <v>3650.15</v>
      </c>
      <c r="G37" s="11">
        <f t="shared" si="4"/>
        <v>100</v>
      </c>
      <c r="H37" s="11">
        <f t="shared" si="5"/>
        <v>318.81</v>
      </c>
      <c r="I37" s="11">
        <f t="shared" si="3"/>
        <v>1041.8699999999999</v>
      </c>
    </row>
    <row r="38" spans="1:9" ht="13.2" x14ac:dyDescent="0.25">
      <c r="A38" s="11" t="s">
        <v>10</v>
      </c>
      <c r="B38" s="11" t="s">
        <v>47</v>
      </c>
      <c r="C38" s="9">
        <v>4110</v>
      </c>
      <c r="D38" s="11">
        <f t="shared" si="0"/>
        <v>4498.18</v>
      </c>
      <c r="E38" s="11">
        <f t="shared" si="1"/>
        <v>5346.21</v>
      </c>
      <c r="F38" s="11">
        <f t="shared" si="2"/>
        <v>3650.15</v>
      </c>
      <c r="G38" s="11">
        <f t="shared" si="4"/>
        <v>490</v>
      </c>
      <c r="H38" s="11">
        <f t="shared" si="5"/>
        <v>318.81</v>
      </c>
      <c r="I38" s="11">
        <f t="shared" si="3"/>
        <v>1041.8699999999999</v>
      </c>
    </row>
    <row r="39" spans="1:9" ht="13.2" x14ac:dyDescent="0.25">
      <c r="A39" s="11" t="s">
        <v>10</v>
      </c>
      <c r="B39" s="11" t="s">
        <v>48</v>
      </c>
      <c r="C39" s="9">
        <v>4410</v>
      </c>
      <c r="D39" s="11">
        <f t="shared" si="0"/>
        <v>4498.18</v>
      </c>
      <c r="E39" s="11">
        <f t="shared" si="1"/>
        <v>5346.21</v>
      </c>
      <c r="F39" s="11">
        <f t="shared" si="2"/>
        <v>3650.15</v>
      </c>
      <c r="G39" s="11">
        <f t="shared" si="4"/>
        <v>300</v>
      </c>
      <c r="H39" s="11">
        <f t="shared" si="5"/>
        <v>318.81</v>
      </c>
      <c r="I39" s="11">
        <f t="shared" si="3"/>
        <v>1041.8699999999999</v>
      </c>
    </row>
    <row r="40" spans="1:9" ht="13.2" x14ac:dyDescent="0.25">
      <c r="A40" s="11" t="s">
        <v>10</v>
      </c>
      <c r="B40" s="11" t="s">
        <v>49</v>
      </c>
      <c r="C40" s="9">
        <v>4180</v>
      </c>
      <c r="D40" s="11">
        <f t="shared" si="0"/>
        <v>4498.18</v>
      </c>
      <c r="E40" s="11">
        <f t="shared" si="1"/>
        <v>5346.21</v>
      </c>
      <c r="F40" s="11">
        <f t="shared" si="2"/>
        <v>3650.15</v>
      </c>
      <c r="G40" s="11">
        <f t="shared" si="4"/>
        <v>230</v>
      </c>
      <c r="H40" s="11">
        <f t="shared" si="5"/>
        <v>318.81</v>
      </c>
      <c r="I40" s="11">
        <f t="shared" si="3"/>
        <v>1041.8699999999999</v>
      </c>
    </row>
    <row r="41" spans="1:9" ht="13.2" x14ac:dyDescent="0.25">
      <c r="A41" s="11" t="s">
        <v>10</v>
      </c>
      <c r="B41" s="11" t="s">
        <v>50</v>
      </c>
      <c r="C41" s="9">
        <v>4790</v>
      </c>
      <c r="D41" s="11">
        <f t="shared" si="0"/>
        <v>4498.18</v>
      </c>
      <c r="E41" s="11">
        <f t="shared" si="1"/>
        <v>5346.21</v>
      </c>
      <c r="F41" s="11">
        <f t="shared" si="2"/>
        <v>3650.15</v>
      </c>
      <c r="G41" s="11">
        <f t="shared" si="4"/>
        <v>610</v>
      </c>
      <c r="H41" s="11">
        <f t="shared" si="5"/>
        <v>318.81</v>
      </c>
      <c r="I41" s="11">
        <f t="shared" si="3"/>
        <v>1041.8699999999999</v>
      </c>
    </row>
    <row r="42" spans="1:9" ht="13.2" x14ac:dyDescent="0.25">
      <c r="A42" s="11" t="s">
        <v>10</v>
      </c>
      <c r="B42" s="11" t="s">
        <v>51</v>
      </c>
      <c r="C42" s="9">
        <v>4790</v>
      </c>
      <c r="D42" s="11">
        <f t="shared" si="0"/>
        <v>4498.18</v>
      </c>
      <c r="E42" s="11">
        <f t="shared" si="1"/>
        <v>5346.21</v>
      </c>
      <c r="F42" s="11">
        <f t="shared" si="2"/>
        <v>3650.15</v>
      </c>
      <c r="G42" s="11">
        <f t="shared" si="4"/>
        <v>0</v>
      </c>
      <c r="H42" s="11">
        <f t="shared" si="5"/>
        <v>318.81</v>
      </c>
      <c r="I42" s="11">
        <f t="shared" si="3"/>
        <v>1041.8699999999999</v>
      </c>
    </row>
    <row r="43" spans="1:9" ht="13.2" x14ac:dyDescent="0.25">
      <c r="A43" s="11" t="s">
        <v>10</v>
      </c>
      <c r="B43" s="11" t="s">
        <v>52</v>
      </c>
      <c r="C43" s="9">
        <v>4340</v>
      </c>
      <c r="D43" s="11">
        <f t="shared" si="0"/>
        <v>4498.18</v>
      </c>
      <c r="E43" s="11">
        <f t="shared" si="1"/>
        <v>5346.21</v>
      </c>
      <c r="F43" s="11">
        <f t="shared" si="2"/>
        <v>3650.15</v>
      </c>
      <c r="G43" s="11">
        <f t="shared" si="4"/>
        <v>450</v>
      </c>
      <c r="H43" s="11">
        <f t="shared" si="5"/>
        <v>318.81</v>
      </c>
      <c r="I43" s="11">
        <f t="shared" si="3"/>
        <v>1041.8699999999999</v>
      </c>
    </row>
    <row r="44" spans="1:9" ht="13.2" x14ac:dyDescent="0.25">
      <c r="A44" s="11" t="s">
        <v>10</v>
      </c>
      <c r="B44" s="11" t="s">
        <v>53</v>
      </c>
      <c r="C44" s="9">
        <v>4895</v>
      </c>
      <c r="D44" s="11">
        <f t="shared" si="0"/>
        <v>4498.18</v>
      </c>
      <c r="E44" s="11">
        <f t="shared" si="1"/>
        <v>5346.21</v>
      </c>
      <c r="F44" s="11">
        <f t="shared" si="2"/>
        <v>3650.15</v>
      </c>
      <c r="G44" s="11">
        <f t="shared" si="4"/>
        <v>555</v>
      </c>
      <c r="H44" s="11">
        <f t="shared" si="5"/>
        <v>318.81</v>
      </c>
      <c r="I44" s="11">
        <f t="shared" si="3"/>
        <v>1041.8699999999999</v>
      </c>
    </row>
    <row r="45" spans="1:9" ht="13.2" x14ac:dyDescent="0.25">
      <c r="A45" s="11" t="s">
        <v>10</v>
      </c>
      <c r="B45" s="11" t="s">
        <v>54</v>
      </c>
      <c r="C45" s="9">
        <v>5750</v>
      </c>
      <c r="D45" s="11">
        <f t="shared" si="0"/>
        <v>4498.18</v>
      </c>
      <c r="E45" s="11">
        <f t="shared" si="1"/>
        <v>5346.21</v>
      </c>
      <c r="F45" s="11">
        <f t="shared" si="2"/>
        <v>3650.15</v>
      </c>
      <c r="G45" s="11">
        <f t="shared" si="4"/>
        <v>855</v>
      </c>
      <c r="H45" s="11">
        <f t="shared" si="5"/>
        <v>318.81</v>
      </c>
      <c r="I45" s="11">
        <f t="shared" si="3"/>
        <v>1041.8699999999999</v>
      </c>
    </row>
    <row r="46" spans="1:9" ht="13.2" x14ac:dyDescent="0.25">
      <c r="A46" s="11" t="s">
        <v>10</v>
      </c>
      <c r="B46" s="11" t="s">
        <v>55</v>
      </c>
      <c r="C46" s="9">
        <v>4740</v>
      </c>
      <c r="D46" s="11">
        <f t="shared" si="0"/>
        <v>4498.18</v>
      </c>
      <c r="E46" s="11">
        <f t="shared" si="1"/>
        <v>5346.21</v>
      </c>
      <c r="F46" s="11">
        <f t="shared" si="2"/>
        <v>3650.15</v>
      </c>
      <c r="G46" s="11">
        <f t="shared" si="4"/>
        <v>1010</v>
      </c>
      <c r="H46" s="11">
        <f t="shared" si="5"/>
        <v>318.81</v>
      </c>
      <c r="I46" s="11">
        <f t="shared" si="3"/>
        <v>1041.8699999999999</v>
      </c>
    </row>
    <row r="47" spans="1:9" ht="13.2" x14ac:dyDescent="0.25">
      <c r="A47" s="11" t="s">
        <v>10</v>
      </c>
      <c r="B47" s="11" t="s">
        <v>56</v>
      </c>
      <c r="C47" s="9">
        <v>5000</v>
      </c>
      <c r="D47" s="11">
        <f t="shared" si="0"/>
        <v>4498.18</v>
      </c>
      <c r="E47" s="11">
        <f t="shared" si="1"/>
        <v>5346.21</v>
      </c>
      <c r="F47" s="11">
        <f t="shared" si="2"/>
        <v>3650.15</v>
      </c>
      <c r="G47" s="11">
        <f t="shared" si="4"/>
        <v>260</v>
      </c>
      <c r="H47" s="11">
        <f t="shared" si="5"/>
        <v>318.81</v>
      </c>
      <c r="I47" s="11">
        <f t="shared" si="3"/>
        <v>1041.8699999999999</v>
      </c>
    </row>
    <row r="48" spans="1:9" ht="13.2" x14ac:dyDescent="0.25">
      <c r="A48" s="11" t="s">
        <v>10</v>
      </c>
      <c r="B48" s="11" t="s">
        <v>57</v>
      </c>
      <c r="C48" s="9">
        <v>4895</v>
      </c>
      <c r="D48" s="11">
        <f t="shared" si="0"/>
        <v>4498.18</v>
      </c>
      <c r="E48" s="11">
        <f t="shared" si="1"/>
        <v>5346.21</v>
      </c>
      <c r="F48" s="11">
        <f t="shared" si="2"/>
        <v>3650.15</v>
      </c>
      <c r="G48" s="11">
        <f t="shared" si="4"/>
        <v>105</v>
      </c>
      <c r="H48" s="11">
        <f t="shared" si="5"/>
        <v>318.81</v>
      </c>
      <c r="I48" s="11">
        <f t="shared" si="3"/>
        <v>1041.8699999999999</v>
      </c>
    </row>
    <row r="49" spans="1:9" ht="13.2" x14ac:dyDescent="0.25">
      <c r="A49" s="11" t="s">
        <v>10</v>
      </c>
      <c r="B49" s="11" t="s">
        <v>58</v>
      </c>
      <c r="C49" s="9">
        <v>4255</v>
      </c>
      <c r="D49" s="11">
        <f t="shared" si="0"/>
        <v>4498.18</v>
      </c>
      <c r="E49" s="11">
        <f t="shared" si="1"/>
        <v>5346.21</v>
      </c>
      <c r="F49" s="11">
        <f t="shared" si="2"/>
        <v>3650.15</v>
      </c>
      <c r="G49" s="11">
        <f t="shared" si="4"/>
        <v>640</v>
      </c>
      <c r="H49" s="11">
        <f t="shared" si="5"/>
        <v>318.81</v>
      </c>
      <c r="I49" s="11">
        <f t="shared" si="3"/>
        <v>1041.8699999999999</v>
      </c>
    </row>
    <row r="50" spans="1:9" ht="13.2" x14ac:dyDescent="0.25">
      <c r="A50" s="11" t="s">
        <v>10</v>
      </c>
      <c r="B50" s="11" t="s">
        <v>59</v>
      </c>
      <c r="C50" s="9">
        <v>4170</v>
      </c>
      <c r="D50" s="11">
        <f t="shared" si="0"/>
        <v>4498.18</v>
      </c>
      <c r="E50" s="11">
        <f t="shared" si="1"/>
        <v>5346.21</v>
      </c>
      <c r="F50" s="11">
        <f t="shared" si="2"/>
        <v>3650.15</v>
      </c>
      <c r="G50" s="11">
        <f t="shared" si="4"/>
        <v>85</v>
      </c>
      <c r="H50" s="11">
        <f t="shared" si="5"/>
        <v>318.81</v>
      </c>
      <c r="I50" s="11">
        <f t="shared" si="3"/>
        <v>1041.8699999999999</v>
      </c>
    </row>
    <row r="51" spans="1:9" ht="13.2" x14ac:dyDescent="0.25">
      <c r="A51" s="11" t="s">
        <v>10</v>
      </c>
      <c r="B51" s="11" t="s">
        <v>60</v>
      </c>
      <c r="C51" s="9">
        <v>3850</v>
      </c>
      <c r="D51" s="11">
        <f t="shared" si="0"/>
        <v>4498.18</v>
      </c>
      <c r="E51" s="11">
        <f t="shared" si="1"/>
        <v>5346.21</v>
      </c>
      <c r="F51" s="11">
        <f t="shared" si="2"/>
        <v>3650.15</v>
      </c>
      <c r="G51" s="11">
        <f t="shared" si="4"/>
        <v>320</v>
      </c>
      <c r="H51" s="11">
        <f t="shared" si="5"/>
        <v>318.81</v>
      </c>
      <c r="I51" s="11">
        <f t="shared" si="3"/>
        <v>1041.8699999999999</v>
      </c>
    </row>
    <row r="52" spans="1:9" ht="13.2" x14ac:dyDescent="0.25">
      <c r="A52" s="11" t="s">
        <v>10</v>
      </c>
      <c r="B52" s="11" t="s">
        <v>61</v>
      </c>
      <c r="C52" s="9">
        <v>4445</v>
      </c>
      <c r="D52" s="11">
        <f t="shared" si="0"/>
        <v>4498.18</v>
      </c>
      <c r="E52" s="11">
        <f t="shared" si="1"/>
        <v>5346.21</v>
      </c>
      <c r="F52" s="11">
        <f t="shared" si="2"/>
        <v>3650.15</v>
      </c>
      <c r="G52" s="11">
        <f t="shared" si="4"/>
        <v>595</v>
      </c>
      <c r="H52" s="11">
        <f t="shared" si="5"/>
        <v>318.81</v>
      </c>
      <c r="I52" s="11">
        <f t="shared" si="3"/>
        <v>1041.8699999999999</v>
      </c>
    </row>
    <row r="53" spans="1:9" ht="13.2" x14ac:dyDescent="0.25">
      <c r="A53" s="11" t="s">
        <v>10</v>
      </c>
      <c r="B53" s="11" t="s">
        <v>62</v>
      </c>
      <c r="C53" s="9">
        <v>4650</v>
      </c>
      <c r="D53" s="11">
        <f t="shared" si="0"/>
        <v>4498.18</v>
      </c>
      <c r="E53" s="11">
        <f t="shared" si="1"/>
        <v>5346.21</v>
      </c>
      <c r="F53" s="11">
        <f t="shared" si="2"/>
        <v>3650.15</v>
      </c>
      <c r="G53" s="11">
        <f t="shared" si="4"/>
        <v>205</v>
      </c>
      <c r="H53" s="11">
        <f t="shared" si="5"/>
        <v>318.81</v>
      </c>
      <c r="I53" s="11">
        <f t="shared" si="3"/>
        <v>1041.8699999999999</v>
      </c>
    </row>
    <row r="54" spans="1:9" ht="13.2" x14ac:dyDescent="0.25">
      <c r="A54" s="11" t="s">
        <v>10</v>
      </c>
      <c r="B54" s="11" t="s">
        <v>63</v>
      </c>
      <c r="C54" s="9">
        <v>4170</v>
      </c>
      <c r="D54" s="11">
        <f t="shared" si="0"/>
        <v>4498.18</v>
      </c>
      <c r="E54" s="11">
        <f t="shared" si="1"/>
        <v>5346.21</v>
      </c>
      <c r="F54" s="11">
        <f t="shared" si="2"/>
        <v>3650.15</v>
      </c>
      <c r="G54" s="11">
        <f t="shared" si="4"/>
        <v>480</v>
      </c>
      <c r="H54" s="11">
        <f t="shared" si="5"/>
        <v>318.81</v>
      </c>
      <c r="I54" s="11">
        <f t="shared" si="3"/>
        <v>1041.8699999999999</v>
      </c>
    </row>
    <row r="55" spans="1:9" ht="13.2" x14ac:dyDescent="0.25">
      <c r="A55" s="11" t="s">
        <v>10</v>
      </c>
      <c r="B55" s="11" t="s">
        <v>64</v>
      </c>
      <c r="C55" s="9">
        <v>4255</v>
      </c>
      <c r="D55" s="11">
        <f t="shared" si="0"/>
        <v>4498.18</v>
      </c>
      <c r="E55" s="11">
        <f t="shared" si="1"/>
        <v>5346.21</v>
      </c>
      <c r="F55" s="11">
        <f t="shared" si="2"/>
        <v>3650.15</v>
      </c>
      <c r="G55" s="11">
        <f t="shared" si="4"/>
        <v>85</v>
      </c>
      <c r="H55" s="11">
        <f t="shared" si="5"/>
        <v>318.81</v>
      </c>
      <c r="I55" s="11">
        <f t="shared" si="3"/>
        <v>1041.8699999999999</v>
      </c>
    </row>
    <row r="56" spans="1:9" ht="13.2" x14ac:dyDescent="0.25">
      <c r="A56" s="11" t="s">
        <v>10</v>
      </c>
      <c r="B56" s="11" t="s">
        <v>65</v>
      </c>
      <c r="C56" s="9">
        <v>4170</v>
      </c>
      <c r="D56" s="11">
        <f t="shared" si="0"/>
        <v>4498.18</v>
      </c>
      <c r="E56" s="11">
        <f t="shared" si="1"/>
        <v>5346.21</v>
      </c>
      <c r="F56" s="11">
        <f t="shared" si="2"/>
        <v>3650.15</v>
      </c>
      <c r="G56" s="11">
        <f t="shared" si="4"/>
        <v>85</v>
      </c>
      <c r="H56" s="11">
        <f t="shared" si="5"/>
        <v>318.81</v>
      </c>
      <c r="I56" s="11">
        <f t="shared" si="3"/>
        <v>1041.8699999999999</v>
      </c>
    </row>
    <row r="57" spans="1:9" ht="13.2" x14ac:dyDescent="0.25">
      <c r="A57" s="11" t="s">
        <v>10</v>
      </c>
      <c r="B57" s="11" t="s">
        <v>66</v>
      </c>
      <c r="C57" s="9">
        <v>4375</v>
      </c>
      <c r="D57" s="11">
        <f t="shared" si="0"/>
        <v>4498.18</v>
      </c>
      <c r="E57" s="11">
        <f t="shared" si="1"/>
        <v>5346.21</v>
      </c>
      <c r="F57" s="11">
        <f t="shared" si="2"/>
        <v>3650.15</v>
      </c>
      <c r="G57" s="11">
        <f t="shared" si="4"/>
        <v>205</v>
      </c>
      <c r="H57" s="11">
        <f t="shared" si="5"/>
        <v>318.81</v>
      </c>
      <c r="I57" s="11">
        <f t="shared" si="3"/>
        <v>1041.8699999999999</v>
      </c>
    </row>
    <row r="58" spans="1:9" ht="13.2" x14ac:dyDescent="0.25">
      <c r="A58" s="11" t="s">
        <v>10</v>
      </c>
      <c r="B58" s="11" t="s">
        <v>67</v>
      </c>
      <c r="C58" s="9">
        <v>4175</v>
      </c>
      <c r="D58" s="11">
        <f t="shared" si="0"/>
        <v>4498.18</v>
      </c>
      <c r="E58" s="11">
        <f t="shared" si="1"/>
        <v>5346.21</v>
      </c>
      <c r="F58" s="11">
        <f t="shared" si="2"/>
        <v>3650.15</v>
      </c>
      <c r="G58" s="11">
        <f t="shared" si="4"/>
        <v>200</v>
      </c>
      <c r="H58" s="11">
        <f t="shared" si="5"/>
        <v>318.81</v>
      </c>
      <c r="I58" s="11">
        <f t="shared" si="3"/>
        <v>1041.8699999999999</v>
      </c>
    </row>
    <row r="59" spans="1:9" ht="13.2" x14ac:dyDescent="0.25">
      <c r="A59" s="11" t="s">
        <v>10</v>
      </c>
      <c r="B59" s="11" t="s">
        <v>68</v>
      </c>
      <c r="C59" s="9">
        <v>4550</v>
      </c>
      <c r="D59" s="11">
        <f t="shared" si="0"/>
        <v>4498.18</v>
      </c>
      <c r="E59" s="11">
        <f t="shared" si="1"/>
        <v>5346.21</v>
      </c>
      <c r="F59" s="11">
        <f t="shared" si="2"/>
        <v>3650.15</v>
      </c>
      <c r="G59" s="11">
        <f t="shared" si="4"/>
        <v>375</v>
      </c>
      <c r="H59" s="11">
        <f t="shared" si="5"/>
        <v>318.81</v>
      </c>
      <c r="I59" s="11">
        <f t="shared" si="3"/>
        <v>1041.8699999999999</v>
      </c>
    </row>
    <row r="60" spans="1:9" ht="13.2" x14ac:dyDescent="0.25">
      <c r="A60" s="11" t="s">
        <v>10</v>
      </c>
      <c r="B60" s="11" t="s">
        <v>69</v>
      </c>
      <c r="C60" s="9">
        <v>4450</v>
      </c>
      <c r="D60" s="11">
        <f t="shared" si="0"/>
        <v>4498.18</v>
      </c>
      <c r="E60" s="11">
        <f t="shared" si="1"/>
        <v>5346.21</v>
      </c>
      <c r="F60" s="11">
        <f t="shared" si="2"/>
        <v>3650.15</v>
      </c>
      <c r="G60" s="11">
        <f t="shared" si="4"/>
        <v>100</v>
      </c>
      <c r="H60" s="11">
        <f t="shared" si="5"/>
        <v>318.81</v>
      </c>
      <c r="I60" s="11">
        <f t="shared" si="3"/>
        <v>1041.8699999999999</v>
      </c>
    </row>
    <row r="61" spans="1:9" ht="13.2" x14ac:dyDescent="0.25">
      <c r="A61" s="11" t="s">
        <v>10</v>
      </c>
      <c r="B61" s="11" t="s">
        <v>70</v>
      </c>
      <c r="C61" s="9">
        <v>2855</v>
      </c>
      <c r="D61" s="11">
        <f t="shared" si="0"/>
        <v>4498.18</v>
      </c>
      <c r="E61" s="11">
        <f t="shared" si="1"/>
        <v>5346.21</v>
      </c>
      <c r="F61" s="11">
        <f t="shared" si="2"/>
        <v>3650.15</v>
      </c>
      <c r="G61" s="11">
        <f t="shared" si="4"/>
        <v>1595</v>
      </c>
      <c r="H61" s="11">
        <f t="shared" si="5"/>
        <v>318.81</v>
      </c>
      <c r="I61" s="11">
        <f t="shared" si="3"/>
        <v>1041.8699999999999</v>
      </c>
    </row>
    <row r="62" spans="1:9" ht="13.2" x14ac:dyDescent="0.25">
      <c r="A62" s="11" t="s">
        <v>10</v>
      </c>
      <c r="B62" s="11" t="s">
        <v>71</v>
      </c>
      <c r="C62" s="9">
        <v>2920</v>
      </c>
      <c r="D62" s="11">
        <f t="shared" si="0"/>
        <v>4498.18</v>
      </c>
      <c r="E62" s="11">
        <f t="shared" si="1"/>
        <v>5346.21</v>
      </c>
      <c r="F62" s="11">
        <f t="shared" si="2"/>
        <v>3650.15</v>
      </c>
      <c r="G62" s="11">
        <f t="shared" si="4"/>
        <v>65</v>
      </c>
      <c r="H62" s="11">
        <f t="shared" si="5"/>
        <v>318.81</v>
      </c>
      <c r="I62" s="11">
        <f t="shared" si="3"/>
        <v>1041.8699999999999</v>
      </c>
    </row>
    <row r="63" spans="1:9" ht="13.2" x14ac:dyDescent="0.25">
      <c r="A63" s="11" t="s">
        <v>10</v>
      </c>
      <c r="B63" s="11" t="s">
        <v>72</v>
      </c>
      <c r="C63" s="9">
        <v>4375</v>
      </c>
      <c r="D63" s="11">
        <f t="shared" si="0"/>
        <v>4498.18</v>
      </c>
      <c r="E63" s="11">
        <f t="shared" si="1"/>
        <v>5346.21</v>
      </c>
      <c r="F63" s="11">
        <f t="shared" si="2"/>
        <v>3650.15</v>
      </c>
      <c r="G63" s="11">
        <f t="shared" si="4"/>
        <v>1455</v>
      </c>
      <c r="H63" s="11">
        <f t="shared" si="5"/>
        <v>318.81</v>
      </c>
      <c r="I63" s="11">
        <f t="shared" si="3"/>
        <v>1041.8699999999999</v>
      </c>
    </row>
    <row r="64" spans="1:9" ht="13.2" x14ac:dyDescent="0.25">
      <c r="A64" s="11" t="s">
        <v>10</v>
      </c>
      <c r="B64" s="11" t="s">
        <v>73</v>
      </c>
      <c r="C64" s="9">
        <v>4375</v>
      </c>
      <c r="D64" s="11">
        <f t="shared" si="0"/>
        <v>4498.18</v>
      </c>
      <c r="E64" s="11">
        <f t="shared" si="1"/>
        <v>5346.21</v>
      </c>
      <c r="F64" s="11">
        <f t="shared" si="2"/>
        <v>3650.15</v>
      </c>
      <c r="G64" s="11">
        <f t="shared" si="4"/>
        <v>0</v>
      </c>
      <c r="H64" s="11">
        <f t="shared" si="5"/>
        <v>318.81</v>
      </c>
      <c r="I64" s="11">
        <f t="shared" si="3"/>
        <v>1041.8699999999999</v>
      </c>
    </row>
    <row r="65" spans="1:9" ht="13.2" x14ac:dyDescent="0.25">
      <c r="A65" s="11" t="s">
        <v>10</v>
      </c>
      <c r="B65" s="11" t="s">
        <v>74</v>
      </c>
      <c r="C65" s="9">
        <v>4355</v>
      </c>
      <c r="D65" s="11">
        <f t="shared" si="0"/>
        <v>4498.18</v>
      </c>
      <c r="E65" s="11">
        <f t="shared" si="1"/>
        <v>5346.21</v>
      </c>
      <c r="F65" s="11">
        <f t="shared" si="2"/>
        <v>3650.15</v>
      </c>
      <c r="G65" s="11">
        <f t="shared" si="4"/>
        <v>20</v>
      </c>
      <c r="H65" s="11">
        <f t="shared" si="5"/>
        <v>318.81</v>
      </c>
      <c r="I65" s="11">
        <f t="shared" si="3"/>
        <v>1041.8699999999999</v>
      </c>
    </row>
    <row r="66" spans="1:9" ht="13.2" x14ac:dyDescent="0.25">
      <c r="A66" s="11" t="s">
        <v>10</v>
      </c>
      <c r="B66" s="11" t="s">
        <v>75</v>
      </c>
      <c r="C66" s="9">
        <v>4090</v>
      </c>
      <c r="D66" s="11">
        <f t="shared" ref="D66:D129" si="6">ROUND(AVERAGE($C$2:$C$205),2)</f>
        <v>4498.18</v>
      </c>
      <c r="E66" s="11">
        <f t="shared" ref="E66:E129" si="7">ROUND(D66+(2.66*H66),2)</f>
        <v>5346.21</v>
      </c>
      <c r="F66" s="11">
        <f t="shared" ref="F66:F129" si="8">ROUND(D66-(2.66*H66),2)</f>
        <v>3650.15</v>
      </c>
      <c r="G66" s="11">
        <f t="shared" si="4"/>
        <v>265</v>
      </c>
      <c r="H66" s="11">
        <f t="shared" si="5"/>
        <v>318.81</v>
      </c>
      <c r="I66" s="11">
        <f t="shared" ref="I66:I129" si="9">ROUND(3.268*H66,2)</f>
        <v>1041.8699999999999</v>
      </c>
    </row>
    <row r="67" spans="1:9" ht="13.2" x14ac:dyDescent="0.25">
      <c r="A67" s="11" t="s">
        <v>10</v>
      </c>
      <c r="B67" s="11" t="s">
        <v>76</v>
      </c>
      <c r="C67" s="9">
        <v>5000</v>
      </c>
      <c r="D67" s="11">
        <f t="shared" si="6"/>
        <v>4498.18</v>
      </c>
      <c r="E67" s="11">
        <f t="shared" si="7"/>
        <v>5346.21</v>
      </c>
      <c r="F67" s="11">
        <f t="shared" si="8"/>
        <v>3650.15</v>
      </c>
      <c r="G67" s="11">
        <f t="shared" ref="G67:G130" si="10">ABS(C66-C67)</f>
        <v>910</v>
      </c>
      <c r="H67" s="11">
        <f t="shared" ref="H67:H130" si="11">ROUND(AVERAGE($G$3:$G$205),2)</f>
        <v>318.81</v>
      </c>
      <c r="I67" s="11">
        <f t="shared" si="9"/>
        <v>1041.8699999999999</v>
      </c>
    </row>
    <row r="68" spans="1:9" ht="13.2" x14ac:dyDescent="0.25">
      <c r="A68" s="11" t="s">
        <v>10</v>
      </c>
      <c r="B68" s="11" t="s">
        <v>77</v>
      </c>
      <c r="C68" s="9">
        <v>4335</v>
      </c>
      <c r="D68" s="11">
        <f t="shared" si="6"/>
        <v>4498.18</v>
      </c>
      <c r="E68" s="11">
        <f t="shared" si="7"/>
        <v>5346.21</v>
      </c>
      <c r="F68" s="11">
        <f t="shared" si="8"/>
        <v>3650.15</v>
      </c>
      <c r="G68" s="11">
        <f t="shared" si="10"/>
        <v>665</v>
      </c>
      <c r="H68" s="11">
        <f t="shared" si="11"/>
        <v>318.81</v>
      </c>
      <c r="I68" s="11">
        <f t="shared" si="9"/>
        <v>1041.8699999999999</v>
      </c>
    </row>
    <row r="69" spans="1:9" ht="13.2" x14ac:dyDescent="0.25">
      <c r="A69" s="11" t="s">
        <v>10</v>
      </c>
      <c r="B69" s="11" t="s">
        <v>78</v>
      </c>
      <c r="C69" s="9">
        <v>5000</v>
      </c>
      <c r="D69" s="11">
        <f t="shared" si="6"/>
        <v>4498.18</v>
      </c>
      <c r="E69" s="11">
        <f t="shared" si="7"/>
        <v>5346.21</v>
      </c>
      <c r="F69" s="11">
        <f t="shared" si="8"/>
        <v>3650.15</v>
      </c>
      <c r="G69" s="11">
        <f t="shared" si="10"/>
        <v>665</v>
      </c>
      <c r="H69" s="11">
        <f t="shared" si="11"/>
        <v>318.81</v>
      </c>
      <c r="I69" s="11">
        <f t="shared" si="9"/>
        <v>1041.8699999999999</v>
      </c>
    </row>
    <row r="70" spans="1:9" ht="13.2" x14ac:dyDescent="0.25">
      <c r="A70" s="11" t="s">
        <v>10</v>
      </c>
      <c r="B70" s="11" t="s">
        <v>79</v>
      </c>
      <c r="C70" s="9">
        <v>4640</v>
      </c>
      <c r="D70" s="11">
        <f t="shared" si="6"/>
        <v>4498.18</v>
      </c>
      <c r="E70" s="11">
        <f t="shared" si="7"/>
        <v>5346.21</v>
      </c>
      <c r="F70" s="11">
        <f t="shared" si="8"/>
        <v>3650.15</v>
      </c>
      <c r="G70" s="11">
        <f t="shared" si="10"/>
        <v>360</v>
      </c>
      <c r="H70" s="11">
        <f t="shared" si="11"/>
        <v>318.81</v>
      </c>
      <c r="I70" s="11">
        <f t="shared" si="9"/>
        <v>1041.8699999999999</v>
      </c>
    </row>
    <row r="71" spans="1:9" ht="13.2" x14ac:dyDescent="0.25">
      <c r="A71" s="11" t="s">
        <v>10</v>
      </c>
      <c r="B71" s="11" t="s">
        <v>80</v>
      </c>
      <c r="C71" s="9">
        <v>4335</v>
      </c>
      <c r="D71" s="11">
        <f t="shared" si="6"/>
        <v>4498.18</v>
      </c>
      <c r="E71" s="11">
        <f t="shared" si="7"/>
        <v>5346.21</v>
      </c>
      <c r="F71" s="11">
        <f t="shared" si="8"/>
        <v>3650.15</v>
      </c>
      <c r="G71" s="11">
        <f t="shared" si="10"/>
        <v>305</v>
      </c>
      <c r="H71" s="11">
        <f t="shared" si="11"/>
        <v>318.81</v>
      </c>
      <c r="I71" s="11">
        <f t="shared" si="9"/>
        <v>1041.8699999999999</v>
      </c>
    </row>
    <row r="72" spans="1:9" ht="13.2" x14ac:dyDescent="0.25">
      <c r="A72" s="11" t="s">
        <v>10</v>
      </c>
      <c r="B72" s="11" t="s">
        <v>81</v>
      </c>
      <c r="C72" s="9">
        <v>5000</v>
      </c>
      <c r="D72" s="11">
        <f t="shared" si="6"/>
        <v>4498.18</v>
      </c>
      <c r="E72" s="11">
        <f t="shared" si="7"/>
        <v>5346.21</v>
      </c>
      <c r="F72" s="11">
        <f t="shared" si="8"/>
        <v>3650.15</v>
      </c>
      <c r="G72" s="11">
        <f t="shared" si="10"/>
        <v>665</v>
      </c>
      <c r="H72" s="11">
        <f t="shared" si="11"/>
        <v>318.81</v>
      </c>
      <c r="I72" s="11">
        <f t="shared" si="9"/>
        <v>1041.8699999999999</v>
      </c>
    </row>
    <row r="73" spans="1:9" ht="13.2" x14ac:dyDescent="0.25">
      <c r="A73" s="11" t="s">
        <v>10</v>
      </c>
      <c r="B73" s="11" t="s">
        <v>82</v>
      </c>
      <c r="C73" s="9">
        <v>4615</v>
      </c>
      <c r="D73" s="11">
        <f t="shared" si="6"/>
        <v>4498.18</v>
      </c>
      <c r="E73" s="11">
        <f t="shared" si="7"/>
        <v>5346.21</v>
      </c>
      <c r="F73" s="11">
        <f t="shared" si="8"/>
        <v>3650.15</v>
      </c>
      <c r="G73" s="11">
        <f t="shared" si="10"/>
        <v>385</v>
      </c>
      <c r="H73" s="11">
        <f t="shared" si="11"/>
        <v>318.81</v>
      </c>
      <c r="I73" s="11">
        <f t="shared" si="9"/>
        <v>1041.8699999999999</v>
      </c>
    </row>
    <row r="74" spans="1:9" ht="13.2" x14ac:dyDescent="0.25">
      <c r="A74" s="11" t="s">
        <v>10</v>
      </c>
      <c r="B74" s="11" t="s">
        <v>83</v>
      </c>
      <c r="C74" s="9">
        <v>4215</v>
      </c>
      <c r="D74" s="11">
        <f t="shared" si="6"/>
        <v>4498.18</v>
      </c>
      <c r="E74" s="11">
        <f t="shared" si="7"/>
        <v>5346.21</v>
      </c>
      <c r="F74" s="11">
        <f t="shared" si="8"/>
        <v>3650.15</v>
      </c>
      <c r="G74" s="11">
        <f t="shared" si="10"/>
        <v>400</v>
      </c>
      <c r="H74" s="11">
        <f t="shared" si="11"/>
        <v>318.81</v>
      </c>
      <c r="I74" s="11">
        <f t="shared" si="9"/>
        <v>1041.8699999999999</v>
      </c>
    </row>
    <row r="75" spans="1:9" ht="13.2" x14ac:dyDescent="0.25">
      <c r="A75" s="11" t="s">
        <v>10</v>
      </c>
      <c r="B75" s="11" t="s">
        <v>84</v>
      </c>
      <c r="C75" s="9">
        <v>4275</v>
      </c>
      <c r="D75" s="11">
        <f t="shared" si="6"/>
        <v>4498.18</v>
      </c>
      <c r="E75" s="11">
        <f t="shared" si="7"/>
        <v>5346.21</v>
      </c>
      <c r="F75" s="11">
        <f t="shared" si="8"/>
        <v>3650.15</v>
      </c>
      <c r="G75" s="11">
        <f t="shared" si="10"/>
        <v>60</v>
      </c>
      <c r="H75" s="11">
        <f t="shared" si="11"/>
        <v>318.81</v>
      </c>
      <c r="I75" s="11">
        <f t="shared" si="9"/>
        <v>1041.8699999999999</v>
      </c>
    </row>
    <row r="76" spans="1:9" ht="13.2" x14ac:dyDescent="0.25">
      <c r="A76" s="11" t="s">
        <v>10</v>
      </c>
      <c r="B76" s="11" t="s">
        <v>85</v>
      </c>
      <c r="C76" s="9">
        <v>4275</v>
      </c>
      <c r="D76" s="11">
        <f t="shared" si="6"/>
        <v>4498.18</v>
      </c>
      <c r="E76" s="11">
        <f t="shared" si="7"/>
        <v>5346.21</v>
      </c>
      <c r="F76" s="11">
        <f t="shared" si="8"/>
        <v>3650.15</v>
      </c>
      <c r="G76" s="11">
        <f t="shared" si="10"/>
        <v>0</v>
      </c>
      <c r="H76" s="11">
        <f t="shared" si="11"/>
        <v>318.81</v>
      </c>
      <c r="I76" s="11">
        <f t="shared" si="9"/>
        <v>1041.8699999999999</v>
      </c>
    </row>
    <row r="77" spans="1:9" ht="13.2" x14ac:dyDescent="0.25">
      <c r="A77" s="11" t="s">
        <v>10</v>
      </c>
      <c r="B77" s="11" t="s">
        <v>86</v>
      </c>
      <c r="C77" s="9">
        <v>5000</v>
      </c>
      <c r="D77" s="11">
        <f t="shared" si="6"/>
        <v>4498.18</v>
      </c>
      <c r="E77" s="11">
        <f t="shared" si="7"/>
        <v>5346.21</v>
      </c>
      <c r="F77" s="11">
        <f t="shared" si="8"/>
        <v>3650.15</v>
      </c>
      <c r="G77" s="11">
        <f t="shared" si="10"/>
        <v>725</v>
      </c>
      <c r="H77" s="11">
        <f t="shared" si="11"/>
        <v>318.81</v>
      </c>
      <c r="I77" s="11">
        <f t="shared" si="9"/>
        <v>1041.8699999999999</v>
      </c>
    </row>
    <row r="78" spans="1:9" ht="13.2" x14ac:dyDescent="0.25">
      <c r="A78" s="11" t="s">
        <v>10</v>
      </c>
      <c r="B78" s="11" t="s">
        <v>87</v>
      </c>
      <c r="C78" s="9">
        <v>4615</v>
      </c>
      <c r="D78" s="11">
        <f t="shared" si="6"/>
        <v>4498.18</v>
      </c>
      <c r="E78" s="11">
        <f t="shared" si="7"/>
        <v>5346.21</v>
      </c>
      <c r="F78" s="11">
        <f t="shared" si="8"/>
        <v>3650.15</v>
      </c>
      <c r="G78" s="11">
        <f t="shared" si="10"/>
        <v>385</v>
      </c>
      <c r="H78" s="11">
        <f t="shared" si="11"/>
        <v>318.81</v>
      </c>
      <c r="I78" s="11">
        <f t="shared" si="9"/>
        <v>1041.8699999999999</v>
      </c>
    </row>
    <row r="79" spans="1:9" ht="13.2" x14ac:dyDescent="0.25">
      <c r="A79" s="11" t="s">
        <v>10</v>
      </c>
      <c r="B79" s="11" t="s">
        <v>88</v>
      </c>
      <c r="C79" s="9">
        <v>4735</v>
      </c>
      <c r="D79" s="11">
        <f t="shared" si="6"/>
        <v>4498.18</v>
      </c>
      <c r="E79" s="11">
        <f t="shared" si="7"/>
        <v>5346.21</v>
      </c>
      <c r="F79" s="11">
        <f t="shared" si="8"/>
        <v>3650.15</v>
      </c>
      <c r="G79" s="11">
        <f t="shared" si="10"/>
        <v>120</v>
      </c>
      <c r="H79" s="11">
        <f t="shared" si="11"/>
        <v>318.81</v>
      </c>
      <c r="I79" s="11">
        <f t="shared" si="9"/>
        <v>1041.8699999999999</v>
      </c>
    </row>
    <row r="80" spans="1:9" ht="13.2" x14ac:dyDescent="0.25">
      <c r="A80" s="11" t="s">
        <v>10</v>
      </c>
      <c r="B80" s="11" t="s">
        <v>89</v>
      </c>
      <c r="C80" s="9">
        <v>4215</v>
      </c>
      <c r="D80" s="11">
        <f t="shared" si="6"/>
        <v>4498.18</v>
      </c>
      <c r="E80" s="11">
        <f t="shared" si="7"/>
        <v>5346.21</v>
      </c>
      <c r="F80" s="11">
        <f t="shared" si="8"/>
        <v>3650.15</v>
      </c>
      <c r="G80" s="11">
        <f t="shared" si="10"/>
        <v>520</v>
      </c>
      <c r="H80" s="11">
        <f t="shared" si="11"/>
        <v>318.81</v>
      </c>
      <c r="I80" s="11">
        <f t="shared" si="9"/>
        <v>1041.8699999999999</v>
      </c>
    </row>
    <row r="81" spans="1:9" ht="13.2" x14ac:dyDescent="0.25">
      <c r="A81" s="11" t="s">
        <v>10</v>
      </c>
      <c r="B81" s="11" t="s">
        <v>90</v>
      </c>
      <c r="C81" s="9">
        <v>4700</v>
      </c>
      <c r="D81" s="11">
        <f t="shared" si="6"/>
        <v>4498.18</v>
      </c>
      <c r="E81" s="11">
        <f t="shared" si="7"/>
        <v>5346.21</v>
      </c>
      <c r="F81" s="11">
        <f t="shared" si="8"/>
        <v>3650.15</v>
      </c>
      <c r="G81" s="11">
        <f t="shared" si="10"/>
        <v>485</v>
      </c>
      <c r="H81" s="11">
        <f t="shared" si="11"/>
        <v>318.81</v>
      </c>
      <c r="I81" s="11">
        <f t="shared" si="9"/>
        <v>1041.8699999999999</v>
      </c>
    </row>
    <row r="82" spans="1:9" ht="13.2" x14ac:dyDescent="0.25">
      <c r="A82" s="11" t="s">
        <v>10</v>
      </c>
      <c r="B82" s="11" t="s">
        <v>91</v>
      </c>
      <c r="C82" s="9">
        <v>4700</v>
      </c>
      <c r="D82" s="11">
        <f t="shared" si="6"/>
        <v>4498.18</v>
      </c>
      <c r="E82" s="11">
        <f t="shared" si="7"/>
        <v>5346.21</v>
      </c>
      <c r="F82" s="11">
        <f t="shared" si="8"/>
        <v>3650.15</v>
      </c>
      <c r="G82" s="11">
        <f t="shared" si="10"/>
        <v>0</v>
      </c>
      <c r="H82" s="11">
        <f t="shared" si="11"/>
        <v>318.81</v>
      </c>
      <c r="I82" s="11">
        <f t="shared" si="9"/>
        <v>1041.8699999999999</v>
      </c>
    </row>
    <row r="83" spans="1:9" ht="13.2" x14ac:dyDescent="0.25">
      <c r="A83" s="11" t="s">
        <v>10</v>
      </c>
      <c r="B83" s="11" t="s">
        <v>92</v>
      </c>
      <c r="C83" s="9">
        <v>4700</v>
      </c>
      <c r="D83" s="11">
        <f t="shared" si="6"/>
        <v>4498.18</v>
      </c>
      <c r="E83" s="11">
        <f t="shared" si="7"/>
        <v>5346.21</v>
      </c>
      <c r="F83" s="11">
        <f t="shared" si="8"/>
        <v>3650.15</v>
      </c>
      <c r="G83" s="11">
        <f t="shared" si="10"/>
        <v>0</v>
      </c>
      <c r="H83" s="11">
        <f t="shared" si="11"/>
        <v>318.81</v>
      </c>
      <c r="I83" s="11">
        <f t="shared" si="9"/>
        <v>1041.8699999999999</v>
      </c>
    </row>
    <row r="84" spans="1:9" ht="13.2" x14ac:dyDescent="0.25">
      <c r="A84" s="11" t="s">
        <v>10</v>
      </c>
      <c r="B84" s="11" t="s">
        <v>93</v>
      </c>
      <c r="C84" s="9">
        <v>4700</v>
      </c>
      <c r="D84" s="11">
        <f t="shared" si="6"/>
        <v>4498.18</v>
      </c>
      <c r="E84" s="11">
        <f t="shared" si="7"/>
        <v>5346.21</v>
      </c>
      <c r="F84" s="11">
        <f t="shared" si="8"/>
        <v>3650.15</v>
      </c>
      <c r="G84" s="11">
        <f t="shared" si="10"/>
        <v>0</v>
      </c>
      <c r="H84" s="11">
        <f t="shared" si="11"/>
        <v>318.81</v>
      </c>
      <c r="I84" s="11">
        <f t="shared" si="9"/>
        <v>1041.8699999999999</v>
      </c>
    </row>
    <row r="85" spans="1:9" ht="13.2" x14ac:dyDescent="0.25">
      <c r="A85" s="11" t="s">
        <v>10</v>
      </c>
      <c r="B85" s="11" t="s">
        <v>94</v>
      </c>
      <c r="C85" s="9">
        <v>4095</v>
      </c>
      <c r="D85" s="11">
        <f t="shared" si="6"/>
        <v>4498.18</v>
      </c>
      <c r="E85" s="11">
        <f t="shared" si="7"/>
        <v>5346.21</v>
      </c>
      <c r="F85" s="11">
        <f t="shared" si="8"/>
        <v>3650.15</v>
      </c>
      <c r="G85" s="11">
        <f t="shared" si="10"/>
        <v>605</v>
      </c>
      <c r="H85" s="11">
        <f t="shared" si="11"/>
        <v>318.81</v>
      </c>
      <c r="I85" s="11">
        <f t="shared" si="9"/>
        <v>1041.8699999999999</v>
      </c>
    </row>
    <row r="86" spans="1:9" ht="13.2" x14ac:dyDescent="0.25">
      <c r="A86" s="11" t="s">
        <v>10</v>
      </c>
      <c r="B86" s="11" t="s">
        <v>95</v>
      </c>
      <c r="C86" s="9">
        <v>4095</v>
      </c>
      <c r="D86" s="11">
        <f t="shared" si="6"/>
        <v>4498.18</v>
      </c>
      <c r="E86" s="11">
        <f t="shared" si="7"/>
        <v>5346.21</v>
      </c>
      <c r="F86" s="11">
        <f t="shared" si="8"/>
        <v>3650.15</v>
      </c>
      <c r="G86" s="11">
        <f t="shared" si="10"/>
        <v>0</v>
      </c>
      <c r="H86" s="11">
        <f t="shared" si="11"/>
        <v>318.81</v>
      </c>
      <c r="I86" s="11">
        <f t="shared" si="9"/>
        <v>1041.8699999999999</v>
      </c>
    </row>
    <row r="87" spans="1:9" ht="13.2" x14ac:dyDescent="0.25">
      <c r="A87" s="11" t="s">
        <v>10</v>
      </c>
      <c r="B87" s="11" t="s">
        <v>96</v>
      </c>
      <c r="C87" s="9">
        <v>3940</v>
      </c>
      <c r="D87" s="11">
        <f t="shared" si="6"/>
        <v>4498.18</v>
      </c>
      <c r="E87" s="11">
        <f t="shared" si="7"/>
        <v>5346.21</v>
      </c>
      <c r="F87" s="11">
        <f t="shared" si="8"/>
        <v>3650.15</v>
      </c>
      <c r="G87" s="11">
        <f t="shared" si="10"/>
        <v>155</v>
      </c>
      <c r="H87" s="11">
        <f t="shared" si="11"/>
        <v>318.81</v>
      </c>
      <c r="I87" s="11">
        <f t="shared" si="9"/>
        <v>1041.8699999999999</v>
      </c>
    </row>
    <row r="88" spans="1:9" ht="13.2" x14ac:dyDescent="0.25">
      <c r="A88" s="11" t="s">
        <v>10</v>
      </c>
      <c r="B88" s="11" t="s">
        <v>97</v>
      </c>
      <c r="C88" s="9">
        <v>3700</v>
      </c>
      <c r="D88" s="11">
        <f t="shared" si="6"/>
        <v>4498.18</v>
      </c>
      <c r="E88" s="11">
        <f t="shared" si="7"/>
        <v>5346.21</v>
      </c>
      <c r="F88" s="11">
        <f t="shared" si="8"/>
        <v>3650.15</v>
      </c>
      <c r="G88" s="11">
        <f t="shared" si="10"/>
        <v>240</v>
      </c>
      <c r="H88" s="11">
        <f t="shared" si="11"/>
        <v>318.81</v>
      </c>
      <c r="I88" s="11">
        <f t="shared" si="9"/>
        <v>1041.8699999999999</v>
      </c>
    </row>
    <row r="89" spans="1:9" ht="13.2" x14ac:dyDescent="0.25">
      <c r="A89" s="11" t="s">
        <v>10</v>
      </c>
      <c r="B89" s="11" t="s">
        <v>98</v>
      </c>
      <c r="C89" s="9">
        <v>3650</v>
      </c>
      <c r="D89" s="11">
        <f t="shared" si="6"/>
        <v>4498.18</v>
      </c>
      <c r="E89" s="11">
        <f t="shared" si="7"/>
        <v>5346.21</v>
      </c>
      <c r="F89" s="11">
        <f t="shared" si="8"/>
        <v>3650.15</v>
      </c>
      <c r="G89" s="11">
        <f t="shared" si="10"/>
        <v>50</v>
      </c>
      <c r="H89" s="11">
        <f t="shared" si="11"/>
        <v>318.81</v>
      </c>
      <c r="I89" s="11">
        <f t="shared" si="9"/>
        <v>1041.8699999999999</v>
      </c>
    </row>
    <row r="90" spans="1:9" ht="13.2" x14ac:dyDescent="0.25">
      <c r="A90" s="11" t="s">
        <v>10</v>
      </c>
      <c r="B90" s="11" t="s">
        <v>99</v>
      </c>
      <c r="C90" s="9">
        <v>4445</v>
      </c>
      <c r="D90" s="11">
        <f t="shared" si="6"/>
        <v>4498.18</v>
      </c>
      <c r="E90" s="11">
        <f t="shared" si="7"/>
        <v>5346.21</v>
      </c>
      <c r="F90" s="11">
        <f t="shared" si="8"/>
        <v>3650.15</v>
      </c>
      <c r="G90" s="11">
        <f t="shared" si="10"/>
        <v>795</v>
      </c>
      <c r="H90" s="11">
        <f t="shared" si="11"/>
        <v>318.81</v>
      </c>
      <c r="I90" s="11">
        <f t="shared" si="9"/>
        <v>1041.8699999999999</v>
      </c>
    </row>
    <row r="91" spans="1:9" ht="13.2" x14ac:dyDescent="0.25">
      <c r="A91" s="11" t="s">
        <v>10</v>
      </c>
      <c r="B91" s="11" t="s">
        <v>100</v>
      </c>
      <c r="C91" s="9">
        <v>4000</v>
      </c>
      <c r="D91" s="11">
        <f t="shared" si="6"/>
        <v>4498.18</v>
      </c>
      <c r="E91" s="11">
        <f t="shared" si="7"/>
        <v>5346.21</v>
      </c>
      <c r="F91" s="11">
        <f t="shared" si="8"/>
        <v>3650.15</v>
      </c>
      <c r="G91" s="11">
        <f t="shared" si="10"/>
        <v>445</v>
      </c>
      <c r="H91" s="11">
        <f t="shared" si="11"/>
        <v>318.81</v>
      </c>
      <c r="I91" s="11">
        <f t="shared" si="9"/>
        <v>1041.8699999999999</v>
      </c>
    </row>
    <row r="92" spans="1:9" ht="13.2" x14ac:dyDescent="0.25">
      <c r="A92" s="11" t="s">
        <v>10</v>
      </c>
      <c r="B92" s="11" t="s">
        <v>101</v>
      </c>
      <c r="C92" s="9">
        <v>4845</v>
      </c>
      <c r="D92" s="11">
        <f t="shared" si="6"/>
        <v>4498.18</v>
      </c>
      <c r="E92" s="11">
        <f t="shared" si="7"/>
        <v>5346.21</v>
      </c>
      <c r="F92" s="11">
        <f t="shared" si="8"/>
        <v>3650.15</v>
      </c>
      <c r="G92" s="11">
        <f t="shared" si="10"/>
        <v>845</v>
      </c>
      <c r="H92" s="11">
        <f t="shared" si="11"/>
        <v>318.81</v>
      </c>
      <c r="I92" s="11">
        <f t="shared" si="9"/>
        <v>1041.8699999999999</v>
      </c>
    </row>
    <row r="93" spans="1:9" ht="13.2" x14ac:dyDescent="0.25">
      <c r="A93" s="11" t="s">
        <v>10</v>
      </c>
      <c r="B93" s="11" t="s">
        <v>102</v>
      </c>
      <c r="C93" s="9">
        <v>5000</v>
      </c>
      <c r="D93" s="11">
        <f t="shared" si="6"/>
        <v>4498.18</v>
      </c>
      <c r="E93" s="11">
        <f t="shared" si="7"/>
        <v>5346.21</v>
      </c>
      <c r="F93" s="11">
        <f t="shared" si="8"/>
        <v>3650.15</v>
      </c>
      <c r="G93" s="11">
        <f t="shared" si="10"/>
        <v>155</v>
      </c>
      <c r="H93" s="11">
        <f t="shared" si="11"/>
        <v>318.81</v>
      </c>
      <c r="I93" s="11">
        <f t="shared" si="9"/>
        <v>1041.8699999999999</v>
      </c>
    </row>
    <row r="94" spans="1:9" ht="13.2" x14ac:dyDescent="0.25">
      <c r="A94" s="11" t="s">
        <v>10</v>
      </c>
      <c r="B94" s="11" t="s">
        <v>103</v>
      </c>
      <c r="C94" s="9">
        <v>4560</v>
      </c>
      <c r="D94" s="11">
        <f t="shared" si="6"/>
        <v>4498.18</v>
      </c>
      <c r="E94" s="11">
        <f t="shared" si="7"/>
        <v>5346.21</v>
      </c>
      <c r="F94" s="11">
        <f t="shared" si="8"/>
        <v>3650.15</v>
      </c>
      <c r="G94" s="11">
        <f t="shared" si="10"/>
        <v>440</v>
      </c>
      <c r="H94" s="11">
        <f t="shared" si="11"/>
        <v>318.81</v>
      </c>
      <c r="I94" s="11">
        <f t="shared" si="9"/>
        <v>1041.8699999999999</v>
      </c>
    </row>
    <row r="95" spans="1:9" ht="13.2" x14ac:dyDescent="0.25">
      <c r="A95" s="11" t="s">
        <v>10</v>
      </c>
      <c r="B95" s="11" t="s">
        <v>104</v>
      </c>
      <c r="C95" s="9">
        <v>4700</v>
      </c>
      <c r="D95" s="11">
        <f t="shared" si="6"/>
        <v>4498.18</v>
      </c>
      <c r="E95" s="11">
        <f t="shared" si="7"/>
        <v>5346.21</v>
      </c>
      <c r="F95" s="11">
        <f t="shared" si="8"/>
        <v>3650.15</v>
      </c>
      <c r="G95" s="11">
        <f t="shared" si="10"/>
        <v>140</v>
      </c>
      <c r="H95" s="11">
        <f t="shared" si="11"/>
        <v>318.81</v>
      </c>
      <c r="I95" s="11">
        <f t="shared" si="9"/>
        <v>1041.8699999999999</v>
      </c>
    </row>
    <row r="96" spans="1:9" ht="13.2" x14ac:dyDescent="0.25">
      <c r="A96" s="11" t="s">
        <v>10</v>
      </c>
      <c r="B96" s="11" t="s">
        <v>105</v>
      </c>
      <c r="C96" s="9">
        <v>4310</v>
      </c>
      <c r="D96" s="11">
        <f t="shared" si="6"/>
        <v>4498.18</v>
      </c>
      <c r="E96" s="11">
        <f t="shared" si="7"/>
        <v>5346.21</v>
      </c>
      <c r="F96" s="11">
        <f t="shared" si="8"/>
        <v>3650.15</v>
      </c>
      <c r="G96" s="11">
        <f t="shared" si="10"/>
        <v>390</v>
      </c>
      <c r="H96" s="11">
        <f t="shared" si="11"/>
        <v>318.81</v>
      </c>
      <c r="I96" s="11">
        <f t="shared" si="9"/>
        <v>1041.8699999999999</v>
      </c>
    </row>
    <row r="97" spans="1:9" ht="13.2" x14ac:dyDescent="0.25">
      <c r="A97" s="11" t="s">
        <v>10</v>
      </c>
      <c r="B97" s="11" t="s">
        <v>106</v>
      </c>
      <c r="C97" s="9">
        <v>4310</v>
      </c>
      <c r="D97" s="11">
        <f t="shared" si="6"/>
        <v>4498.18</v>
      </c>
      <c r="E97" s="11">
        <f t="shared" si="7"/>
        <v>5346.21</v>
      </c>
      <c r="F97" s="11">
        <f t="shared" si="8"/>
        <v>3650.15</v>
      </c>
      <c r="G97" s="11">
        <f t="shared" si="10"/>
        <v>0</v>
      </c>
      <c r="H97" s="11">
        <f t="shared" si="11"/>
        <v>318.81</v>
      </c>
      <c r="I97" s="11">
        <f t="shared" si="9"/>
        <v>1041.8699999999999</v>
      </c>
    </row>
    <row r="98" spans="1:9" ht="13.2" x14ac:dyDescent="0.25">
      <c r="A98" s="11" t="s">
        <v>10</v>
      </c>
      <c r="B98" s="11" t="s">
        <v>107</v>
      </c>
      <c r="C98" s="9">
        <v>5000</v>
      </c>
      <c r="D98" s="11">
        <f t="shared" si="6"/>
        <v>4498.18</v>
      </c>
      <c r="E98" s="11">
        <f t="shared" si="7"/>
        <v>5346.21</v>
      </c>
      <c r="F98" s="11">
        <f t="shared" si="8"/>
        <v>3650.15</v>
      </c>
      <c r="G98" s="11">
        <f t="shared" si="10"/>
        <v>690</v>
      </c>
      <c r="H98" s="11">
        <f t="shared" si="11"/>
        <v>318.81</v>
      </c>
      <c r="I98" s="11">
        <f t="shared" si="9"/>
        <v>1041.8699999999999</v>
      </c>
    </row>
    <row r="99" spans="1:9" ht="13.2" x14ac:dyDescent="0.25">
      <c r="A99" s="11" t="s">
        <v>10</v>
      </c>
      <c r="B99" s="11" t="s">
        <v>108</v>
      </c>
      <c r="C99" s="9">
        <v>4575</v>
      </c>
      <c r="D99" s="11">
        <f t="shared" si="6"/>
        <v>4498.18</v>
      </c>
      <c r="E99" s="11">
        <f t="shared" si="7"/>
        <v>5346.21</v>
      </c>
      <c r="F99" s="11">
        <f t="shared" si="8"/>
        <v>3650.15</v>
      </c>
      <c r="G99" s="11">
        <f t="shared" si="10"/>
        <v>425</v>
      </c>
      <c r="H99" s="11">
        <f t="shared" si="11"/>
        <v>318.81</v>
      </c>
      <c r="I99" s="11">
        <f t="shared" si="9"/>
        <v>1041.8699999999999</v>
      </c>
    </row>
    <row r="100" spans="1:9" ht="13.2" x14ac:dyDescent="0.25">
      <c r="A100" s="11" t="s">
        <v>10</v>
      </c>
      <c r="B100" s="11" t="s">
        <v>109</v>
      </c>
      <c r="C100" s="9">
        <v>4700</v>
      </c>
      <c r="D100" s="11">
        <f t="shared" si="6"/>
        <v>4498.18</v>
      </c>
      <c r="E100" s="11">
        <f t="shared" si="7"/>
        <v>5346.21</v>
      </c>
      <c r="F100" s="11">
        <f t="shared" si="8"/>
        <v>3650.15</v>
      </c>
      <c r="G100" s="11">
        <f t="shared" si="10"/>
        <v>125</v>
      </c>
      <c r="H100" s="11">
        <f t="shared" si="11"/>
        <v>318.81</v>
      </c>
      <c r="I100" s="11">
        <f t="shared" si="9"/>
        <v>1041.8699999999999</v>
      </c>
    </row>
    <row r="101" spans="1:9" ht="13.2" x14ac:dyDescent="0.25">
      <c r="A101" s="11" t="s">
        <v>10</v>
      </c>
      <c r="B101" s="11" t="s">
        <v>110</v>
      </c>
      <c r="C101" s="9">
        <v>4430</v>
      </c>
      <c r="D101" s="11">
        <f t="shared" si="6"/>
        <v>4498.18</v>
      </c>
      <c r="E101" s="11">
        <f t="shared" si="7"/>
        <v>5346.21</v>
      </c>
      <c r="F101" s="11">
        <f t="shared" si="8"/>
        <v>3650.15</v>
      </c>
      <c r="G101" s="11">
        <f t="shared" si="10"/>
        <v>270</v>
      </c>
      <c r="H101" s="11">
        <f t="shared" si="11"/>
        <v>318.81</v>
      </c>
      <c r="I101" s="11">
        <f t="shared" si="9"/>
        <v>1041.8699999999999</v>
      </c>
    </row>
    <row r="102" spans="1:9" ht="13.2" x14ac:dyDescent="0.25">
      <c r="A102" s="11" t="s">
        <v>10</v>
      </c>
      <c r="B102" s="11" t="s">
        <v>111</v>
      </c>
      <c r="C102" s="9">
        <v>4850</v>
      </c>
      <c r="D102" s="11">
        <f t="shared" si="6"/>
        <v>4498.18</v>
      </c>
      <c r="E102" s="11">
        <f t="shared" si="7"/>
        <v>5346.21</v>
      </c>
      <c r="F102" s="11">
        <f t="shared" si="8"/>
        <v>3650.15</v>
      </c>
      <c r="G102" s="11">
        <f t="shared" si="10"/>
        <v>420</v>
      </c>
      <c r="H102" s="11">
        <f t="shared" si="11"/>
        <v>318.81</v>
      </c>
      <c r="I102" s="11">
        <f t="shared" si="9"/>
        <v>1041.8699999999999</v>
      </c>
    </row>
    <row r="103" spans="1:9" ht="13.2" x14ac:dyDescent="0.25">
      <c r="A103" s="11" t="s">
        <v>10</v>
      </c>
      <c r="B103" s="11" t="s">
        <v>112</v>
      </c>
      <c r="C103" s="9">
        <v>4850</v>
      </c>
      <c r="D103" s="11">
        <f t="shared" si="6"/>
        <v>4498.18</v>
      </c>
      <c r="E103" s="11">
        <f t="shared" si="7"/>
        <v>5346.21</v>
      </c>
      <c r="F103" s="11">
        <f t="shared" si="8"/>
        <v>3650.15</v>
      </c>
      <c r="G103" s="11">
        <f t="shared" si="10"/>
        <v>0</v>
      </c>
      <c r="H103" s="11">
        <f t="shared" si="11"/>
        <v>318.81</v>
      </c>
      <c r="I103" s="11">
        <f t="shared" si="9"/>
        <v>1041.8699999999999</v>
      </c>
    </row>
    <row r="104" spans="1:9" ht="13.2" x14ac:dyDescent="0.25">
      <c r="A104" s="11" t="s">
        <v>10</v>
      </c>
      <c r="B104" s="11" t="s">
        <v>113</v>
      </c>
      <c r="C104" s="9">
        <v>4570</v>
      </c>
      <c r="D104" s="11">
        <f t="shared" si="6"/>
        <v>4498.18</v>
      </c>
      <c r="E104" s="11">
        <f t="shared" si="7"/>
        <v>5346.21</v>
      </c>
      <c r="F104" s="11">
        <f t="shared" si="8"/>
        <v>3650.15</v>
      </c>
      <c r="G104" s="11">
        <f t="shared" si="10"/>
        <v>280</v>
      </c>
      <c r="H104" s="11">
        <f t="shared" si="11"/>
        <v>318.81</v>
      </c>
      <c r="I104" s="11">
        <f t="shared" si="9"/>
        <v>1041.8699999999999</v>
      </c>
    </row>
    <row r="105" spans="1:9" ht="13.2" x14ac:dyDescent="0.25">
      <c r="A105" s="11" t="s">
        <v>10</v>
      </c>
      <c r="B105" s="11" t="s">
        <v>114</v>
      </c>
      <c r="C105" s="9">
        <v>4570</v>
      </c>
      <c r="D105" s="11">
        <f t="shared" si="6"/>
        <v>4498.18</v>
      </c>
      <c r="E105" s="11">
        <f t="shared" si="7"/>
        <v>5346.21</v>
      </c>
      <c r="F105" s="11">
        <f t="shared" si="8"/>
        <v>3650.15</v>
      </c>
      <c r="G105" s="11">
        <f t="shared" si="10"/>
        <v>0</v>
      </c>
      <c r="H105" s="11">
        <f t="shared" si="11"/>
        <v>318.81</v>
      </c>
      <c r="I105" s="11">
        <f t="shared" si="9"/>
        <v>1041.8699999999999</v>
      </c>
    </row>
    <row r="106" spans="1:9" ht="13.2" x14ac:dyDescent="0.25">
      <c r="A106" s="11" t="s">
        <v>10</v>
      </c>
      <c r="B106" s="11" t="s">
        <v>115</v>
      </c>
      <c r="C106" s="9">
        <v>4855</v>
      </c>
      <c r="D106" s="11">
        <f t="shared" si="6"/>
        <v>4498.18</v>
      </c>
      <c r="E106" s="11">
        <f t="shared" si="7"/>
        <v>5346.21</v>
      </c>
      <c r="F106" s="11">
        <f t="shared" si="8"/>
        <v>3650.15</v>
      </c>
      <c r="G106" s="11">
        <f t="shared" si="10"/>
        <v>285</v>
      </c>
      <c r="H106" s="11">
        <f t="shared" si="11"/>
        <v>318.81</v>
      </c>
      <c r="I106" s="11">
        <f t="shared" si="9"/>
        <v>1041.8699999999999</v>
      </c>
    </row>
    <row r="107" spans="1:9" ht="13.2" x14ac:dyDescent="0.25">
      <c r="A107" s="11" t="s">
        <v>10</v>
      </c>
      <c r="B107" s="11" t="s">
        <v>116</v>
      </c>
      <c r="C107" s="9">
        <v>4160</v>
      </c>
      <c r="D107" s="11">
        <f t="shared" si="6"/>
        <v>4498.18</v>
      </c>
      <c r="E107" s="11">
        <f t="shared" si="7"/>
        <v>5346.21</v>
      </c>
      <c r="F107" s="11">
        <f t="shared" si="8"/>
        <v>3650.15</v>
      </c>
      <c r="G107" s="11">
        <f t="shared" si="10"/>
        <v>695</v>
      </c>
      <c r="H107" s="11">
        <f t="shared" si="11"/>
        <v>318.81</v>
      </c>
      <c r="I107" s="11">
        <f t="shared" si="9"/>
        <v>1041.8699999999999</v>
      </c>
    </row>
    <row r="108" spans="1:9" ht="13.2" x14ac:dyDescent="0.25">
      <c r="A108" s="11" t="s">
        <v>10</v>
      </c>
      <c r="B108" s="11" t="s">
        <v>117</v>
      </c>
      <c r="C108" s="9">
        <v>4325</v>
      </c>
      <c r="D108" s="11">
        <f t="shared" si="6"/>
        <v>4498.18</v>
      </c>
      <c r="E108" s="11">
        <f t="shared" si="7"/>
        <v>5346.21</v>
      </c>
      <c r="F108" s="11">
        <f t="shared" si="8"/>
        <v>3650.15</v>
      </c>
      <c r="G108" s="11">
        <f t="shared" si="10"/>
        <v>165</v>
      </c>
      <c r="H108" s="11">
        <f t="shared" si="11"/>
        <v>318.81</v>
      </c>
      <c r="I108" s="11">
        <f t="shared" si="9"/>
        <v>1041.8699999999999</v>
      </c>
    </row>
    <row r="109" spans="1:9" ht="13.2" x14ac:dyDescent="0.25">
      <c r="A109" s="11" t="s">
        <v>10</v>
      </c>
      <c r="B109" s="11" t="s">
        <v>118</v>
      </c>
      <c r="C109" s="9">
        <v>4125</v>
      </c>
      <c r="D109" s="11">
        <f t="shared" si="6"/>
        <v>4498.18</v>
      </c>
      <c r="E109" s="11">
        <f t="shared" si="7"/>
        <v>5346.21</v>
      </c>
      <c r="F109" s="11">
        <f t="shared" si="8"/>
        <v>3650.15</v>
      </c>
      <c r="G109" s="11">
        <f t="shared" si="10"/>
        <v>200</v>
      </c>
      <c r="H109" s="11">
        <f t="shared" si="11"/>
        <v>318.81</v>
      </c>
      <c r="I109" s="11">
        <f t="shared" si="9"/>
        <v>1041.8699999999999</v>
      </c>
    </row>
    <row r="110" spans="1:9" ht="13.2" x14ac:dyDescent="0.25">
      <c r="A110" s="11" t="s">
        <v>10</v>
      </c>
      <c r="B110" s="11" t="s">
        <v>119</v>
      </c>
      <c r="C110" s="9">
        <v>4100</v>
      </c>
      <c r="D110" s="11">
        <f t="shared" si="6"/>
        <v>4498.18</v>
      </c>
      <c r="E110" s="11">
        <f t="shared" si="7"/>
        <v>5346.21</v>
      </c>
      <c r="F110" s="11">
        <f t="shared" si="8"/>
        <v>3650.15</v>
      </c>
      <c r="G110" s="11">
        <f t="shared" si="10"/>
        <v>25</v>
      </c>
      <c r="H110" s="11">
        <f t="shared" si="11"/>
        <v>318.81</v>
      </c>
      <c r="I110" s="11">
        <f t="shared" si="9"/>
        <v>1041.8699999999999</v>
      </c>
    </row>
    <row r="111" spans="1:9" ht="13.2" x14ac:dyDescent="0.25">
      <c r="A111" s="11" t="s">
        <v>10</v>
      </c>
      <c r="B111" s="11" t="s">
        <v>120</v>
      </c>
      <c r="C111" s="9">
        <v>4340</v>
      </c>
      <c r="D111" s="11">
        <f t="shared" si="6"/>
        <v>4498.18</v>
      </c>
      <c r="E111" s="11">
        <f t="shared" si="7"/>
        <v>5346.21</v>
      </c>
      <c r="F111" s="11">
        <f t="shared" si="8"/>
        <v>3650.15</v>
      </c>
      <c r="G111" s="11">
        <f t="shared" si="10"/>
        <v>240</v>
      </c>
      <c r="H111" s="11">
        <f t="shared" si="11"/>
        <v>318.81</v>
      </c>
      <c r="I111" s="11">
        <f t="shared" si="9"/>
        <v>1041.8699999999999</v>
      </c>
    </row>
    <row r="112" spans="1:9" ht="13.2" x14ac:dyDescent="0.25">
      <c r="A112" s="11" t="s">
        <v>10</v>
      </c>
      <c r="B112" s="11" t="s">
        <v>121</v>
      </c>
      <c r="C112" s="9">
        <v>4575</v>
      </c>
      <c r="D112" s="11">
        <f t="shared" si="6"/>
        <v>4498.18</v>
      </c>
      <c r="E112" s="11">
        <f t="shared" si="7"/>
        <v>5346.21</v>
      </c>
      <c r="F112" s="11">
        <f t="shared" si="8"/>
        <v>3650.15</v>
      </c>
      <c r="G112" s="11">
        <f t="shared" si="10"/>
        <v>235</v>
      </c>
      <c r="H112" s="11">
        <f t="shared" si="11"/>
        <v>318.81</v>
      </c>
      <c r="I112" s="11">
        <f t="shared" si="9"/>
        <v>1041.8699999999999</v>
      </c>
    </row>
    <row r="113" spans="1:9" ht="13.2" x14ac:dyDescent="0.25">
      <c r="A113" s="11" t="s">
        <v>10</v>
      </c>
      <c r="B113" s="11" t="s">
        <v>122</v>
      </c>
      <c r="C113" s="9">
        <v>3875</v>
      </c>
      <c r="D113" s="11">
        <f t="shared" si="6"/>
        <v>4498.18</v>
      </c>
      <c r="E113" s="11">
        <f t="shared" si="7"/>
        <v>5346.21</v>
      </c>
      <c r="F113" s="11">
        <f t="shared" si="8"/>
        <v>3650.15</v>
      </c>
      <c r="G113" s="11">
        <f t="shared" si="10"/>
        <v>700</v>
      </c>
      <c r="H113" s="11">
        <f t="shared" si="11"/>
        <v>318.81</v>
      </c>
      <c r="I113" s="11">
        <f t="shared" si="9"/>
        <v>1041.8699999999999</v>
      </c>
    </row>
    <row r="114" spans="1:9" ht="13.2" x14ac:dyDescent="0.25">
      <c r="A114" s="11" t="s">
        <v>10</v>
      </c>
      <c r="B114" s="11" t="s">
        <v>123</v>
      </c>
      <c r="C114" s="9">
        <v>4050</v>
      </c>
      <c r="D114" s="11">
        <f t="shared" si="6"/>
        <v>4498.18</v>
      </c>
      <c r="E114" s="11">
        <f t="shared" si="7"/>
        <v>5346.21</v>
      </c>
      <c r="F114" s="11">
        <f t="shared" si="8"/>
        <v>3650.15</v>
      </c>
      <c r="G114" s="11">
        <f t="shared" si="10"/>
        <v>175</v>
      </c>
      <c r="H114" s="11">
        <f t="shared" si="11"/>
        <v>318.81</v>
      </c>
      <c r="I114" s="11">
        <f t="shared" si="9"/>
        <v>1041.8699999999999</v>
      </c>
    </row>
    <row r="115" spans="1:9" ht="13.2" x14ac:dyDescent="0.25">
      <c r="A115" s="11" t="s">
        <v>10</v>
      </c>
      <c r="B115" s="11" t="s">
        <v>124</v>
      </c>
      <c r="C115" s="9">
        <v>4050</v>
      </c>
      <c r="D115" s="11">
        <f t="shared" si="6"/>
        <v>4498.18</v>
      </c>
      <c r="E115" s="11">
        <f t="shared" si="7"/>
        <v>5346.21</v>
      </c>
      <c r="F115" s="11">
        <f t="shared" si="8"/>
        <v>3650.15</v>
      </c>
      <c r="G115" s="11">
        <f t="shared" si="10"/>
        <v>0</v>
      </c>
      <c r="H115" s="11">
        <f t="shared" si="11"/>
        <v>318.81</v>
      </c>
      <c r="I115" s="11">
        <f t="shared" si="9"/>
        <v>1041.8699999999999</v>
      </c>
    </row>
    <row r="116" spans="1:9" ht="13.2" x14ac:dyDescent="0.25">
      <c r="A116" s="11" t="s">
        <v>10</v>
      </c>
      <c r="B116" s="11" t="s">
        <v>125</v>
      </c>
      <c r="C116" s="9">
        <v>4685</v>
      </c>
      <c r="D116" s="11">
        <f t="shared" si="6"/>
        <v>4498.18</v>
      </c>
      <c r="E116" s="11">
        <f t="shared" si="7"/>
        <v>5346.21</v>
      </c>
      <c r="F116" s="11">
        <f t="shared" si="8"/>
        <v>3650.15</v>
      </c>
      <c r="G116" s="11">
        <f t="shared" si="10"/>
        <v>635</v>
      </c>
      <c r="H116" s="11">
        <f t="shared" si="11"/>
        <v>318.81</v>
      </c>
      <c r="I116" s="11">
        <f t="shared" si="9"/>
        <v>1041.8699999999999</v>
      </c>
    </row>
    <row r="117" spans="1:9" ht="13.2" x14ac:dyDescent="0.25">
      <c r="A117" s="11" t="s">
        <v>10</v>
      </c>
      <c r="B117" s="11" t="s">
        <v>126</v>
      </c>
      <c r="C117" s="9">
        <v>4685</v>
      </c>
      <c r="D117" s="11">
        <f t="shared" si="6"/>
        <v>4498.18</v>
      </c>
      <c r="E117" s="11">
        <f t="shared" si="7"/>
        <v>5346.21</v>
      </c>
      <c r="F117" s="11">
        <f t="shared" si="8"/>
        <v>3650.15</v>
      </c>
      <c r="G117" s="11">
        <f t="shared" si="10"/>
        <v>0</v>
      </c>
      <c r="H117" s="11">
        <f t="shared" si="11"/>
        <v>318.81</v>
      </c>
      <c r="I117" s="11">
        <f t="shared" si="9"/>
        <v>1041.8699999999999</v>
      </c>
    </row>
    <row r="118" spans="1:9" ht="13.2" x14ac:dyDescent="0.25">
      <c r="A118" s="11" t="s">
        <v>10</v>
      </c>
      <c r="B118" s="11" t="s">
        <v>127</v>
      </c>
      <c r="C118" s="9">
        <v>4430</v>
      </c>
      <c r="D118" s="11">
        <f t="shared" si="6"/>
        <v>4498.18</v>
      </c>
      <c r="E118" s="11">
        <f t="shared" si="7"/>
        <v>5346.21</v>
      </c>
      <c r="F118" s="11">
        <f t="shared" si="8"/>
        <v>3650.15</v>
      </c>
      <c r="G118" s="11">
        <f t="shared" si="10"/>
        <v>255</v>
      </c>
      <c r="H118" s="11">
        <f t="shared" si="11"/>
        <v>318.81</v>
      </c>
      <c r="I118" s="11">
        <f t="shared" si="9"/>
        <v>1041.8699999999999</v>
      </c>
    </row>
    <row r="119" spans="1:9" ht="13.2" x14ac:dyDescent="0.25">
      <c r="A119" s="11" t="s">
        <v>10</v>
      </c>
      <c r="B119" s="11" t="s">
        <v>128</v>
      </c>
      <c r="C119" s="9">
        <v>4300</v>
      </c>
      <c r="D119" s="11">
        <f t="shared" si="6"/>
        <v>4498.18</v>
      </c>
      <c r="E119" s="11">
        <f t="shared" si="7"/>
        <v>5346.21</v>
      </c>
      <c r="F119" s="11">
        <f t="shared" si="8"/>
        <v>3650.15</v>
      </c>
      <c r="G119" s="11">
        <f t="shared" si="10"/>
        <v>130</v>
      </c>
      <c r="H119" s="11">
        <f t="shared" si="11"/>
        <v>318.81</v>
      </c>
      <c r="I119" s="11">
        <f t="shared" si="9"/>
        <v>1041.8699999999999</v>
      </c>
    </row>
    <row r="120" spans="1:9" ht="13.2" x14ac:dyDescent="0.25">
      <c r="A120" s="11" t="s">
        <v>10</v>
      </c>
      <c r="B120" s="11" t="s">
        <v>129</v>
      </c>
      <c r="C120" s="9">
        <v>4690</v>
      </c>
      <c r="D120" s="11">
        <f t="shared" si="6"/>
        <v>4498.18</v>
      </c>
      <c r="E120" s="11">
        <f t="shared" si="7"/>
        <v>5346.21</v>
      </c>
      <c r="F120" s="11">
        <f t="shared" si="8"/>
        <v>3650.15</v>
      </c>
      <c r="G120" s="11">
        <f t="shared" si="10"/>
        <v>390</v>
      </c>
      <c r="H120" s="11">
        <f t="shared" si="11"/>
        <v>318.81</v>
      </c>
      <c r="I120" s="11">
        <f t="shared" si="9"/>
        <v>1041.8699999999999</v>
      </c>
    </row>
    <row r="121" spans="1:9" ht="13.2" x14ac:dyDescent="0.25">
      <c r="A121" s="11" t="s">
        <v>10</v>
      </c>
      <c r="B121" s="11" t="s">
        <v>130</v>
      </c>
      <c r="C121" s="9">
        <v>4560</v>
      </c>
      <c r="D121" s="11">
        <f t="shared" si="6"/>
        <v>4498.18</v>
      </c>
      <c r="E121" s="11">
        <f t="shared" si="7"/>
        <v>5346.21</v>
      </c>
      <c r="F121" s="11">
        <f t="shared" si="8"/>
        <v>3650.15</v>
      </c>
      <c r="G121" s="11">
        <f t="shared" si="10"/>
        <v>130</v>
      </c>
      <c r="H121" s="11">
        <f t="shared" si="11"/>
        <v>318.81</v>
      </c>
      <c r="I121" s="11">
        <f t="shared" si="9"/>
        <v>1041.8699999999999</v>
      </c>
    </row>
    <row r="122" spans="1:9" ht="13.2" x14ac:dyDescent="0.25">
      <c r="A122" s="11" t="s">
        <v>10</v>
      </c>
      <c r="B122" s="11" t="s">
        <v>131</v>
      </c>
      <c r="C122" s="9">
        <v>3075</v>
      </c>
      <c r="D122" s="11">
        <f t="shared" si="6"/>
        <v>4498.18</v>
      </c>
      <c r="E122" s="11">
        <f t="shared" si="7"/>
        <v>5346.21</v>
      </c>
      <c r="F122" s="11">
        <f t="shared" si="8"/>
        <v>3650.15</v>
      </c>
      <c r="G122" s="11">
        <f t="shared" si="10"/>
        <v>1485</v>
      </c>
      <c r="H122" s="11">
        <f t="shared" si="11"/>
        <v>318.81</v>
      </c>
      <c r="I122" s="11">
        <f t="shared" si="9"/>
        <v>1041.8699999999999</v>
      </c>
    </row>
    <row r="123" spans="1:9" ht="13.2" x14ac:dyDescent="0.25">
      <c r="A123" s="11" t="s">
        <v>10</v>
      </c>
      <c r="B123" s="11" t="s">
        <v>132</v>
      </c>
      <c r="C123" s="9">
        <v>2965</v>
      </c>
      <c r="D123" s="11">
        <f t="shared" si="6"/>
        <v>4498.18</v>
      </c>
      <c r="E123" s="11">
        <f t="shared" si="7"/>
        <v>5346.21</v>
      </c>
      <c r="F123" s="11">
        <f t="shared" si="8"/>
        <v>3650.15</v>
      </c>
      <c r="G123" s="11">
        <f t="shared" si="10"/>
        <v>110</v>
      </c>
      <c r="H123" s="11">
        <f t="shared" si="11"/>
        <v>318.81</v>
      </c>
      <c r="I123" s="11">
        <f t="shared" si="9"/>
        <v>1041.8699999999999</v>
      </c>
    </row>
    <row r="124" spans="1:9" ht="13.2" x14ac:dyDescent="0.25">
      <c r="A124" s="11" t="s">
        <v>10</v>
      </c>
      <c r="B124" s="11" t="s">
        <v>133</v>
      </c>
      <c r="C124" s="9">
        <v>4080</v>
      </c>
      <c r="D124" s="11">
        <f t="shared" si="6"/>
        <v>4498.18</v>
      </c>
      <c r="E124" s="11">
        <f t="shared" si="7"/>
        <v>5346.21</v>
      </c>
      <c r="F124" s="11">
        <f t="shared" si="8"/>
        <v>3650.15</v>
      </c>
      <c r="G124" s="11">
        <f t="shared" si="10"/>
        <v>1115</v>
      </c>
      <c r="H124" s="11">
        <f t="shared" si="11"/>
        <v>318.81</v>
      </c>
      <c r="I124" s="11">
        <f t="shared" si="9"/>
        <v>1041.8699999999999</v>
      </c>
    </row>
    <row r="125" spans="1:9" ht="13.2" x14ac:dyDescent="0.25">
      <c r="A125" s="11" t="s">
        <v>10</v>
      </c>
      <c r="B125" s="11" t="s">
        <v>134</v>
      </c>
      <c r="C125" s="9">
        <v>4080</v>
      </c>
      <c r="D125" s="11">
        <f t="shared" si="6"/>
        <v>4498.18</v>
      </c>
      <c r="E125" s="11">
        <f t="shared" si="7"/>
        <v>5346.21</v>
      </c>
      <c r="F125" s="11">
        <f t="shared" si="8"/>
        <v>3650.15</v>
      </c>
      <c r="G125" s="11">
        <f t="shared" si="10"/>
        <v>0</v>
      </c>
      <c r="H125" s="11">
        <f t="shared" si="11"/>
        <v>318.81</v>
      </c>
      <c r="I125" s="11">
        <f t="shared" si="9"/>
        <v>1041.8699999999999</v>
      </c>
    </row>
    <row r="126" spans="1:9" ht="13.2" x14ac:dyDescent="0.25">
      <c r="A126" s="11" t="s">
        <v>10</v>
      </c>
      <c r="B126" s="11" t="s">
        <v>135</v>
      </c>
      <c r="C126" s="9">
        <v>4425</v>
      </c>
      <c r="D126" s="11">
        <f t="shared" si="6"/>
        <v>4498.18</v>
      </c>
      <c r="E126" s="11">
        <f t="shared" si="7"/>
        <v>5346.21</v>
      </c>
      <c r="F126" s="11">
        <f t="shared" si="8"/>
        <v>3650.15</v>
      </c>
      <c r="G126" s="11">
        <f t="shared" si="10"/>
        <v>345</v>
      </c>
      <c r="H126" s="11">
        <f t="shared" si="11"/>
        <v>318.81</v>
      </c>
      <c r="I126" s="11">
        <f t="shared" si="9"/>
        <v>1041.8699999999999</v>
      </c>
    </row>
    <row r="127" spans="1:9" ht="13.2" x14ac:dyDescent="0.25">
      <c r="A127" s="11" t="s">
        <v>10</v>
      </c>
      <c r="B127" s="11" t="s">
        <v>136</v>
      </c>
      <c r="C127" s="9">
        <v>4300</v>
      </c>
      <c r="D127" s="11">
        <f t="shared" si="6"/>
        <v>4498.18</v>
      </c>
      <c r="E127" s="11">
        <f t="shared" si="7"/>
        <v>5346.21</v>
      </c>
      <c r="F127" s="11">
        <f t="shared" si="8"/>
        <v>3650.15</v>
      </c>
      <c r="G127" s="11">
        <f t="shared" si="10"/>
        <v>125</v>
      </c>
      <c r="H127" s="11">
        <f t="shared" si="11"/>
        <v>318.81</v>
      </c>
      <c r="I127" s="11">
        <f t="shared" si="9"/>
        <v>1041.8699999999999</v>
      </c>
    </row>
    <row r="128" spans="1:9" ht="13.2" x14ac:dyDescent="0.25">
      <c r="A128" s="11" t="s">
        <v>10</v>
      </c>
      <c r="B128" s="11" t="s">
        <v>137</v>
      </c>
      <c r="C128" s="9">
        <v>4430</v>
      </c>
      <c r="D128" s="11">
        <f t="shared" si="6"/>
        <v>4498.18</v>
      </c>
      <c r="E128" s="11">
        <f t="shared" si="7"/>
        <v>5346.21</v>
      </c>
      <c r="F128" s="11">
        <f t="shared" si="8"/>
        <v>3650.15</v>
      </c>
      <c r="G128" s="11">
        <f t="shared" si="10"/>
        <v>130</v>
      </c>
      <c r="H128" s="11">
        <f t="shared" si="11"/>
        <v>318.81</v>
      </c>
      <c r="I128" s="11">
        <f t="shared" si="9"/>
        <v>1041.8699999999999</v>
      </c>
    </row>
    <row r="129" spans="1:9" ht="13.2" x14ac:dyDescent="0.25">
      <c r="A129" s="11" t="s">
        <v>10</v>
      </c>
      <c r="B129" s="11" t="s">
        <v>138</v>
      </c>
      <c r="C129" s="9">
        <v>4840</v>
      </c>
      <c r="D129" s="11">
        <f t="shared" si="6"/>
        <v>4498.18</v>
      </c>
      <c r="E129" s="11">
        <f t="shared" si="7"/>
        <v>5346.21</v>
      </c>
      <c r="F129" s="11">
        <f t="shared" si="8"/>
        <v>3650.15</v>
      </c>
      <c r="G129" s="11">
        <f t="shared" si="10"/>
        <v>410</v>
      </c>
      <c r="H129" s="11">
        <f t="shared" si="11"/>
        <v>318.81</v>
      </c>
      <c r="I129" s="11">
        <f t="shared" si="9"/>
        <v>1041.8699999999999</v>
      </c>
    </row>
    <row r="130" spans="1:9" ht="13.2" x14ac:dyDescent="0.25">
      <c r="A130" s="11" t="s">
        <v>10</v>
      </c>
      <c r="B130" s="11" t="s">
        <v>139</v>
      </c>
      <c r="C130" s="9">
        <v>4840</v>
      </c>
      <c r="D130" s="11">
        <f t="shared" ref="D130:D193" si="12">ROUND(AVERAGE($C$2:$C$205),2)</f>
        <v>4498.18</v>
      </c>
      <c r="E130" s="11">
        <f t="shared" ref="E130:E193" si="13">ROUND(D130+(2.66*H130),2)</f>
        <v>5346.21</v>
      </c>
      <c r="F130" s="11">
        <f t="shared" ref="F130:F193" si="14">ROUND(D130-(2.66*H130),2)</f>
        <v>3650.15</v>
      </c>
      <c r="G130" s="11">
        <f t="shared" si="10"/>
        <v>0</v>
      </c>
      <c r="H130" s="11">
        <f t="shared" si="11"/>
        <v>318.81</v>
      </c>
      <c r="I130" s="11">
        <f t="shared" ref="I130:I193" si="15">ROUND(3.268*H130,2)</f>
        <v>1041.8699999999999</v>
      </c>
    </row>
    <row r="131" spans="1:9" ht="13.2" x14ac:dyDescent="0.25">
      <c r="A131" s="11" t="s">
        <v>10</v>
      </c>
      <c r="B131" s="11" t="s">
        <v>140</v>
      </c>
      <c r="C131" s="9">
        <v>4310</v>
      </c>
      <c r="D131" s="11">
        <f t="shared" si="12"/>
        <v>4498.18</v>
      </c>
      <c r="E131" s="11">
        <f t="shared" si="13"/>
        <v>5346.21</v>
      </c>
      <c r="F131" s="11">
        <f t="shared" si="14"/>
        <v>3650.15</v>
      </c>
      <c r="G131" s="11">
        <f t="shared" ref="G131:G194" si="16">ABS(C130-C131)</f>
        <v>530</v>
      </c>
      <c r="H131" s="11">
        <f t="shared" ref="H131:H194" si="17">ROUND(AVERAGE($G$3:$G$205),2)</f>
        <v>318.81</v>
      </c>
      <c r="I131" s="11">
        <f t="shared" si="15"/>
        <v>1041.8699999999999</v>
      </c>
    </row>
    <row r="132" spans="1:9" ht="13.2" x14ac:dyDescent="0.25">
      <c r="A132" s="11" t="s">
        <v>10</v>
      </c>
      <c r="B132" s="11" t="s">
        <v>141</v>
      </c>
      <c r="C132" s="9">
        <v>4185</v>
      </c>
      <c r="D132" s="11">
        <f t="shared" si="12"/>
        <v>4498.18</v>
      </c>
      <c r="E132" s="11">
        <f t="shared" si="13"/>
        <v>5346.21</v>
      </c>
      <c r="F132" s="11">
        <f t="shared" si="14"/>
        <v>3650.15</v>
      </c>
      <c r="G132" s="11">
        <f t="shared" si="16"/>
        <v>125</v>
      </c>
      <c r="H132" s="11">
        <f t="shared" si="17"/>
        <v>318.81</v>
      </c>
      <c r="I132" s="11">
        <f t="shared" si="15"/>
        <v>1041.8699999999999</v>
      </c>
    </row>
    <row r="133" spans="1:9" ht="13.2" x14ac:dyDescent="0.25">
      <c r="A133" s="11" t="s">
        <v>10</v>
      </c>
      <c r="B133" s="11" t="s">
        <v>142</v>
      </c>
      <c r="C133" s="9">
        <v>4570</v>
      </c>
      <c r="D133" s="11">
        <f t="shared" si="12"/>
        <v>4498.18</v>
      </c>
      <c r="E133" s="11">
        <f t="shared" si="13"/>
        <v>5346.21</v>
      </c>
      <c r="F133" s="11">
        <f t="shared" si="14"/>
        <v>3650.15</v>
      </c>
      <c r="G133" s="11">
        <f t="shared" si="16"/>
        <v>385</v>
      </c>
      <c r="H133" s="11">
        <f t="shared" si="17"/>
        <v>318.81</v>
      </c>
      <c r="I133" s="11">
        <f t="shared" si="15"/>
        <v>1041.8699999999999</v>
      </c>
    </row>
    <row r="134" spans="1:9" ht="13.2" x14ac:dyDescent="0.25">
      <c r="A134" s="11" t="s">
        <v>10</v>
      </c>
      <c r="B134" s="11" t="s">
        <v>143</v>
      </c>
      <c r="C134" s="9">
        <v>4700</v>
      </c>
      <c r="D134" s="11">
        <f t="shared" si="12"/>
        <v>4498.18</v>
      </c>
      <c r="E134" s="11">
        <f t="shared" si="13"/>
        <v>5346.21</v>
      </c>
      <c r="F134" s="11">
        <f t="shared" si="14"/>
        <v>3650.15</v>
      </c>
      <c r="G134" s="11">
        <f t="shared" si="16"/>
        <v>130</v>
      </c>
      <c r="H134" s="11">
        <f t="shared" si="17"/>
        <v>318.81</v>
      </c>
      <c r="I134" s="11">
        <f t="shared" si="15"/>
        <v>1041.8699999999999</v>
      </c>
    </row>
    <row r="135" spans="1:9" ht="13.2" x14ac:dyDescent="0.25">
      <c r="A135" s="11" t="s">
        <v>10</v>
      </c>
      <c r="B135" s="11" t="s">
        <v>144</v>
      </c>
      <c r="C135" s="9">
        <v>4440</v>
      </c>
      <c r="D135" s="11">
        <f t="shared" si="12"/>
        <v>4498.18</v>
      </c>
      <c r="E135" s="11">
        <f t="shared" si="13"/>
        <v>5346.21</v>
      </c>
      <c r="F135" s="11">
        <f t="shared" si="14"/>
        <v>3650.15</v>
      </c>
      <c r="G135" s="11">
        <f t="shared" si="16"/>
        <v>260</v>
      </c>
      <c r="H135" s="11">
        <f t="shared" si="17"/>
        <v>318.81</v>
      </c>
      <c r="I135" s="11">
        <f t="shared" si="15"/>
        <v>1041.8699999999999</v>
      </c>
    </row>
    <row r="136" spans="1:9" ht="13.2" x14ac:dyDescent="0.25">
      <c r="A136" s="11" t="s">
        <v>10</v>
      </c>
      <c r="B136" s="11" t="s">
        <v>145</v>
      </c>
      <c r="C136" s="9">
        <v>4850</v>
      </c>
      <c r="D136" s="11">
        <f t="shared" si="12"/>
        <v>4498.18</v>
      </c>
      <c r="E136" s="11">
        <f t="shared" si="13"/>
        <v>5346.21</v>
      </c>
      <c r="F136" s="11">
        <f t="shared" si="14"/>
        <v>3650.15</v>
      </c>
      <c r="G136" s="11">
        <f t="shared" si="16"/>
        <v>410</v>
      </c>
      <c r="H136" s="11">
        <f t="shared" si="17"/>
        <v>318.81</v>
      </c>
      <c r="I136" s="11">
        <f t="shared" si="15"/>
        <v>1041.8699999999999</v>
      </c>
    </row>
    <row r="137" spans="1:9" ht="13.2" x14ac:dyDescent="0.25">
      <c r="A137" s="11" t="s">
        <v>10</v>
      </c>
      <c r="B137" s="11" t="s">
        <v>146</v>
      </c>
      <c r="C137" s="9">
        <v>4125</v>
      </c>
      <c r="D137" s="11">
        <f t="shared" si="12"/>
        <v>4498.18</v>
      </c>
      <c r="E137" s="11">
        <f t="shared" si="13"/>
        <v>5346.21</v>
      </c>
      <c r="F137" s="11">
        <f t="shared" si="14"/>
        <v>3650.15</v>
      </c>
      <c r="G137" s="11">
        <f t="shared" si="16"/>
        <v>725</v>
      </c>
      <c r="H137" s="11">
        <f t="shared" si="17"/>
        <v>318.81</v>
      </c>
      <c r="I137" s="11">
        <f t="shared" si="15"/>
        <v>1041.8699999999999</v>
      </c>
    </row>
    <row r="138" spans="1:9" ht="13.2" x14ac:dyDescent="0.25">
      <c r="A138" s="11" t="s">
        <v>10</v>
      </c>
      <c r="B138" s="11" t="s">
        <v>147</v>
      </c>
      <c r="C138" s="9">
        <v>4450</v>
      </c>
      <c r="D138" s="11">
        <f t="shared" si="12"/>
        <v>4498.18</v>
      </c>
      <c r="E138" s="11">
        <f t="shared" si="13"/>
        <v>5346.21</v>
      </c>
      <c r="F138" s="11">
        <f t="shared" si="14"/>
        <v>3650.15</v>
      </c>
      <c r="G138" s="11">
        <f t="shared" si="16"/>
        <v>325</v>
      </c>
      <c r="H138" s="11">
        <f t="shared" si="17"/>
        <v>318.81</v>
      </c>
      <c r="I138" s="11">
        <f t="shared" si="15"/>
        <v>1041.8699999999999</v>
      </c>
    </row>
    <row r="139" spans="1:9" ht="13.2" x14ac:dyDescent="0.25">
      <c r="A139" s="11" t="s">
        <v>10</v>
      </c>
      <c r="B139" s="11" t="s">
        <v>148</v>
      </c>
      <c r="C139" s="9">
        <v>4450</v>
      </c>
      <c r="D139" s="11">
        <f t="shared" si="12"/>
        <v>4498.18</v>
      </c>
      <c r="E139" s="11">
        <f t="shared" si="13"/>
        <v>5346.21</v>
      </c>
      <c r="F139" s="11">
        <f t="shared" si="14"/>
        <v>3650.15</v>
      </c>
      <c r="G139" s="11">
        <f t="shared" si="16"/>
        <v>0</v>
      </c>
      <c r="H139" s="11">
        <f t="shared" si="17"/>
        <v>318.81</v>
      </c>
      <c r="I139" s="11">
        <f t="shared" si="15"/>
        <v>1041.8699999999999</v>
      </c>
    </row>
    <row r="140" spans="1:9" ht="13.2" x14ac:dyDescent="0.25">
      <c r="A140" s="11" t="s">
        <v>10</v>
      </c>
      <c r="B140" s="11" t="s">
        <v>149</v>
      </c>
      <c r="C140" s="9">
        <v>4850</v>
      </c>
      <c r="D140" s="11">
        <f t="shared" si="12"/>
        <v>4498.18</v>
      </c>
      <c r="E140" s="11">
        <f t="shared" si="13"/>
        <v>5346.21</v>
      </c>
      <c r="F140" s="11">
        <f t="shared" si="14"/>
        <v>3650.15</v>
      </c>
      <c r="G140" s="11">
        <f t="shared" si="16"/>
        <v>400</v>
      </c>
      <c r="H140" s="11">
        <f t="shared" si="17"/>
        <v>318.81</v>
      </c>
      <c r="I140" s="11">
        <f t="shared" si="15"/>
        <v>1041.8699999999999</v>
      </c>
    </row>
    <row r="141" spans="1:9" ht="13.2" x14ac:dyDescent="0.25">
      <c r="A141" s="11" t="s">
        <v>10</v>
      </c>
      <c r="B141" s="11" t="s">
        <v>150</v>
      </c>
      <c r="C141" s="9">
        <v>4450</v>
      </c>
      <c r="D141" s="11">
        <f t="shared" si="12"/>
        <v>4498.18</v>
      </c>
      <c r="E141" s="11">
        <f t="shared" si="13"/>
        <v>5346.21</v>
      </c>
      <c r="F141" s="11">
        <f t="shared" si="14"/>
        <v>3650.15</v>
      </c>
      <c r="G141" s="11">
        <f t="shared" si="16"/>
        <v>400</v>
      </c>
      <c r="H141" s="11">
        <f t="shared" si="17"/>
        <v>318.81</v>
      </c>
      <c r="I141" s="11">
        <f t="shared" si="15"/>
        <v>1041.8699999999999</v>
      </c>
    </row>
    <row r="142" spans="1:9" ht="13.2" x14ac:dyDescent="0.25">
      <c r="A142" s="11" t="s">
        <v>10</v>
      </c>
      <c r="B142" s="11" t="s">
        <v>151</v>
      </c>
      <c r="C142" s="9">
        <v>3635</v>
      </c>
      <c r="D142" s="11">
        <f t="shared" si="12"/>
        <v>4498.18</v>
      </c>
      <c r="E142" s="11">
        <f t="shared" si="13"/>
        <v>5346.21</v>
      </c>
      <c r="F142" s="11">
        <f t="shared" si="14"/>
        <v>3650.15</v>
      </c>
      <c r="G142" s="11">
        <f t="shared" si="16"/>
        <v>815</v>
      </c>
      <c r="H142" s="11">
        <f t="shared" si="17"/>
        <v>318.81</v>
      </c>
      <c r="I142" s="11">
        <f t="shared" si="15"/>
        <v>1041.8699999999999</v>
      </c>
    </row>
    <row r="143" spans="1:9" ht="13.2" x14ac:dyDescent="0.25">
      <c r="A143" s="11" t="s">
        <v>10</v>
      </c>
      <c r="B143" s="11" t="s">
        <v>152</v>
      </c>
      <c r="C143" s="9">
        <v>3635</v>
      </c>
      <c r="D143" s="11">
        <f t="shared" si="12"/>
        <v>4498.18</v>
      </c>
      <c r="E143" s="11">
        <f t="shared" si="13"/>
        <v>5346.21</v>
      </c>
      <c r="F143" s="11">
        <f t="shared" si="14"/>
        <v>3650.15</v>
      </c>
      <c r="G143" s="11">
        <f t="shared" si="16"/>
        <v>0</v>
      </c>
      <c r="H143" s="11">
        <f t="shared" si="17"/>
        <v>318.81</v>
      </c>
      <c r="I143" s="11">
        <f t="shared" si="15"/>
        <v>1041.8699999999999</v>
      </c>
    </row>
    <row r="144" spans="1:9" ht="13.2" x14ac:dyDescent="0.25">
      <c r="A144" s="11" t="s">
        <v>10</v>
      </c>
      <c r="B144" s="11" t="s">
        <v>153</v>
      </c>
      <c r="C144" s="9">
        <v>3635</v>
      </c>
      <c r="D144" s="11">
        <f t="shared" si="12"/>
        <v>4498.18</v>
      </c>
      <c r="E144" s="11">
        <f t="shared" si="13"/>
        <v>5346.21</v>
      </c>
      <c r="F144" s="11">
        <f t="shared" si="14"/>
        <v>3650.15</v>
      </c>
      <c r="G144" s="11">
        <f t="shared" si="16"/>
        <v>0</v>
      </c>
      <c r="H144" s="11">
        <f t="shared" si="17"/>
        <v>318.81</v>
      </c>
      <c r="I144" s="11">
        <f t="shared" si="15"/>
        <v>1041.8699999999999</v>
      </c>
    </row>
    <row r="145" spans="1:9" ht="13.2" x14ac:dyDescent="0.25">
      <c r="A145" s="11" t="s">
        <v>10</v>
      </c>
      <c r="B145" s="11" t="s">
        <v>154</v>
      </c>
      <c r="C145" s="9">
        <v>3900</v>
      </c>
      <c r="D145" s="11">
        <f t="shared" si="12"/>
        <v>4498.18</v>
      </c>
      <c r="E145" s="11">
        <f t="shared" si="13"/>
        <v>5346.21</v>
      </c>
      <c r="F145" s="11">
        <f t="shared" si="14"/>
        <v>3650.15</v>
      </c>
      <c r="G145" s="11">
        <f t="shared" si="16"/>
        <v>265</v>
      </c>
      <c r="H145" s="11">
        <f t="shared" si="17"/>
        <v>318.81</v>
      </c>
      <c r="I145" s="11">
        <f t="shared" si="15"/>
        <v>1041.8699999999999</v>
      </c>
    </row>
    <row r="146" spans="1:9" ht="13.2" x14ac:dyDescent="0.25">
      <c r="A146" s="11" t="s">
        <v>10</v>
      </c>
      <c r="B146" s="11" t="s">
        <v>155</v>
      </c>
      <c r="C146" s="9">
        <v>4340</v>
      </c>
      <c r="D146" s="11">
        <f t="shared" si="12"/>
        <v>4498.18</v>
      </c>
      <c r="E146" s="11">
        <f t="shared" si="13"/>
        <v>5346.21</v>
      </c>
      <c r="F146" s="11">
        <f t="shared" si="14"/>
        <v>3650.15</v>
      </c>
      <c r="G146" s="11">
        <f t="shared" si="16"/>
        <v>440</v>
      </c>
      <c r="H146" s="11">
        <f t="shared" si="17"/>
        <v>318.81</v>
      </c>
      <c r="I146" s="11">
        <f t="shared" si="15"/>
        <v>1041.8699999999999</v>
      </c>
    </row>
    <row r="147" spans="1:9" ht="13.2" x14ac:dyDescent="0.25">
      <c r="A147" s="11" t="s">
        <v>10</v>
      </c>
      <c r="B147" s="11" t="s">
        <v>156</v>
      </c>
      <c r="C147" s="9">
        <v>4340</v>
      </c>
      <c r="D147" s="11">
        <f t="shared" si="12"/>
        <v>4498.18</v>
      </c>
      <c r="E147" s="11">
        <f t="shared" si="13"/>
        <v>5346.21</v>
      </c>
      <c r="F147" s="11">
        <f t="shared" si="14"/>
        <v>3650.15</v>
      </c>
      <c r="G147" s="11">
        <f t="shared" si="16"/>
        <v>0</v>
      </c>
      <c r="H147" s="11">
        <f t="shared" si="17"/>
        <v>318.81</v>
      </c>
      <c r="I147" s="11">
        <f t="shared" si="15"/>
        <v>1041.8699999999999</v>
      </c>
    </row>
    <row r="148" spans="1:9" ht="13.2" x14ac:dyDescent="0.25">
      <c r="A148" s="11" t="s">
        <v>10</v>
      </c>
      <c r="B148" s="11" t="s">
        <v>157</v>
      </c>
      <c r="C148" s="9">
        <v>3665</v>
      </c>
      <c r="D148" s="11">
        <f t="shared" si="12"/>
        <v>4498.18</v>
      </c>
      <c r="E148" s="11">
        <f t="shared" si="13"/>
        <v>5346.21</v>
      </c>
      <c r="F148" s="11">
        <f t="shared" si="14"/>
        <v>3650.15</v>
      </c>
      <c r="G148" s="11">
        <f t="shared" si="16"/>
        <v>675</v>
      </c>
      <c r="H148" s="11">
        <f t="shared" si="17"/>
        <v>318.81</v>
      </c>
      <c r="I148" s="11">
        <f t="shared" si="15"/>
        <v>1041.8699999999999</v>
      </c>
    </row>
    <row r="149" spans="1:9" ht="13.2" x14ac:dyDescent="0.25">
      <c r="A149" s="11" t="s">
        <v>10</v>
      </c>
      <c r="B149" s="11" t="s">
        <v>158</v>
      </c>
      <c r="C149" s="9">
        <v>3775</v>
      </c>
      <c r="D149" s="11">
        <f t="shared" si="12"/>
        <v>4498.18</v>
      </c>
      <c r="E149" s="11">
        <f t="shared" si="13"/>
        <v>5346.21</v>
      </c>
      <c r="F149" s="11">
        <f t="shared" si="14"/>
        <v>3650.15</v>
      </c>
      <c r="G149" s="11">
        <f t="shared" si="16"/>
        <v>110</v>
      </c>
      <c r="H149" s="11">
        <f t="shared" si="17"/>
        <v>318.81</v>
      </c>
      <c r="I149" s="11">
        <f t="shared" si="15"/>
        <v>1041.8699999999999</v>
      </c>
    </row>
    <row r="150" spans="1:9" ht="13.2" x14ac:dyDescent="0.25">
      <c r="A150" s="11" t="s">
        <v>10</v>
      </c>
      <c r="B150" s="11" t="s">
        <v>159</v>
      </c>
      <c r="C150" s="9">
        <v>5000</v>
      </c>
      <c r="D150" s="11">
        <f t="shared" si="12"/>
        <v>4498.18</v>
      </c>
      <c r="E150" s="11">
        <f t="shared" si="13"/>
        <v>5346.21</v>
      </c>
      <c r="F150" s="11">
        <f t="shared" si="14"/>
        <v>3650.15</v>
      </c>
      <c r="G150" s="11">
        <f t="shared" si="16"/>
        <v>1225</v>
      </c>
      <c r="H150" s="11">
        <f t="shared" si="17"/>
        <v>318.81</v>
      </c>
      <c r="I150" s="11">
        <f t="shared" si="15"/>
        <v>1041.8699999999999</v>
      </c>
    </row>
    <row r="151" spans="1:9" ht="13.2" x14ac:dyDescent="0.25">
      <c r="A151" s="11" t="s">
        <v>10</v>
      </c>
      <c r="B151" s="11" t="s">
        <v>160</v>
      </c>
      <c r="C151" s="9">
        <v>4850</v>
      </c>
      <c r="D151" s="11">
        <f t="shared" si="12"/>
        <v>4498.18</v>
      </c>
      <c r="E151" s="11">
        <f t="shared" si="13"/>
        <v>5346.21</v>
      </c>
      <c r="F151" s="11">
        <f t="shared" si="14"/>
        <v>3650.15</v>
      </c>
      <c r="G151" s="11">
        <f t="shared" si="16"/>
        <v>150</v>
      </c>
      <c r="H151" s="11">
        <f t="shared" si="17"/>
        <v>318.81</v>
      </c>
      <c r="I151" s="11">
        <f t="shared" si="15"/>
        <v>1041.8699999999999</v>
      </c>
    </row>
    <row r="152" spans="1:9" ht="13.2" x14ac:dyDescent="0.25">
      <c r="A152" s="11" t="s">
        <v>10</v>
      </c>
      <c r="B152" s="11" t="s">
        <v>161</v>
      </c>
      <c r="C152" s="9">
        <v>4775</v>
      </c>
      <c r="D152" s="11">
        <f t="shared" si="12"/>
        <v>4498.18</v>
      </c>
      <c r="E152" s="11">
        <f t="shared" si="13"/>
        <v>5346.21</v>
      </c>
      <c r="F152" s="11">
        <f t="shared" si="14"/>
        <v>3650.15</v>
      </c>
      <c r="G152" s="11">
        <f t="shared" si="16"/>
        <v>75</v>
      </c>
      <c r="H152" s="11">
        <f t="shared" si="17"/>
        <v>318.81</v>
      </c>
      <c r="I152" s="11">
        <f t="shared" si="15"/>
        <v>1041.8699999999999</v>
      </c>
    </row>
    <row r="153" spans="1:9" ht="13.2" x14ac:dyDescent="0.25">
      <c r="A153" s="11" t="s">
        <v>10</v>
      </c>
      <c r="B153" s="11" t="s">
        <v>162</v>
      </c>
      <c r="C153" s="9">
        <v>4500</v>
      </c>
      <c r="D153" s="11">
        <f t="shared" si="12"/>
        <v>4498.18</v>
      </c>
      <c r="E153" s="11">
        <f t="shared" si="13"/>
        <v>5346.21</v>
      </c>
      <c r="F153" s="11">
        <f t="shared" si="14"/>
        <v>3650.15</v>
      </c>
      <c r="G153" s="11">
        <f t="shared" si="16"/>
        <v>275</v>
      </c>
      <c r="H153" s="11">
        <f t="shared" si="17"/>
        <v>318.81</v>
      </c>
      <c r="I153" s="11">
        <f t="shared" si="15"/>
        <v>1041.8699999999999</v>
      </c>
    </row>
    <row r="154" spans="1:9" ht="13.2" x14ac:dyDescent="0.25">
      <c r="A154" s="11" t="s">
        <v>10</v>
      </c>
      <c r="B154" s="11" t="s">
        <v>163</v>
      </c>
      <c r="C154" s="9">
        <v>4770</v>
      </c>
      <c r="D154" s="11">
        <f t="shared" si="12"/>
        <v>4498.18</v>
      </c>
      <c r="E154" s="11">
        <f t="shared" si="13"/>
        <v>5346.21</v>
      </c>
      <c r="F154" s="11">
        <f t="shared" si="14"/>
        <v>3650.15</v>
      </c>
      <c r="G154" s="11">
        <f t="shared" si="16"/>
        <v>270</v>
      </c>
      <c r="H154" s="11">
        <f t="shared" si="17"/>
        <v>318.81</v>
      </c>
      <c r="I154" s="11">
        <f t="shared" si="15"/>
        <v>1041.8699999999999</v>
      </c>
    </row>
    <row r="155" spans="1:9" ht="13.2" x14ac:dyDescent="0.25">
      <c r="A155" s="11" t="s">
        <v>10</v>
      </c>
      <c r="B155" s="11" t="s">
        <v>164</v>
      </c>
      <c r="C155" s="9">
        <v>4500</v>
      </c>
      <c r="D155" s="11">
        <f t="shared" si="12"/>
        <v>4498.18</v>
      </c>
      <c r="E155" s="11">
        <f t="shared" si="13"/>
        <v>5346.21</v>
      </c>
      <c r="F155" s="11">
        <f t="shared" si="14"/>
        <v>3650.15</v>
      </c>
      <c r="G155" s="11">
        <f t="shared" si="16"/>
        <v>270</v>
      </c>
      <c r="H155" s="11">
        <f t="shared" si="17"/>
        <v>318.81</v>
      </c>
      <c r="I155" s="11">
        <f t="shared" si="15"/>
        <v>1041.8699999999999</v>
      </c>
    </row>
    <row r="156" spans="1:9" ht="13.2" x14ac:dyDescent="0.25">
      <c r="A156" s="11" t="s">
        <v>10</v>
      </c>
      <c r="B156" s="11" t="s">
        <v>165</v>
      </c>
      <c r="C156" s="9">
        <v>4770</v>
      </c>
      <c r="D156" s="11">
        <f t="shared" si="12"/>
        <v>4498.18</v>
      </c>
      <c r="E156" s="11">
        <f t="shared" si="13"/>
        <v>5346.21</v>
      </c>
      <c r="F156" s="11">
        <f t="shared" si="14"/>
        <v>3650.15</v>
      </c>
      <c r="G156" s="11">
        <f t="shared" si="16"/>
        <v>270</v>
      </c>
      <c r="H156" s="11">
        <f t="shared" si="17"/>
        <v>318.81</v>
      </c>
      <c r="I156" s="11">
        <f t="shared" si="15"/>
        <v>1041.8699999999999</v>
      </c>
    </row>
    <row r="157" spans="1:9" ht="13.2" x14ac:dyDescent="0.25">
      <c r="A157" s="11" t="s">
        <v>10</v>
      </c>
      <c r="B157" s="11" t="s">
        <v>166</v>
      </c>
      <c r="C157" s="9">
        <v>5150</v>
      </c>
      <c r="D157" s="11">
        <f t="shared" si="12"/>
        <v>4498.18</v>
      </c>
      <c r="E157" s="11">
        <f t="shared" si="13"/>
        <v>5346.21</v>
      </c>
      <c r="F157" s="11">
        <f t="shared" si="14"/>
        <v>3650.15</v>
      </c>
      <c r="G157" s="11">
        <f t="shared" si="16"/>
        <v>380</v>
      </c>
      <c r="H157" s="11">
        <f t="shared" si="17"/>
        <v>318.81</v>
      </c>
      <c r="I157" s="11">
        <f t="shared" si="15"/>
        <v>1041.8699999999999</v>
      </c>
    </row>
    <row r="158" spans="1:9" ht="13.2" x14ac:dyDescent="0.25">
      <c r="A158" s="11" t="s">
        <v>10</v>
      </c>
      <c r="B158" s="11" t="s">
        <v>167</v>
      </c>
      <c r="C158" s="9">
        <v>4850</v>
      </c>
      <c r="D158" s="11">
        <f t="shared" si="12"/>
        <v>4498.18</v>
      </c>
      <c r="E158" s="11">
        <f t="shared" si="13"/>
        <v>5346.21</v>
      </c>
      <c r="F158" s="11">
        <f t="shared" si="14"/>
        <v>3650.15</v>
      </c>
      <c r="G158" s="11">
        <f t="shared" si="16"/>
        <v>300</v>
      </c>
      <c r="H158" s="11">
        <f t="shared" si="17"/>
        <v>318.81</v>
      </c>
      <c r="I158" s="11">
        <f t="shared" si="15"/>
        <v>1041.8699999999999</v>
      </c>
    </row>
    <row r="159" spans="1:9" ht="13.2" x14ac:dyDescent="0.25">
      <c r="A159" s="11" t="s">
        <v>10</v>
      </c>
      <c r="B159" s="11" t="s">
        <v>168</v>
      </c>
      <c r="C159" s="9">
        <v>4700</v>
      </c>
      <c r="D159" s="11">
        <f t="shared" si="12"/>
        <v>4498.18</v>
      </c>
      <c r="E159" s="11">
        <f t="shared" si="13"/>
        <v>5346.21</v>
      </c>
      <c r="F159" s="11">
        <f t="shared" si="14"/>
        <v>3650.15</v>
      </c>
      <c r="G159" s="11">
        <f t="shared" si="16"/>
        <v>150</v>
      </c>
      <c r="H159" s="11">
        <f t="shared" si="17"/>
        <v>318.81</v>
      </c>
      <c r="I159" s="11">
        <f t="shared" si="15"/>
        <v>1041.8699999999999</v>
      </c>
    </row>
    <row r="160" spans="1:9" ht="13.2" x14ac:dyDescent="0.25">
      <c r="A160" s="11" t="s">
        <v>10</v>
      </c>
      <c r="B160" s="11" t="s">
        <v>169</v>
      </c>
      <c r="C160" s="9">
        <v>5000</v>
      </c>
      <c r="D160" s="11">
        <f t="shared" si="12"/>
        <v>4498.18</v>
      </c>
      <c r="E160" s="11">
        <f t="shared" si="13"/>
        <v>5346.21</v>
      </c>
      <c r="F160" s="11">
        <f t="shared" si="14"/>
        <v>3650.15</v>
      </c>
      <c r="G160" s="11">
        <f t="shared" si="16"/>
        <v>300</v>
      </c>
      <c r="H160" s="11">
        <f t="shared" si="17"/>
        <v>318.81</v>
      </c>
      <c r="I160" s="11">
        <f t="shared" si="15"/>
        <v>1041.8699999999999</v>
      </c>
    </row>
    <row r="161" spans="1:9" ht="13.2" x14ac:dyDescent="0.25">
      <c r="A161" s="11" t="s">
        <v>10</v>
      </c>
      <c r="B161" s="11" t="s">
        <v>170</v>
      </c>
      <c r="C161" s="9">
        <v>5000</v>
      </c>
      <c r="D161" s="11">
        <f t="shared" si="12"/>
        <v>4498.18</v>
      </c>
      <c r="E161" s="11">
        <f t="shared" si="13"/>
        <v>5346.21</v>
      </c>
      <c r="F161" s="11">
        <f t="shared" si="14"/>
        <v>3650.15</v>
      </c>
      <c r="G161" s="11">
        <f t="shared" si="16"/>
        <v>0</v>
      </c>
      <c r="H161" s="11">
        <f t="shared" si="17"/>
        <v>318.81</v>
      </c>
      <c r="I161" s="11">
        <f t="shared" si="15"/>
        <v>1041.8699999999999</v>
      </c>
    </row>
    <row r="162" spans="1:9" ht="13.2" x14ac:dyDescent="0.25">
      <c r="A162" s="11" t="s">
        <v>10</v>
      </c>
      <c r="B162" s="11" t="s">
        <v>171</v>
      </c>
      <c r="C162" s="9">
        <v>5000</v>
      </c>
      <c r="D162" s="11">
        <f t="shared" si="12"/>
        <v>4498.18</v>
      </c>
      <c r="E162" s="11">
        <f t="shared" si="13"/>
        <v>5346.21</v>
      </c>
      <c r="F162" s="11">
        <f t="shared" si="14"/>
        <v>3650.15</v>
      </c>
      <c r="G162" s="11">
        <f t="shared" si="16"/>
        <v>0</v>
      </c>
      <c r="H162" s="11">
        <f t="shared" si="17"/>
        <v>318.81</v>
      </c>
      <c r="I162" s="11">
        <f t="shared" si="15"/>
        <v>1041.8699999999999</v>
      </c>
    </row>
    <row r="163" spans="1:9" ht="13.2" x14ac:dyDescent="0.25">
      <c r="A163" s="11" t="s">
        <v>10</v>
      </c>
      <c r="B163" s="11" t="s">
        <v>172</v>
      </c>
      <c r="C163" s="9">
        <v>4700</v>
      </c>
      <c r="D163" s="11">
        <f t="shared" si="12"/>
        <v>4498.18</v>
      </c>
      <c r="E163" s="11">
        <f t="shared" si="13"/>
        <v>5346.21</v>
      </c>
      <c r="F163" s="11">
        <f t="shared" si="14"/>
        <v>3650.15</v>
      </c>
      <c r="G163" s="11">
        <f t="shared" si="16"/>
        <v>300</v>
      </c>
      <c r="H163" s="11">
        <f t="shared" si="17"/>
        <v>318.81</v>
      </c>
      <c r="I163" s="11">
        <f t="shared" si="15"/>
        <v>1041.8699999999999</v>
      </c>
    </row>
    <row r="164" spans="1:9" ht="13.2" x14ac:dyDescent="0.25">
      <c r="A164" s="11" t="s">
        <v>10</v>
      </c>
      <c r="B164" s="11" t="s">
        <v>173</v>
      </c>
      <c r="C164" s="9">
        <v>4500</v>
      </c>
      <c r="D164" s="11">
        <f t="shared" si="12"/>
        <v>4498.18</v>
      </c>
      <c r="E164" s="11">
        <f t="shared" si="13"/>
        <v>5346.21</v>
      </c>
      <c r="F164" s="11">
        <f t="shared" si="14"/>
        <v>3650.15</v>
      </c>
      <c r="G164" s="11">
        <f t="shared" si="16"/>
        <v>200</v>
      </c>
      <c r="H164" s="11">
        <f t="shared" si="17"/>
        <v>318.81</v>
      </c>
      <c r="I164" s="11">
        <f t="shared" si="15"/>
        <v>1041.8699999999999</v>
      </c>
    </row>
    <row r="165" spans="1:9" ht="13.2" x14ac:dyDescent="0.25">
      <c r="A165" s="11" t="s">
        <v>10</v>
      </c>
      <c r="B165" s="11" t="s">
        <v>174</v>
      </c>
      <c r="C165" s="9">
        <v>4840</v>
      </c>
      <c r="D165" s="11">
        <f t="shared" si="12"/>
        <v>4498.18</v>
      </c>
      <c r="E165" s="11">
        <f t="shared" si="13"/>
        <v>5346.21</v>
      </c>
      <c r="F165" s="11">
        <f t="shared" si="14"/>
        <v>3650.15</v>
      </c>
      <c r="G165" s="11">
        <f t="shared" si="16"/>
        <v>340</v>
      </c>
      <c r="H165" s="11">
        <f t="shared" si="17"/>
        <v>318.81</v>
      </c>
      <c r="I165" s="11">
        <f t="shared" si="15"/>
        <v>1041.8699999999999</v>
      </c>
    </row>
    <row r="166" spans="1:9" ht="13.2" x14ac:dyDescent="0.25">
      <c r="A166" s="11" t="s">
        <v>10</v>
      </c>
      <c r="B166" s="11" t="s">
        <v>175</v>
      </c>
      <c r="C166" s="9">
        <v>5075</v>
      </c>
      <c r="D166" s="11">
        <f t="shared" si="12"/>
        <v>4498.18</v>
      </c>
      <c r="E166" s="11">
        <f t="shared" si="13"/>
        <v>5346.21</v>
      </c>
      <c r="F166" s="11">
        <f t="shared" si="14"/>
        <v>3650.15</v>
      </c>
      <c r="G166" s="11">
        <f t="shared" si="16"/>
        <v>235</v>
      </c>
      <c r="H166" s="11">
        <f t="shared" si="17"/>
        <v>318.81</v>
      </c>
      <c r="I166" s="11">
        <f t="shared" si="15"/>
        <v>1041.8699999999999</v>
      </c>
    </row>
    <row r="167" spans="1:9" ht="13.2" x14ac:dyDescent="0.25">
      <c r="A167" s="11" t="s">
        <v>10</v>
      </c>
      <c r="B167" s="11" t="s">
        <v>176</v>
      </c>
      <c r="C167" s="9">
        <v>5000</v>
      </c>
      <c r="D167" s="11">
        <f t="shared" si="12"/>
        <v>4498.18</v>
      </c>
      <c r="E167" s="11">
        <f t="shared" si="13"/>
        <v>5346.21</v>
      </c>
      <c r="F167" s="11">
        <f t="shared" si="14"/>
        <v>3650.15</v>
      </c>
      <c r="G167" s="11">
        <f t="shared" si="16"/>
        <v>75</v>
      </c>
      <c r="H167" s="11">
        <f t="shared" si="17"/>
        <v>318.81</v>
      </c>
      <c r="I167" s="11">
        <f t="shared" si="15"/>
        <v>1041.8699999999999</v>
      </c>
    </row>
    <row r="168" spans="1:9" ht="13.2" x14ac:dyDescent="0.25">
      <c r="A168" s="11" t="s">
        <v>10</v>
      </c>
      <c r="B168" s="11" t="s">
        <v>177</v>
      </c>
      <c r="C168" s="9">
        <v>4770</v>
      </c>
      <c r="D168" s="11">
        <f t="shared" si="12"/>
        <v>4498.18</v>
      </c>
      <c r="E168" s="11">
        <f t="shared" si="13"/>
        <v>5346.21</v>
      </c>
      <c r="F168" s="11">
        <f t="shared" si="14"/>
        <v>3650.15</v>
      </c>
      <c r="G168" s="11">
        <f t="shared" si="16"/>
        <v>230</v>
      </c>
      <c r="H168" s="11">
        <f t="shared" si="17"/>
        <v>318.81</v>
      </c>
      <c r="I168" s="11">
        <f t="shared" si="15"/>
        <v>1041.8699999999999</v>
      </c>
    </row>
    <row r="169" spans="1:9" ht="13.2" x14ac:dyDescent="0.25">
      <c r="A169" s="11" t="s">
        <v>10</v>
      </c>
      <c r="B169" s="11" t="s">
        <v>178</v>
      </c>
      <c r="C169" s="9">
        <v>4570</v>
      </c>
      <c r="D169" s="11">
        <f t="shared" si="12"/>
        <v>4498.18</v>
      </c>
      <c r="E169" s="11">
        <f t="shared" si="13"/>
        <v>5346.21</v>
      </c>
      <c r="F169" s="11">
        <f t="shared" si="14"/>
        <v>3650.15</v>
      </c>
      <c r="G169" s="11">
        <f t="shared" si="16"/>
        <v>200</v>
      </c>
      <c r="H169" s="11">
        <f t="shared" si="17"/>
        <v>318.81</v>
      </c>
      <c r="I169" s="11">
        <f t="shared" si="15"/>
        <v>1041.8699999999999</v>
      </c>
    </row>
    <row r="170" spans="1:9" ht="13.2" x14ac:dyDescent="0.25">
      <c r="A170" s="11" t="s">
        <v>10</v>
      </c>
      <c r="B170" s="11" t="s">
        <v>179</v>
      </c>
      <c r="C170" s="9">
        <v>4925</v>
      </c>
      <c r="D170" s="11">
        <f t="shared" si="12"/>
        <v>4498.18</v>
      </c>
      <c r="E170" s="11">
        <f t="shared" si="13"/>
        <v>5346.21</v>
      </c>
      <c r="F170" s="11">
        <f t="shared" si="14"/>
        <v>3650.15</v>
      </c>
      <c r="G170" s="11">
        <f t="shared" si="16"/>
        <v>355</v>
      </c>
      <c r="H170" s="11">
        <f t="shared" si="17"/>
        <v>318.81</v>
      </c>
      <c r="I170" s="11">
        <f t="shared" si="15"/>
        <v>1041.8699999999999</v>
      </c>
    </row>
    <row r="171" spans="1:9" ht="13.2" x14ac:dyDescent="0.25">
      <c r="A171" s="11" t="s">
        <v>10</v>
      </c>
      <c r="B171" s="11" t="s">
        <v>180</v>
      </c>
      <c r="C171" s="9">
        <v>4775</v>
      </c>
      <c r="D171" s="11">
        <f t="shared" si="12"/>
        <v>4498.18</v>
      </c>
      <c r="E171" s="11">
        <f t="shared" si="13"/>
        <v>5346.21</v>
      </c>
      <c r="F171" s="11">
        <f t="shared" si="14"/>
        <v>3650.15</v>
      </c>
      <c r="G171" s="11">
        <f t="shared" si="16"/>
        <v>150</v>
      </c>
      <c r="H171" s="11">
        <f t="shared" si="17"/>
        <v>318.81</v>
      </c>
      <c r="I171" s="11">
        <f t="shared" si="15"/>
        <v>1041.8699999999999</v>
      </c>
    </row>
    <row r="172" spans="1:9" ht="13.2" x14ac:dyDescent="0.25">
      <c r="A172" s="11" t="s">
        <v>10</v>
      </c>
      <c r="B172" s="11" t="s">
        <v>181</v>
      </c>
      <c r="C172" s="9">
        <v>5075</v>
      </c>
      <c r="D172" s="11">
        <f t="shared" si="12"/>
        <v>4498.18</v>
      </c>
      <c r="E172" s="11">
        <f t="shared" si="13"/>
        <v>5346.21</v>
      </c>
      <c r="F172" s="11">
        <f t="shared" si="14"/>
        <v>3650.15</v>
      </c>
      <c r="G172" s="11">
        <f t="shared" si="16"/>
        <v>300</v>
      </c>
      <c r="H172" s="11">
        <f t="shared" si="17"/>
        <v>318.81</v>
      </c>
      <c r="I172" s="11">
        <f t="shared" si="15"/>
        <v>1041.8699999999999</v>
      </c>
    </row>
    <row r="173" spans="1:9" ht="13.2" x14ac:dyDescent="0.25">
      <c r="A173" s="11" t="s">
        <v>10</v>
      </c>
      <c r="B173" s="11" t="s">
        <v>182</v>
      </c>
      <c r="C173" s="9">
        <v>4925</v>
      </c>
      <c r="D173" s="11">
        <f t="shared" si="12"/>
        <v>4498.18</v>
      </c>
      <c r="E173" s="11">
        <f t="shared" si="13"/>
        <v>5346.21</v>
      </c>
      <c r="F173" s="11">
        <f t="shared" si="14"/>
        <v>3650.15</v>
      </c>
      <c r="G173" s="11">
        <f t="shared" si="16"/>
        <v>150</v>
      </c>
      <c r="H173" s="11">
        <f t="shared" si="17"/>
        <v>318.81</v>
      </c>
      <c r="I173" s="11">
        <f t="shared" si="15"/>
        <v>1041.8699999999999</v>
      </c>
    </row>
    <row r="174" spans="1:9" ht="13.2" x14ac:dyDescent="0.25">
      <c r="A174" s="11" t="s">
        <v>10</v>
      </c>
      <c r="B174" s="11" t="s">
        <v>183</v>
      </c>
      <c r="C174" s="9">
        <v>5075</v>
      </c>
      <c r="D174" s="11">
        <f t="shared" si="12"/>
        <v>4498.18</v>
      </c>
      <c r="E174" s="11">
        <f t="shared" si="13"/>
        <v>5346.21</v>
      </c>
      <c r="F174" s="11">
        <f t="shared" si="14"/>
        <v>3650.15</v>
      </c>
      <c r="G174" s="11">
        <f t="shared" si="16"/>
        <v>150</v>
      </c>
      <c r="H174" s="11">
        <f t="shared" si="17"/>
        <v>318.81</v>
      </c>
      <c r="I174" s="11">
        <f t="shared" si="15"/>
        <v>1041.8699999999999</v>
      </c>
    </row>
    <row r="175" spans="1:9" ht="13.2" x14ac:dyDescent="0.25">
      <c r="A175" s="11" t="s">
        <v>10</v>
      </c>
      <c r="B175" s="11" t="s">
        <v>184</v>
      </c>
      <c r="C175" s="9">
        <v>4925</v>
      </c>
      <c r="D175" s="11">
        <f t="shared" si="12"/>
        <v>4498.18</v>
      </c>
      <c r="E175" s="11">
        <f t="shared" si="13"/>
        <v>5346.21</v>
      </c>
      <c r="F175" s="11">
        <f t="shared" si="14"/>
        <v>3650.15</v>
      </c>
      <c r="G175" s="11">
        <f t="shared" si="16"/>
        <v>150</v>
      </c>
      <c r="H175" s="11">
        <f t="shared" si="17"/>
        <v>318.81</v>
      </c>
      <c r="I175" s="11">
        <f t="shared" si="15"/>
        <v>1041.8699999999999</v>
      </c>
    </row>
    <row r="176" spans="1:9" ht="13.2" x14ac:dyDescent="0.25">
      <c r="A176" s="11" t="s">
        <v>10</v>
      </c>
      <c r="B176" s="11" t="s">
        <v>185</v>
      </c>
      <c r="C176" s="9">
        <v>5250</v>
      </c>
      <c r="D176" s="11">
        <f t="shared" si="12"/>
        <v>4498.18</v>
      </c>
      <c r="E176" s="11">
        <f t="shared" si="13"/>
        <v>5346.21</v>
      </c>
      <c r="F176" s="11">
        <f t="shared" si="14"/>
        <v>3650.15</v>
      </c>
      <c r="G176" s="11">
        <f t="shared" si="16"/>
        <v>325</v>
      </c>
      <c r="H176" s="11">
        <f t="shared" si="17"/>
        <v>318.81</v>
      </c>
      <c r="I176" s="11">
        <f t="shared" si="15"/>
        <v>1041.8699999999999</v>
      </c>
    </row>
    <row r="177" spans="1:9" ht="13.2" x14ac:dyDescent="0.25">
      <c r="A177" s="11" t="s">
        <v>10</v>
      </c>
      <c r="B177" s="11" t="s">
        <v>186</v>
      </c>
      <c r="C177" s="9">
        <v>4915</v>
      </c>
      <c r="D177" s="11">
        <f t="shared" si="12"/>
        <v>4498.18</v>
      </c>
      <c r="E177" s="11">
        <f t="shared" si="13"/>
        <v>5346.21</v>
      </c>
      <c r="F177" s="11">
        <f t="shared" si="14"/>
        <v>3650.15</v>
      </c>
      <c r="G177" s="11">
        <f t="shared" si="16"/>
        <v>335</v>
      </c>
      <c r="H177" s="11">
        <f t="shared" si="17"/>
        <v>318.81</v>
      </c>
      <c r="I177" s="11">
        <f t="shared" si="15"/>
        <v>1041.8699999999999</v>
      </c>
    </row>
    <row r="178" spans="1:9" ht="13.2" x14ac:dyDescent="0.25">
      <c r="A178" s="11" t="s">
        <v>10</v>
      </c>
      <c r="B178" s="11" t="s">
        <v>187</v>
      </c>
      <c r="C178" s="9">
        <v>5600</v>
      </c>
      <c r="D178" s="11">
        <f t="shared" si="12"/>
        <v>4498.18</v>
      </c>
      <c r="E178" s="11">
        <f t="shared" si="13"/>
        <v>5346.21</v>
      </c>
      <c r="F178" s="11">
        <f t="shared" si="14"/>
        <v>3650.15</v>
      </c>
      <c r="G178" s="11">
        <f t="shared" si="16"/>
        <v>685</v>
      </c>
      <c r="H178" s="11">
        <f t="shared" si="17"/>
        <v>318.81</v>
      </c>
      <c r="I178" s="11">
        <f t="shared" si="15"/>
        <v>1041.8699999999999</v>
      </c>
    </row>
    <row r="179" spans="1:9" ht="13.2" x14ac:dyDescent="0.25">
      <c r="A179" s="11" t="s">
        <v>10</v>
      </c>
      <c r="B179" s="11" t="s">
        <v>188</v>
      </c>
      <c r="C179" s="9">
        <v>5075</v>
      </c>
      <c r="D179" s="11">
        <f t="shared" si="12"/>
        <v>4498.18</v>
      </c>
      <c r="E179" s="11">
        <f t="shared" si="13"/>
        <v>5346.21</v>
      </c>
      <c r="F179" s="11">
        <f t="shared" si="14"/>
        <v>3650.15</v>
      </c>
      <c r="G179" s="11">
        <f t="shared" si="16"/>
        <v>525</v>
      </c>
      <c r="H179" s="11">
        <f t="shared" si="17"/>
        <v>318.81</v>
      </c>
      <c r="I179" s="11">
        <f t="shared" si="15"/>
        <v>1041.8699999999999</v>
      </c>
    </row>
    <row r="180" spans="1:9" ht="13.2" x14ac:dyDescent="0.25">
      <c r="A180" s="11" t="s">
        <v>10</v>
      </c>
      <c r="B180" s="11" t="s">
        <v>189</v>
      </c>
      <c r="C180" s="9">
        <v>4450</v>
      </c>
      <c r="D180" s="11">
        <f t="shared" si="12"/>
        <v>4498.18</v>
      </c>
      <c r="E180" s="11">
        <f t="shared" si="13"/>
        <v>5346.21</v>
      </c>
      <c r="F180" s="11">
        <f t="shared" si="14"/>
        <v>3650.15</v>
      </c>
      <c r="G180" s="11">
        <f t="shared" si="16"/>
        <v>625</v>
      </c>
      <c r="H180" s="11">
        <f t="shared" si="17"/>
        <v>318.81</v>
      </c>
      <c r="I180" s="11">
        <f t="shared" si="15"/>
        <v>1041.8699999999999</v>
      </c>
    </row>
    <row r="181" spans="1:9" ht="13.2" x14ac:dyDescent="0.25">
      <c r="A181" s="11" t="s">
        <v>10</v>
      </c>
      <c r="B181" s="11" t="s">
        <v>190</v>
      </c>
      <c r="C181" s="9">
        <v>4215</v>
      </c>
      <c r="D181" s="11">
        <f t="shared" si="12"/>
        <v>4498.18</v>
      </c>
      <c r="E181" s="11">
        <f t="shared" si="13"/>
        <v>5346.21</v>
      </c>
      <c r="F181" s="11">
        <f t="shared" si="14"/>
        <v>3650.15</v>
      </c>
      <c r="G181" s="11">
        <f t="shared" si="16"/>
        <v>235</v>
      </c>
      <c r="H181" s="11">
        <f t="shared" si="17"/>
        <v>318.81</v>
      </c>
      <c r="I181" s="11">
        <f t="shared" si="15"/>
        <v>1041.8699999999999</v>
      </c>
    </row>
    <row r="182" spans="1:9" ht="13.2" x14ac:dyDescent="0.25">
      <c r="A182" s="11" t="s">
        <v>10</v>
      </c>
      <c r="B182" s="11" t="s">
        <v>191</v>
      </c>
      <c r="C182" s="9">
        <v>4325</v>
      </c>
      <c r="D182" s="11">
        <f t="shared" si="12"/>
        <v>4498.18</v>
      </c>
      <c r="E182" s="11">
        <f t="shared" si="13"/>
        <v>5346.21</v>
      </c>
      <c r="F182" s="11">
        <f t="shared" si="14"/>
        <v>3650.15</v>
      </c>
      <c r="G182" s="11">
        <f t="shared" si="16"/>
        <v>110</v>
      </c>
      <c r="H182" s="11">
        <f t="shared" si="17"/>
        <v>318.81</v>
      </c>
      <c r="I182" s="11">
        <f t="shared" si="15"/>
        <v>1041.8699999999999</v>
      </c>
    </row>
    <row r="183" spans="1:9" ht="13.2" x14ac:dyDescent="0.25">
      <c r="A183" s="11" t="s">
        <v>10</v>
      </c>
      <c r="B183" s="11" t="s">
        <v>192</v>
      </c>
      <c r="C183" s="9">
        <v>4665</v>
      </c>
      <c r="D183" s="11">
        <f t="shared" si="12"/>
        <v>4498.18</v>
      </c>
      <c r="E183" s="11">
        <f t="shared" si="13"/>
        <v>5346.21</v>
      </c>
      <c r="F183" s="11">
        <f t="shared" si="14"/>
        <v>3650.15</v>
      </c>
      <c r="G183" s="11">
        <f t="shared" si="16"/>
        <v>340</v>
      </c>
      <c r="H183" s="11">
        <f t="shared" si="17"/>
        <v>318.81</v>
      </c>
      <c r="I183" s="11">
        <f t="shared" si="15"/>
        <v>1041.8699999999999</v>
      </c>
    </row>
    <row r="184" spans="1:9" ht="13.2" x14ac:dyDescent="0.25">
      <c r="A184" s="11" t="s">
        <v>10</v>
      </c>
      <c r="B184" s="11" t="s">
        <v>193</v>
      </c>
      <c r="C184" s="9">
        <v>4615</v>
      </c>
      <c r="D184" s="11">
        <f t="shared" si="12"/>
        <v>4498.18</v>
      </c>
      <c r="E184" s="11">
        <f t="shared" si="13"/>
        <v>5346.21</v>
      </c>
      <c r="F184" s="11">
        <f t="shared" si="14"/>
        <v>3650.15</v>
      </c>
      <c r="G184" s="11">
        <f t="shared" si="16"/>
        <v>50</v>
      </c>
      <c r="H184" s="11">
        <f t="shared" si="17"/>
        <v>318.81</v>
      </c>
      <c r="I184" s="11">
        <f t="shared" si="15"/>
        <v>1041.8699999999999</v>
      </c>
    </row>
    <row r="185" spans="1:9" ht="13.2" x14ac:dyDescent="0.25">
      <c r="A185" s="11" t="s">
        <v>10</v>
      </c>
      <c r="B185" s="11" t="s">
        <v>194</v>
      </c>
      <c r="C185" s="9">
        <v>4615</v>
      </c>
      <c r="D185" s="11">
        <f t="shared" si="12"/>
        <v>4498.18</v>
      </c>
      <c r="E185" s="11">
        <f t="shared" si="13"/>
        <v>5346.21</v>
      </c>
      <c r="F185" s="11">
        <f t="shared" si="14"/>
        <v>3650.15</v>
      </c>
      <c r="G185" s="11">
        <f t="shared" si="16"/>
        <v>0</v>
      </c>
      <c r="H185" s="11">
        <f t="shared" si="17"/>
        <v>318.81</v>
      </c>
      <c r="I185" s="11">
        <f t="shared" si="15"/>
        <v>1041.8699999999999</v>
      </c>
    </row>
    <row r="186" spans="1:9" ht="13.2" x14ac:dyDescent="0.25">
      <c r="A186" s="11" t="s">
        <v>10</v>
      </c>
      <c r="B186" s="11" t="s">
        <v>195</v>
      </c>
      <c r="C186" s="9">
        <v>4500</v>
      </c>
      <c r="D186" s="11">
        <f t="shared" si="12"/>
        <v>4498.18</v>
      </c>
      <c r="E186" s="11">
        <f t="shared" si="13"/>
        <v>5346.21</v>
      </c>
      <c r="F186" s="11">
        <f t="shared" si="14"/>
        <v>3650.15</v>
      </c>
      <c r="G186" s="11">
        <f t="shared" si="16"/>
        <v>115</v>
      </c>
      <c r="H186" s="11">
        <f t="shared" si="17"/>
        <v>318.81</v>
      </c>
      <c r="I186" s="11">
        <f t="shared" si="15"/>
        <v>1041.8699999999999</v>
      </c>
    </row>
    <row r="187" spans="1:9" ht="13.2" x14ac:dyDescent="0.25">
      <c r="A187" s="11" t="s">
        <v>10</v>
      </c>
      <c r="B187" s="11" t="s">
        <v>196</v>
      </c>
      <c r="C187" s="9">
        <v>4765</v>
      </c>
      <c r="D187" s="11">
        <f t="shared" si="12"/>
        <v>4498.18</v>
      </c>
      <c r="E187" s="11">
        <f t="shared" si="13"/>
        <v>5346.21</v>
      </c>
      <c r="F187" s="11">
        <f t="shared" si="14"/>
        <v>3650.15</v>
      </c>
      <c r="G187" s="11">
        <f t="shared" si="16"/>
        <v>265</v>
      </c>
      <c r="H187" s="11">
        <f t="shared" si="17"/>
        <v>318.81</v>
      </c>
      <c r="I187" s="11">
        <f t="shared" si="15"/>
        <v>1041.8699999999999</v>
      </c>
    </row>
    <row r="188" spans="1:9" ht="13.2" x14ac:dyDescent="0.25">
      <c r="A188" s="11" t="s">
        <v>10</v>
      </c>
      <c r="B188" s="11" t="s">
        <v>197</v>
      </c>
      <c r="C188" s="9">
        <v>4500</v>
      </c>
      <c r="D188" s="11">
        <f t="shared" si="12"/>
        <v>4498.18</v>
      </c>
      <c r="E188" s="11">
        <f t="shared" si="13"/>
        <v>5346.21</v>
      </c>
      <c r="F188" s="11">
        <f t="shared" si="14"/>
        <v>3650.15</v>
      </c>
      <c r="G188" s="11">
        <f t="shared" si="16"/>
        <v>265</v>
      </c>
      <c r="H188" s="11">
        <f t="shared" si="17"/>
        <v>318.81</v>
      </c>
      <c r="I188" s="11">
        <f t="shared" si="15"/>
        <v>1041.8699999999999</v>
      </c>
    </row>
    <row r="189" spans="1:9" ht="13.2" x14ac:dyDescent="0.25">
      <c r="A189" s="11" t="s">
        <v>10</v>
      </c>
      <c r="B189" s="11" t="s">
        <v>198</v>
      </c>
      <c r="C189" s="9">
        <v>4500</v>
      </c>
      <c r="D189" s="11">
        <f t="shared" si="12"/>
        <v>4498.18</v>
      </c>
      <c r="E189" s="11">
        <f t="shared" si="13"/>
        <v>5346.21</v>
      </c>
      <c r="F189" s="11">
        <f t="shared" si="14"/>
        <v>3650.15</v>
      </c>
      <c r="G189" s="11">
        <f t="shared" si="16"/>
        <v>0</v>
      </c>
      <c r="H189" s="11">
        <f t="shared" si="17"/>
        <v>318.81</v>
      </c>
      <c r="I189" s="11">
        <f t="shared" si="15"/>
        <v>1041.8699999999999</v>
      </c>
    </row>
    <row r="190" spans="1:9" ht="13.2" x14ac:dyDescent="0.25">
      <c r="A190" s="11" t="s">
        <v>10</v>
      </c>
      <c r="B190" s="11" t="s">
        <v>199</v>
      </c>
      <c r="C190" s="9">
        <v>4850</v>
      </c>
      <c r="D190" s="11">
        <f t="shared" si="12"/>
        <v>4498.18</v>
      </c>
      <c r="E190" s="11">
        <f t="shared" si="13"/>
        <v>5346.21</v>
      </c>
      <c r="F190" s="11">
        <f t="shared" si="14"/>
        <v>3650.15</v>
      </c>
      <c r="G190" s="11">
        <f t="shared" si="16"/>
        <v>350</v>
      </c>
      <c r="H190" s="11">
        <f t="shared" si="17"/>
        <v>318.81</v>
      </c>
      <c r="I190" s="11">
        <f t="shared" si="15"/>
        <v>1041.8699999999999</v>
      </c>
    </row>
    <row r="191" spans="1:9" ht="13.2" x14ac:dyDescent="0.25">
      <c r="A191" s="11" t="s">
        <v>10</v>
      </c>
      <c r="B191" s="11" t="s">
        <v>200</v>
      </c>
      <c r="C191" s="9">
        <v>4930</v>
      </c>
      <c r="D191" s="11">
        <f t="shared" si="12"/>
        <v>4498.18</v>
      </c>
      <c r="E191" s="11">
        <f t="shared" si="13"/>
        <v>5346.21</v>
      </c>
      <c r="F191" s="11">
        <f t="shared" si="14"/>
        <v>3650.15</v>
      </c>
      <c r="G191" s="11">
        <f t="shared" si="16"/>
        <v>80</v>
      </c>
      <c r="H191" s="11">
        <f t="shared" si="17"/>
        <v>318.81</v>
      </c>
      <c r="I191" s="11">
        <f t="shared" si="15"/>
        <v>1041.8699999999999</v>
      </c>
    </row>
    <row r="192" spans="1:9" ht="13.2" x14ac:dyDescent="0.25">
      <c r="A192" s="11" t="s">
        <v>10</v>
      </c>
      <c r="B192" s="11" t="s">
        <v>201</v>
      </c>
      <c r="C192" s="9">
        <v>4700</v>
      </c>
      <c r="D192" s="11">
        <f t="shared" si="12"/>
        <v>4498.18</v>
      </c>
      <c r="E192" s="11">
        <f t="shared" si="13"/>
        <v>5346.21</v>
      </c>
      <c r="F192" s="11">
        <f t="shared" si="14"/>
        <v>3650.15</v>
      </c>
      <c r="G192" s="11">
        <f t="shared" si="16"/>
        <v>230</v>
      </c>
      <c r="H192" s="11">
        <f t="shared" si="17"/>
        <v>318.81</v>
      </c>
      <c r="I192" s="11">
        <f t="shared" si="15"/>
        <v>1041.8699999999999</v>
      </c>
    </row>
    <row r="193" spans="1:9" ht="13.2" x14ac:dyDescent="0.25">
      <c r="A193" s="11" t="s">
        <v>10</v>
      </c>
      <c r="B193" s="11" t="s">
        <v>202</v>
      </c>
      <c r="C193" s="9">
        <v>4890</v>
      </c>
      <c r="D193" s="11">
        <f t="shared" si="12"/>
        <v>4498.18</v>
      </c>
      <c r="E193" s="11">
        <f t="shared" si="13"/>
        <v>5346.21</v>
      </c>
      <c r="F193" s="11">
        <f t="shared" si="14"/>
        <v>3650.15</v>
      </c>
      <c r="G193" s="11">
        <f t="shared" si="16"/>
        <v>190</v>
      </c>
      <c r="H193" s="11">
        <f t="shared" si="17"/>
        <v>318.81</v>
      </c>
      <c r="I193" s="11">
        <f t="shared" si="15"/>
        <v>1041.8699999999999</v>
      </c>
    </row>
    <row r="194" spans="1:9" ht="13.2" x14ac:dyDescent="0.25">
      <c r="A194" s="11" t="s">
        <v>10</v>
      </c>
      <c r="B194" s="11" t="s">
        <v>203</v>
      </c>
      <c r="C194" s="9">
        <v>4625</v>
      </c>
      <c r="D194" s="11">
        <f t="shared" ref="D194:D205" si="18">ROUND(AVERAGE($C$2:$C$205),2)</f>
        <v>4498.18</v>
      </c>
      <c r="E194" s="11">
        <f t="shared" ref="E194:E205" si="19">ROUND(D194+(2.66*H194),2)</f>
        <v>5346.21</v>
      </c>
      <c r="F194" s="11">
        <f t="shared" ref="F194:F205" si="20">ROUND(D194-(2.66*H194),2)</f>
        <v>3650.15</v>
      </c>
      <c r="G194" s="11">
        <f t="shared" si="16"/>
        <v>265</v>
      </c>
      <c r="H194" s="11">
        <f t="shared" si="17"/>
        <v>318.81</v>
      </c>
      <c r="I194" s="11">
        <f t="shared" ref="I194:I205" si="21">ROUND(3.268*H194,2)</f>
        <v>1041.8699999999999</v>
      </c>
    </row>
    <row r="195" spans="1:9" ht="13.2" x14ac:dyDescent="0.25">
      <c r="A195" s="11" t="s">
        <v>10</v>
      </c>
      <c r="B195" s="11" t="s">
        <v>204</v>
      </c>
      <c r="C195" s="9">
        <v>4425</v>
      </c>
      <c r="D195" s="11">
        <f t="shared" si="18"/>
        <v>4498.18</v>
      </c>
      <c r="E195" s="11">
        <f t="shared" si="19"/>
        <v>5346.21</v>
      </c>
      <c r="F195" s="11">
        <f t="shared" si="20"/>
        <v>3650.15</v>
      </c>
      <c r="G195" s="11">
        <f t="shared" ref="G195:G205" si="22">ABS(C194-C195)</f>
        <v>200</v>
      </c>
      <c r="H195" s="11">
        <f t="shared" ref="H195:H205" si="23">ROUND(AVERAGE($G$3:$G$205),2)</f>
        <v>318.81</v>
      </c>
      <c r="I195" s="11">
        <f t="shared" si="21"/>
        <v>1041.8699999999999</v>
      </c>
    </row>
    <row r="196" spans="1:9" ht="13.2" x14ac:dyDescent="0.25">
      <c r="A196" s="11" t="s">
        <v>10</v>
      </c>
      <c r="B196" s="11" t="s">
        <v>205</v>
      </c>
      <c r="C196" s="9">
        <v>4135</v>
      </c>
      <c r="D196" s="11">
        <f t="shared" si="18"/>
        <v>4498.18</v>
      </c>
      <c r="E196" s="11">
        <f t="shared" si="19"/>
        <v>5346.21</v>
      </c>
      <c r="F196" s="11">
        <f t="shared" si="20"/>
        <v>3650.15</v>
      </c>
      <c r="G196" s="11">
        <f t="shared" si="22"/>
        <v>290</v>
      </c>
      <c r="H196" s="11">
        <f t="shared" si="23"/>
        <v>318.81</v>
      </c>
      <c r="I196" s="11">
        <f t="shared" si="21"/>
        <v>1041.8699999999999</v>
      </c>
    </row>
    <row r="197" spans="1:9" ht="13.2" x14ac:dyDescent="0.25">
      <c r="A197" s="11" t="s">
        <v>10</v>
      </c>
      <c r="B197" s="11" t="s">
        <v>206</v>
      </c>
      <c r="C197" s="9">
        <v>4190</v>
      </c>
      <c r="D197" s="11">
        <f t="shared" si="18"/>
        <v>4498.18</v>
      </c>
      <c r="E197" s="11">
        <f t="shared" si="19"/>
        <v>5346.21</v>
      </c>
      <c r="F197" s="11">
        <f t="shared" si="20"/>
        <v>3650.15</v>
      </c>
      <c r="G197" s="11">
        <f t="shared" si="22"/>
        <v>55</v>
      </c>
      <c r="H197" s="11">
        <f t="shared" si="23"/>
        <v>318.81</v>
      </c>
      <c r="I197" s="11">
        <f t="shared" si="21"/>
        <v>1041.8699999999999</v>
      </c>
    </row>
    <row r="198" spans="1:9" ht="13.2" x14ac:dyDescent="0.25">
      <c r="A198" s="11" t="s">
        <v>10</v>
      </c>
      <c r="B198" s="11" t="s">
        <v>207</v>
      </c>
      <c r="C198" s="9">
        <v>4080</v>
      </c>
      <c r="D198" s="11">
        <f t="shared" si="18"/>
        <v>4498.18</v>
      </c>
      <c r="E198" s="11">
        <f t="shared" si="19"/>
        <v>5346.21</v>
      </c>
      <c r="F198" s="11">
        <f t="shared" si="20"/>
        <v>3650.15</v>
      </c>
      <c r="G198" s="11">
        <f t="shared" si="22"/>
        <v>110</v>
      </c>
      <c r="H198" s="11">
        <f t="shared" si="23"/>
        <v>318.81</v>
      </c>
      <c r="I198" s="11">
        <f t="shared" si="21"/>
        <v>1041.8699999999999</v>
      </c>
    </row>
    <row r="199" spans="1:9" ht="13.2" x14ac:dyDescent="0.25">
      <c r="A199" s="11" t="s">
        <v>10</v>
      </c>
      <c r="B199" s="11" t="s">
        <v>208</v>
      </c>
      <c r="C199" s="9">
        <v>3690</v>
      </c>
      <c r="D199" s="11">
        <f t="shared" si="18"/>
        <v>4498.18</v>
      </c>
      <c r="E199" s="11">
        <f t="shared" si="19"/>
        <v>5346.21</v>
      </c>
      <c r="F199" s="11">
        <f t="shared" si="20"/>
        <v>3650.15</v>
      </c>
      <c r="G199" s="11">
        <f t="shared" si="22"/>
        <v>390</v>
      </c>
      <c r="H199" s="11">
        <f t="shared" si="23"/>
        <v>318.81</v>
      </c>
      <c r="I199" s="11">
        <f t="shared" si="21"/>
        <v>1041.8699999999999</v>
      </c>
    </row>
    <row r="200" spans="1:9" ht="13.2" x14ac:dyDescent="0.25">
      <c r="A200" s="11" t="s">
        <v>10</v>
      </c>
      <c r="B200" s="11" t="s">
        <v>209</v>
      </c>
      <c r="C200" s="9">
        <v>5050</v>
      </c>
      <c r="D200" s="11">
        <f t="shared" si="18"/>
        <v>4498.18</v>
      </c>
      <c r="E200" s="11">
        <f t="shared" si="19"/>
        <v>5346.21</v>
      </c>
      <c r="F200" s="11">
        <f t="shared" si="20"/>
        <v>3650.15</v>
      </c>
      <c r="G200" s="11">
        <f t="shared" si="22"/>
        <v>1360</v>
      </c>
      <c r="H200" s="11">
        <f t="shared" si="23"/>
        <v>318.81</v>
      </c>
      <c r="I200" s="11">
        <f t="shared" si="21"/>
        <v>1041.8699999999999</v>
      </c>
    </row>
    <row r="201" spans="1:9" ht="13.2" x14ac:dyDescent="0.25">
      <c r="A201" s="11" t="s">
        <v>10</v>
      </c>
      <c r="B201" s="11" t="s">
        <v>210</v>
      </c>
      <c r="C201" s="9">
        <v>4625</v>
      </c>
      <c r="D201" s="11">
        <f t="shared" si="18"/>
        <v>4498.18</v>
      </c>
      <c r="E201" s="11">
        <f t="shared" si="19"/>
        <v>5346.21</v>
      </c>
      <c r="F201" s="11">
        <f t="shared" si="20"/>
        <v>3650.15</v>
      </c>
      <c r="G201" s="11">
        <f t="shared" si="22"/>
        <v>425</v>
      </c>
      <c r="H201" s="11">
        <f t="shared" si="23"/>
        <v>318.81</v>
      </c>
      <c r="I201" s="11">
        <f t="shared" si="21"/>
        <v>1041.8699999999999</v>
      </c>
    </row>
    <row r="202" spans="1:9" ht="13.2" x14ac:dyDescent="0.25">
      <c r="A202" s="11" t="s">
        <v>10</v>
      </c>
      <c r="B202" s="11" t="s">
        <v>211</v>
      </c>
      <c r="C202" s="9">
        <v>5150</v>
      </c>
      <c r="D202" s="11">
        <f t="shared" si="18"/>
        <v>4498.18</v>
      </c>
      <c r="E202" s="11">
        <f t="shared" si="19"/>
        <v>5346.21</v>
      </c>
      <c r="F202" s="11">
        <f t="shared" si="20"/>
        <v>3650.15</v>
      </c>
      <c r="G202" s="11">
        <f t="shared" si="22"/>
        <v>525</v>
      </c>
      <c r="H202" s="11">
        <f t="shared" si="23"/>
        <v>318.81</v>
      </c>
      <c r="I202" s="11">
        <f t="shared" si="21"/>
        <v>1041.8699999999999</v>
      </c>
    </row>
    <row r="203" spans="1:9" ht="13.2" x14ac:dyDescent="0.25">
      <c r="A203" s="11" t="s">
        <v>10</v>
      </c>
      <c r="B203" s="11" t="s">
        <v>212</v>
      </c>
      <c r="C203" s="9">
        <v>5250</v>
      </c>
      <c r="D203" s="11">
        <f t="shared" si="18"/>
        <v>4498.18</v>
      </c>
      <c r="E203" s="11">
        <f t="shared" si="19"/>
        <v>5346.21</v>
      </c>
      <c r="F203" s="11">
        <f t="shared" si="20"/>
        <v>3650.15</v>
      </c>
      <c r="G203" s="11">
        <f t="shared" si="22"/>
        <v>100</v>
      </c>
      <c r="H203" s="11">
        <f t="shared" si="23"/>
        <v>318.81</v>
      </c>
      <c r="I203" s="11">
        <f t="shared" si="21"/>
        <v>1041.8699999999999</v>
      </c>
    </row>
    <row r="204" spans="1:9" ht="13.2" x14ac:dyDescent="0.25">
      <c r="A204" s="11" t="s">
        <v>10</v>
      </c>
      <c r="B204" s="11" t="s">
        <v>213</v>
      </c>
      <c r="C204" s="9">
        <v>5000</v>
      </c>
      <c r="D204" s="11">
        <f t="shared" si="18"/>
        <v>4498.18</v>
      </c>
      <c r="E204" s="11">
        <f t="shared" si="19"/>
        <v>5346.21</v>
      </c>
      <c r="F204" s="11">
        <f t="shared" si="20"/>
        <v>3650.15</v>
      </c>
      <c r="G204" s="11">
        <f t="shared" si="22"/>
        <v>250</v>
      </c>
      <c r="H204" s="11">
        <f t="shared" si="23"/>
        <v>318.81</v>
      </c>
      <c r="I204" s="11">
        <f t="shared" si="21"/>
        <v>1041.8699999999999</v>
      </c>
    </row>
    <row r="205" spans="1:9" ht="13.2" x14ac:dyDescent="0.25">
      <c r="A205" s="11" t="s">
        <v>10</v>
      </c>
      <c r="B205" s="11" t="s">
        <v>214</v>
      </c>
      <c r="C205" s="9">
        <v>5000</v>
      </c>
      <c r="D205" s="11">
        <f t="shared" si="18"/>
        <v>4498.18</v>
      </c>
      <c r="E205" s="11">
        <f t="shared" si="19"/>
        <v>5346.21</v>
      </c>
      <c r="F205" s="11">
        <f t="shared" si="20"/>
        <v>3650.15</v>
      </c>
      <c r="G205" s="11">
        <f t="shared" si="22"/>
        <v>0</v>
      </c>
      <c r="H205" s="11">
        <f t="shared" si="23"/>
        <v>318.81</v>
      </c>
      <c r="I205" s="11">
        <f t="shared" si="21"/>
        <v>1041.8699999999999</v>
      </c>
    </row>
    <row r="206" spans="1:9" ht="13.2" x14ac:dyDescent="0.25"/>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68"/>
  <sheetViews>
    <sheetView workbookViewId="0">
      <selection activeCell="M38" sqref="M38"/>
    </sheetView>
  </sheetViews>
  <sheetFormatPr defaultColWidth="12.6640625" defaultRowHeight="15.75" customHeight="1" x14ac:dyDescent="0.25"/>
  <cols>
    <col min="1" max="1" width="7.88671875" bestFit="1" customWidth="1"/>
    <col min="2" max="2" width="17.88671875" bestFit="1" customWidth="1"/>
    <col min="3" max="3" width="11.109375" bestFit="1" customWidth="1"/>
    <col min="4" max="4" width="9.88671875" bestFit="1" customWidth="1"/>
    <col min="5" max="5" width="15.5546875" bestFit="1" customWidth="1"/>
    <col min="6" max="7" width="7" bestFit="1" customWidth="1"/>
    <col min="8" max="8" width="17" bestFit="1" customWidth="1"/>
    <col min="9" max="9" width="15.77734375" bestFit="1" customWidth="1"/>
    <col min="10" max="10" width="6.6640625" bestFit="1" customWidth="1"/>
    <col min="11" max="11" width="6.44140625" bestFit="1" customWidth="1"/>
  </cols>
  <sheetData>
    <row r="1" spans="1:17" ht="13.2" x14ac:dyDescent="0.25">
      <c r="A1" s="12" t="s">
        <v>1</v>
      </c>
      <c r="B1" s="12" t="s">
        <v>223</v>
      </c>
      <c r="C1" s="12" t="s">
        <v>215</v>
      </c>
      <c r="D1" s="12" t="s">
        <v>224</v>
      </c>
      <c r="E1" s="12" t="s">
        <v>216</v>
      </c>
      <c r="F1" s="12" t="s">
        <v>217</v>
      </c>
      <c r="G1" s="12" t="s">
        <v>218</v>
      </c>
      <c r="H1" s="12" t="s">
        <v>219</v>
      </c>
      <c r="I1" s="12" t="s">
        <v>220</v>
      </c>
      <c r="J1" s="12" t="s">
        <v>9</v>
      </c>
      <c r="K1" s="12" t="s">
        <v>221</v>
      </c>
      <c r="L1" s="3"/>
      <c r="M1" s="3"/>
      <c r="N1" s="3"/>
      <c r="O1" s="3"/>
      <c r="P1" s="3"/>
      <c r="Q1" s="3"/>
    </row>
    <row r="2" spans="1:17" ht="13.2" x14ac:dyDescent="0.25">
      <c r="A2" s="3" t="s">
        <v>10</v>
      </c>
      <c r="B2">
        <v>4</v>
      </c>
      <c r="C2" s="3" t="s">
        <v>11</v>
      </c>
      <c r="D2">
        <v>4430</v>
      </c>
      <c r="E2">
        <f t="shared" ref="E2:E33" si="0">ROUND(AVERAGE($D$2:$D$52),1)</f>
        <v>4498.2</v>
      </c>
      <c r="F2">
        <f t="shared" ref="F2:F33" si="1">ROUND(E2+(0.729*I2),1)</f>
        <v>4978.3</v>
      </c>
      <c r="G2">
        <f t="shared" ref="G2:G33" si="2">ROUND(E2-(0.729*I2),1)</f>
        <v>4018.1</v>
      </c>
      <c r="H2">
        <v>1070</v>
      </c>
      <c r="I2" s="13">
        <f t="shared" ref="I2:I33" si="3">ROUND(AVERAGE($H$2:$H$52),1)</f>
        <v>658.6</v>
      </c>
      <c r="J2" s="13">
        <f t="shared" ref="J2:J52" si="4">ROUND(2.282*I2,1)</f>
        <v>1502.9</v>
      </c>
      <c r="K2" s="6">
        <f t="shared" ref="K2:K33" si="5">0*I2</f>
        <v>0</v>
      </c>
      <c r="L2" s="6"/>
      <c r="M2" s="6"/>
      <c r="N2" s="6"/>
      <c r="O2" s="6"/>
      <c r="P2" s="6"/>
      <c r="Q2" s="6"/>
    </row>
    <row r="3" spans="1:17" ht="13.2" x14ac:dyDescent="0.25">
      <c r="A3" s="3" t="s">
        <v>10</v>
      </c>
      <c r="B3">
        <v>4</v>
      </c>
      <c r="C3" s="3" t="s">
        <v>12</v>
      </c>
      <c r="D3">
        <v>4372.5</v>
      </c>
      <c r="E3">
        <f t="shared" si="0"/>
        <v>4498.2</v>
      </c>
      <c r="F3">
        <f t="shared" si="1"/>
        <v>4978.3</v>
      </c>
      <c r="G3">
        <f t="shared" si="2"/>
        <v>4018.1</v>
      </c>
      <c r="H3">
        <v>200</v>
      </c>
      <c r="I3" s="13">
        <f t="shared" si="3"/>
        <v>658.6</v>
      </c>
      <c r="J3" s="13">
        <f t="shared" si="4"/>
        <v>1502.9</v>
      </c>
      <c r="K3" s="6">
        <f t="shared" si="5"/>
        <v>0</v>
      </c>
      <c r="L3" s="6"/>
      <c r="M3" s="6"/>
      <c r="N3" s="6"/>
      <c r="O3" s="6"/>
      <c r="P3" s="6"/>
      <c r="Q3" s="6"/>
    </row>
    <row r="4" spans="1:17" ht="13.2" x14ac:dyDescent="0.25">
      <c r="A4" s="3" t="s">
        <v>10</v>
      </c>
      <c r="B4">
        <v>4</v>
      </c>
      <c r="C4" s="3" t="s">
        <v>13</v>
      </c>
      <c r="D4">
        <v>3827.5</v>
      </c>
      <c r="E4">
        <f t="shared" si="0"/>
        <v>4498.2</v>
      </c>
      <c r="F4">
        <f t="shared" si="1"/>
        <v>4978.3</v>
      </c>
      <c r="G4">
        <f t="shared" si="2"/>
        <v>4018.1</v>
      </c>
      <c r="H4">
        <v>335</v>
      </c>
      <c r="I4" s="13">
        <f t="shared" si="3"/>
        <v>658.6</v>
      </c>
      <c r="J4" s="13">
        <f t="shared" si="4"/>
        <v>1502.9</v>
      </c>
      <c r="K4" s="6">
        <f t="shared" si="5"/>
        <v>0</v>
      </c>
      <c r="L4" s="6"/>
      <c r="M4" s="6"/>
      <c r="N4" s="6"/>
      <c r="O4" s="6"/>
      <c r="P4" s="6"/>
      <c r="Q4" s="6"/>
    </row>
    <row r="5" spans="1:17" ht="13.2" x14ac:dyDescent="0.25">
      <c r="A5" s="3" t="s">
        <v>10</v>
      </c>
      <c r="B5">
        <v>4</v>
      </c>
      <c r="C5" s="3" t="s">
        <v>14</v>
      </c>
      <c r="D5">
        <v>3912</v>
      </c>
      <c r="E5">
        <f t="shared" si="0"/>
        <v>4498.2</v>
      </c>
      <c r="F5">
        <f t="shared" si="1"/>
        <v>4978.3</v>
      </c>
      <c r="G5">
        <f t="shared" si="2"/>
        <v>4018.1</v>
      </c>
      <c r="H5">
        <v>1900</v>
      </c>
      <c r="I5" s="13">
        <f t="shared" si="3"/>
        <v>658.6</v>
      </c>
      <c r="J5" s="13">
        <f t="shared" si="4"/>
        <v>1502.9</v>
      </c>
      <c r="K5" s="6">
        <f t="shared" si="5"/>
        <v>0</v>
      </c>
      <c r="L5" s="6"/>
      <c r="M5" s="6"/>
      <c r="N5" s="6"/>
      <c r="O5" s="6"/>
      <c r="P5" s="6"/>
      <c r="Q5" s="6"/>
    </row>
    <row r="6" spans="1:17" ht="13.2" x14ac:dyDescent="0.25">
      <c r="A6" s="3" t="s">
        <v>10</v>
      </c>
      <c r="B6">
        <v>4</v>
      </c>
      <c r="C6" s="3" t="s">
        <v>15</v>
      </c>
      <c r="D6">
        <v>5071.3</v>
      </c>
      <c r="E6">
        <f t="shared" si="0"/>
        <v>4498.2</v>
      </c>
      <c r="F6">
        <f t="shared" si="1"/>
        <v>4978.3</v>
      </c>
      <c r="G6">
        <f t="shared" si="2"/>
        <v>4018.1</v>
      </c>
      <c r="H6">
        <v>815</v>
      </c>
      <c r="I6" s="13">
        <f t="shared" si="3"/>
        <v>658.6</v>
      </c>
      <c r="J6" s="13">
        <f t="shared" si="4"/>
        <v>1502.9</v>
      </c>
      <c r="K6" s="6">
        <f t="shared" si="5"/>
        <v>0</v>
      </c>
      <c r="L6" s="6"/>
      <c r="M6" s="6"/>
      <c r="N6" s="6"/>
      <c r="O6" s="6"/>
      <c r="P6" s="6"/>
      <c r="Q6" s="6"/>
    </row>
    <row r="7" spans="1:17" ht="13.2" x14ac:dyDescent="0.25">
      <c r="A7" s="3" t="s">
        <v>10</v>
      </c>
      <c r="B7">
        <v>4</v>
      </c>
      <c r="C7" s="3" t="s">
        <v>16</v>
      </c>
      <c r="D7">
        <v>4682.5</v>
      </c>
      <c r="E7">
        <f t="shared" si="0"/>
        <v>4498.2</v>
      </c>
      <c r="F7">
        <f t="shared" si="1"/>
        <v>4978.3</v>
      </c>
      <c r="G7">
        <f t="shared" si="2"/>
        <v>4018.1</v>
      </c>
      <c r="H7">
        <v>245</v>
      </c>
      <c r="I7" s="13">
        <f t="shared" si="3"/>
        <v>658.6</v>
      </c>
      <c r="J7" s="13">
        <f t="shared" si="4"/>
        <v>1502.9</v>
      </c>
      <c r="K7" s="6">
        <f t="shared" si="5"/>
        <v>0</v>
      </c>
      <c r="L7" s="6"/>
      <c r="M7" s="6"/>
      <c r="N7" s="6"/>
      <c r="O7" s="6"/>
      <c r="P7" s="6"/>
      <c r="Q7" s="6"/>
    </row>
    <row r="8" spans="1:17" ht="13.2" x14ac:dyDescent="0.25">
      <c r="A8" s="3" t="s">
        <v>10</v>
      </c>
      <c r="B8">
        <v>4</v>
      </c>
      <c r="C8" s="3" t="s">
        <v>17</v>
      </c>
      <c r="D8">
        <v>4557.5</v>
      </c>
      <c r="E8">
        <f t="shared" si="0"/>
        <v>4498.2</v>
      </c>
      <c r="F8">
        <f t="shared" si="1"/>
        <v>4978.3</v>
      </c>
      <c r="G8">
        <f t="shared" si="2"/>
        <v>4018.1</v>
      </c>
      <c r="H8">
        <v>1125</v>
      </c>
      <c r="I8" s="13">
        <f t="shared" si="3"/>
        <v>658.6</v>
      </c>
      <c r="J8" s="13">
        <f t="shared" si="4"/>
        <v>1502.9</v>
      </c>
      <c r="K8" s="6">
        <f t="shared" si="5"/>
        <v>0</v>
      </c>
      <c r="L8" s="6"/>
      <c r="M8" s="6"/>
      <c r="N8" s="6"/>
      <c r="O8" s="6"/>
      <c r="P8" s="6"/>
      <c r="Q8" s="6"/>
    </row>
    <row r="9" spans="1:17" ht="13.2" x14ac:dyDescent="0.25">
      <c r="A9" s="3" t="s">
        <v>10</v>
      </c>
      <c r="B9">
        <v>4</v>
      </c>
      <c r="C9" s="3" t="s">
        <v>18</v>
      </c>
      <c r="D9">
        <v>4725</v>
      </c>
      <c r="E9">
        <f t="shared" si="0"/>
        <v>4498.2</v>
      </c>
      <c r="F9">
        <f t="shared" si="1"/>
        <v>4978.3</v>
      </c>
      <c r="G9">
        <f t="shared" si="2"/>
        <v>4018.1</v>
      </c>
      <c r="H9">
        <v>255</v>
      </c>
      <c r="I9" s="13">
        <f t="shared" si="3"/>
        <v>658.6</v>
      </c>
      <c r="J9" s="13">
        <f t="shared" si="4"/>
        <v>1502.9</v>
      </c>
      <c r="K9" s="6">
        <f t="shared" si="5"/>
        <v>0</v>
      </c>
      <c r="L9" s="6"/>
      <c r="M9" s="6"/>
      <c r="N9" s="6"/>
      <c r="O9" s="6"/>
      <c r="P9" s="6"/>
      <c r="Q9" s="6"/>
    </row>
    <row r="10" spans="1:17" ht="13.2" x14ac:dyDescent="0.25">
      <c r="A10" s="3" t="s">
        <v>10</v>
      </c>
      <c r="B10">
        <v>4</v>
      </c>
      <c r="C10" s="3" t="s">
        <v>19</v>
      </c>
      <c r="D10">
        <v>4733.8</v>
      </c>
      <c r="E10">
        <f t="shared" si="0"/>
        <v>4498.2</v>
      </c>
      <c r="F10">
        <f t="shared" si="1"/>
        <v>4978.3</v>
      </c>
      <c r="G10">
        <f t="shared" si="2"/>
        <v>4018.1</v>
      </c>
      <c r="H10">
        <v>245</v>
      </c>
      <c r="I10" s="13">
        <f t="shared" si="3"/>
        <v>658.6</v>
      </c>
      <c r="J10" s="13">
        <f t="shared" si="4"/>
        <v>1502.9</v>
      </c>
      <c r="K10" s="6">
        <f t="shared" si="5"/>
        <v>0</v>
      </c>
      <c r="L10" s="6"/>
      <c r="M10" s="6"/>
      <c r="N10" s="6"/>
      <c r="O10" s="6"/>
      <c r="P10" s="6"/>
      <c r="Q10" s="6"/>
    </row>
    <row r="11" spans="1:17" ht="13.2" x14ac:dyDescent="0.25">
      <c r="A11" s="3" t="s">
        <v>10</v>
      </c>
      <c r="B11">
        <v>4</v>
      </c>
      <c r="C11" s="3" t="s">
        <v>20</v>
      </c>
      <c r="D11">
        <v>4372.5</v>
      </c>
      <c r="E11">
        <f t="shared" si="0"/>
        <v>4498.2</v>
      </c>
      <c r="F11">
        <f t="shared" si="1"/>
        <v>4978.3</v>
      </c>
      <c r="G11">
        <f t="shared" si="2"/>
        <v>4018.1</v>
      </c>
      <c r="H11">
        <v>680</v>
      </c>
      <c r="I11" s="13">
        <f t="shared" si="3"/>
        <v>658.6</v>
      </c>
      <c r="J11" s="13">
        <f t="shared" si="4"/>
        <v>1502.9</v>
      </c>
      <c r="K11" s="6">
        <f t="shared" si="5"/>
        <v>0</v>
      </c>
      <c r="L11" s="6"/>
      <c r="M11" s="6"/>
      <c r="N11" s="6"/>
      <c r="O11" s="6"/>
      <c r="P11" s="6"/>
      <c r="Q11" s="6"/>
    </row>
    <row r="12" spans="1:17" ht="13.2" x14ac:dyDescent="0.25">
      <c r="A12" s="3" t="s">
        <v>10</v>
      </c>
      <c r="B12">
        <v>4</v>
      </c>
      <c r="C12" s="3" t="s">
        <v>21</v>
      </c>
      <c r="D12">
        <v>4943.8</v>
      </c>
      <c r="E12">
        <f t="shared" si="0"/>
        <v>4498.2</v>
      </c>
      <c r="F12">
        <f t="shared" si="1"/>
        <v>4978.3</v>
      </c>
      <c r="G12">
        <f t="shared" si="2"/>
        <v>4018.1</v>
      </c>
      <c r="H12">
        <v>1410</v>
      </c>
      <c r="I12" s="13">
        <f t="shared" si="3"/>
        <v>658.6</v>
      </c>
      <c r="J12" s="13">
        <f t="shared" si="4"/>
        <v>1502.9</v>
      </c>
      <c r="K12" s="6">
        <f t="shared" si="5"/>
        <v>0</v>
      </c>
      <c r="L12" s="6"/>
      <c r="M12" s="6"/>
      <c r="N12" s="6"/>
      <c r="O12" s="6"/>
      <c r="P12" s="6"/>
      <c r="Q12" s="6"/>
    </row>
    <row r="13" spans="1:17" ht="13.2" x14ac:dyDescent="0.25">
      <c r="A13" s="3" t="s">
        <v>10</v>
      </c>
      <c r="B13">
        <v>4</v>
      </c>
      <c r="C13" s="3" t="s">
        <v>22</v>
      </c>
      <c r="D13">
        <v>4722.5</v>
      </c>
      <c r="E13">
        <f t="shared" si="0"/>
        <v>4498.2</v>
      </c>
      <c r="F13">
        <f t="shared" si="1"/>
        <v>4978.3</v>
      </c>
      <c r="G13">
        <f t="shared" si="2"/>
        <v>4018.1</v>
      </c>
      <c r="H13">
        <v>745</v>
      </c>
      <c r="I13" s="13">
        <f t="shared" si="3"/>
        <v>658.6</v>
      </c>
      <c r="J13" s="13">
        <f t="shared" si="4"/>
        <v>1502.9</v>
      </c>
      <c r="K13" s="6">
        <f t="shared" si="5"/>
        <v>0</v>
      </c>
      <c r="L13" s="6"/>
      <c r="M13" s="6"/>
      <c r="N13" s="6"/>
      <c r="O13" s="6"/>
      <c r="P13" s="6"/>
      <c r="Q13" s="6"/>
    </row>
    <row r="14" spans="1:17" ht="13.2" x14ac:dyDescent="0.25">
      <c r="A14" s="3" t="s">
        <v>10</v>
      </c>
      <c r="B14">
        <v>4</v>
      </c>
      <c r="C14" s="3" t="s">
        <v>23</v>
      </c>
      <c r="D14">
        <v>4278.8</v>
      </c>
      <c r="E14">
        <f t="shared" si="0"/>
        <v>4498.2</v>
      </c>
      <c r="F14">
        <f t="shared" si="1"/>
        <v>4978.3</v>
      </c>
      <c r="G14">
        <f t="shared" si="2"/>
        <v>4018.1</v>
      </c>
      <c r="H14">
        <v>800</v>
      </c>
      <c r="I14" s="13">
        <f t="shared" si="3"/>
        <v>658.6</v>
      </c>
      <c r="J14" s="13">
        <f t="shared" si="4"/>
        <v>1502.9</v>
      </c>
      <c r="K14" s="6">
        <f t="shared" si="5"/>
        <v>0</v>
      </c>
      <c r="L14" s="6"/>
      <c r="M14" s="6"/>
      <c r="N14" s="6"/>
      <c r="O14" s="6"/>
      <c r="P14" s="6"/>
      <c r="Q14" s="6"/>
    </row>
    <row r="15" spans="1:17" ht="13.2" x14ac:dyDescent="0.25">
      <c r="A15" s="3" t="s">
        <v>10</v>
      </c>
      <c r="B15">
        <v>4</v>
      </c>
      <c r="C15" s="3" t="s">
        <v>24</v>
      </c>
      <c r="D15">
        <v>4242.5</v>
      </c>
      <c r="E15">
        <f t="shared" si="0"/>
        <v>4498.2</v>
      </c>
      <c r="F15">
        <f t="shared" si="1"/>
        <v>4978.3</v>
      </c>
      <c r="G15">
        <f t="shared" si="2"/>
        <v>4018.1</v>
      </c>
      <c r="H15">
        <v>205</v>
      </c>
      <c r="I15" s="13">
        <f t="shared" si="3"/>
        <v>658.6</v>
      </c>
      <c r="J15" s="13">
        <f t="shared" si="4"/>
        <v>1502.9</v>
      </c>
      <c r="K15" s="6">
        <f t="shared" si="5"/>
        <v>0</v>
      </c>
      <c r="L15" s="6"/>
      <c r="M15" s="6"/>
      <c r="N15" s="6"/>
      <c r="O15" s="6"/>
      <c r="P15" s="6"/>
      <c r="Q15" s="6"/>
    </row>
    <row r="16" spans="1:17" ht="13.2" x14ac:dyDescent="0.25">
      <c r="A16" s="3" t="s">
        <v>10</v>
      </c>
      <c r="B16">
        <v>4</v>
      </c>
      <c r="C16" s="3" t="s">
        <v>25</v>
      </c>
      <c r="D16">
        <v>4007.5</v>
      </c>
      <c r="E16">
        <f t="shared" si="0"/>
        <v>4498.2</v>
      </c>
      <c r="F16">
        <f t="shared" si="1"/>
        <v>4978.3</v>
      </c>
      <c r="G16">
        <f t="shared" si="2"/>
        <v>4018.1</v>
      </c>
      <c r="H16">
        <v>1695</v>
      </c>
      <c r="I16" s="13">
        <f t="shared" si="3"/>
        <v>658.6</v>
      </c>
      <c r="J16" s="13">
        <f t="shared" si="4"/>
        <v>1502.9</v>
      </c>
      <c r="K16" s="6">
        <f t="shared" si="5"/>
        <v>0</v>
      </c>
      <c r="L16" s="6"/>
      <c r="M16" s="6"/>
      <c r="N16" s="6"/>
      <c r="O16" s="6"/>
      <c r="P16" s="6"/>
      <c r="Q16" s="6"/>
    </row>
    <row r="17" spans="1:17" ht="13.2" x14ac:dyDescent="0.25">
      <c r="A17" s="3" t="s">
        <v>10</v>
      </c>
      <c r="B17">
        <v>4</v>
      </c>
      <c r="C17" s="3" t="s">
        <v>26</v>
      </c>
      <c r="D17">
        <v>4006.3</v>
      </c>
      <c r="E17">
        <f t="shared" si="0"/>
        <v>4498.2</v>
      </c>
      <c r="F17">
        <f t="shared" si="1"/>
        <v>4978.3</v>
      </c>
      <c r="G17">
        <f t="shared" si="2"/>
        <v>4018.1</v>
      </c>
      <c r="H17">
        <v>1455</v>
      </c>
      <c r="I17" s="13">
        <f t="shared" si="3"/>
        <v>658.6</v>
      </c>
      <c r="J17" s="13">
        <f t="shared" si="4"/>
        <v>1502.9</v>
      </c>
      <c r="K17" s="6">
        <f t="shared" si="5"/>
        <v>0</v>
      </c>
      <c r="L17" s="6"/>
      <c r="M17" s="6"/>
      <c r="N17" s="6"/>
      <c r="O17" s="6"/>
      <c r="P17" s="6"/>
      <c r="Q17" s="6"/>
    </row>
    <row r="18" spans="1:17" ht="13.2" x14ac:dyDescent="0.25">
      <c r="A18" s="3" t="s">
        <v>10</v>
      </c>
      <c r="B18">
        <v>4</v>
      </c>
      <c r="C18" s="3" t="s">
        <v>27</v>
      </c>
      <c r="D18">
        <v>4606.3</v>
      </c>
      <c r="E18">
        <f t="shared" si="0"/>
        <v>4498.2</v>
      </c>
      <c r="F18">
        <f t="shared" si="1"/>
        <v>4978.3</v>
      </c>
      <c r="G18">
        <f t="shared" si="2"/>
        <v>4018.1</v>
      </c>
      <c r="H18">
        <v>910</v>
      </c>
      <c r="I18" s="13">
        <f t="shared" si="3"/>
        <v>658.6</v>
      </c>
      <c r="J18" s="13">
        <f t="shared" si="4"/>
        <v>1502.9</v>
      </c>
      <c r="K18" s="6">
        <f t="shared" si="5"/>
        <v>0</v>
      </c>
      <c r="L18" s="6"/>
      <c r="M18" s="6"/>
      <c r="N18" s="6"/>
      <c r="O18" s="6"/>
      <c r="P18" s="6"/>
      <c r="Q18" s="6"/>
    </row>
    <row r="19" spans="1:17" ht="13.2" x14ac:dyDescent="0.25">
      <c r="A19" s="3" t="s">
        <v>10</v>
      </c>
      <c r="B19">
        <v>4</v>
      </c>
      <c r="C19" s="3" t="s">
        <v>28</v>
      </c>
      <c r="D19">
        <v>4647.5</v>
      </c>
      <c r="E19">
        <f t="shared" si="0"/>
        <v>4498.2</v>
      </c>
      <c r="F19">
        <f t="shared" si="1"/>
        <v>4978.3</v>
      </c>
      <c r="G19">
        <f t="shared" si="2"/>
        <v>4018.1</v>
      </c>
      <c r="H19">
        <v>665</v>
      </c>
      <c r="I19" s="13">
        <f t="shared" si="3"/>
        <v>658.6</v>
      </c>
      <c r="J19" s="13">
        <f t="shared" si="4"/>
        <v>1502.9</v>
      </c>
      <c r="K19" s="6">
        <f t="shared" si="5"/>
        <v>0</v>
      </c>
      <c r="L19" s="6"/>
      <c r="M19" s="6"/>
      <c r="N19" s="6"/>
      <c r="O19" s="6"/>
      <c r="P19" s="6"/>
      <c r="Q19" s="6"/>
    </row>
    <row r="20" spans="1:17" ht="13.2" x14ac:dyDescent="0.25">
      <c r="A20" s="3" t="s">
        <v>10</v>
      </c>
      <c r="B20">
        <v>4</v>
      </c>
      <c r="C20" s="3" t="s">
        <v>29</v>
      </c>
      <c r="D20">
        <v>4441.3</v>
      </c>
      <c r="E20">
        <f t="shared" si="0"/>
        <v>4498.2</v>
      </c>
      <c r="F20">
        <f t="shared" si="1"/>
        <v>4978.3</v>
      </c>
      <c r="G20">
        <f t="shared" si="2"/>
        <v>4018.1</v>
      </c>
      <c r="H20">
        <v>785</v>
      </c>
      <c r="I20" s="13">
        <f t="shared" si="3"/>
        <v>658.6</v>
      </c>
      <c r="J20" s="13">
        <f t="shared" si="4"/>
        <v>1502.9</v>
      </c>
      <c r="K20" s="6">
        <f t="shared" si="5"/>
        <v>0</v>
      </c>
      <c r="L20" s="6"/>
      <c r="M20" s="6"/>
      <c r="N20" s="6"/>
      <c r="O20" s="6"/>
      <c r="P20" s="6"/>
      <c r="Q20" s="6"/>
    </row>
    <row r="21" spans="1:17" ht="13.2" x14ac:dyDescent="0.25">
      <c r="A21" s="3" t="s">
        <v>10</v>
      </c>
      <c r="B21">
        <v>4</v>
      </c>
      <c r="C21" s="3" t="s">
        <v>30</v>
      </c>
      <c r="D21">
        <v>4566.3</v>
      </c>
      <c r="E21">
        <f t="shared" si="0"/>
        <v>4498.2</v>
      </c>
      <c r="F21">
        <f t="shared" si="1"/>
        <v>4978.3</v>
      </c>
      <c r="G21">
        <f t="shared" si="2"/>
        <v>4018.1</v>
      </c>
      <c r="H21">
        <v>520</v>
      </c>
      <c r="I21" s="13">
        <f t="shared" si="3"/>
        <v>658.6</v>
      </c>
      <c r="J21" s="13">
        <f t="shared" si="4"/>
        <v>1502.9</v>
      </c>
      <c r="K21" s="6">
        <f t="shared" si="5"/>
        <v>0</v>
      </c>
      <c r="L21" s="6"/>
      <c r="M21" s="6"/>
      <c r="N21" s="6"/>
      <c r="O21" s="6"/>
      <c r="P21" s="6"/>
      <c r="Q21" s="6"/>
    </row>
    <row r="22" spans="1:17" ht="13.2" x14ac:dyDescent="0.25">
      <c r="A22" s="3" t="s">
        <v>10</v>
      </c>
      <c r="B22">
        <v>4</v>
      </c>
      <c r="C22" s="3" t="s">
        <v>31</v>
      </c>
      <c r="D22">
        <v>4548.8</v>
      </c>
      <c r="E22">
        <f t="shared" si="0"/>
        <v>4498.2</v>
      </c>
      <c r="F22">
        <f t="shared" si="1"/>
        <v>4978.3</v>
      </c>
      <c r="G22">
        <f t="shared" si="2"/>
        <v>4018.1</v>
      </c>
      <c r="H22">
        <v>605</v>
      </c>
      <c r="I22" s="13">
        <f t="shared" si="3"/>
        <v>658.6</v>
      </c>
      <c r="J22" s="13">
        <f t="shared" si="4"/>
        <v>1502.9</v>
      </c>
      <c r="K22" s="6">
        <f t="shared" si="5"/>
        <v>0</v>
      </c>
      <c r="L22" s="6"/>
      <c r="M22" s="6"/>
      <c r="N22" s="6"/>
      <c r="O22" s="6"/>
      <c r="P22" s="6"/>
      <c r="Q22" s="6"/>
    </row>
    <row r="23" spans="1:17" ht="13.2" x14ac:dyDescent="0.25">
      <c r="A23" s="3" t="s">
        <v>10</v>
      </c>
      <c r="B23">
        <v>4</v>
      </c>
      <c r="C23" s="3" t="s">
        <v>32</v>
      </c>
      <c r="D23">
        <v>3846.3</v>
      </c>
      <c r="E23">
        <f t="shared" si="0"/>
        <v>4498.2</v>
      </c>
      <c r="F23">
        <f t="shared" si="1"/>
        <v>4978.3</v>
      </c>
      <c r="G23">
        <f t="shared" si="2"/>
        <v>4018.1</v>
      </c>
      <c r="H23">
        <v>445</v>
      </c>
      <c r="I23" s="13">
        <f t="shared" si="3"/>
        <v>658.6</v>
      </c>
      <c r="J23" s="13">
        <f t="shared" si="4"/>
        <v>1502.9</v>
      </c>
      <c r="K23" s="6">
        <f t="shared" si="5"/>
        <v>0</v>
      </c>
      <c r="L23" s="6"/>
      <c r="M23" s="6"/>
      <c r="N23" s="6"/>
      <c r="O23" s="6"/>
      <c r="P23" s="6"/>
      <c r="Q23" s="6"/>
    </row>
    <row r="24" spans="1:17" ht="13.2" x14ac:dyDescent="0.25">
      <c r="A24" s="3" t="s">
        <v>10</v>
      </c>
      <c r="B24">
        <v>4</v>
      </c>
      <c r="C24" s="3" t="s">
        <v>33</v>
      </c>
      <c r="D24">
        <v>4572.5</v>
      </c>
      <c r="E24">
        <f t="shared" si="0"/>
        <v>4498.2</v>
      </c>
      <c r="F24">
        <f t="shared" si="1"/>
        <v>4978.3</v>
      </c>
      <c r="G24">
        <f t="shared" si="2"/>
        <v>4018.1</v>
      </c>
      <c r="H24">
        <v>1000</v>
      </c>
      <c r="I24" s="13">
        <f t="shared" si="3"/>
        <v>658.6</v>
      </c>
      <c r="J24" s="13">
        <f t="shared" si="4"/>
        <v>1502.9</v>
      </c>
      <c r="K24" s="6">
        <f t="shared" si="5"/>
        <v>0</v>
      </c>
      <c r="L24" s="6"/>
      <c r="M24" s="6"/>
      <c r="N24" s="6"/>
      <c r="O24" s="6"/>
      <c r="P24" s="6"/>
      <c r="Q24" s="6"/>
    </row>
    <row r="25" spans="1:17" ht="13.2" x14ac:dyDescent="0.25">
      <c r="A25" s="3" t="s">
        <v>10</v>
      </c>
      <c r="B25">
        <v>4</v>
      </c>
      <c r="C25" s="3" t="s">
        <v>34</v>
      </c>
      <c r="D25">
        <v>4470</v>
      </c>
      <c r="E25">
        <f t="shared" si="0"/>
        <v>4498.2</v>
      </c>
      <c r="F25">
        <f t="shared" si="1"/>
        <v>4978.3</v>
      </c>
      <c r="G25">
        <f t="shared" si="2"/>
        <v>4018.1</v>
      </c>
      <c r="H25">
        <v>390</v>
      </c>
      <c r="I25" s="13">
        <f t="shared" si="3"/>
        <v>658.6</v>
      </c>
      <c r="J25" s="13">
        <f t="shared" si="4"/>
        <v>1502.9</v>
      </c>
      <c r="K25" s="6">
        <f t="shared" si="5"/>
        <v>0</v>
      </c>
      <c r="L25" s="6"/>
      <c r="M25" s="6"/>
      <c r="N25" s="6"/>
      <c r="O25" s="6"/>
      <c r="P25" s="6"/>
      <c r="Q25" s="6"/>
    </row>
    <row r="26" spans="1:17" ht="13.2" x14ac:dyDescent="0.25">
      <c r="A26" s="3" t="s">
        <v>10</v>
      </c>
      <c r="B26">
        <v>4</v>
      </c>
      <c r="C26" s="3" t="s">
        <v>35</v>
      </c>
      <c r="D26">
        <v>4676.3</v>
      </c>
      <c r="E26">
        <f t="shared" si="0"/>
        <v>4498.2</v>
      </c>
      <c r="F26">
        <f t="shared" si="1"/>
        <v>4978.3</v>
      </c>
      <c r="G26">
        <f t="shared" si="2"/>
        <v>4018.1</v>
      </c>
      <c r="H26">
        <v>570</v>
      </c>
      <c r="I26" s="13">
        <f t="shared" si="3"/>
        <v>658.6</v>
      </c>
      <c r="J26" s="13">
        <f t="shared" si="4"/>
        <v>1502.9</v>
      </c>
      <c r="K26" s="6">
        <f t="shared" si="5"/>
        <v>0</v>
      </c>
      <c r="L26" s="6"/>
      <c r="M26" s="6"/>
      <c r="N26" s="6"/>
      <c r="O26" s="6"/>
      <c r="P26" s="6"/>
      <c r="Q26" s="6"/>
    </row>
    <row r="27" spans="1:17" ht="13.2" x14ac:dyDescent="0.25">
      <c r="A27" s="3" t="s">
        <v>10</v>
      </c>
      <c r="B27">
        <v>4</v>
      </c>
      <c r="C27" s="3" t="s">
        <v>36</v>
      </c>
      <c r="D27">
        <v>4710</v>
      </c>
      <c r="E27">
        <f t="shared" si="0"/>
        <v>4498.2</v>
      </c>
      <c r="F27">
        <f t="shared" si="1"/>
        <v>4978.3</v>
      </c>
      <c r="G27">
        <f t="shared" si="2"/>
        <v>4018.1</v>
      </c>
      <c r="H27">
        <v>280</v>
      </c>
      <c r="I27" s="13">
        <f t="shared" si="3"/>
        <v>658.6</v>
      </c>
      <c r="J27" s="13">
        <f t="shared" si="4"/>
        <v>1502.9</v>
      </c>
      <c r="K27" s="6">
        <f t="shared" si="5"/>
        <v>0</v>
      </c>
      <c r="L27" s="6"/>
      <c r="M27" s="6"/>
      <c r="N27" s="6"/>
      <c r="O27" s="6"/>
      <c r="P27" s="6"/>
      <c r="Q27" s="6"/>
    </row>
    <row r="28" spans="1:17" ht="13.2" x14ac:dyDescent="0.25">
      <c r="A28" s="3" t="s">
        <v>10</v>
      </c>
      <c r="B28">
        <v>4</v>
      </c>
      <c r="C28" s="3" t="s">
        <v>37</v>
      </c>
      <c r="D28">
        <v>4366.3</v>
      </c>
      <c r="E28">
        <f t="shared" si="0"/>
        <v>4498.2</v>
      </c>
      <c r="F28">
        <f t="shared" si="1"/>
        <v>4978.3</v>
      </c>
      <c r="G28">
        <f t="shared" si="2"/>
        <v>4018.1</v>
      </c>
      <c r="H28">
        <v>730</v>
      </c>
      <c r="I28" s="13">
        <f t="shared" si="3"/>
        <v>658.6</v>
      </c>
      <c r="J28" s="13">
        <f t="shared" si="4"/>
        <v>1502.9</v>
      </c>
      <c r="K28" s="6">
        <f t="shared" si="5"/>
        <v>0</v>
      </c>
      <c r="L28" s="6"/>
      <c r="M28" s="6"/>
      <c r="N28" s="6"/>
      <c r="O28" s="6"/>
      <c r="P28" s="6"/>
      <c r="Q28" s="6"/>
    </row>
    <row r="29" spans="1:17" ht="13.2" x14ac:dyDescent="0.25">
      <c r="A29" s="3" t="s">
        <v>10</v>
      </c>
      <c r="B29">
        <v>4</v>
      </c>
      <c r="C29" s="3" t="s">
        <v>38</v>
      </c>
      <c r="D29">
        <v>4222.5</v>
      </c>
      <c r="E29">
        <f t="shared" si="0"/>
        <v>4498.2</v>
      </c>
      <c r="F29">
        <f t="shared" si="1"/>
        <v>4978.3</v>
      </c>
      <c r="G29">
        <f t="shared" si="2"/>
        <v>4018.1</v>
      </c>
      <c r="H29">
        <v>700</v>
      </c>
      <c r="I29" s="13">
        <f t="shared" si="3"/>
        <v>658.6</v>
      </c>
      <c r="J29" s="13">
        <f t="shared" si="4"/>
        <v>1502.9</v>
      </c>
      <c r="K29" s="6">
        <f t="shared" si="5"/>
        <v>0</v>
      </c>
      <c r="L29" s="6"/>
      <c r="M29" s="6"/>
      <c r="N29" s="6"/>
      <c r="O29" s="6"/>
      <c r="P29" s="6"/>
      <c r="Q29" s="6"/>
    </row>
    <row r="30" spans="1:17" ht="13.2" x14ac:dyDescent="0.25">
      <c r="A30" s="3" t="s">
        <v>10</v>
      </c>
      <c r="B30">
        <v>4</v>
      </c>
      <c r="C30" s="3" t="s">
        <v>39</v>
      </c>
      <c r="D30">
        <v>4367.5</v>
      </c>
      <c r="E30">
        <f t="shared" si="0"/>
        <v>4498.2</v>
      </c>
      <c r="F30">
        <f t="shared" si="1"/>
        <v>4978.3</v>
      </c>
      <c r="G30">
        <f t="shared" si="2"/>
        <v>4018.1</v>
      </c>
      <c r="H30">
        <v>635</v>
      </c>
      <c r="I30" s="13">
        <f t="shared" si="3"/>
        <v>658.6</v>
      </c>
      <c r="J30" s="13">
        <f t="shared" si="4"/>
        <v>1502.9</v>
      </c>
      <c r="K30" s="6">
        <f t="shared" si="5"/>
        <v>0</v>
      </c>
      <c r="L30" s="6"/>
      <c r="M30" s="6"/>
      <c r="N30" s="6"/>
      <c r="O30" s="6"/>
      <c r="P30" s="6"/>
      <c r="Q30" s="6"/>
    </row>
    <row r="31" spans="1:17" ht="13.2" x14ac:dyDescent="0.25">
      <c r="A31" s="3" t="s">
        <v>10</v>
      </c>
      <c r="B31">
        <v>4</v>
      </c>
      <c r="C31" s="3" t="s">
        <v>40</v>
      </c>
      <c r="D31">
        <v>4495</v>
      </c>
      <c r="E31">
        <f t="shared" si="0"/>
        <v>4498.2</v>
      </c>
      <c r="F31">
        <f t="shared" si="1"/>
        <v>4978.3</v>
      </c>
      <c r="G31">
        <f t="shared" si="2"/>
        <v>4018.1</v>
      </c>
      <c r="H31">
        <v>390</v>
      </c>
      <c r="I31" s="13">
        <f t="shared" si="3"/>
        <v>658.6</v>
      </c>
      <c r="J31" s="13">
        <f t="shared" si="4"/>
        <v>1502.9</v>
      </c>
      <c r="K31" s="6">
        <f t="shared" si="5"/>
        <v>0</v>
      </c>
      <c r="L31" s="6"/>
      <c r="M31" s="6"/>
      <c r="N31" s="6"/>
      <c r="O31" s="6"/>
      <c r="P31" s="6"/>
      <c r="Q31" s="6"/>
    </row>
    <row r="32" spans="1:17" ht="13.2" x14ac:dyDescent="0.25">
      <c r="A32" s="3" t="s">
        <v>10</v>
      </c>
      <c r="B32">
        <v>4</v>
      </c>
      <c r="C32" s="3" t="s">
        <v>41</v>
      </c>
      <c r="D32">
        <v>3550</v>
      </c>
      <c r="E32">
        <f t="shared" si="0"/>
        <v>4498.2</v>
      </c>
      <c r="F32">
        <f t="shared" si="1"/>
        <v>4978.3</v>
      </c>
      <c r="G32">
        <f t="shared" si="2"/>
        <v>4018.1</v>
      </c>
      <c r="H32">
        <v>1115</v>
      </c>
      <c r="I32" s="13">
        <f t="shared" si="3"/>
        <v>658.6</v>
      </c>
      <c r="J32" s="13">
        <f t="shared" si="4"/>
        <v>1502.9</v>
      </c>
      <c r="K32" s="6">
        <f t="shared" si="5"/>
        <v>0</v>
      </c>
      <c r="L32" s="6"/>
      <c r="M32" s="6"/>
      <c r="N32" s="6"/>
      <c r="O32" s="6"/>
      <c r="P32" s="6"/>
      <c r="Q32" s="6"/>
    </row>
    <row r="33" spans="1:17" ht="13.2" x14ac:dyDescent="0.25">
      <c r="A33" s="3" t="s">
        <v>10</v>
      </c>
      <c r="B33">
        <v>4</v>
      </c>
      <c r="C33" s="3" t="s">
        <v>42</v>
      </c>
      <c r="D33">
        <v>4498.8</v>
      </c>
      <c r="E33">
        <f t="shared" si="0"/>
        <v>4498.2</v>
      </c>
      <c r="F33">
        <f t="shared" si="1"/>
        <v>4978.3</v>
      </c>
      <c r="G33">
        <f t="shared" si="2"/>
        <v>4018.1</v>
      </c>
      <c r="H33">
        <v>540</v>
      </c>
      <c r="I33" s="13">
        <f t="shared" si="3"/>
        <v>658.6</v>
      </c>
      <c r="J33" s="13">
        <f t="shared" si="4"/>
        <v>1502.9</v>
      </c>
      <c r="K33" s="6">
        <f t="shared" si="5"/>
        <v>0</v>
      </c>
      <c r="L33" s="6"/>
      <c r="M33" s="6"/>
      <c r="N33" s="6"/>
      <c r="O33" s="6"/>
      <c r="P33" s="6"/>
      <c r="Q33" s="6"/>
    </row>
    <row r="34" spans="1:17" ht="13.2" x14ac:dyDescent="0.25">
      <c r="A34" s="3" t="s">
        <v>10</v>
      </c>
      <c r="B34">
        <v>4</v>
      </c>
      <c r="C34" s="3" t="s">
        <v>43</v>
      </c>
      <c r="D34">
        <v>4476.3</v>
      </c>
      <c r="E34">
        <f t="shared" ref="E34:E52" si="6">ROUND(AVERAGE($D$2:$D$52),1)</f>
        <v>4498.2</v>
      </c>
      <c r="F34">
        <f t="shared" ref="F34:F52" si="7">ROUND(E34+(0.729*I34),1)</f>
        <v>4978.3</v>
      </c>
      <c r="G34">
        <f t="shared" ref="G34:G52" si="8">ROUND(E34-(0.729*I34),1)</f>
        <v>4018.1</v>
      </c>
      <c r="H34">
        <v>655</v>
      </c>
      <c r="I34" s="13">
        <f t="shared" ref="I34:I52" si="9">ROUND(AVERAGE($H$2:$H$52),1)</f>
        <v>658.6</v>
      </c>
      <c r="J34" s="13">
        <f t="shared" si="4"/>
        <v>1502.9</v>
      </c>
      <c r="K34" s="6">
        <f t="shared" ref="K34:K52" si="10">0*I34</f>
        <v>0</v>
      </c>
      <c r="L34" s="6"/>
      <c r="M34" s="6"/>
      <c r="N34" s="6"/>
      <c r="O34" s="6"/>
      <c r="P34" s="6"/>
      <c r="Q34" s="6"/>
    </row>
    <row r="35" spans="1:17" ht="13.2" x14ac:dyDescent="0.25">
      <c r="A35" s="3" t="s">
        <v>10</v>
      </c>
      <c r="B35">
        <v>4</v>
      </c>
      <c r="C35" s="3" t="s">
        <v>44</v>
      </c>
      <c r="D35">
        <v>4528.8</v>
      </c>
      <c r="E35">
        <f t="shared" si="6"/>
        <v>4498.2</v>
      </c>
      <c r="F35">
        <f t="shared" si="7"/>
        <v>4978.3</v>
      </c>
      <c r="G35">
        <f t="shared" si="8"/>
        <v>4018.1</v>
      </c>
      <c r="H35">
        <v>725</v>
      </c>
      <c r="I35" s="13">
        <f t="shared" si="9"/>
        <v>658.6</v>
      </c>
      <c r="J35" s="13">
        <f t="shared" si="4"/>
        <v>1502.9</v>
      </c>
      <c r="K35" s="6">
        <f t="shared" si="10"/>
        <v>0</v>
      </c>
      <c r="L35" s="6"/>
      <c r="M35" s="6"/>
      <c r="N35" s="6"/>
      <c r="O35" s="6"/>
      <c r="P35" s="6"/>
      <c r="Q35" s="6"/>
    </row>
    <row r="36" spans="1:17" ht="13.2" x14ac:dyDescent="0.25">
      <c r="A36" s="3" t="s">
        <v>10</v>
      </c>
      <c r="B36">
        <v>4</v>
      </c>
      <c r="C36" s="3" t="s">
        <v>45</v>
      </c>
      <c r="D36">
        <v>4550</v>
      </c>
      <c r="E36">
        <f t="shared" si="6"/>
        <v>4498.2</v>
      </c>
      <c r="F36">
        <f t="shared" si="7"/>
        <v>4978.3</v>
      </c>
      <c r="G36">
        <f t="shared" si="8"/>
        <v>4018.1</v>
      </c>
      <c r="H36">
        <v>400</v>
      </c>
      <c r="I36" s="13">
        <f t="shared" si="9"/>
        <v>658.6</v>
      </c>
      <c r="J36" s="13">
        <f t="shared" si="4"/>
        <v>1502.9</v>
      </c>
      <c r="K36" s="6">
        <f t="shared" si="10"/>
        <v>0</v>
      </c>
      <c r="L36" s="6"/>
      <c r="M36" s="6"/>
      <c r="N36" s="6"/>
      <c r="O36" s="6"/>
      <c r="P36" s="6"/>
      <c r="Q36" s="6"/>
    </row>
    <row r="37" spans="1:17" ht="13.2" x14ac:dyDescent="0.25">
      <c r="A37" s="3" t="s">
        <v>10</v>
      </c>
      <c r="B37">
        <v>4</v>
      </c>
      <c r="C37" s="3" t="s">
        <v>46</v>
      </c>
      <c r="D37">
        <v>3701.3</v>
      </c>
      <c r="E37">
        <f t="shared" si="6"/>
        <v>4498.2</v>
      </c>
      <c r="F37">
        <f t="shared" si="7"/>
        <v>4978.3</v>
      </c>
      <c r="G37">
        <f t="shared" si="8"/>
        <v>4018.1</v>
      </c>
      <c r="H37">
        <v>265</v>
      </c>
      <c r="I37" s="13">
        <f t="shared" si="9"/>
        <v>658.6</v>
      </c>
      <c r="J37" s="13">
        <f t="shared" si="4"/>
        <v>1502.9</v>
      </c>
      <c r="K37" s="6">
        <f t="shared" si="10"/>
        <v>0</v>
      </c>
      <c r="L37" s="6"/>
      <c r="M37" s="6"/>
      <c r="N37" s="6"/>
      <c r="O37" s="6"/>
      <c r="P37" s="6"/>
      <c r="Q37" s="6"/>
    </row>
    <row r="38" spans="1:17" ht="13.2" x14ac:dyDescent="0.25">
      <c r="A38" s="3" t="s">
        <v>10</v>
      </c>
      <c r="B38">
        <v>4</v>
      </c>
      <c r="C38" s="3" t="s">
        <v>47</v>
      </c>
      <c r="D38">
        <v>4030</v>
      </c>
      <c r="E38">
        <f t="shared" si="6"/>
        <v>4498.2</v>
      </c>
      <c r="F38">
        <f t="shared" si="7"/>
        <v>4978.3</v>
      </c>
      <c r="G38">
        <f t="shared" si="8"/>
        <v>4018.1</v>
      </c>
      <c r="H38">
        <v>675</v>
      </c>
      <c r="I38" s="13">
        <f t="shared" si="9"/>
        <v>658.6</v>
      </c>
      <c r="J38" s="13">
        <f t="shared" si="4"/>
        <v>1502.9</v>
      </c>
      <c r="K38" s="6">
        <f t="shared" si="10"/>
        <v>0</v>
      </c>
      <c r="L38" s="6"/>
      <c r="M38" s="6"/>
      <c r="N38" s="6"/>
      <c r="O38" s="6"/>
      <c r="P38" s="6"/>
      <c r="Q38" s="6"/>
    </row>
    <row r="39" spans="1:17" ht="13.2" x14ac:dyDescent="0.25">
      <c r="A39" s="3" t="s">
        <v>10</v>
      </c>
      <c r="B39">
        <v>4</v>
      </c>
      <c r="C39" s="3" t="s">
        <v>48</v>
      </c>
      <c r="D39">
        <v>4781.3</v>
      </c>
      <c r="E39">
        <f t="shared" si="6"/>
        <v>4498.2</v>
      </c>
      <c r="F39">
        <f t="shared" si="7"/>
        <v>4978.3</v>
      </c>
      <c r="G39">
        <f t="shared" si="8"/>
        <v>4018.1</v>
      </c>
      <c r="H39">
        <v>500</v>
      </c>
      <c r="I39" s="13">
        <f t="shared" si="9"/>
        <v>658.6</v>
      </c>
      <c r="J39" s="13">
        <f t="shared" si="4"/>
        <v>1502.9</v>
      </c>
      <c r="K39" s="6">
        <f t="shared" si="10"/>
        <v>0</v>
      </c>
      <c r="L39" s="6"/>
      <c r="M39" s="6"/>
      <c r="N39" s="6"/>
      <c r="O39" s="6"/>
      <c r="P39" s="6"/>
      <c r="Q39" s="6"/>
    </row>
    <row r="40" spans="1:17" ht="13.2" x14ac:dyDescent="0.25">
      <c r="A40" s="3" t="s">
        <v>10</v>
      </c>
      <c r="B40">
        <v>4</v>
      </c>
      <c r="C40" s="3" t="s">
        <v>49</v>
      </c>
      <c r="D40">
        <v>4797.5</v>
      </c>
      <c r="E40">
        <f t="shared" si="6"/>
        <v>4498.2</v>
      </c>
      <c r="F40">
        <f t="shared" si="7"/>
        <v>4978.3</v>
      </c>
      <c r="G40">
        <f t="shared" si="8"/>
        <v>4018.1</v>
      </c>
      <c r="H40">
        <v>650</v>
      </c>
      <c r="I40" s="13">
        <f t="shared" si="9"/>
        <v>658.6</v>
      </c>
      <c r="J40" s="13">
        <f t="shared" si="4"/>
        <v>1502.9</v>
      </c>
      <c r="K40" s="6">
        <f t="shared" si="10"/>
        <v>0</v>
      </c>
      <c r="L40" s="6"/>
      <c r="M40" s="6"/>
      <c r="N40" s="6"/>
      <c r="O40" s="6"/>
      <c r="P40" s="6"/>
      <c r="Q40" s="6"/>
    </row>
    <row r="41" spans="1:17" ht="13.2" x14ac:dyDescent="0.25">
      <c r="A41" s="3" t="s">
        <v>10</v>
      </c>
      <c r="B41">
        <v>4</v>
      </c>
      <c r="C41" s="3" t="s">
        <v>50</v>
      </c>
      <c r="D41">
        <v>4887.5</v>
      </c>
      <c r="E41">
        <f t="shared" si="6"/>
        <v>4498.2</v>
      </c>
      <c r="F41">
        <f t="shared" si="7"/>
        <v>4978.3</v>
      </c>
      <c r="G41">
        <f t="shared" si="8"/>
        <v>4018.1</v>
      </c>
      <c r="H41">
        <v>300</v>
      </c>
      <c r="I41" s="13">
        <f t="shared" si="9"/>
        <v>658.6</v>
      </c>
      <c r="J41" s="13">
        <f t="shared" si="4"/>
        <v>1502.9</v>
      </c>
      <c r="K41" s="6">
        <f t="shared" si="10"/>
        <v>0</v>
      </c>
      <c r="L41" s="6"/>
      <c r="M41" s="6"/>
      <c r="N41" s="6"/>
      <c r="O41" s="6"/>
      <c r="P41" s="6"/>
      <c r="Q41" s="6"/>
    </row>
    <row r="42" spans="1:17" ht="13.2" x14ac:dyDescent="0.25">
      <c r="A42" s="3" t="s">
        <v>10</v>
      </c>
      <c r="B42">
        <v>4</v>
      </c>
      <c r="C42" s="3" t="s">
        <v>51</v>
      </c>
      <c r="D42">
        <v>4760</v>
      </c>
      <c r="E42">
        <f t="shared" si="6"/>
        <v>4498.2</v>
      </c>
      <c r="F42">
        <f t="shared" si="7"/>
        <v>4978.3</v>
      </c>
      <c r="G42">
        <f t="shared" si="8"/>
        <v>4018.1</v>
      </c>
      <c r="H42">
        <v>500</v>
      </c>
      <c r="I42" s="13">
        <f t="shared" si="9"/>
        <v>658.6</v>
      </c>
      <c r="J42" s="13">
        <f t="shared" si="4"/>
        <v>1502.9</v>
      </c>
      <c r="K42" s="6">
        <f t="shared" si="10"/>
        <v>0</v>
      </c>
      <c r="L42" s="6"/>
      <c r="M42" s="6"/>
      <c r="N42" s="6"/>
      <c r="O42" s="6"/>
      <c r="P42" s="6"/>
      <c r="Q42" s="6"/>
    </row>
    <row r="43" spans="1:17" ht="13.2" x14ac:dyDescent="0.25">
      <c r="A43" s="3" t="s">
        <v>10</v>
      </c>
      <c r="B43">
        <v>4</v>
      </c>
      <c r="C43" s="3" t="s">
        <v>52</v>
      </c>
      <c r="D43">
        <v>4853.8</v>
      </c>
      <c r="E43">
        <f t="shared" si="6"/>
        <v>4498.2</v>
      </c>
      <c r="F43">
        <f t="shared" si="7"/>
        <v>4978.3</v>
      </c>
      <c r="G43">
        <f t="shared" si="8"/>
        <v>4018.1</v>
      </c>
      <c r="H43">
        <v>505</v>
      </c>
      <c r="I43" s="13">
        <f t="shared" si="9"/>
        <v>658.6</v>
      </c>
      <c r="J43" s="13">
        <f t="shared" si="4"/>
        <v>1502.9</v>
      </c>
      <c r="K43" s="6">
        <f t="shared" si="10"/>
        <v>0</v>
      </c>
      <c r="L43" s="6"/>
      <c r="M43" s="6"/>
      <c r="N43" s="6"/>
      <c r="O43" s="6"/>
      <c r="P43" s="6"/>
      <c r="Q43" s="6"/>
    </row>
    <row r="44" spans="1:17" ht="13.2" x14ac:dyDescent="0.25">
      <c r="A44" s="3" t="s">
        <v>10</v>
      </c>
      <c r="B44">
        <v>4</v>
      </c>
      <c r="C44" s="3" t="s">
        <v>53</v>
      </c>
      <c r="D44">
        <v>4925</v>
      </c>
      <c r="E44">
        <f t="shared" si="6"/>
        <v>4498.2</v>
      </c>
      <c r="F44">
        <f t="shared" si="7"/>
        <v>4978.3</v>
      </c>
      <c r="G44">
        <f t="shared" si="8"/>
        <v>4018.1</v>
      </c>
      <c r="H44">
        <v>300</v>
      </c>
      <c r="I44" s="13">
        <f t="shared" si="9"/>
        <v>658.6</v>
      </c>
      <c r="J44" s="13">
        <f t="shared" si="4"/>
        <v>1502.9</v>
      </c>
      <c r="K44" s="6">
        <f t="shared" si="10"/>
        <v>0</v>
      </c>
      <c r="L44" s="6"/>
      <c r="M44" s="6"/>
      <c r="N44" s="6"/>
      <c r="O44" s="6"/>
      <c r="P44" s="6"/>
      <c r="Q44" s="6"/>
    </row>
    <row r="45" spans="1:17" ht="13.2" x14ac:dyDescent="0.25">
      <c r="A45" s="3" t="s">
        <v>10</v>
      </c>
      <c r="B45">
        <v>4</v>
      </c>
      <c r="C45" s="3" t="s">
        <v>54</v>
      </c>
      <c r="D45">
        <v>5041.3</v>
      </c>
      <c r="E45">
        <f t="shared" si="6"/>
        <v>4498.2</v>
      </c>
      <c r="F45">
        <f t="shared" si="7"/>
        <v>4978.3</v>
      </c>
      <c r="G45">
        <f t="shared" si="8"/>
        <v>4018.1</v>
      </c>
      <c r="H45">
        <v>335</v>
      </c>
      <c r="I45" s="13">
        <f t="shared" si="9"/>
        <v>658.6</v>
      </c>
      <c r="J45" s="13">
        <f t="shared" si="4"/>
        <v>1502.9</v>
      </c>
      <c r="K45" s="6">
        <f t="shared" si="10"/>
        <v>0</v>
      </c>
      <c r="L45" s="6"/>
      <c r="M45" s="6"/>
      <c r="N45" s="6"/>
      <c r="O45" s="6"/>
      <c r="P45" s="6"/>
      <c r="Q45" s="6"/>
    </row>
    <row r="46" spans="1:17" ht="13.2" x14ac:dyDescent="0.25">
      <c r="A46" s="3" t="s">
        <v>10</v>
      </c>
      <c r="B46">
        <v>4</v>
      </c>
      <c r="C46" s="3" t="s">
        <v>55</v>
      </c>
      <c r="D46">
        <v>4835</v>
      </c>
      <c r="E46">
        <f t="shared" si="6"/>
        <v>4498.2</v>
      </c>
      <c r="F46">
        <f t="shared" si="7"/>
        <v>4978.3</v>
      </c>
      <c r="G46">
        <f t="shared" si="8"/>
        <v>4018.1</v>
      </c>
      <c r="H46">
        <v>1385</v>
      </c>
      <c r="I46" s="13">
        <f t="shared" si="9"/>
        <v>658.6</v>
      </c>
      <c r="J46" s="13">
        <f t="shared" si="4"/>
        <v>1502.9</v>
      </c>
      <c r="K46" s="6">
        <f t="shared" si="10"/>
        <v>0</v>
      </c>
      <c r="L46" s="6"/>
      <c r="M46" s="6"/>
      <c r="N46" s="6"/>
      <c r="O46" s="6"/>
      <c r="P46" s="6"/>
      <c r="Q46" s="6"/>
    </row>
    <row r="47" spans="1:17" ht="13.2" x14ac:dyDescent="0.25">
      <c r="A47" s="3" t="s">
        <v>10</v>
      </c>
      <c r="B47">
        <v>4</v>
      </c>
      <c r="C47" s="3" t="s">
        <v>56</v>
      </c>
      <c r="D47">
        <v>4555</v>
      </c>
      <c r="E47">
        <f t="shared" si="6"/>
        <v>4498.2</v>
      </c>
      <c r="F47">
        <f t="shared" si="7"/>
        <v>4978.3</v>
      </c>
      <c r="G47">
        <f t="shared" si="8"/>
        <v>4018.1</v>
      </c>
      <c r="H47">
        <v>340</v>
      </c>
      <c r="I47" s="13">
        <f t="shared" si="9"/>
        <v>658.6</v>
      </c>
      <c r="J47" s="13">
        <f t="shared" si="4"/>
        <v>1502.9</v>
      </c>
      <c r="K47" s="6">
        <f t="shared" si="10"/>
        <v>0</v>
      </c>
      <c r="L47" s="6"/>
      <c r="M47" s="6"/>
      <c r="N47" s="6"/>
      <c r="O47" s="6"/>
      <c r="P47" s="6"/>
      <c r="Q47" s="6"/>
    </row>
    <row r="48" spans="1:17" ht="13.2" x14ac:dyDescent="0.25">
      <c r="A48" s="3" t="s">
        <v>10</v>
      </c>
      <c r="B48">
        <v>4</v>
      </c>
      <c r="C48" s="3" t="s">
        <v>57</v>
      </c>
      <c r="D48">
        <v>4566.3</v>
      </c>
      <c r="E48">
        <f t="shared" si="6"/>
        <v>4498.2</v>
      </c>
      <c r="F48">
        <f t="shared" si="7"/>
        <v>4978.3</v>
      </c>
      <c r="G48">
        <f t="shared" si="8"/>
        <v>4018.1</v>
      </c>
      <c r="H48">
        <v>265</v>
      </c>
      <c r="I48" s="13">
        <f t="shared" si="9"/>
        <v>658.6</v>
      </c>
      <c r="J48" s="13">
        <f t="shared" si="4"/>
        <v>1502.9</v>
      </c>
      <c r="K48" s="6">
        <f t="shared" si="10"/>
        <v>0</v>
      </c>
      <c r="L48" s="6"/>
      <c r="M48" s="6"/>
      <c r="N48" s="6"/>
      <c r="O48" s="6"/>
      <c r="P48" s="6"/>
      <c r="Q48" s="6"/>
    </row>
    <row r="49" spans="1:17" ht="13.2" x14ac:dyDescent="0.25">
      <c r="A49" s="3" t="s">
        <v>10</v>
      </c>
      <c r="B49">
        <v>4</v>
      </c>
      <c r="C49" s="3" t="s">
        <v>58</v>
      </c>
      <c r="D49">
        <v>4842.5</v>
      </c>
      <c r="E49">
        <f t="shared" si="6"/>
        <v>4498.2</v>
      </c>
      <c r="F49">
        <f t="shared" si="7"/>
        <v>4978.3</v>
      </c>
      <c r="G49">
        <f t="shared" si="8"/>
        <v>4018.1</v>
      </c>
      <c r="H49">
        <v>230</v>
      </c>
      <c r="I49" s="13">
        <f t="shared" si="9"/>
        <v>658.6</v>
      </c>
      <c r="J49" s="13">
        <f t="shared" si="4"/>
        <v>1502.9</v>
      </c>
      <c r="K49" s="6">
        <f t="shared" si="10"/>
        <v>0</v>
      </c>
      <c r="L49" s="6"/>
      <c r="M49" s="6"/>
      <c r="N49" s="6"/>
      <c r="O49" s="6"/>
      <c r="P49" s="6"/>
      <c r="Q49" s="6"/>
    </row>
    <row r="50" spans="1:17" ht="13.2" x14ac:dyDescent="0.25">
      <c r="A50" s="3" t="s">
        <v>10</v>
      </c>
      <c r="B50">
        <v>4</v>
      </c>
      <c r="C50" s="3" t="s">
        <v>59</v>
      </c>
      <c r="D50">
        <v>4343.8</v>
      </c>
      <c r="E50">
        <f t="shared" si="6"/>
        <v>4498.2</v>
      </c>
      <c r="F50">
        <f t="shared" si="7"/>
        <v>4978.3</v>
      </c>
      <c r="G50">
        <f t="shared" si="8"/>
        <v>4018.1</v>
      </c>
      <c r="H50">
        <v>490</v>
      </c>
      <c r="I50" s="13">
        <f t="shared" si="9"/>
        <v>658.6</v>
      </c>
      <c r="J50" s="13">
        <f t="shared" si="4"/>
        <v>1502.9</v>
      </c>
      <c r="K50" s="6">
        <f t="shared" si="10"/>
        <v>0</v>
      </c>
      <c r="L50" s="6"/>
      <c r="M50" s="6"/>
      <c r="N50" s="6"/>
      <c r="O50" s="6"/>
      <c r="P50" s="6"/>
      <c r="Q50" s="6"/>
    </row>
    <row r="51" spans="1:17" ht="13.2" x14ac:dyDescent="0.25">
      <c r="A51" s="3" t="s">
        <v>10</v>
      </c>
      <c r="B51">
        <v>4</v>
      </c>
      <c r="C51" s="3" t="s">
        <v>60</v>
      </c>
      <c r="D51">
        <v>4361.3</v>
      </c>
      <c r="E51">
        <f t="shared" si="6"/>
        <v>4498.2</v>
      </c>
      <c r="F51">
        <f t="shared" si="7"/>
        <v>4978.3</v>
      </c>
      <c r="G51">
        <f t="shared" si="8"/>
        <v>4018.1</v>
      </c>
      <c r="H51">
        <v>1360</v>
      </c>
      <c r="I51" s="13">
        <f t="shared" si="9"/>
        <v>658.6</v>
      </c>
      <c r="J51" s="13">
        <f t="shared" si="4"/>
        <v>1502.9</v>
      </c>
      <c r="K51" s="6">
        <f t="shared" si="10"/>
        <v>0</v>
      </c>
      <c r="L51" s="6"/>
      <c r="M51" s="6"/>
      <c r="N51" s="6"/>
      <c r="O51" s="6"/>
      <c r="P51" s="6"/>
      <c r="Q51" s="6"/>
    </row>
    <row r="52" spans="1:17" ht="13.2" x14ac:dyDescent="0.25">
      <c r="A52" s="3" t="s">
        <v>10</v>
      </c>
      <c r="B52">
        <v>4</v>
      </c>
      <c r="C52" s="3" t="s">
        <v>61</v>
      </c>
      <c r="D52">
        <v>5100</v>
      </c>
      <c r="E52">
        <f t="shared" si="6"/>
        <v>4498.2</v>
      </c>
      <c r="F52">
        <f t="shared" si="7"/>
        <v>4978.3</v>
      </c>
      <c r="G52">
        <f t="shared" si="8"/>
        <v>4018.1</v>
      </c>
      <c r="H52">
        <v>250</v>
      </c>
      <c r="I52" s="13">
        <f t="shared" si="9"/>
        <v>658.6</v>
      </c>
      <c r="J52" s="13">
        <f t="shared" si="4"/>
        <v>1502.9</v>
      </c>
      <c r="K52" s="6">
        <f t="shared" si="10"/>
        <v>0</v>
      </c>
      <c r="L52" s="6"/>
      <c r="M52" s="6"/>
      <c r="N52" s="6"/>
      <c r="O52" s="6"/>
      <c r="P52" s="6"/>
      <c r="Q52" s="6"/>
    </row>
    <row r="53" spans="1:17" ht="13.2" x14ac:dyDescent="0.25"/>
    <row r="54" spans="1:17" ht="13.2" x14ac:dyDescent="0.25"/>
    <row r="55" spans="1:17" ht="13.2" x14ac:dyDescent="0.25"/>
    <row r="56" spans="1:17" ht="13.2" x14ac:dyDescent="0.25"/>
    <row r="57" spans="1:17" ht="13.2" x14ac:dyDescent="0.25"/>
    <row r="58" spans="1:17" ht="13.2" x14ac:dyDescent="0.25"/>
    <row r="59" spans="1:17" ht="13.2" x14ac:dyDescent="0.25"/>
    <row r="60" spans="1:17" ht="13.2" x14ac:dyDescent="0.25"/>
    <row r="61" spans="1:17" ht="13.2" x14ac:dyDescent="0.25"/>
    <row r="62" spans="1:17" ht="13.2" x14ac:dyDescent="0.25"/>
    <row r="63" spans="1:17" ht="13.2" x14ac:dyDescent="0.25"/>
    <row r="64" spans="1:17" ht="13.2" x14ac:dyDescent="0.25"/>
    <row r="65" ht="13.2" x14ac:dyDescent="0.25"/>
    <row r="66" ht="13.2" x14ac:dyDescent="0.25"/>
    <row r="67" ht="13.2" x14ac:dyDescent="0.25"/>
    <row r="68" ht="13.2" x14ac:dyDescent="0.25"/>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3C6E9-F9FC-4956-B7EA-940F6BBEFA11}">
  <dimension ref="A1:U205"/>
  <sheetViews>
    <sheetView topLeftCell="G1" workbookViewId="0">
      <selection activeCell="AF34" sqref="AF34"/>
    </sheetView>
  </sheetViews>
  <sheetFormatPr defaultRowHeight="13.2" x14ac:dyDescent="0.25"/>
  <cols>
    <col min="3" max="3" width="12.21875" bestFit="1" customWidth="1"/>
    <col min="12" max="12" width="17.88671875" bestFit="1" customWidth="1"/>
    <col min="13" max="13" width="11.109375" bestFit="1" customWidth="1"/>
    <col min="14" max="14" width="9.88671875" bestFit="1" customWidth="1"/>
    <col min="15" max="15" width="15.5546875" bestFit="1" customWidth="1"/>
    <col min="16" max="17" width="7" bestFit="1" customWidth="1"/>
    <col min="18" max="18" width="17" bestFit="1" customWidth="1"/>
    <col min="19" max="19" width="15.77734375" bestFit="1" customWidth="1"/>
    <col min="20" max="20" width="6.6640625" bestFit="1" customWidth="1"/>
    <col min="21" max="21" width="6.44140625" bestFit="1" customWidth="1"/>
  </cols>
  <sheetData>
    <row r="1" spans="1:21" x14ac:dyDescent="0.25">
      <c r="A1" s="10" t="s">
        <v>1</v>
      </c>
      <c r="B1" s="10" t="s">
        <v>2</v>
      </c>
      <c r="C1" s="10" t="s">
        <v>3</v>
      </c>
      <c r="D1" s="10" t="s">
        <v>4</v>
      </c>
      <c r="E1" s="10" t="s">
        <v>5</v>
      </c>
      <c r="F1" s="10" t="s">
        <v>6</v>
      </c>
      <c r="G1" s="10" t="s">
        <v>7</v>
      </c>
      <c r="H1" s="10" t="s">
        <v>8</v>
      </c>
      <c r="I1" s="10" t="s">
        <v>9</v>
      </c>
      <c r="K1" s="12" t="s">
        <v>1</v>
      </c>
      <c r="L1" s="12" t="s">
        <v>223</v>
      </c>
      <c r="M1" s="12" t="s">
        <v>215</v>
      </c>
      <c r="N1" s="12" t="s">
        <v>224</v>
      </c>
      <c r="O1" s="12" t="s">
        <v>216</v>
      </c>
      <c r="P1" s="12" t="s">
        <v>217</v>
      </c>
      <c r="Q1" s="12" t="s">
        <v>218</v>
      </c>
      <c r="R1" s="12" t="s">
        <v>219</v>
      </c>
      <c r="S1" s="12" t="s">
        <v>220</v>
      </c>
      <c r="T1" s="12" t="s">
        <v>9</v>
      </c>
      <c r="U1" s="12" t="s">
        <v>221</v>
      </c>
    </row>
    <row r="2" spans="1:21" x14ac:dyDescent="0.25">
      <c r="A2" s="11" t="s">
        <v>10</v>
      </c>
      <c r="B2" s="11" t="s">
        <v>11</v>
      </c>
      <c r="C2" s="9">
        <v>5045</v>
      </c>
      <c r="D2" s="11">
        <f t="shared" ref="D2:D65" si="0">ROUND(AVERAGE($C$2:$C$205),2)</f>
        <v>4498.18</v>
      </c>
      <c r="E2" s="11">
        <f t="shared" ref="E2:E65" si="1">ROUND(D2+(2.66*H2),2)</f>
        <v>5346.21</v>
      </c>
      <c r="F2" s="11">
        <f t="shared" ref="F2:F65" si="2">ROUND(D2-(2.66*H2),2)</f>
        <v>3650.15</v>
      </c>
      <c r="G2" s="11"/>
      <c r="H2" s="11">
        <f>ROUND(AVERAGE($G$3:$G$205),2)</f>
        <v>318.81</v>
      </c>
      <c r="I2" s="11">
        <f t="shared" ref="I2:I65" si="3">ROUND(3.268*H2,2)</f>
        <v>1041.8699999999999</v>
      </c>
      <c r="K2" s="3" t="s">
        <v>10</v>
      </c>
      <c r="L2">
        <v>4</v>
      </c>
      <c r="M2" s="3" t="s">
        <v>11</v>
      </c>
      <c r="N2">
        <v>4430</v>
      </c>
      <c r="O2">
        <f t="shared" ref="O2:O52" si="4">ROUND(AVERAGE($D$2:$D$52),1)</f>
        <v>4498.2</v>
      </c>
      <c r="P2">
        <f t="shared" ref="P2:P52" si="5">ROUND(O2+(0.729*S2),1)</f>
        <v>4730.6000000000004</v>
      </c>
      <c r="Q2">
        <f t="shared" ref="Q2:Q52" si="6">ROUND(O2-(0.729*S2),1)</f>
        <v>4265.8</v>
      </c>
      <c r="R2">
        <v>1070</v>
      </c>
      <c r="S2" s="13">
        <f t="shared" ref="S2:S33" si="7">ROUND(AVERAGE($H$2:$H$52),1)</f>
        <v>318.8</v>
      </c>
      <c r="T2" s="13">
        <f t="shared" ref="T2:T52" si="8">ROUND(2.282*S2,1)</f>
        <v>727.5</v>
      </c>
      <c r="U2" s="6">
        <f t="shared" ref="U2:U52" si="9">0*S2</f>
        <v>0</v>
      </c>
    </row>
    <row r="3" spans="1:21" x14ac:dyDescent="0.25">
      <c r="A3" s="11" t="s">
        <v>10</v>
      </c>
      <c r="B3" s="11" t="s">
        <v>12</v>
      </c>
      <c r="C3" s="9">
        <v>4350</v>
      </c>
      <c r="D3" s="11">
        <f t="shared" si="0"/>
        <v>4498.18</v>
      </c>
      <c r="E3" s="11">
        <f t="shared" si="1"/>
        <v>5346.21</v>
      </c>
      <c r="F3" s="11">
        <f t="shared" si="2"/>
        <v>3650.15</v>
      </c>
      <c r="G3" s="11">
        <f t="shared" ref="G3:G66" si="10">ABS(C2-C3)</f>
        <v>695</v>
      </c>
      <c r="H3" s="11">
        <f t="shared" ref="H3:H66" si="11">ROUND(AVERAGE($G$3:$G$205),2)</f>
        <v>318.81</v>
      </c>
      <c r="I3" s="11">
        <f t="shared" si="3"/>
        <v>1041.8699999999999</v>
      </c>
      <c r="K3" s="3" t="s">
        <v>10</v>
      </c>
      <c r="L3">
        <v>4</v>
      </c>
      <c r="M3" s="3" t="s">
        <v>12</v>
      </c>
      <c r="N3">
        <v>4372.5</v>
      </c>
      <c r="O3">
        <f t="shared" si="4"/>
        <v>4498.2</v>
      </c>
      <c r="P3">
        <f t="shared" si="5"/>
        <v>4730.6000000000004</v>
      </c>
      <c r="Q3">
        <f t="shared" si="6"/>
        <v>4265.8</v>
      </c>
      <c r="R3">
        <v>200</v>
      </c>
      <c r="S3" s="13">
        <f t="shared" si="7"/>
        <v>318.8</v>
      </c>
      <c r="T3" s="13">
        <f t="shared" si="8"/>
        <v>727.5</v>
      </c>
      <c r="U3" s="6">
        <f t="shared" si="9"/>
        <v>0</v>
      </c>
    </row>
    <row r="4" spans="1:21" x14ac:dyDescent="0.25">
      <c r="A4" s="11" t="s">
        <v>10</v>
      </c>
      <c r="B4" s="11" t="s">
        <v>13</v>
      </c>
      <c r="C4" s="9">
        <v>4350</v>
      </c>
      <c r="D4" s="11">
        <f t="shared" si="0"/>
        <v>4498.18</v>
      </c>
      <c r="E4" s="11">
        <f t="shared" si="1"/>
        <v>5346.21</v>
      </c>
      <c r="F4" s="11">
        <f t="shared" si="2"/>
        <v>3650.15</v>
      </c>
      <c r="G4" s="11">
        <f t="shared" si="10"/>
        <v>0</v>
      </c>
      <c r="H4" s="11">
        <f t="shared" si="11"/>
        <v>318.81</v>
      </c>
      <c r="I4" s="11">
        <f t="shared" si="3"/>
        <v>1041.8699999999999</v>
      </c>
      <c r="K4" s="3" t="s">
        <v>10</v>
      </c>
      <c r="L4">
        <v>4</v>
      </c>
      <c r="M4" s="3" t="s">
        <v>13</v>
      </c>
      <c r="N4">
        <v>3827.5</v>
      </c>
      <c r="O4">
        <f t="shared" si="4"/>
        <v>4498.2</v>
      </c>
      <c r="P4">
        <f t="shared" si="5"/>
        <v>4730.6000000000004</v>
      </c>
      <c r="Q4">
        <f t="shared" si="6"/>
        <v>4265.8</v>
      </c>
      <c r="R4">
        <v>335</v>
      </c>
      <c r="S4" s="13">
        <f t="shared" si="7"/>
        <v>318.8</v>
      </c>
      <c r="T4" s="13">
        <f t="shared" si="8"/>
        <v>727.5</v>
      </c>
      <c r="U4" s="6">
        <f t="shared" si="9"/>
        <v>0</v>
      </c>
    </row>
    <row r="5" spans="1:21" x14ac:dyDescent="0.25">
      <c r="A5" s="11" t="s">
        <v>10</v>
      </c>
      <c r="B5" s="11" t="s">
        <v>14</v>
      </c>
      <c r="C5" s="9">
        <v>3975</v>
      </c>
      <c r="D5" s="11">
        <f t="shared" si="0"/>
        <v>4498.18</v>
      </c>
      <c r="E5" s="11">
        <f t="shared" si="1"/>
        <v>5346.21</v>
      </c>
      <c r="F5" s="11">
        <f t="shared" si="2"/>
        <v>3650.15</v>
      </c>
      <c r="G5" s="11">
        <f t="shared" si="10"/>
        <v>375</v>
      </c>
      <c r="H5" s="11">
        <f t="shared" si="11"/>
        <v>318.81</v>
      </c>
      <c r="I5" s="11">
        <f t="shared" si="3"/>
        <v>1041.8699999999999</v>
      </c>
      <c r="K5" s="3" t="s">
        <v>10</v>
      </c>
      <c r="L5">
        <v>4</v>
      </c>
      <c r="M5" s="3" t="s">
        <v>14</v>
      </c>
      <c r="N5">
        <v>3912</v>
      </c>
      <c r="O5">
        <f t="shared" si="4"/>
        <v>4498.2</v>
      </c>
      <c r="P5">
        <f t="shared" si="5"/>
        <v>4730.6000000000004</v>
      </c>
      <c r="Q5">
        <f t="shared" si="6"/>
        <v>4265.8</v>
      </c>
      <c r="R5">
        <v>1900</v>
      </c>
      <c r="S5" s="13">
        <f t="shared" si="7"/>
        <v>318.8</v>
      </c>
      <c r="T5" s="13">
        <f t="shared" si="8"/>
        <v>727.5</v>
      </c>
      <c r="U5" s="6">
        <f t="shared" si="9"/>
        <v>0</v>
      </c>
    </row>
    <row r="6" spans="1:21" x14ac:dyDescent="0.25">
      <c r="A6" s="11" t="s">
        <v>10</v>
      </c>
      <c r="B6" s="11" t="s">
        <v>15</v>
      </c>
      <c r="C6" s="9">
        <v>4290</v>
      </c>
      <c r="D6" s="11">
        <f t="shared" si="0"/>
        <v>4498.18</v>
      </c>
      <c r="E6" s="11">
        <f t="shared" si="1"/>
        <v>5346.21</v>
      </c>
      <c r="F6" s="11">
        <f t="shared" si="2"/>
        <v>3650.15</v>
      </c>
      <c r="G6" s="11">
        <f t="shared" si="10"/>
        <v>315</v>
      </c>
      <c r="H6" s="11">
        <f t="shared" si="11"/>
        <v>318.81</v>
      </c>
      <c r="I6" s="11">
        <f t="shared" si="3"/>
        <v>1041.8699999999999</v>
      </c>
      <c r="K6" s="3" t="s">
        <v>10</v>
      </c>
      <c r="L6">
        <v>4</v>
      </c>
      <c r="M6" s="3" t="s">
        <v>15</v>
      </c>
      <c r="N6">
        <v>5071.3</v>
      </c>
      <c r="O6">
        <f t="shared" si="4"/>
        <v>4498.2</v>
      </c>
      <c r="P6">
        <f t="shared" si="5"/>
        <v>4730.6000000000004</v>
      </c>
      <c r="Q6">
        <f t="shared" si="6"/>
        <v>4265.8</v>
      </c>
      <c r="R6">
        <v>815</v>
      </c>
      <c r="S6" s="13">
        <f t="shared" si="7"/>
        <v>318.8</v>
      </c>
      <c r="T6" s="13">
        <f t="shared" si="8"/>
        <v>727.5</v>
      </c>
      <c r="U6" s="6">
        <f t="shared" si="9"/>
        <v>0</v>
      </c>
    </row>
    <row r="7" spans="1:21" x14ac:dyDescent="0.25">
      <c r="A7" s="11" t="s">
        <v>10</v>
      </c>
      <c r="B7" s="11" t="s">
        <v>16</v>
      </c>
      <c r="C7" s="9">
        <v>4430</v>
      </c>
      <c r="D7" s="11">
        <f t="shared" si="0"/>
        <v>4498.18</v>
      </c>
      <c r="E7" s="11">
        <f t="shared" si="1"/>
        <v>5346.21</v>
      </c>
      <c r="F7" s="11">
        <f t="shared" si="2"/>
        <v>3650.15</v>
      </c>
      <c r="G7" s="11">
        <f t="shared" si="10"/>
        <v>140</v>
      </c>
      <c r="H7" s="11">
        <f t="shared" si="11"/>
        <v>318.81</v>
      </c>
      <c r="I7" s="11">
        <f t="shared" si="3"/>
        <v>1041.8699999999999</v>
      </c>
      <c r="K7" s="3" t="s">
        <v>10</v>
      </c>
      <c r="L7">
        <v>4</v>
      </c>
      <c r="M7" s="3" t="s">
        <v>16</v>
      </c>
      <c r="N7">
        <v>4682.5</v>
      </c>
      <c r="O7">
        <f t="shared" si="4"/>
        <v>4498.2</v>
      </c>
      <c r="P7">
        <f t="shared" si="5"/>
        <v>4730.6000000000004</v>
      </c>
      <c r="Q7">
        <f t="shared" si="6"/>
        <v>4265.8</v>
      </c>
      <c r="R7">
        <v>245</v>
      </c>
      <c r="S7" s="13">
        <f t="shared" si="7"/>
        <v>318.8</v>
      </c>
      <c r="T7" s="13">
        <f t="shared" si="8"/>
        <v>727.5</v>
      </c>
      <c r="U7" s="6">
        <f t="shared" si="9"/>
        <v>0</v>
      </c>
    </row>
    <row r="8" spans="1:21" x14ac:dyDescent="0.25">
      <c r="A8" s="11" t="s">
        <v>10</v>
      </c>
      <c r="B8" s="11" t="s">
        <v>17</v>
      </c>
      <c r="C8" s="9">
        <v>4485</v>
      </c>
      <c r="D8" s="11">
        <f t="shared" si="0"/>
        <v>4498.18</v>
      </c>
      <c r="E8" s="11">
        <f t="shared" si="1"/>
        <v>5346.21</v>
      </c>
      <c r="F8" s="11">
        <f t="shared" si="2"/>
        <v>3650.15</v>
      </c>
      <c r="G8" s="11">
        <f t="shared" si="10"/>
        <v>55</v>
      </c>
      <c r="H8" s="11">
        <f t="shared" si="11"/>
        <v>318.81</v>
      </c>
      <c r="I8" s="11">
        <f t="shared" si="3"/>
        <v>1041.8699999999999</v>
      </c>
      <c r="K8" s="3" t="s">
        <v>10</v>
      </c>
      <c r="L8">
        <v>4</v>
      </c>
      <c r="M8" s="3" t="s">
        <v>17</v>
      </c>
      <c r="N8">
        <v>4557.5</v>
      </c>
      <c r="O8">
        <f t="shared" si="4"/>
        <v>4498.2</v>
      </c>
      <c r="P8">
        <f t="shared" si="5"/>
        <v>4730.6000000000004</v>
      </c>
      <c r="Q8">
        <f t="shared" si="6"/>
        <v>4265.8</v>
      </c>
      <c r="R8">
        <v>1125</v>
      </c>
      <c r="S8" s="13">
        <f t="shared" si="7"/>
        <v>318.8</v>
      </c>
      <c r="T8" s="13">
        <f t="shared" si="8"/>
        <v>727.5</v>
      </c>
      <c r="U8" s="6">
        <f t="shared" si="9"/>
        <v>0</v>
      </c>
    </row>
    <row r="9" spans="1:21" x14ac:dyDescent="0.25">
      <c r="A9" s="11" t="s">
        <v>10</v>
      </c>
      <c r="B9" s="11" t="s">
        <v>18</v>
      </c>
      <c r="C9" s="9">
        <v>4285</v>
      </c>
      <c r="D9" s="11">
        <f t="shared" si="0"/>
        <v>4498.18</v>
      </c>
      <c r="E9" s="11">
        <f t="shared" si="1"/>
        <v>5346.21</v>
      </c>
      <c r="F9" s="11">
        <f t="shared" si="2"/>
        <v>3650.15</v>
      </c>
      <c r="G9" s="11">
        <f t="shared" si="10"/>
        <v>200</v>
      </c>
      <c r="H9" s="11">
        <f t="shared" si="11"/>
        <v>318.81</v>
      </c>
      <c r="I9" s="11">
        <f t="shared" si="3"/>
        <v>1041.8699999999999</v>
      </c>
      <c r="K9" s="3" t="s">
        <v>10</v>
      </c>
      <c r="L9">
        <v>4</v>
      </c>
      <c r="M9" s="3" t="s">
        <v>18</v>
      </c>
      <c r="N9">
        <v>4725</v>
      </c>
      <c r="O9">
        <f t="shared" si="4"/>
        <v>4498.2</v>
      </c>
      <c r="P9">
        <f t="shared" si="5"/>
        <v>4730.6000000000004</v>
      </c>
      <c r="Q9">
        <f t="shared" si="6"/>
        <v>4265.8</v>
      </c>
      <c r="R9">
        <v>255</v>
      </c>
      <c r="S9" s="13">
        <f t="shared" si="7"/>
        <v>318.8</v>
      </c>
      <c r="T9" s="13">
        <f t="shared" si="8"/>
        <v>727.5</v>
      </c>
      <c r="U9" s="6">
        <f t="shared" si="9"/>
        <v>0</v>
      </c>
    </row>
    <row r="10" spans="1:21" x14ac:dyDescent="0.25">
      <c r="A10" s="11" t="s">
        <v>10</v>
      </c>
      <c r="B10" s="11" t="s">
        <v>19</v>
      </c>
      <c r="C10" s="9">
        <v>3980</v>
      </c>
      <c r="D10" s="11">
        <f t="shared" si="0"/>
        <v>4498.18</v>
      </c>
      <c r="E10" s="11">
        <f t="shared" si="1"/>
        <v>5346.21</v>
      </c>
      <c r="F10" s="11">
        <f t="shared" si="2"/>
        <v>3650.15</v>
      </c>
      <c r="G10" s="11">
        <f t="shared" si="10"/>
        <v>305</v>
      </c>
      <c r="H10" s="11">
        <f t="shared" si="11"/>
        <v>318.81</v>
      </c>
      <c r="I10" s="11">
        <f t="shared" si="3"/>
        <v>1041.8699999999999</v>
      </c>
      <c r="K10" s="3" t="s">
        <v>10</v>
      </c>
      <c r="L10">
        <v>4</v>
      </c>
      <c r="M10" s="3" t="s">
        <v>19</v>
      </c>
      <c r="N10">
        <v>4733.8</v>
      </c>
      <c r="O10">
        <f t="shared" si="4"/>
        <v>4498.2</v>
      </c>
      <c r="P10">
        <f t="shared" si="5"/>
        <v>4730.6000000000004</v>
      </c>
      <c r="Q10">
        <f t="shared" si="6"/>
        <v>4265.8</v>
      </c>
      <c r="R10">
        <v>245</v>
      </c>
      <c r="S10" s="13">
        <f t="shared" si="7"/>
        <v>318.8</v>
      </c>
      <c r="T10" s="13">
        <f t="shared" si="8"/>
        <v>727.5</v>
      </c>
      <c r="U10" s="6">
        <f t="shared" si="9"/>
        <v>0</v>
      </c>
    </row>
    <row r="11" spans="1:21" x14ac:dyDescent="0.25">
      <c r="A11" s="11" t="s">
        <v>10</v>
      </c>
      <c r="B11" s="11" t="s">
        <v>20</v>
      </c>
      <c r="C11" s="9">
        <v>3925</v>
      </c>
      <c r="D11" s="11">
        <f t="shared" si="0"/>
        <v>4498.18</v>
      </c>
      <c r="E11" s="11">
        <f t="shared" si="1"/>
        <v>5346.21</v>
      </c>
      <c r="F11" s="11">
        <f t="shared" si="2"/>
        <v>3650.15</v>
      </c>
      <c r="G11" s="11">
        <f t="shared" si="10"/>
        <v>55</v>
      </c>
      <c r="H11" s="11">
        <f t="shared" si="11"/>
        <v>318.81</v>
      </c>
      <c r="I11" s="11">
        <f t="shared" si="3"/>
        <v>1041.8699999999999</v>
      </c>
      <c r="K11" s="3" t="s">
        <v>10</v>
      </c>
      <c r="L11">
        <v>4</v>
      </c>
      <c r="M11" s="3" t="s">
        <v>20</v>
      </c>
      <c r="N11">
        <v>4372.5</v>
      </c>
      <c r="O11">
        <f t="shared" si="4"/>
        <v>4498.2</v>
      </c>
      <c r="P11">
        <f t="shared" si="5"/>
        <v>4730.6000000000004</v>
      </c>
      <c r="Q11">
        <f t="shared" si="6"/>
        <v>4265.8</v>
      </c>
      <c r="R11">
        <v>680</v>
      </c>
      <c r="S11" s="13">
        <f t="shared" si="7"/>
        <v>318.8</v>
      </c>
      <c r="T11" s="13">
        <f t="shared" si="8"/>
        <v>727.5</v>
      </c>
      <c r="U11" s="6">
        <f t="shared" si="9"/>
        <v>0</v>
      </c>
    </row>
    <row r="12" spans="1:21" x14ac:dyDescent="0.25">
      <c r="A12" s="11" t="s">
        <v>10</v>
      </c>
      <c r="B12" s="11" t="s">
        <v>21</v>
      </c>
      <c r="C12" s="9">
        <v>3645</v>
      </c>
      <c r="D12" s="11">
        <f t="shared" si="0"/>
        <v>4498.18</v>
      </c>
      <c r="E12" s="11">
        <f t="shared" si="1"/>
        <v>5346.21</v>
      </c>
      <c r="F12" s="11">
        <f t="shared" si="2"/>
        <v>3650.15</v>
      </c>
      <c r="G12" s="11">
        <f t="shared" si="10"/>
        <v>280</v>
      </c>
      <c r="H12" s="11">
        <f t="shared" si="11"/>
        <v>318.81</v>
      </c>
      <c r="I12" s="11">
        <f t="shared" si="3"/>
        <v>1041.8699999999999</v>
      </c>
      <c r="K12" s="3" t="s">
        <v>10</v>
      </c>
      <c r="L12">
        <v>4</v>
      </c>
      <c r="M12" s="3" t="s">
        <v>21</v>
      </c>
      <c r="N12">
        <v>4943.8</v>
      </c>
      <c r="O12">
        <f t="shared" si="4"/>
        <v>4498.2</v>
      </c>
      <c r="P12">
        <f t="shared" si="5"/>
        <v>4730.6000000000004</v>
      </c>
      <c r="Q12">
        <f t="shared" si="6"/>
        <v>4265.8</v>
      </c>
      <c r="R12">
        <v>1410</v>
      </c>
      <c r="S12" s="13">
        <f t="shared" si="7"/>
        <v>318.8</v>
      </c>
      <c r="T12" s="13">
        <f t="shared" si="8"/>
        <v>727.5</v>
      </c>
      <c r="U12" s="6">
        <f t="shared" si="9"/>
        <v>0</v>
      </c>
    </row>
    <row r="13" spans="1:21" x14ac:dyDescent="0.25">
      <c r="A13" s="11" t="s">
        <v>10</v>
      </c>
      <c r="B13" s="11" t="s">
        <v>22</v>
      </c>
      <c r="C13" s="9">
        <v>3760</v>
      </c>
      <c r="D13" s="11">
        <f t="shared" si="0"/>
        <v>4498.18</v>
      </c>
      <c r="E13" s="11">
        <f t="shared" si="1"/>
        <v>5346.21</v>
      </c>
      <c r="F13" s="11">
        <f t="shared" si="2"/>
        <v>3650.15</v>
      </c>
      <c r="G13" s="11">
        <f t="shared" si="10"/>
        <v>115</v>
      </c>
      <c r="H13" s="11">
        <f t="shared" si="11"/>
        <v>318.81</v>
      </c>
      <c r="I13" s="11">
        <f t="shared" si="3"/>
        <v>1041.8699999999999</v>
      </c>
      <c r="K13" s="3" t="s">
        <v>10</v>
      </c>
      <c r="L13">
        <v>4</v>
      </c>
      <c r="M13" s="3" t="s">
        <v>22</v>
      </c>
      <c r="N13">
        <v>4722.5</v>
      </c>
      <c r="O13">
        <f t="shared" si="4"/>
        <v>4498.2</v>
      </c>
      <c r="P13">
        <f t="shared" si="5"/>
        <v>4730.6000000000004</v>
      </c>
      <c r="Q13">
        <f t="shared" si="6"/>
        <v>4265.8</v>
      </c>
      <c r="R13">
        <v>745</v>
      </c>
      <c r="S13" s="13">
        <f t="shared" si="7"/>
        <v>318.8</v>
      </c>
      <c r="T13" s="13">
        <f t="shared" si="8"/>
        <v>727.5</v>
      </c>
      <c r="U13" s="6">
        <f t="shared" si="9"/>
        <v>0</v>
      </c>
    </row>
    <row r="14" spans="1:21" x14ac:dyDescent="0.25">
      <c r="A14" s="11" t="s">
        <v>10</v>
      </c>
      <c r="B14" s="11" t="s">
        <v>23</v>
      </c>
      <c r="C14" s="9">
        <v>3300</v>
      </c>
      <c r="D14" s="11">
        <f t="shared" si="0"/>
        <v>4498.18</v>
      </c>
      <c r="E14" s="11">
        <f t="shared" si="1"/>
        <v>5346.21</v>
      </c>
      <c r="F14" s="11">
        <f t="shared" si="2"/>
        <v>3650.15</v>
      </c>
      <c r="G14" s="11">
        <f t="shared" si="10"/>
        <v>460</v>
      </c>
      <c r="H14" s="11">
        <f t="shared" si="11"/>
        <v>318.81</v>
      </c>
      <c r="I14" s="11">
        <f t="shared" si="3"/>
        <v>1041.8699999999999</v>
      </c>
      <c r="K14" s="3" t="s">
        <v>10</v>
      </c>
      <c r="L14">
        <v>4</v>
      </c>
      <c r="M14" s="3" t="s">
        <v>23</v>
      </c>
      <c r="N14">
        <v>4278.8</v>
      </c>
      <c r="O14">
        <f t="shared" si="4"/>
        <v>4498.2</v>
      </c>
      <c r="P14">
        <f t="shared" si="5"/>
        <v>4730.6000000000004</v>
      </c>
      <c r="Q14">
        <f t="shared" si="6"/>
        <v>4265.8</v>
      </c>
      <c r="R14">
        <v>800</v>
      </c>
      <c r="S14" s="13">
        <f t="shared" si="7"/>
        <v>318.8</v>
      </c>
      <c r="T14" s="13">
        <f t="shared" si="8"/>
        <v>727.5</v>
      </c>
      <c r="U14" s="6">
        <f t="shared" si="9"/>
        <v>0</v>
      </c>
    </row>
    <row r="15" spans="1:21" x14ac:dyDescent="0.25">
      <c r="A15" s="11" t="s">
        <v>10</v>
      </c>
      <c r="B15" s="11" t="s">
        <v>24</v>
      </c>
      <c r="C15" s="9">
        <v>3685</v>
      </c>
      <c r="D15" s="11">
        <f t="shared" si="0"/>
        <v>4498.18</v>
      </c>
      <c r="E15" s="11">
        <f t="shared" si="1"/>
        <v>5346.21</v>
      </c>
      <c r="F15" s="11">
        <f t="shared" si="2"/>
        <v>3650.15</v>
      </c>
      <c r="G15" s="11">
        <f t="shared" si="10"/>
        <v>385</v>
      </c>
      <c r="H15" s="11">
        <f t="shared" si="11"/>
        <v>318.81</v>
      </c>
      <c r="I15" s="11">
        <f t="shared" si="3"/>
        <v>1041.8699999999999</v>
      </c>
      <c r="K15" s="3" t="s">
        <v>10</v>
      </c>
      <c r="L15">
        <v>4</v>
      </c>
      <c r="M15" s="3" t="s">
        <v>24</v>
      </c>
      <c r="N15">
        <v>4242.5</v>
      </c>
      <c r="O15">
        <f t="shared" si="4"/>
        <v>4498.2</v>
      </c>
      <c r="P15">
        <f t="shared" si="5"/>
        <v>4730.6000000000004</v>
      </c>
      <c r="Q15">
        <f t="shared" si="6"/>
        <v>4265.8</v>
      </c>
      <c r="R15">
        <v>205</v>
      </c>
      <c r="S15" s="13">
        <f t="shared" si="7"/>
        <v>318.8</v>
      </c>
      <c r="T15" s="13">
        <f t="shared" si="8"/>
        <v>727.5</v>
      </c>
      <c r="U15" s="6">
        <f t="shared" si="9"/>
        <v>0</v>
      </c>
    </row>
    <row r="16" spans="1:21" x14ac:dyDescent="0.25">
      <c r="A16" s="11" t="s">
        <v>10</v>
      </c>
      <c r="B16" s="11" t="s">
        <v>25</v>
      </c>
      <c r="C16" s="9">
        <v>3463</v>
      </c>
      <c r="D16" s="11">
        <f t="shared" si="0"/>
        <v>4498.18</v>
      </c>
      <c r="E16" s="11">
        <f t="shared" si="1"/>
        <v>5346.21</v>
      </c>
      <c r="F16" s="11">
        <f t="shared" si="2"/>
        <v>3650.15</v>
      </c>
      <c r="G16" s="11">
        <f t="shared" si="10"/>
        <v>222</v>
      </c>
      <c r="H16" s="11">
        <f t="shared" si="11"/>
        <v>318.81</v>
      </c>
      <c r="I16" s="11">
        <f t="shared" si="3"/>
        <v>1041.8699999999999</v>
      </c>
      <c r="K16" s="3" t="s">
        <v>10</v>
      </c>
      <c r="L16">
        <v>4</v>
      </c>
      <c r="M16" s="3" t="s">
        <v>25</v>
      </c>
      <c r="N16">
        <v>4007.5</v>
      </c>
      <c r="O16">
        <f t="shared" si="4"/>
        <v>4498.2</v>
      </c>
      <c r="P16">
        <f t="shared" si="5"/>
        <v>4730.6000000000004</v>
      </c>
      <c r="Q16">
        <f t="shared" si="6"/>
        <v>4265.8</v>
      </c>
      <c r="R16">
        <v>1695</v>
      </c>
      <c r="S16" s="13">
        <f t="shared" si="7"/>
        <v>318.8</v>
      </c>
      <c r="T16" s="13">
        <f t="shared" si="8"/>
        <v>727.5</v>
      </c>
      <c r="U16" s="6">
        <f t="shared" si="9"/>
        <v>0</v>
      </c>
    </row>
    <row r="17" spans="1:21" x14ac:dyDescent="0.25">
      <c r="A17" s="11" t="s">
        <v>10</v>
      </c>
      <c r="B17" s="11" t="s">
        <v>26</v>
      </c>
      <c r="C17" s="9">
        <v>5200</v>
      </c>
      <c r="D17" s="11">
        <f t="shared" si="0"/>
        <v>4498.18</v>
      </c>
      <c r="E17" s="11">
        <f t="shared" si="1"/>
        <v>5346.21</v>
      </c>
      <c r="F17" s="11">
        <f t="shared" si="2"/>
        <v>3650.15</v>
      </c>
      <c r="G17" s="11">
        <f t="shared" si="10"/>
        <v>1737</v>
      </c>
      <c r="H17" s="11">
        <f t="shared" si="11"/>
        <v>318.81</v>
      </c>
      <c r="I17" s="11">
        <f t="shared" si="3"/>
        <v>1041.8699999999999</v>
      </c>
      <c r="K17" s="3" t="s">
        <v>10</v>
      </c>
      <c r="L17">
        <v>4</v>
      </c>
      <c r="M17" s="3" t="s">
        <v>26</v>
      </c>
      <c r="N17">
        <v>4006.3</v>
      </c>
      <c r="O17">
        <f t="shared" si="4"/>
        <v>4498.2</v>
      </c>
      <c r="P17">
        <f t="shared" si="5"/>
        <v>4730.6000000000004</v>
      </c>
      <c r="Q17">
        <f t="shared" si="6"/>
        <v>4265.8</v>
      </c>
      <c r="R17">
        <v>1455</v>
      </c>
      <c r="S17" s="13">
        <f t="shared" si="7"/>
        <v>318.8</v>
      </c>
      <c r="T17" s="13">
        <f t="shared" si="8"/>
        <v>727.5</v>
      </c>
      <c r="U17" s="6">
        <f t="shared" si="9"/>
        <v>0</v>
      </c>
    </row>
    <row r="18" spans="1:21" x14ac:dyDescent="0.25">
      <c r="A18" s="11" t="s">
        <v>10</v>
      </c>
      <c r="B18" s="11" t="s">
        <v>27</v>
      </c>
      <c r="C18" s="9">
        <v>5100</v>
      </c>
      <c r="D18" s="11">
        <f t="shared" si="0"/>
        <v>4498.18</v>
      </c>
      <c r="E18" s="11">
        <f t="shared" si="1"/>
        <v>5346.21</v>
      </c>
      <c r="F18" s="11">
        <f t="shared" si="2"/>
        <v>3650.15</v>
      </c>
      <c r="G18" s="11">
        <f t="shared" si="10"/>
        <v>100</v>
      </c>
      <c r="H18" s="11">
        <f t="shared" si="11"/>
        <v>318.81</v>
      </c>
      <c r="I18" s="11">
        <f t="shared" si="3"/>
        <v>1041.8699999999999</v>
      </c>
      <c r="K18" s="3" t="s">
        <v>10</v>
      </c>
      <c r="L18">
        <v>4</v>
      </c>
      <c r="M18" s="3" t="s">
        <v>27</v>
      </c>
      <c r="N18">
        <v>4606.3</v>
      </c>
      <c r="O18">
        <f t="shared" si="4"/>
        <v>4498.2</v>
      </c>
      <c r="P18">
        <f t="shared" si="5"/>
        <v>4730.6000000000004</v>
      </c>
      <c r="Q18">
        <f t="shared" si="6"/>
        <v>4265.8</v>
      </c>
      <c r="R18">
        <v>910</v>
      </c>
      <c r="S18" s="13">
        <f t="shared" si="7"/>
        <v>318.8</v>
      </c>
      <c r="T18" s="13">
        <f t="shared" si="8"/>
        <v>727.5</v>
      </c>
      <c r="U18" s="6">
        <f t="shared" si="9"/>
        <v>0</v>
      </c>
    </row>
    <row r="19" spans="1:21" x14ac:dyDescent="0.25">
      <c r="A19" s="11" t="s">
        <v>10</v>
      </c>
      <c r="B19" s="11" t="s">
        <v>28</v>
      </c>
      <c r="C19" s="9">
        <v>4635</v>
      </c>
      <c r="D19" s="11">
        <f t="shared" si="0"/>
        <v>4498.18</v>
      </c>
      <c r="E19" s="11">
        <f t="shared" si="1"/>
        <v>5346.21</v>
      </c>
      <c r="F19" s="11">
        <f t="shared" si="2"/>
        <v>3650.15</v>
      </c>
      <c r="G19" s="11">
        <f t="shared" si="10"/>
        <v>465</v>
      </c>
      <c r="H19" s="11">
        <f t="shared" si="11"/>
        <v>318.81</v>
      </c>
      <c r="I19" s="11">
        <f t="shared" si="3"/>
        <v>1041.8699999999999</v>
      </c>
      <c r="K19" s="3" t="s">
        <v>10</v>
      </c>
      <c r="L19">
        <v>4</v>
      </c>
      <c r="M19" s="3" t="s">
        <v>28</v>
      </c>
      <c r="N19">
        <v>4647.5</v>
      </c>
      <c r="O19">
        <f t="shared" si="4"/>
        <v>4498.2</v>
      </c>
      <c r="P19">
        <f t="shared" si="5"/>
        <v>4730.6000000000004</v>
      </c>
      <c r="Q19">
        <f t="shared" si="6"/>
        <v>4265.8</v>
      </c>
      <c r="R19">
        <v>665</v>
      </c>
      <c r="S19" s="13">
        <f t="shared" si="7"/>
        <v>318.8</v>
      </c>
      <c r="T19" s="13">
        <f t="shared" si="8"/>
        <v>727.5</v>
      </c>
      <c r="U19" s="6">
        <f t="shared" si="9"/>
        <v>0</v>
      </c>
    </row>
    <row r="20" spans="1:21" x14ac:dyDescent="0.25">
      <c r="A20" s="11" t="s">
        <v>10</v>
      </c>
      <c r="B20" s="11" t="s">
        <v>29</v>
      </c>
      <c r="C20" s="9">
        <v>5100</v>
      </c>
      <c r="D20" s="11">
        <f t="shared" si="0"/>
        <v>4498.18</v>
      </c>
      <c r="E20" s="11">
        <f t="shared" si="1"/>
        <v>5346.21</v>
      </c>
      <c r="F20" s="11">
        <f t="shared" si="2"/>
        <v>3650.15</v>
      </c>
      <c r="G20" s="11">
        <f t="shared" si="10"/>
        <v>465</v>
      </c>
      <c r="H20" s="11">
        <f t="shared" si="11"/>
        <v>318.81</v>
      </c>
      <c r="I20" s="11">
        <f t="shared" si="3"/>
        <v>1041.8699999999999</v>
      </c>
      <c r="K20" s="3" t="s">
        <v>10</v>
      </c>
      <c r="L20">
        <v>4</v>
      </c>
      <c r="M20" s="3" t="s">
        <v>29</v>
      </c>
      <c r="N20">
        <v>4441.3</v>
      </c>
      <c r="O20">
        <f t="shared" si="4"/>
        <v>4498.2</v>
      </c>
      <c r="P20">
        <f t="shared" si="5"/>
        <v>4730.6000000000004</v>
      </c>
      <c r="Q20">
        <f t="shared" si="6"/>
        <v>4265.8</v>
      </c>
      <c r="R20">
        <v>785</v>
      </c>
      <c r="S20" s="13">
        <f t="shared" si="7"/>
        <v>318.8</v>
      </c>
      <c r="T20" s="13">
        <f t="shared" si="8"/>
        <v>727.5</v>
      </c>
      <c r="U20" s="6">
        <f t="shared" si="9"/>
        <v>0</v>
      </c>
    </row>
    <row r="21" spans="1:21" x14ac:dyDescent="0.25">
      <c r="A21" s="11" t="s">
        <v>10</v>
      </c>
      <c r="B21" s="11" t="s">
        <v>30</v>
      </c>
      <c r="C21" s="9">
        <v>5450</v>
      </c>
      <c r="D21" s="11">
        <f t="shared" si="0"/>
        <v>4498.18</v>
      </c>
      <c r="E21" s="11">
        <f t="shared" si="1"/>
        <v>5346.21</v>
      </c>
      <c r="F21" s="11">
        <f t="shared" si="2"/>
        <v>3650.15</v>
      </c>
      <c r="G21" s="11">
        <f t="shared" si="10"/>
        <v>350</v>
      </c>
      <c r="H21" s="11">
        <f t="shared" si="11"/>
        <v>318.81</v>
      </c>
      <c r="I21" s="11">
        <f t="shared" si="3"/>
        <v>1041.8699999999999</v>
      </c>
      <c r="K21" s="3" t="s">
        <v>10</v>
      </c>
      <c r="L21">
        <v>4</v>
      </c>
      <c r="M21" s="3" t="s">
        <v>30</v>
      </c>
      <c r="N21">
        <v>4566.3</v>
      </c>
      <c r="O21">
        <f t="shared" si="4"/>
        <v>4498.2</v>
      </c>
      <c r="P21">
        <f t="shared" si="5"/>
        <v>4730.6000000000004</v>
      </c>
      <c r="Q21">
        <f t="shared" si="6"/>
        <v>4265.8</v>
      </c>
      <c r="R21">
        <v>520</v>
      </c>
      <c r="S21" s="13">
        <f t="shared" si="7"/>
        <v>318.8</v>
      </c>
      <c r="T21" s="13">
        <f t="shared" si="8"/>
        <v>727.5</v>
      </c>
      <c r="U21" s="6">
        <f t="shared" si="9"/>
        <v>0</v>
      </c>
    </row>
    <row r="22" spans="1:21" x14ac:dyDescent="0.25">
      <c r="A22" s="11" t="s">
        <v>10</v>
      </c>
      <c r="B22" s="11" t="s">
        <v>31</v>
      </c>
      <c r="C22" s="9">
        <v>4635</v>
      </c>
      <c r="D22" s="11">
        <f t="shared" si="0"/>
        <v>4498.18</v>
      </c>
      <c r="E22" s="11">
        <f t="shared" si="1"/>
        <v>5346.21</v>
      </c>
      <c r="F22" s="11">
        <f t="shared" si="2"/>
        <v>3650.15</v>
      </c>
      <c r="G22" s="11">
        <f t="shared" si="10"/>
        <v>815</v>
      </c>
      <c r="H22" s="11">
        <f t="shared" si="11"/>
        <v>318.81</v>
      </c>
      <c r="I22" s="11">
        <f t="shared" si="3"/>
        <v>1041.8699999999999</v>
      </c>
      <c r="K22" s="3" t="s">
        <v>10</v>
      </c>
      <c r="L22">
        <v>4</v>
      </c>
      <c r="M22" s="3" t="s">
        <v>31</v>
      </c>
      <c r="N22">
        <v>4548.8</v>
      </c>
      <c r="O22">
        <f t="shared" si="4"/>
        <v>4498.2</v>
      </c>
      <c r="P22">
        <f t="shared" si="5"/>
        <v>4730.6000000000004</v>
      </c>
      <c r="Q22">
        <f t="shared" si="6"/>
        <v>4265.8</v>
      </c>
      <c r="R22">
        <v>605</v>
      </c>
      <c r="S22" s="13">
        <f t="shared" si="7"/>
        <v>318.8</v>
      </c>
      <c r="T22" s="13">
        <f t="shared" si="8"/>
        <v>727.5</v>
      </c>
      <c r="U22" s="6">
        <f t="shared" si="9"/>
        <v>0</v>
      </c>
    </row>
    <row r="23" spans="1:21" x14ac:dyDescent="0.25">
      <c r="A23" s="11" t="s">
        <v>10</v>
      </c>
      <c r="B23" s="11" t="s">
        <v>32</v>
      </c>
      <c r="C23" s="9">
        <v>4720</v>
      </c>
      <c r="D23" s="11">
        <f t="shared" si="0"/>
        <v>4498.18</v>
      </c>
      <c r="E23" s="11">
        <f t="shared" si="1"/>
        <v>5346.21</v>
      </c>
      <c r="F23" s="11">
        <f t="shared" si="2"/>
        <v>3650.15</v>
      </c>
      <c r="G23" s="11">
        <f t="shared" si="10"/>
        <v>85</v>
      </c>
      <c r="H23" s="11">
        <f t="shared" si="11"/>
        <v>318.81</v>
      </c>
      <c r="I23" s="11">
        <f t="shared" si="3"/>
        <v>1041.8699999999999</v>
      </c>
      <c r="K23" s="3" t="s">
        <v>10</v>
      </c>
      <c r="L23">
        <v>4</v>
      </c>
      <c r="M23" s="3" t="s">
        <v>32</v>
      </c>
      <c r="N23">
        <v>3846.3</v>
      </c>
      <c r="O23">
        <f t="shared" si="4"/>
        <v>4498.2</v>
      </c>
      <c r="P23">
        <f t="shared" si="5"/>
        <v>4730.6000000000004</v>
      </c>
      <c r="Q23">
        <f t="shared" si="6"/>
        <v>4265.8</v>
      </c>
      <c r="R23">
        <v>445</v>
      </c>
      <c r="S23" s="13">
        <f t="shared" si="7"/>
        <v>318.8</v>
      </c>
      <c r="T23" s="13">
        <f t="shared" si="8"/>
        <v>727.5</v>
      </c>
      <c r="U23" s="6">
        <f t="shared" si="9"/>
        <v>0</v>
      </c>
    </row>
    <row r="24" spans="1:21" x14ac:dyDescent="0.25">
      <c r="A24" s="11" t="s">
        <v>10</v>
      </c>
      <c r="B24" s="11" t="s">
        <v>33</v>
      </c>
      <c r="C24" s="9">
        <v>4810</v>
      </c>
      <c r="D24" s="11">
        <f t="shared" si="0"/>
        <v>4498.18</v>
      </c>
      <c r="E24" s="11">
        <f t="shared" si="1"/>
        <v>5346.21</v>
      </c>
      <c r="F24" s="11">
        <f t="shared" si="2"/>
        <v>3650.15</v>
      </c>
      <c r="G24" s="11">
        <f t="shared" si="10"/>
        <v>90</v>
      </c>
      <c r="H24" s="11">
        <f t="shared" si="11"/>
        <v>318.81</v>
      </c>
      <c r="I24" s="11">
        <f t="shared" si="3"/>
        <v>1041.8699999999999</v>
      </c>
      <c r="K24" s="3" t="s">
        <v>10</v>
      </c>
      <c r="L24">
        <v>4</v>
      </c>
      <c r="M24" s="3" t="s">
        <v>33</v>
      </c>
      <c r="N24">
        <v>4572.5</v>
      </c>
      <c r="O24">
        <f t="shared" si="4"/>
        <v>4498.2</v>
      </c>
      <c r="P24">
        <f t="shared" si="5"/>
        <v>4730.6000000000004</v>
      </c>
      <c r="Q24">
        <f t="shared" si="6"/>
        <v>4265.8</v>
      </c>
      <c r="R24">
        <v>1000</v>
      </c>
      <c r="S24" s="13">
        <f t="shared" si="7"/>
        <v>318.8</v>
      </c>
      <c r="T24" s="13">
        <f t="shared" si="8"/>
        <v>727.5</v>
      </c>
      <c r="U24" s="6">
        <f t="shared" si="9"/>
        <v>0</v>
      </c>
    </row>
    <row r="25" spans="1:21" x14ac:dyDescent="0.25">
      <c r="A25" s="11" t="s">
        <v>10</v>
      </c>
      <c r="B25" s="11" t="s">
        <v>34</v>
      </c>
      <c r="C25" s="9">
        <v>4565</v>
      </c>
      <c r="D25" s="11">
        <f t="shared" si="0"/>
        <v>4498.18</v>
      </c>
      <c r="E25" s="11">
        <f t="shared" si="1"/>
        <v>5346.21</v>
      </c>
      <c r="F25" s="11">
        <f t="shared" si="2"/>
        <v>3650.15</v>
      </c>
      <c r="G25" s="11">
        <f t="shared" si="10"/>
        <v>245</v>
      </c>
      <c r="H25" s="11">
        <f t="shared" si="11"/>
        <v>318.81</v>
      </c>
      <c r="I25" s="11">
        <f t="shared" si="3"/>
        <v>1041.8699999999999</v>
      </c>
      <c r="K25" s="3" t="s">
        <v>10</v>
      </c>
      <c r="L25">
        <v>4</v>
      </c>
      <c r="M25" s="3" t="s">
        <v>34</v>
      </c>
      <c r="N25">
        <v>4470</v>
      </c>
      <c r="O25">
        <f t="shared" si="4"/>
        <v>4498.2</v>
      </c>
      <c r="P25">
        <f t="shared" si="5"/>
        <v>4730.6000000000004</v>
      </c>
      <c r="Q25">
        <f t="shared" si="6"/>
        <v>4265.8</v>
      </c>
      <c r="R25">
        <v>390</v>
      </c>
      <c r="S25" s="13">
        <f t="shared" si="7"/>
        <v>318.8</v>
      </c>
      <c r="T25" s="13">
        <f t="shared" si="8"/>
        <v>727.5</v>
      </c>
      <c r="U25" s="6">
        <f t="shared" si="9"/>
        <v>0</v>
      </c>
    </row>
    <row r="26" spans="1:21" x14ac:dyDescent="0.25">
      <c r="A26" s="11" t="s">
        <v>10</v>
      </c>
      <c r="B26" s="11" t="s">
        <v>35</v>
      </c>
      <c r="C26" s="9">
        <v>4410</v>
      </c>
      <c r="D26" s="11">
        <f t="shared" si="0"/>
        <v>4498.18</v>
      </c>
      <c r="E26" s="11">
        <f t="shared" si="1"/>
        <v>5346.21</v>
      </c>
      <c r="F26" s="11">
        <f t="shared" si="2"/>
        <v>3650.15</v>
      </c>
      <c r="G26" s="11">
        <f t="shared" si="10"/>
        <v>155</v>
      </c>
      <c r="H26" s="11">
        <f t="shared" si="11"/>
        <v>318.81</v>
      </c>
      <c r="I26" s="11">
        <f t="shared" si="3"/>
        <v>1041.8699999999999</v>
      </c>
      <c r="K26" s="3" t="s">
        <v>10</v>
      </c>
      <c r="L26">
        <v>4</v>
      </c>
      <c r="M26" s="3" t="s">
        <v>35</v>
      </c>
      <c r="N26">
        <v>4676.3</v>
      </c>
      <c r="O26">
        <f t="shared" si="4"/>
        <v>4498.2</v>
      </c>
      <c r="P26">
        <f t="shared" si="5"/>
        <v>4730.6000000000004</v>
      </c>
      <c r="Q26">
        <f t="shared" si="6"/>
        <v>4265.8</v>
      </c>
      <c r="R26">
        <v>570</v>
      </c>
      <c r="S26" s="13">
        <f t="shared" si="7"/>
        <v>318.8</v>
      </c>
      <c r="T26" s="13">
        <f t="shared" si="8"/>
        <v>727.5</v>
      </c>
      <c r="U26" s="6">
        <f t="shared" si="9"/>
        <v>0</v>
      </c>
    </row>
    <row r="27" spans="1:21" x14ac:dyDescent="0.25">
      <c r="A27" s="11" t="s">
        <v>10</v>
      </c>
      <c r="B27" s="11" t="s">
        <v>36</v>
      </c>
      <c r="C27" s="9">
        <v>4065</v>
      </c>
      <c r="D27" s="11">
        <f t="shared" si="0"/>
        <v>4498.18</v>
      </c>
      <c r="E27" s="11">
        <f t="shared" si="1"/>
        <v>5346.21</v>
      </c>
      <c r="F27" s="11">
        <f t="shared" si="2"/>
        <v>3650.15</v>
      </c>
      <c r="G27" s="11">
        <f t="shared" si="10"/>
        <v>345</v>
      </c>
      <c r="H27" s="11">
        <f t="shared" si="11"/>
        <v>318.81</v>
      </c>
      <c r="I27" s="11">
        <f t="shared" si="3"/>
        <v>1041.8699999999999</v>
      </c>
      <c r="K27" s="3" t="s">
        <v>10</v>
      </c>
      <c r="L27">
        <v>4</v>
      </c>
      <c r="M27" s="3" t="s">
        <v>36</v>
      </c>
      <c r="N27">
        <v>4710</v>
      </c>
      <c r="O27">
        <f t="shared" si="4"/>
        <v>4498.2</v>
      </c>
      <c r="P27">
        <f t="shared" si="5"/>
        <v>4730.6000000000004</v>
      </c>
      <c r="Q27">
        <f t="shared" si="6"/>
        <v>4265.8</v>
      </c>
      <c r="R27">
        <v>280</v>
      </c>
      <c r="S27" s="13">
        <f t="shared" si="7"/>
        <v>318.8</v>
      </c>
      <c r="T27" s="13">
        <f t="shared" si="8"/>
        <v>727.5</v>
      </c>
      <c r="U27" s="6">
        <f t="shared" si="9"/>
        <v>0</v>
      </c>
    </row>
    <row r="28" spans="1:21" x14ac:dyDescent="0.25">
      <c r="A28" s="11" t="s">
        <v>10</v>
      </c>
      <c r="B28" s="11" t="s">
        <v>37</v>
      </c>
      <c r="C28" s="9">
        <v>4565</v>
      </c>
      <c r="D28" s="11">
        <f t="shared" si="0"/>
        <v>4498.18</v>
      </c>
      <c r="E28" s="11">
        <f t="shared" si="1"/>
        <v>5346.21</v>
      </c>
      <c r="F28" s="11">
        <f t="shared" si="2"/>
        <v>3650.15</v>
      </c>
      <c r="G28" s="11">
        <f t="shared" si="10"/>
        <v>500</v>
      </c>
      <c r="H28" s="11">
        <f t="shared" si="11"/>
        <v>318.81</v>
      </c>
      <c r="I28" s="11">
        <f t="shared" si="3"/>
        <v>1041.8699999999999</v>
      </c>
      <c r="K28" s="3" t="s">
        <v>10</v>
      </c>
      <c r="L28">
        <v>4</v>
      </c>
      <c r="M28" s="3" t="s">
        <v>37</v>
      </c>
      <c r="N28">
        <v>4366.3</v>
      </c>
      <c r="O28">
        <f t="shared" si="4"/>
        <v>4498.2</v>
      </c>
      <c r="P28">
        <f t="shared" si="5"/>
        <v>4730.6000000000004</v>
      </c>
      <c r="Q28">
        <f t="shared" si="6"/>
        <v>4265.8</v>
      </c>
      <c r="R28">
        <v>730</v>
      </c>
      <c r="S28" s="13">
        <f t="shared" si="7"/>
        <v>318.8</v>
      </c>
      <c r="T28" s="13">
        <f t="shared" si="8"/>
        <v>727.5</v>
      </c>
      <c r="U28" s="6">
        <f t="shared" si="9"/>
        <v>0</v>
      </c>
    </row>
    <row r="29" spans="1:21" x14ac:dyDescent="0.25">
      <c r="A29" s="11" t="s">
        <v>10</v>
      </c>
      <c r="B29" s="11" t="s">
        <v>38</v>
      </c>
      <c r="C29" s="9">
        <v>5190</v>
      </c>
      <c r="D29" s="11">
        <f t="shared" si="0"/>
        <v>4498.18</v>
      </c>
      <c r="E29" s="11">
        <f t="shared" si="1"/>
        <v>5346.21</v>
      </c>
      <c r="F29" s="11">
        <f t="shared" si="2"/>
        <v>3650.15</v>
      </c>
      <c r="G29" s="11">
        <f t="shared" si="10"/>
        <v>625</v>
      </c>
      <c r="H29" s="11">
        <f t="shared" si="11"/>
        <v>318.81</v>
      </c>
      <c r="I29" s="11">
        <f t="shared" si="3"/>
        <v>1041.8699999999999</v>
      </c>
      <c r="K29" s="3" t="s">
        <v>10</v>
      </c>
      <c r="L29">
        <v>4</v>
      </c>
      <c r="M29" s="3" t="s">
        <v>38</v>
      </c>
      <c r="N29">
        <v>4222.5</v>
      </c>
      <c r="O29">
        <f t="shared" si="4"/>
        <v>4498.2</v>
      </c>
      <c r="P29">
        <f t="shared" si="5"/>
        <v>4730.6000000000004</v>
      </c>
      <c r="Q29">
        <f t="shared" si="6"/>
        <v>4265.8</v>
      </c>
      <c r="R29">
        <v>700</v>
      </c>
      <c r="S29" s="13">
        <f t="shared" si="7"/>
        <v>318.8</v>
      </c>
      <c r="T29" s="13">
        <f t="shared" si="8"/>
        <v>727.5</v>
      </c>
      <c r="U29" s="6">
        <f t="shared" si="9"/>
        <v>0</v>
      </c>
    </row>
    <row r="30" spans="1:21" x14ac:dyDescent="0.25">
      <c r="A30" s="11" t="s">
        <v>10</v>
      </c>
      <c r="B30" s="11" t="s">
        <v>39</v>
      </c>
      <c r="C30" s="9">
        <v>4725</v>
      </c>
      <c r="D30" s="11">
        <f t="shared" si="0"/>
        <v>4498.18</v>
      </c>
      <c r="E30" s="11">
        <f t="shared" si="1"/>
        <v>5346.21</v>
      </c>
      <c r="F30" s="11">
        <f t="shared" si="2"/>
        <v>3650.15</v>
      </c>
      <c r="G30" s="11">
        <f t="shared" si="10"/>
        <v>465</v>
      </c>
      <c r="H30" s="11">
        <f t="shared" si="11"/>
        <v>318.81</v>
      </c>
      <c r="I30" s="11">
        <f t="shared" si="3"/>
        <v>1041.8699999999999</v>
      </c>
      <c r="K30" s="3" t="s">
        <v>10</v>
      </c>
      <c r="L30">
        <v>4</v>
      </c>
      <c r="M30" s="3" t="s">
        <v>39</v>
      </c>
      <c r="N30">
        <v>4367.5</v>
      </c>
      <c r="O30">
        <f t="shared" si="4"/>
        <v>4498.2</v>
      </c>
      <c r="P30">
        <f t="shared" si="5"/>
        <v>4730.6000000000004</v>
      </c>
      <c r="Q30">
        <f t="shared" si="6"/>
        <v>4265.8</v>
      </c>
      <c r="R30">
        <v>635</v>
      </c>
      <c r="S30" s="13">
        <f t="shared" si="7"/>
        <v>318.8</v>
      </c>
      <c r="T30" s="13">
        <f t="shared" si="8"/>
        <v>727.5</v>
      </c>
      <c r="U30" s="6">
        <f t="shared" si="9"/>
        <v>0</v>
      </c>
    </row>
    <row r="31" spans="1:21" x14ac:dyDescent="0.25">
      <c r="A31" s="11" t="s">
        <v>10</v>
      </c>
      <c r="B31" s="11" t="s">
        <v>40</v>
      </c>
      <c r="C31" s="9">
        <v>4640</v>
      </c>
      <c r="D31" s="11">
        <f t="shared" si="0"/>
        <v>4498.18</v>
      </c>
      <c r="E31" s="11">
        <f t="shared" si="1"/>
        <v>5346.21</v>
      </c>
      <c r="F31" s="11">
        <f t="shared" si="2"/>
        <v>3650.15</v>
      </c>
      <c r="G31" s="11">
        <f t="shared" si="10"/>
        <v>85</v>
      </c>
      <c r="H31" s="11">
        <f t="shared" si="11"/>
        <v>318.81</v>
      </c>
      <c r="I31" s="11">
        <f t="shared" si="3"/>
        <v>1041.8699999999999</v>
      </c>
      <c r="K31" s="3" t="s">
        <v>10</v>
      </c>
      <c r="L31">
        <v>4</v>
      </c>
      <c r="M31" s="3" t="s">
        <v>40</v>
      </c>
      <c r="N31">
        <v>4495</v>
      </c>
      <c r="O31">
        <f t="shared" si="4"/>
        <v>4498.2</v>
      </c>
      <c r="P31">
        <f t="shared" si="5"/>
        <v>4730.6000000000004</v>
      </c>
      <c r="Q31">
        <f t="shared" si="6"/>
        <v>4265.8</v>
      </c>
      <c r="R31">
        <v>390</v>
      </c>
      <c r="S31" s="13">
        <f t="shared" si="7"/>
        <v>318.8</v>
      </c>
      <c r="T31" s="13">
        <f t="shared" si="8"/>
        <v>727.5</v>
      </c>
      <c r="U31" s="6">
        <f t="shared" si="9"/>
        <v>0</v>
      </c>
    </row>
    <row r="32" spans="1:21" x14ac:dyDescent="0.25">
      <c r="A32" s="11" t="s">
        <v>10</v>
      </c>
      <c r="B32" s="11" t="s">
        <v>41</v>
      </c>
      <c r="C32" s="9">
        <v>4640</v>
      </c>
      <c r="D32" s="11">
        <f t="shared" si="0"/>
        <v>4498.18</v>
      </c>
      <c r="E32" s="11">
        <f t="shared" si="1"/>
        <v>5346.21</v>
      </c>
      <c r="F32" s="11">
        <f t="shared" si="2"/>
        <v>3650.15</v>
      </c>
      <c r="G32" s="11">
        <f t="shared" si="10"/>
        <v>0</v>
      </c>
      <c r="H32" s="11">
        <f t="shared" si="11"/>
        <v>318.81</v>
      </c>
      <c r="I32" s="11">
        <f t="shared" si="3"/>
        <v>1041.8699999999999</v>
      </c>
      <c r="K32" s="3" t="s">
        <v>10</v>
      </c>
      <c r="L32">
        <v>4</v>
      </c>
      <c r="M32" s="3" t="s">
        <v>41</v>
      </c>
      <c r="N32">
        <v>3550</v>
      </c>
      <c r="O32">
        <f t="shared" si="4"/>
        <v>4498.2</v>
      </c>
      <c r="P32">
        <f t="shared" si="5"/>
        <v>4730.6000000000004</v>
      </c>
      <c r="Q32">
        <f t="shared" si="6"/>
        <v>4265.8</v>
      </c>
      <c r="R32">
        <v>1115</v>
      </c>
      <c r="S32" s="13">
        <f t="shared" si="7"/>
        <v>318.8</v>
      </c>
      <c r="T32" s="13">
        <f t="shared" si="8"/>
        <v>727.5</v>
      </c>
      <c r="U32" s="6">
        <f t="shared" si="9"/>
        <v>0</v>
      </c>
    </row>
    <row r="33" spans="1:21" x14ac:dyDescent="0.25">
      <c r="A33" s="11" t="s">
        <v>10</v>
      </c>
      <c r="B33" s="11" t="s">
        <v>42</v>
      </c>
      <c r="C33" s="9">
        <v>4895</v>
      </c>
      <c r="D33" s="11">
        <f t="shared" si="0"/>
        <v>4498.18</v>
      </c>
      <c r="E33" s="11">
        <f t="shared" si="1"/>
        <v>5346.21</v>
      </c>
      <c r="F33" s="11">
        <f t="shared" si="2"/>
        <v>3650.15</v>
      </c>
      <c r="G33" s="11">
        <f t="shared" si="10"/>
        <v>255</v>
      </c>
      <c r="H33" s="11">
        <f t="shared" si="11"/>
        <v>318.81</v>
      </c>
      <c r="I33" s="11">
        <f t="shared" si="3"/>
        <v>1041.8699999999999</v>
      </c>
      <c r="K33" s="3" t="s">
        <v>10</v>
      </c>
      <c r="L33">
        <v>4</v>
      </c>
      <c r="M33" s="3" t="s">
        <v>42</v>
      </c>
      <c r="N33">
        <v>4498.8</v>
      </c>
      <c r="O33">
        <f t="shared" si="4"/>
        <v>4498.2</v>
      </c>
      <c r="P33">
        <f t="shared" si="5"/>
        <v>4730.6000000000004</v>
      </c>
      <c r="Q33">
        <f t="shared" si="6"/>
        <v>4265.8</v>
      </c>
      <c r="R33">
        <v>540</v>
      </c>
      <c r="S33" s="13">
        <f t="shared" si="7"/>
        <v>318.8</v>
      </c>
      <c r="T33" s="13">
        <f t="shared" si="8"/>
        <v>727.5</v>
      </c>
      <c r="U33" s="6">
        <f t="shared" si="9"/>
        <v>0</v>
      </c>
    </row>
    <row r="34" spans="1:21" x14ac:dyDescent="0.25">
      <c r="A34" s="11" t="s">
        <v>10</v>
      </c>
      <c r="B34" s="11" t="s">
        <v>43</v>
      </c>
      <c r="C34" s="9">
        <v>4790</v>
      </c>
      <c r="D34" s="11">
        <f t="shared" si="0"/>
        <v>4498.18</v>
      </c>
      <c r="E34" s="11">
        <f t="shared" si="1"/>
        <v>5346.21</v>
      </c>
      <c r="F34" s="11">
        <f t="shared" si="2"/>
        <v>3650.15</v>
      </c>
      <c r="G34" s="11">
        <f t="shared" si="10"/>
        <v>105</v>
      </c>
      <c r="H34" s="11">
        <f t="shared" si="11"/>
        <v>318.81</v>
      </c>
      <c r="I34" s="11">
        <f t="shared" si="3"/>
        <v>1041.8699999999999</v>
      </c>
      <c r="K34" s="3" t="s">
        <v>10</v>
      </c>
      <c r="L34">
        <v>4</v>
      </c>
      <c r="M34" s="3" t="s">
        <v>43</v>
      </c>
      <c r="N34">
        <v>4476.3</v>
      </c>
      <c r="O34">
        <f t="shared" si="4"/>
        <v>4498.2</v>
      </c>
      <c r="P34">
        <f t="shared" si="5"/>
        <v>4730.6000000000004</v>
      </c>
      <c r="Q34">
        <f t="shared" si="6"/>
        <v>4265.8</v>
      </c>
      <c r="R34">
        <v>655</v>
      </c>
      <c r="S34" s="13">
        <f t="shared" ref="S34:S52" si="12">ROUND(AVERAGE($H$2:$H$52),1)</f>
        <v>318.8</v>
      </c>
      <c r="T34" s="13">
        <f t="shared" si="8"/>
        <v>727.5</v>
      </c>
      <c r="U34" s="6">
        <f t="shared" si="9"/>
        <v>0</v>
      </c>
    </row>
    <row r="35" spans="1:21" x14ac:dyDescent="0.25">
      <c r="A35" s="11" t="s">
        <v>10</v>
      </c>
      <c r="B35" s="11" t="s">
        <v>44</v>
      </c>
      <c r="C35" s="9">
        <v>4845</v>
      </c>
      <c r="D35" s="11">
        <f t="shared" si="0"/>
        <v>4498.18</v>
      </c>
      <c r="E35" s="11">
        <f t="shared" si="1"/>
        <v>5346.21</v>
      </c>
      <c r="F35" s="11">
        <f t="shared" si="2"/>
        <v>3650.15</v>
      </c>
      <c r="G35" s="11">
        <f t="shared" si="10"/>
        <v>55</v>
      </c>
      <c r="H35" s="11">
        <f t="shared" si="11"/>
        <v>318.81</v>
      </c>
      <c r="I35" s="11">
        <f t="shared" si="3"/>
        <v>1041.8699999999999</v>
      </c>
      <c r="K35" s="3" t="s">
        <v>10</v>
      </c>
      <c r="L35">
        <v>4</v>
      </c>
      <c r="M35" s="3" t="s">
        <v>44</v>
      </c>
      <c r="N35">
        <v>4528.8</v>
      </c>
      <c r="O35">
        <f t="shared" si="4"/>
        <v>4498.2</v>
      </c>
      <c r="P35">
        <f t="shared" si="5"/>
        <v>4730.6000000000004</v>
      </c>
      <c r="Q35">
        <f t="shared" si="6"/>
        <v>4265.8</v>
      </c>
      <c r="R35">
        <v>725</v>
      </c>
      <c r="S35" s="13">
        <f t="shared" si="12"/>
        <v>318.8</v>
      </c>
      <c r="T35" s="13">
        <f t="shared" si="8"/>
        <v>727.5</v>
      </c>
      <c r="U35" s="6">
        <f t="shared" si="9"/>
        <v>0</v>
      </c>
    </row>
    <row r="36" spans="1:21" x14ac:dyDescent="0.25">
      <c r="A36" s="11" t="s">
        <v>10</v>
      </c>
      <c r="B36" s="11" t="s">
        <v>45</v>
      </c>
      <c r="C36" s="9">
        <v>4700</v>
      </c>
      <c r="D36" s="11">
        <f t="shared" si="0"/>
        <v>4498.18</v>
      </c>
      <c r="E36" s="11">
        <f t="shared" si="1"/>
        <v>5346.21</v>
      </c>
      <c r="F36" s="11">
        <f t="shared" si="2"/>
        <v>3650.15</v>
      </c>
      <c r="G36" s="11">
        <f t="shared" si="10"/>
        <v>145</v>
      </c>
      <c r="H36" s="11">
        <f t="shared" si="11"/>
        <v>318.81</v>
      </c>
      <c r="I36" s="11">
        <f t="shared" si="3"/>
        <v>1041.8699999999999</v>
      </c>
      <c r="K36" s="3" t="s">
        <v>10</v>
      </c>
      <c r="L36">
        <v>4</v>
      </c>
      <c r="M36" s="3" t="s">
        <v>45</v>
      </c>
      <c r="N36">
        <v>4550</v>
      </c>
      <c r="O36">
        <f t="shared" si="4"/>
        <v>4498.2</v>
      </c>
      <c r="P36">
        <f t="shared" si="5"/>
        <v>4730.6000000000004</v>
      </c>
      <c r="Q36">
        <f t="shared" si="6"/>
        <v>4265.8</v>
      </c>
      <c r="R36">
        <v>400</v>
      </c>
      <c r="S36" s="13">
        <f t="shared" si="12"/>
        <v>318.8</v>
      </c>
      <c r="T36" s="13">
        <f t="shared" si="8"/>
        <v>727.5</v>
      </c>
      <c r="U36" s="6">
        <f t="shared" si="9"/>
        <v>0</v>
      </c>
    </row>
    <row r="37" spans="1:21" x14ac:dyDescent="0.25">
      <c r="A37" s="11" t="s">
        <v>10</v>
      </c>
      <c r="B37" s="11" t="s">
        <v>46</v>
      </c>
      <c r="C37" s="9">
        <v>4600</v>
      </c>
      <c r="D37" s="11">
        <f t="shared" si="0"/>
        <v>4498.18</v>
      </c>
      <c r="E37" s="11">
        <f t="shared" si="1"/>
        <v>5346.21</v>
      </c>
      <c r="F37" s="11">
        <f t="shared" si="2"/>
        <v>3650.15</v>
      </c>
      <c r="G37" s="11">
        <f t="shared" si="10"/>
        <v>100</v>
      </c>
      <c r="H37" s="11">
        <f t="shared" si="11"/>
        <v>318.81</v>
      </c>
      <c r="I37" s="11">
        <f t="shared" si="3"/>
        <v>1041.8699999999999</v>
      </c>
      <c r="K37" s="3" t="s">
        <v>10</v>
      </c>
      <c r="L37">
        <v>4</v>
      </c>
      <c r="M37" s="3" t="s">
        <v>46</v>
      </c>
      <c r="N37">
        <v>3701.3</v>
      </c>
      <c r="O37">
        <f t="shared" si="4"/>
        <v>4498.2</v>
      </c>
      <c r="P37">
        <f t="shared" si="5"/>
        <v>4730.6000000000004</v>
      </c>
      <c r="Q37">
        <f t="shared" si="6"/>
        <v>4265.8</v>
      </c>
      <c r="R37">
        <v>265</v>
      </c>
      <c r="S37" s="13">
        <f t="shared" si="12"/>
        <v>318.8</v>
      </c>
      <c r="T37" s="13">
        <f t="shared" si="8"/>
        <v>727.5</v>
      </c>
      <c r="U37" s="6">
        <f t="shared" si="9"/>
        <v>0</v>
      </c>
    </row>
    <row r="38" spans="1:21" x14ac:dyDescent="0.25">
      <c r="A38" s="11" t="s">
        <v>10</v>
      </c>
      <c r="B38" s="11" t="s">
        <v>47</v>
      </c>
      <c r="C38" s="9">
        <v>4110</v>
      </c>
      <c r="D38" s="11">
        <f t="shared" si="0"/>
        <v>4498.18</v>
      </c>
      <c r="E38" s="11">
        <f t="shared" si="1"/>
        <v>5346.21</v>
      </c>
      <c r="F38" s="11">
        <f t="shared" si="2"/>
        <v>3650.15</v>
      </c>
      <c r="G38" s="11">
        <f t="shared" si="10"/>
        <v>490</v>
      </c>
      <c r="H38" s="11">
        <f t="shared" si="11"/>
        <v>318.81</v>
      </c>
      <c r="I38" s="11">
        <f t="shared" si="3"/>
        <v>1041.8699999999999</v>
      </c>
      <c r="K38" s="3" t="s">
        <v>10</v>
      </c>
      <c r="L38">
        <v>4</v>
      </c>
      <c r="M38" s="3" t="s">
        <v>47</v>
      </c>
      <c r="N38">
        <v>4030</v>
      </c>
      <c r="O38">
        <f t="shared" si="4"/>
        <v>4498.2</v>
      </c>
      <c r="P38">
        <f t="shared" si="5"/>
        <v>4730.6000000000004</v>
      </c>
      <c r="Q38">
        <f t="shared" si="6"/>
        <v>4265.8</v>
      </c>
      <c r="R38">
        <v>675</v>
      </c>
      <c r="S38" s="13">
        <f t="shared" si="12"/>
        <v>318.8</v>
      </c>
      <c r="T38" s="13">
        <f t="shared" si="8"/>
        <v>727.5</v>
      </c>
      <c r="U38" s="6">
        <f t="shared" si="9"/>
        <v>0</v>
      </c>
    </row>
    <row r="39" spans="1:21" x14ac:dyDescent="0.25">
      <c r="A39" s="11" t="s">
        <v>10</v>
      </c>
      <c r="B39" s="11" t="s">
        <v>48</v>
      </c>
      <c r="C39" s="9">
        <v>4410</v>
      </c>
      <c r="D39" s="11">
        <f t="shared" si="0"/>
        <v>4498.18</v>
      </c>
      <c r="E39" s="11">
        <f t="shared" si="1"/>
        <v>5346.21</v>
      </c>
      <c r="F39" s="11">
        <f t="shared" si="2"/>
        <v>3650.15</v>
      </c>
      <c r="G39" s="11">
        <f t="shared" si="10"/>
        <v>300</v>
      </c>
      <c r="H39" s="11">
        <f t="shared" si="11"/>
        <v>318.81</v>
      </c>
      <c r="I39" s="11">
        <f t="shared" si="3"/>
        <v>1041.8699999999999</v>
      </c>
      <c r="K39" s="3" t="s">
        <v>10</v>
      </c>
      <c r="L39">
        <v>4</v>
      </c>
      <c r="M39" s="3" t="s">
        <v>48</v>
      </c>
      <c r="N39">
        <v>4781.3</v>
      </c>
      <c r="O39">
        <f t="shared" si="4"/>
        <v>4498.2</v>
      </c>
      <c r="P39">
        <f t="shared" si="5"/>
        <v>4730.6000000000004</v>
      </c>
      <c r="Q39">
        <f t="shared" si="6"/>
        <v>4265.8</v>
      </c>
      <c r="R39">
        <v>500</v>
      </c>
      <c r="S39" s="13">
        <f t="shared" si="12"/>
        <v>318.8</v>
      </c>
      <c r="T39" s="13">
        <f t="shared" si="8"/>
        <v>727.5</v>
      </c>
      <c r="U39" s="6">
        <f t="shared" si="9"/>
        <v>0</v>
      </c>
    </row>
    <row r="40" spans="1:21" x14ac:dyDescent="0.25">
      <c r="A40" s="11" t="s">
        <v>10</v>
      </c>
      <c r="B40" s="11" t="s">
        <v>49</v>
      </c>
      <c r="C40" s="9">
        <v>4180</v>
      </c>
      <c r="D40" s="11">
        <f t="shared" si="0"/>
        <v>4498.18</v>
      </c>
      <c r="E40" s="11">
        <f t="shared" si="1"/>
        <v>5346.21</v>
      </c>
      <c r="F40" s="11">
        <f t="shared" si="2"/>
        <v>3650.15</v>
      </c>
      <c r="G40" s="11">
        <f t="shared" si="10"/>
        <v>230</v>
      </c>
      <c r="H40" s="11">
        <f t="shared" si="11"/>
        <v>318.81</v>
      </c>
      <c r="I40" s="11">
        <f t="shared" si="3"/>
        <v>1041.8699999999999</v>
      </c>
      <c r="K40" s="3" t="s">
        <v>10</v>
      </c>
      <c r="L40">
        <v>4</v>
      </c>
      <c r="M40" s="3" t="s">
        <v>49</v>
      </c>
      <c r="N40">
        <v>4797.5</v>
      </c>
      <c r="O40">
        <f t="shared" si="4"/>
        <v>4498.2</v>
      </c>
      <c r="P40">
        <f t="shared" si="5"/>
        <v>4730.6000000000004</v>
      </c>
      <c r="Q40">
        <f t="shared" si="6"/>
        <v>4265.8</v>
      </c>
      <c r="R40">
        <v>650</v>
      </c>
      <c r="S40" s="13">
        <f t="shared" si="12"/>
        <v>318.8</v>
      </c>
      <c r="T40" s="13">
        <f t="shared" si="8"/>
        <v>727.5</v>
      </c>
      <c r="U40" s="6">
        <f t="shared" si="9"/>
        <v>0</v>
      </c>
    </row>
    <row r="41" spans="1:21" x14ac:dyDescent="0.25">
      <c r="A41" s="11" t="s">
        <v>10</v>
      </c>
      <c r="B41" s="11" t="s">
        <v>50</v>
      </c>
      <c r="C41" s="9">
        <v>4790</v>
      </c>
      <c r="D41" s="11">
        <f t="shared" si="0"/>
        <v>4498.18</v>
      </c>
      <c r="E41" s="11">
        <f t="shared" si="1"/>
        <v>5346.21</v>
      </c>
      <c r="F41" s="11">
        <f t="shared" si="2"/>
        <v>3650.15</v>
      </c>
      <c r="G41" s="11">
        <f t="shared" si="10"/>
        <v>610</v>
      </c>
      <c r="H41" s="11">
        <f t="shared" si="11"/>
        <v>318.81</v>
      </c>
      <c r="I41" s="11">
        <f t="shared" si="3"/>
        <v>1041.8699999999999</v>
      </c>
      <c r="K41" s="3" t="s">
        <v>10</v>
      </c>
      <c r="L41">
        <v>4</v>
      </c>
      <c r="M41" s="3" t="s">
        <v>50</v>
      </c>
      <c r="N41">
        <v>4887.5</v>
      </c>
      <c r="O41">
        <f t="shared" si="4"/>
        <v>4498.2</v>
      </c>
      <c r="P41">
        <f t="shared" si="5"/>
        <v>4730.6000000000004</v>
      </c>
      <c r="Q41">
        <f t="shared" si="6"/>
        <v>4265.8</v>
      </c>
      <c r="R41">
        <v>300</v>
      </c>
      <c r="S41" s="13">
        <f t="shared" si="12"/>
        <v>318.8</v>
      </c>
      <c r="T41" s="13">
        <f t="shared" si="8"/>
        <v>727.5</v>
      </c>
      <c r="U41" s="6">
        <f t="shared" si="9"/>
        <v>0</v>
      </c>
    </row>
    <row r="42" spans="1:21" x14ac:dyDescent="0.25">
      <c r="A42" s="11" t="s">
        <v>10</v>
      </c>
      <c r="B42" s="11" t="s">
        <v>51</v>
      </c>
      <c r="C42" s="9">
        <v>4790</v>
      </c>
      <c r="D42" s="11">
        <f t="shared" si="0"/>
        <v>4498.18</v>
      </c>
      <c r="E42" s="11">
        <f t="shared" si="1"/>
        <v>5346.21</v>
      </c>
      <c r="F42" s="11">
        <f t="shared" si="2"/>
        <v>3650.15</v>
      </c>
      <c r="G42" s="11">
        <f t="shared" si="10"/>
        <v>0</v>
      </c>
      <c r="H42" s="11">
        <f t="shared" si="11"/>
        <v>318.81</v>
      </c>
      <c r="I42" s="11">
        <f t="shared" si="3"/>
        <v>1041.8699999999999</v>
      </c>
      <c r="K42" s="3" t="s">
        <v>10</v>
      </c>
      <c r="L42">
        <v>4</v>
      </c>
      <c r="M42" s="3" t="s">
        <v>51</v>
      </c>
      <c r="N42">
        <v>4760</v>
      </c>
      <c r="O42">
        <f t="shared" si="4"/>
        <v>4498.2</v>
      </c>
      <c r="P42">
        <f t="shared" si="5"/>
        <v>4730.6000000000004</v>
      </c>
      <c r="Q42">
        <f t="shared" si="6"/>
        <v>4265.8</v>
      </c>
      <c r="R42">
        <v>500</v>
      </c>
      <c r="S42" s="13">
        <f t="shared" si="12"/>
        <v>318.8</v>
      </c>
      <c r="T42" s="13">
        <f t="shared" si="8"/>
        <v>727.5</v>
      </c>
      <c r="U42" s="6">
        <f t="shared" si="9"/>
        <v>0</v>
      </c>
    </row>
    <row r="43" spans="1:21" x14ac:dyDescent="0.25">
      <c r="A43" s="11" t="s">
        <v>10</v>
      </c>
      <c r="B43" s="11" t="s">
        <v>52</v>
      </c>
      <c r="C43" s="9">
        <v>4340</v>
      </c>
      <c r="D43" s="11">
        <f t="shared" si="0"/>
        <v>4498.18</v>
      </c>
      <c r="E43" s="11">
        <f t="shared" si="1"/>
        <v>5346.21</v>
      </c>
      <c r="F43" s="11">
        <f t="shared" si="2"/>
        <v>3650.15</v>
      </c>
      <c r="G43" s="11">
        <f t="shared" si="10"/>
        <v>450</v>
      </c>
      <c r="H43" s="11">
        <f t="shared" si="11"/>
        <v>318.81</v>
      </c>
      <c r="I43" s="11">
        <f t="shared" si="3"/>
        <v>1041.8699999999999</v>
      </c>
      <c r="K43" s="3" t="s">
        <v>10</v>
      </c>
      <c r="L43">
        <v>4</v>
      </c>
      <c r="M43" s="3" t="s">
        <v>52</v>
      </c>
      <c r="N43">
        <v>4853.8</v>
      </c>
      <c r="O43">
        <f t="shared" si="4"/>
        <v>4498.2</v>
      </c>
      <c r="P43">
        <f t="shared" si="5"/>
        <v>4730.6000000000004</v>
      </c>
      <c r="Q43">
        <f t="shared" si="6"/>
        <v>4265.8</v>
      </c>
      <c r="R43">
        <v>505</v>
      </c>
      <c r="S43" s="13">
        <f t="shared" si="12"/>
        <v>318.8</v>
      </c>
      <c r="T43" s="13">
        <f t="shared" si="8"/>
        <v>727.5</v>
      </c>
      <c r="U43" s="6">
        <f t="shared" si="9"/>
        <v>0</v>
      </c>
    </row>
    <row r="44" spans="1:21" x14ac:dyDescent="0.25">
      <c r="A44" s="11" t="s">
        <v>10</v>
      </c>
      <c r="B44" s="11" t="s">
        <v>53</v>
      </c>
      <c r="C44" s="9">
        <v>4895</v>
      </c>
      <c r="D44" s="11">
        <f t="shared" si="0"/>
        <v>4498.18</v>
      </c>
      <c r="E44" s="11">
        <f t="shared" si="1"/>
        <v>5346.21</v>
      </c>
      <c r="F44" s="11">
        <f t="shared" si="2"/>
        <v>3650.15</v>
      </c>
      <c r="G44" s="11">
        <f t="shared" si="10"/>
        <v>555</v>
      </c>
      <c r="H44" s="11">
        <f t="shared" si="11"/>
        <v>318.81</v>
      </c>
      <c r="I44" s="11">
        <f t="shared" si="3"/>
        <v>1041.8699999999999</v>
      </c>
      <c r="K44" s="3" t="s">
        <v>10</v>
      </c>
      <c r="L44">
        <v>4</v>
      </c>
      <c r="M44" s="3" t="s">
        <v>53</v>
      </c>
      <c r="N44">
        <v>4925</v>
      </c>
      <c r="O44">
        <f t="shared" si="4"/>
        <v>4498.2</v>
      </c>
      <c r="P44">
        <f t="shared" si="5"/>
        <v>4730.6000000000004</v>
      </c>
      <c r="Q44">
        <f t="shared" si="6"/>
        <v>4265.8</v>
      </c>
      <c r="R44">
        <v>300</v>
      </c>
      <c r="S44" s="13">
        <f t="shared" si="12"/>
        <v>318.8</v>
      </c>
      <c r="T44" s="13">
        <f t="shared" si="8"/>
        <v>727.5</v>
      </c>
      <c r="U44" s="6">
        <f t="shared" si="9"/>
        <v>0</v>
      </c>
    </row>
    <row r="45" spans="1:21" x14ac:dyDescent="0.25">
      <c r="A45" s="11" t="s">
        <v>10</v>
      </c>
      <c r="B45" s="11" t="s">
        <v>54</v>
      </c>
      <c r="C45" s="9">
        <v>5750</v>
      </c>
      <c r="D45" s="11">
        <f t="shared" si="0"/>
        <v>4498.18</v>
      </c>
      <c r="E45" s="11">
        <f t="shared" si="1"/>
        <v>5346.21</v>
      </c>
      <c r="F45" s="11">
        <f t="shared" si="2"/>
        <v>3650.15</v>
      </c>
      <c r="G45" s="11">
        <f t="shared" si="10"/>
        <v>855</v>
      </c>
      <c r="H45" s="11">
        <f t="shared" si="11"/>
        <v>318.81</v>
      </c>
      <c r="I45" s="11">
        <f t="shared" si="3"/>
        <v>1041.8699999999999</v>
      </c>
      <c r="K45" s="3" t="s">
        <v>10</v>
      </c>
      <c r="L45">
        <v>4</v>
      </c>
      <c r="M45" s="3" t="s">
        <v>54</v>
      </c>
      <c r="N45">
        <v>5041.3</v>
      </c>
      <c r="O45">
        <f t="shared" si="4"/>
        <v>4498.2</v>
      </c>
      <c r="P45">
        <f t="shared" si="5"/>
        <v>4730.6000000000004</v>
      </c>
      <c r="Q45">
        <f t="shared" si="6"/>
        <v>4265.8</v>
      </c>
      <c r="R45">
        <v>335</v>
      </c>
      <c r="S45" s="13">
        <f t="shared" si="12"/>
        <v>318.8</v>
      </c>
      <c r="T45" s="13">
        <f t="shared" si="8"/>
        <v>727.5</v>
      </c>
      <c r="U45" s="6">
        <f t="shared" si="9"/>
        <v>0</v>
      </c>
    </row>
    <row r="46" spans="1:21" x14ac:dyDescent="0.25">
      <c r="A46" s="11" t="s">
        <v>10</v>
      </c>
      <c r="B46" s="11" t="s">
        <v>55</v>
      </c>
      <c r="C46" s="9">
        <v>4740</v>
      </c>
      <c r="D46" s="11">
        <f t="shared" si="0"/>
        <v>4498.18</v>
      </c>
      <c r="E46" s="11">
        <f t="shared" si="1"/>
        <v>5346.21</v>
      </c>
      <c r="F46" s="11">
        <f t="shared" si="2"/>
        <v>3650.15</v>
      </c>
      <c r="G46" s="11">
        <f t="shared" si="10"/>
        <v>1010</v>
      </c>
      <c r="H46" s="11">
        <f t="shared" si="11"/>
        <v>318.81</v>
      </c>
      <c r="I46" s="11">
        <f t="shared" si="3"/>
        <v>1041.8699999999999</v>
      </c>
      <c r="K46" s="3" t="s">
        <v>10</v>
      </c>
      <c r="L46">
        <v>4</v>
      </c>
      <c r="M46" s="3" t="s">
        <v>55</v>
      </c>
      <c r="N46">
        <v>4835</v>
      </c>
      <c r="O46">
        <f t="shared" si="4"/>
        <v>4498.2</v>
      </c>
      <c r="P46">
        <f t="shared" si="5"/>
        <v>4730.6000000000004</v>
      </c>
      <c r="Q46">
        <f t="shared" si="6"/>
        <v>4265.8</v>
      </c>
      <c r="R46">
        <v>1385</v>
      </c>
      <c r="S46" s="13">
        <f t="shared" si="12"/>
        <v>318.8</v>
      </c>
      <c r="T46" s="13">
        <f t="shared" si="8"/>
        <v>727.5</v>
      </c>
      <c r="U46" s="6">
        <f t="shared" si="9"/>
        <v>0</v>
      </c>
    </row>
    <row r="47" spans="1:21" x14ac:dyDescent="0.25">
      <c r="A47" s="11" t="s">
        <v>10</v>
      </c>
      <c r="B47" s="11" t="s">
        <v>56</v>
      </c>
      <c r="C47" s="9">
        <v>5000</v>
      </c>
      <c r="D47" s="11">
        <f t="shared" si="0"/>
        <v>4498.18</v>
      </c>
      <c r="E47" s="11">
        <f t="shared" si="1"/>
        <v>5346.21</v>
      </c>
      <c r="F47" s="11">
        <f t="shared" si="2"/>
        <v>3650.15</v>
      </c>
      <c r="G47" s="11">
        <f t="shared" si="10"/>
        <v>260</v>
      </c>
      <c r="H47" s="11">
        <f t="shared" si="11"/>
        <v>318.81</v>
      </c>
      <c r="I47" s="11">
        <f t="shared" si="3"/>
        <v>1041.8699999999999</v>
      </c>
      <c r="K47" s="3" t="s">
        <v>10</v>
      </c>
      <c r="L47">
        <v>4</v>
      </c>
      <c r="M47" s="3" t="s">
        <v>56</v>
      </c>
      <c r="N47">
        <v>4555</v>
      </c>
      <c r="O47">
        <f t="shared" si="4"/>
        <v>4498.2</v>
      </c>
      <c r="P47">
        <f t="shared" si="5"/>
        <v>4730.6000000000004</v>
      </c>
      <c r="Q47">
        <f t="shared" si="6"/>
        <v>4265.8</v>
      </c>
      <c r="R47">
        <v>340</v>
      </c>
      <c r="S47" s="13">
        <f t="shared" si="12"/>
        <v>318.8</v>
      </c>
      <c r="T47" s="13">
        <f t="shared" si="8"/>
        <v>727.5</v>
      </c>
      <c r="U47" s="6">
        <f t="shared" si="9"/>
        <v>0</v>
      </c>
    </row>
    <row r="48" spans="1:21" x14ac:dyDescent="0.25">
      <c r="A48" s="11" t="s">
        <v>10</v>
      </c>
      <c r="B48" s="11" t="s">
        <v>57</v>
      </c>
      <c r="C48" s="9">
        <v>4895</v>
      </c>
      <c r="D48" s="11">
        <f t="shared" si="0"/>
        <v>4498.18</v>
      </c>
      <c r="E48" s="11">
        <f t="shared" si="1"/>
        <v>5346.21</v>
      </c>
      <c r="F48" s="11">
        <f t="shared" si="2"/>
        <v>3650.15</v>
      </c>
      <c r="G48" s="11">
        <f t="shared" si="10"/>
        <v>105</v>
      </c>
      <c r="H48" s="11">
        <f t="shared" si="11"/>
        <v>318.81</v>
      </c>
      <c r="I48" s="11">
        <f t="shared" si="3"/>
        <v>1041.8699999999999</v>
      </c>
      <c r="K48" s="3" t="s">
        <v>10</v>
      </c>
      <c r="L48">
        <v>4</v>
      </c>
      <c r="M48" s="3" t="s">
        <v>57</v>
      </c>
      <c r="N48">
        <v>4566.3</v>
      </c>
      <c r="O48">
        <f t="shared" si="4"/>
        <v>4498.2</v>
      </c>
      <c r="P48">
        <f t="shared" si="5"/>
        <v>4730.6000000000004</v>
      </c>
      <c r="Q48">
        <f t="shared" si="6"/>
        <v>4265.8</v>
      </c>
      <c r="R48">
        <v>265</v>
      </c>
      <c r="S48" s="13">
        <f t="shared" si="12"/>
        <v>318.8</v>
      </c>
      <c r="T48" s="13">
        <f t="shared" si="8"/>
        <v>727.5</v>
      </c>
      <c r="U48" s="6">
        <f t="shared" si="9"/>
        <v>0</v>
      </c>
    </row>
    <row r="49" spans="1:21" x14ac:dyDescent="0.25">
      <c r="A49" s="11" t="s">
        <v>10</v>
      </c>
      <c r="B49" s="11" t="s">
        <v>58</v>
      </c>
      <c r="C49" s="9">
        <v>4255</v>
      </c>
      <c r="D49" s="11">
        <f t="shared" si="0"/>
        <v>4498.18</v>
      </c>
      <c r="E49" s="11">
        <f t="shared" si="1"/>
        <v>5346.21</v>
      </c>
      <c r="F49" s="11">
        <f t="shared" si="2"/>
        <v>3650.15</v>
      </c>
      <c r="G49" s="11">
        <f t="shared" si="10"/>
        <v>640</v>
      </c>
      <c r="H49" s="11">
        <f t="shared" si="11"/>
        <v>318.81</v>
      </c>
      <c r="I49" s="11">
        <f t="shared" si="3"/>
        <v>1041.8699999999999</v>
      </c>
      <c r="K49" s="3" t="s">
        <v>10</v>
      </c>
      <c r="L49">
        <v>4</v>
      </c>
      <c r="M49" s="3" t="s">
        <v>58</v>
      </c>
      <c r="N49">
        <v>4842.5</v>
      </c>
      <c r="O49">
        <f t="shared" si="4"/>
        <v>4498.2</v>
      </c>
      <c r="P49">
        <f t="shared" si="5"/>
        <v>4730.6000000000004</v>
      </c>
      <c r="Q49">
        <f t="shared" si="6"/>
        <v>4265.8</v>
      </c>
      <c r="R49">
        <v>230</v>
      </c>
      <c r="S49" s="13">
        <f t="shared" si="12"/>
        <v>318.8</v>
      </c>
      <c r="T49" s="13">
        <f t="shared" si="8"/>
        <v>727.5</v>
      </c>
      <c r="U49" s="6">
        <f t="shared" si="9"/>
        <v>0</v>
      </c>
    </row>
    <row r="50" spans="1:21" x14ac:dyDescent="0.25">
      <c r="A50" s="11" t="s">
        <v>10</v>
      </c>
      <c r="B50" s="11" t="s">
        <v>59</v>
      </c>
      <c r="C50" s="9">
        <v>4170</v>
      </c>
      <c r="D50" s="11">
        <f t="shared" si="0"/>
        <v>4498.18</v>
      </c>
      <c r="E50" s="11">
        <f t="shared" si="1"/>
        <v>5346.21</v>
      </c>
      <c r="F50" s="11">
        <f t="shared" si="2"/>
        <v>3650.15</v>
      </c>
      <c r="G50" s="11">
        <f t="shared" si="10"/>
        <v>85</v>
      </c>
      <c r="H50" s="11">
        <f t="shared" si="11"/>
        <v>318.81</v>
      </c>
      <c r="I50" s="11">
        <f t="shared" si="3"/>
        <v>1041.8699999999999</v>
      </c>
      <c r="K50" s="3" t="s">
        <v>10</v>
      </c>
      <c r="L50">
        <v>4</v>
      </c>
      <c r="M50" s="3" t="s">
        <v>59</v>
      </c>
      <c r="N50">
        <v>4343.8</v>
      </c>
      <c r="O50">
        <f t="shared" si="4"/>
        <v>4498.2</v>
      </c>
      <c r="P50">
        <f t="shared" si="5"/>
        <v>4730.6000000000004</v>
      </c>
      <c r="Q50">
        <f t="shared" si="6"/>
        <v>4265.8</v>
      </c>
      <c r="R50">
        <v>490</v>
      </c>
      <c r="S50" s="13">
        <f t="shared" si="12"/>
        <v>318.8</v>
      </c>
      <c r="T50" s="13">
        <f t="shared" si="8"/>
        <v>727.5</v>
      </c>
      <c r="U50" s="6">
        <f t="shared" si="9"/>
        <v>0</v>
      </c>
    </row>
    <row r="51" spans="1:21" x14ac:dyDescent="0.25">
      <c r="A51" s="11" t="s">
        <v>10</v>
      </c>
      <c r="B51" s="11" t="s">
        <v>60</v>
      </c>
      <c r="C51" s="9">
        <v>3850</v>
      </c>
      <c r="D51" s="11">
        <f t="shared" si="0"/>
        <v>4498.18</v>
      </c>
      <c r="E51" s="11">
        <f t="shared" si="1"/>
        <v>5346.21</v>
      </c>
      <c r="F51" s="11">
        <f t="shared" si="2"/>
        <v>3650.15</v>
      </c>
      <c r="G51" s="11">
        <f t="shared" si="10"/>
        <v>320</v>
      </c>
      <c r="H51" s="11">
        <f t="shared" si="11"/>
        <v>318.81</v>
      </c>
      <c r="I51" s="11">
        <f t="shared" si="3"/>
        <v>1041.8699999999999</v>
      </c>
      <c r="K51" s="3" t="s">
        <v>10</v>
      </c>
      <c r="L51">
        <v>4</v>
      </c>
      <c r="M51" s="3" t="s">
        <v>60</v>
      </c>
      <c r="N51">
        <v>4361.3</v>
      </c>
      <c r="O51">
        <f t="shared" si="4"/>
        <v>4498.2</v>
      </c>
      <c r="P51">
        <f t="shared" si="5"/>
        <v>4730.6000000000004</v>
      </c>
      <c r="Q51">
        <f t="shared" si="6"/>
        <v>4265.8</v>
      </c>
      <c r="R51">
        <v>1360</v>
      </c>
      <c r="S51" s="13">
        <f t="shared" si="12"/>
        <v>318.8</v>
      </c>
      <c r="T51" s="13">
        <f t="shared" si="8"/>
        <v>727.5</v>
      </c>
      <c r="U51" s="6">
        <f t="shared" si="9"/>
        <v>0</v>
      </c>
    </row>
    <row r="52" spans="1:21" x14ac:dyDescent="0.25">
      <c r="A52" s="11" t="s">
        <v>10</v>
      </c>
      <c r="B52" s="11" t="s">
        <v>61</v>
      </c>
      <c r="C52" s="9">
        <v>4445</v>
      </c>
      <c r="D52" s="11">
        <f t="shared" si="0"/>
        <v>4498.18</v>
      </c>
      <c r="E52" s="11">
        <f t="shared" si="1"/>
        <v>5346.21</v>
      </c>
      <c r="F52" s="11">
        <f t="shared" si="2"/>
        <v>3650.15</v>
      </c>
      <c r="G52" s="11">
        <f t="shared" si="10"/>
        <v>595</v>
      </c>
      <c r="H52" s="11">
        <f t="shared" si="11"/>
        <v>318.81</v>
      </c>
      <c r="I52" s="11">
        <f t="shared" si="3"/>
        <v>1041.8699999999999</v>
      </c>
      <c r="K52" s="3" t="s">
        <v>10</v>
      </c>
      <c r="L52">
        <v>4</v>
      </c>
      <c r="M52" s="3" t="s">
        <v>61</v>
      </c>
      <c r="N52">
        <v>5100</v>
      </c>
      <c r="O52">
        <f t="shared" si="4"/>
        <v>4498.2</v>
      </c>
      <c r="P52">
        <f t="shared" si="5"/>
        <v>4730.6000000000004</v>
      </c>
      <c r="Q52">
        <f t="shared" si="6"/>
        <v>4265.8</v>
      </c>
      <c r="R52">
        <v>250</v>
      </c>
      <c r="S52" s="13">
        <f t="shared" si="12"/>
        <v>318.8</v>
      </c>
      <c r="T52" s="13">
        <f t="shared" si="8"/>
        <v>727.5</v>
      </c>
      <c r="U52" s="6">
        <f t="shared" si="9"/>
        <v>0</v>
      </c>
    </row>
    <row r="53" spans="1:21" x14ac:dyDescent="0.25">
      <c r="A53" s="11" t="s">
        <v>10</v>
      </c>
      <c r="B53" s="11" t="s">
        <v>62</v>
      </c>
      <c r="C53" s="9">
        <v>4650</v>
      </c>
      <c r="D53" s="11">
        <f t="shared" si="0"/>
        <v>4498.18</v>
      </c>
      <c r="E53" s="11">
        <f t="shared" si="1"/>
        <v>5346.21</v>
      </c>
      <c r="F53" s="11">
        <f t="shared" si="2"/>
        <v>3650.15</v>
      </c>
      <c r="G53" s="11">
        <f t="shared" si="10"/>
        <v>205</v>
      </c>
      <c r="H53" s="11">
        <f t="shared" si="11"/>
        <v>318.81</v>
      </c>
      <c r="I53" s="11">
        <f t="shared" si="3"/>
        <v>1041.8699999999999</v>
      </c>
    </row>
    <row r="54" spans="1:21" x14ac:dyDescent="0.25">
      <c r="A54" s="11" t="s">
        <v>10</v>
      </c>
      <c r="B54" s="11" t="s">
        <v>63</v>
      </c>
      <c r="C54" s="9">
        <v>4170</v>
      </c>
      <c r="D54" s="11">
        <f t="shared" si="0"/>
        <v>4498.18</v>
      </c>
      <c r="E54" s="11">
        <f t="shared" si="1"/>
        <v>5346.21</v>
      </c>
      <c r="F54" s="11">
        <f t="shared" si="2"/>
        <v>3650.15</v>
      </c>
      <c r="G54" s="11">
        <f t="shared" si="10"/>
        <v>480</v>
      </c>
      <c r="H54" s="11">
        <f t="shared" si="11"/>
        <v>318.81</v>
      </c>
      <c r="I54" s="11">
        <f t="shared" si="3"/>
        <v>1041.8699999999999</v>
      </c>
    </row>
    <row r="55" spans="1:21" x14ac:dyDescent="0.25">
      <c r="A55" s="11" t="s">
        <v>10</v>
      </c>
      <c r="B55" s="11" t="s">
        <v>64</v>
      </c>
      <c r="C55" s="9">
        <v>4255</v>
      </c>
      <c r="D55" s="11">
        <f t="shared" si="0"/>
        <v>4498.18</v>
      </c>
      <c r="E55" s="11">
        <f t="shared" si="1"/>
        <v>5346.21</v>
      </c>
      <c r="F55" s="11">
        <f t="shared" si="2"/>
        <v>3650.15</v>
      </c>
      <c r="G55" s="11">
        <f t="shared" si="10"/>
        <v>85</v>
      </c>
      <c r="H55" s="11">
        <f t="shared" si="11"/>
        <v>318.81</v>
      </c>
      <c r="I55" s="11">
        <f t="shared" si="3"/>
        <v>1041.8699999999999</v>
      </c>
    </row>
    <row r="56" spans="1:21" x14ac:dyDescent="0.25">
      <c r="A56" s="11" t="s">
        <v>10</v>
      </c>
      <c r="B56" s="11" t="s">
        <v>65</v>
      </c>
      <c r="C56" s="9">
        <v>4170</v>
      </c>
      <c r="D56" s="11">
        <f t="shared" si="0"/>
        <v>4498.18</v>
      </c>
      <c r="E56" s="11">
        <f t="shared" si="1"/>
        <v>5346.21</v>
      </c>
      <c r="F56" s="11">
        <f t="shared" si="2"/>
        <v>3650.15</v>
      </c>
      <c r="G56" s="11">
        <f t="shared" si="10"/>
        <v>85</v>
      </c>
      <c r="H56" s="11">
        <f t="shared" si="11"/>
        <v>318.81</v>
      </c>
      <c r="I56" s="11">
        <f t="shared" si="3"/>
        <v>1041.8699999999999</v>
      </c>
    </row>
    <row r="57" spans="1:21" x14ac:dyDescent="0.25">
      <c r="A57" s="11" t="s">
        <v>10</v>
      </c>
      <c r="B57" s="11" t="s">
        <v>66</v>
      </c>
      <c r="C57" s="9">
        <v>4375</v>
      </c>
      <c r="D57" s="11">
        <f t="shared" si="0"/>
        <v>4498.18</v>
      </c>
      <c r="E57" s="11">
        <f t="shared" si="1"/>
        <v>5346.21</v>
      </c>
      <c r="F57" s="11">
        <f t="shared" si="2"/>
        <v>3650.15</v>
      </c>
      <c r="G57" s="11">
        <f t="shared" si="10"/>
        <v>205</v>
      </c>
      <c r="H57" s="11">
        <f t="shared" si="11"/>
        <v>318.81</v>
      </c>
      <c r="I57" s="11">
        <f t="shared" si="3"/>
        <v>1041.8699999999999</v>
      </c>
    </row>
    <row r="58" spans="1:21" x14ac:dyDescent="0.25">
      <c r="A58" s="11" t="s">
        <v>10</v>
      </c>
      <c r="B58" s="11" t="s">
        <v>67</v>
      </c>
      <c r="C58" s="9">
        <v>4175</v>
      </c>
      <c r="D58" s="11">
        <f t="shared" si="0"/>
        <v>4498.18</v>
      </c>
      <c r="E58" s="11">
        <f t="shared" si="1"/>
        <v>5346.21</v>
      </c>
      <c r="F58" s="11">
        <f t="shared" si="2"/>
        <v>3650.15</v>
      </c>
      <c r="G58" s="11">
        <f t="shared" si="10"/>
        <v>200</v>
      </c>
      <c r="H58" s="11">
        <f t="shared" si="11"/>
        <v>318.81</v>
      </c>
      <c r="I58" s="11">
        <f t="shared" si="3"/>
        <v>1041.8699999999999</v>
      </c>
    </row>
    <row r="59" spans="1:21" x14ac:dyDescent="0.25">
      <c r="A59" s="11" t="s">
        <v>10</v>
      </c>
      <c r="B59" s="11" t="s">
        <v>68</v>
      </c>
      <c r="C59" s="9">
        <v>4550</v>
      </c>
      <c r="D59" s="11">
        <f t="shared" si="0"/>
        <v>4498.18</v>
      </c>
      <c r="E59" s="11">
        <f t="shared" si="1"/>
        <v>5346.21</v>
      </c>
      <c r="F59" s="11">
        <f t="shared" si="2"/>
        <v>3650.15</v>
      </c>
      <c r="G59" s="11">
        <f t="shared" si="10"/>
        <v>375</v>
      </c>
      <c r="H59" s="11">
        <f t="shared" si="11"/>
        <v>318.81</v>
      </c>
      <c r="I59" s="11">
        <f t="shared" si="3"/>
        <v>1041.8699999999999</v>
      </c>
    </row>
    <row r="60" spans="1:21" x14ac:dyDescent="0.25">
      <c r="A60" s="11" t="s">
        <v>10</v>
      </c>
      <c r="B60" s="11" t="s">
        <v>69</v>
      </c>
      <c r="C60" s="9">
        <v>4450</v>
      </c>
      <c r="D60" s="11">
        <f t="shared" si="0"/>
        <v>4498.18</v>
      </c>
      <c r="E60" s="11">
        <f t="shared" si="1"/>
        <v>5346.21</v>
      </c>
      <c r="F60" s="11">
        <f t="shared" si="2"/>
        <v>3650.15</v>
      </c>
      <c r="G60" s="11">
        <f t="shared" si="10"/>
        <v>100</v>
      </c>
      <c r="H60" s="11">
        <f t="shared" si="11"/>
        <v>318.81</v>
      </c>
      <c r="I60" s="11">
        <f t="shared" si="3"/>
        <v>1041.8699999999999</v>
      </c>
    </row>
    <row r="61" spans="1:21" x14ac:dyDescent="0.25">
      <c r="A61" s="11" t="s">
        <v>10</v>
      </c>
      <c r="B61" s="11" t="s">
        <v>70</v>
      </c>
      <c r="C61" s="9">
        <v>2855</v>
      </c>
      <c r="D61" s="11">
        <f t="shared" si="0"/>
        <v>4498.18</v>
      </c>
      <c r="E61" s="11">
        <f t="shared" si="1"/>
        <v>5346.21</v>
      </c>
      <c r="F61" s="11">
        <f t="shared" si="2"/>
        <v>3650.15</v>
      </c>
      <c r="G61" s="11">
        <f t="shared" si="10"/>
        <v>1595</v>
      </c>
      <c r="H61" s="11">
        <f t="shared" si="11"/>
        <v>318.81</v>
      </c>
      <c r="I61" s="11">
        <f t="shared" si="3"/>
        <v>1041.8699999999999</v>
      </c>
    </row>
    <row r="62" spans="1:21" x14ac:dyDescent="0.25">
      <c r="A62" s="11" t="s">
        <v>10</v>
      </c>
      <c r="B62" s="11" t="s">
        <v>71</v>
      </c>
      <c r="C62" s="9">
        <v>2920</v>
      </c>
      <c r="D62" s="11">
        <f t="shared" si="0"/>
        <v>4498.18</v>
      </c>
      <c r="E62" s="11">
        <f t="shared" si="1"/>
        <v>5346.21</v>
      </c>
      <c r="F62" s="11">
        <f t="shared" si="2"/>
        <v>3650.15</v>
      </c>
      <c r="G62" s="11">
        <f t="shared" si="10"/>
        <v>65</v>
      </c>
      <c r="H62" s="11">
        <f t="shared" si="11"/>
        <v>318.81</v>
      </c>
      <c r="I62" s="11">
        <f t="shared" si="3"/>
        <v>1041.8699999999999</v>
      </c>
    </row>
    <row r="63" spans="1:21" x14ac:dyDescent="0.25">
      <c r="A63" s="11" t="s">
        <v>10</v>
      </c>
      <c r="B63" s="11" t="s">
        <v>72</v>
      </c>
      <c r="C63" s="9">
        <v>4375</v>
      </c>
      <c r="D63" s="11">
        <f t="shared" si="0"/>
        <v>4498.18</v>
      </c>
      <c r="E63" s="11">
        <f t="shared" si="1"/>
        <v>5346.21</v>
      </c>
      <c r="F63" s="11">
        <f t="shared" si="2"/>
        <v>3650.15</v>
      </c>
      <c r="G63" s="11">
        <f t="shared" si="10"/>
        <v>1455</v>
      </c>
      <c r="H63" s="11">
        <f t="shared" si="11"/>
        <v>318.81</v>
      </c>
      <c r="I63" s="11">
        <f t="shared" si="3"/>
        <v>1041.8699999999999</v>
      </c>
    </row>
    <row r="64" spans="1:21" x14ac:dyDescent="0.25">
      <c r="A64" s="11" t="s">
        <v>10</v>
      </c>
      <c r="B64" s="11" t="s">
        <v>73</v>
      </c>
      <c r="C64" s="9">
        <v>4375</v>
      </c>
      <c r="D64" s="11">
        <f t="shared" si="0"/>
        <v>4498.18</v>
      </c>
      <c r="E64" s="11">
        <f t="shared" si="1"/>
        <v>5346.21</v>
      </c>
      <c r="F64" s="11">
        <f t="shared" si="2"/>
        <v>3650.15</v>
      </c>
      <c r="G64" s="11">
        <f t="shared" si="10"/>
        <v>0</v>
      </c>
      <c r="H64" s="11">
        <f t="shared" si="11"/>
        <v>318.81</v>
      </c>
      <c r="I64" s="11">
        <f t="shared" si="3"/>
        <v>1041.8699999999999</v>
      </c>
    </row>
    <row r="65" spans="1:9" x14ac:dyDescent="0.25">
      <c r="A65" s="11" t="s">
        <v>10</v>
      </c>
      <c r="B65" s="11" t="s">
        <v>74</v>
      </c>
      <c r="C65" s="9">
        <v>4355</v>
      </c>
      <c r="D65" s="11">
        <f t="shared" si="0"/>
        <v>4498.18</v>
      </c>
      <c r="E65" s="11">
        <f t="shared" si="1"/>
        <v>5346.21</v>
      </c>
      <c r="F65" s="11">
        <f t="shared" si="2"/>
        <v>3650.15</v>
      </c>
      <c r="G65" s="11">
        <f t="shared" si="10"/>
        <v>20</v>
      </c>
      <c r="H65" s="11">
        <f t="shared" si="11"/>
        <v>318.81</v>
      </c>
      <c r="I65" s="11">
        <f t="shared" si="3"/>
        <v>1041.8699999999999</v>
      </c>
    </row>
    <row r="66" spans="1:9" x14ac:dyDescent="0.25">
      <c r="A66" s="11" t="s">
        <v>10</v>
      </c>
      <c r="B66" s="11" t="s">
        <v>75</v>
      </c>
      <c r="C66" s="9">
        <v>4090</v>
      </c>
      <c r="D66" s="11">
        <f t="shared" ref="D66:D129" si="13">ROUND(AVERAGE($C$2:$C$205),2)</f>
        <v>4498.18</v>
      </c>
      <c r="E66" s="11">
        <f t="shared" ref="E66:E129" si="14">ROUND(D66+(2.66*H66),2)</f>
        <v>5346.21</v>
      </c>
      <c r="F66" s="11">
        <f t="shared" ref="F66:F129" si="15">ROUND(D66-(2.66*H66),2)</f>
        <v>3650.15</v>
      </c>
      <c r="G66" s="11">
        <f t="shared" si="10"/>
        <v>265</v>
      </c>
      <c r="H66" s="11">
        <f t="shared" si="11"/>
        <v>318.81</v>
      </c>
      <c r="I66" s="11">
        <f t="shared" ref="I66:I129" si="16">ROUND(3.268*H66,2)</f>
        <v>1041.8699999999999</v>
      </c>
    </row>
    <row r="67" spans="1:9" x14ac:dyDescent="0.25">
      <c r="A67" s="11" t="s">
        <v>10</v>
      </c>
      <c r="B67" s="11" t="s">
        <v>76</v>
      </c>
      <c r="C67" s="9">
        <v>5000</v>
      </c>
      <c r="D67" s="11">
        <f t="shared" si="13"/>
        <v>4498.18</v>
      </c>
      <c r="E67" s="11">
        <f t="shared" si="14"/>
        <v>5346.21</v>
      </c>
      <c r="F67" s="11">
        <f t="shared" si="15"/>
        <v>3650.15</v>
      </c>
      <c r="G67" s="11">
        <f t="shared" ref="G67:G130" si="17">ABS(C66-C67)</f>
        <v>910</v>
      </c>
      <c r="H67" s="11">
        <f t="shared" ref="H67:H130" si="18">ROUND(AVERAGE($G$3:$G$205),2)</f>
        <v>318.81</v>
      </c>
      <c r="I67" s="11">
        <f t="shared" si="16"/>
        <v>1041.8699999999999</v>
      </c>
    </row>
    <row r="68" spans="1:9" x14ac:dyDescent="0.25">
      <c r="A68" s="11" t="s">
        <v>10</v>
      </c>
      <c r="B68" s="11" t="s">
        <v>77</v>
      </c>
      <c r="C68" s="9">
        <v>4335</v>
      </c>
      <c r="D68" s="11">
        <f t="shared" si="13"/>
        <v>4498.18</v>
      </c>
      <c r="E68" s="11">
        <f t="shared" si="14"/>
        <v>5346.21</v>
      </c>
      <c r="F68" s="11">
        <f t="shared" si="15"/>
        <v>3650.15</v>
      </c>
      <c r="G68" s="11">
        <f t="shared" si="17"/>
        <v>665</v>
      </c>
      <c r="H68" s="11">
        <f t="shared" si="18"/>
        <v>318.81</v>
      </c>
      <c r="I68" s="11">
        <f t="shared" si="16"/>
        <v>1041.8699999999999</v>
      </c>
    </row>
    <row r="69" spans="1:9" x14ac:dyDescent="0.25">
      <c r="A69" s="11" t="s">
        <v>10</v>
      </c>
      <c r="B69" s="11" t="s">
        <v>78</v>
      </c>
      <c r="C69" s="9">
        <v>5000</v>
      </c>
      <c r="D69" s="11">
        <f t="shared" si="13"/>
        <v>4498.18</v>
      </c>
      <c r="E69" s="11">
        <f t="shared" si="14"/>
        <v>5346.21</v>
      </c>
      <c r="F69" s="11">
        <f t="shared" si="15"/>
        <v>3650.15</v>
      </c>
      <c r="G69" s="11">
        <f t="shared" si="17"/>
        <v>665</v>
      </c>
      <c r="H69" s="11">
        <f t="shared" si="18"/>
        <v>318.81</v>
      </c>
      <c r="I69" s="11">
        <f t="shared" si="16"/>
        <v>1041.8699999999999</v>
      </c>
    </row>
    <row r="70" spans="1:9" x14ac:dyDescent="0.25">
      <c r="A70" s="11" t="s">
        <v>10</v>
      </c>
      <c r="B70" s="11" t="s">
        <v>79</v>
      </c>
      <c r="C70" s="9">
        <v>4640</v>
      </c>
      <c r="D70" s="11">
        <f t="shared" si="13"/>
        <v>4498.18</v>
      </c>
      <c r="E70" s="11">
        <f t="shared" si="14"/>
        <v>5346.21</v>
      </c>
      <c r="F70" s="11">
        <f t="shared" si="15"/>
        <v>3650.15</v>
      </c>
      <c r="G70" s="11">
        <f t="shared" si="17"/>
        <v>360</v>
      </c>
      <c r="H70" s="11">
        <f t="shared" si="18"/>
        <v>318.81</v>
      </c>
      <c r="I70" s="11">
        <f t="shared" si="16"/>
        <v>1041.8699999999999</v>
      </c>
    </row>
    <row r="71" spans="1:9" x14ac:dyDescent="0.25">
      <c r="A71" s="11" t="s">
        <v>10</v>
      </c>
      <c r="B71" s="11" t="s">
        <v>80</v>
      </c>
      <c r="C71" s="9">
        <v>4335</v>
      </c>
      <c r="D71" s="11">
        <f t="shared" si="13"/>
        <v>4498.18</v>
      </c>
      <c r="E71" s="11">
        <f t="shared" si="14"/>
        <v>5346.21</v>
      </c>
      <c r="F71" s="11">
        <f t="shared" si="15"/>
        <v>3650.15</v>
      </c>
      <c r="G71" s="11">
        <f t="shared" si="17"/>
        <v>305</v>
      </c>
      <c r="H71" s="11">
        <f t="shared" si="18"/>
        <v>318.81</v>
      </c>
      <c r="I71" s="11">
        <f t="shared" si="16"/>
        <v>1041.8699999999999</v>
      </c>
    </row>
    <row r="72" spans="1:9" x14ac:dyDescent="0.25">
      <c r="A72" s="11" t="s">
        <v>10</v>
      </c>
      <c r="B72" s="11" t="s">
        <v>81</v>
      </c>
      <c r="C72" s="9">
        <v>5000</v>
      </c>
      <c r="D72" s="11">
        <f t="shared" si="13"/>
        <v>4498.18</v>
      </c>
      <c r="E72" s="11">
        <f t="shared" si="14"/>
        <v>5346.21</v>
      </c>
      <c r="F72" s="11">
        <f t="shared" si="15"/>
        <v>3650.15</v>
      </c>
      <c r="G72" s="11">
        <f t="shared" si="17"/>
        <v>665</v>
      </c>
      <c r="H72" s="11">
        <f t="shared" si="18"/>
        <v>318.81</v>
      </c>
      <c r="I72" s="11">
        <f t="shared" si="16"/>
        <v>1041.8699999999999</v>
      </c>
    </row>
    <row r="73" spans="1:9" x14ac:dyDescent="0.25">
      <c r="A73" s="11" t="s">
        <v>10</v>
      </c>
      <c r="B73" s="11" t="s">
        <v>82</v>
      </c>
      <c r="C73" s="9">
        <v>4615</v>
      </c>
      <c r="D73" s="11">
        <f t="shared" si="13"/>
        <v>4498.18</v>
      </c>
      <c r="E73" s="11">
        <f t="shared" si="14"/>
        <v>5346.21</v>
      </c>
      <c r="F73" s="11">
        <f t="shared" si="15"/>
        <v>3650.15</v>
      </c>
      <c r="G73" s="11">
        <f t="shared" si="17"/>
        <v>385</v>
      </c>
      <c r="H73" s="11">
        <f t="shared" si="18"/>
        <v>318.81</v>
      </c>
      <c r="I73" s="11">
        <f t="shared" si="16"/>
        <v>1041.8699999999999</v>
      </c>
    </row>
    <row r="74" spans="1:9" x14ac:dyDescent="0.25">
      <c r="A74" s="11" t="s">
        <v>10</v>
      </c>
      <c r="B74" s="11" t="s">
        <v>83</v>
      </c>
      <c r="C74" s="9">
        <v>4215</v>
      </c>
      <c r="D74" s="11">
        <f t="shared" si="13"/>
        <v>4498.18</v>
      </c>
      <c r="E74" s="11">
        <f t="shared" si="14"/>
        <v>5346.21</v>
      </c>
      <c r="F74" s="11">
        <f t="shared" si="15"/>
        <v>3650.15</v>
      </c>
      <c r="G74" s="11">
        <f t="shared" si="17"/>
        <v>400</v>
      </c>
      <c r="H74" s="11">
        <f t="shared" si="18"/>
        <v>318.81</v>
      </c>
      <c r="I74" s="11">
        <f t="shared" si="16"/>
        <v>1041.8699999999999</v>
      </c>
    </row>
    <row r="75" spans="1:9" x14ac:dyDescent="0.25">
      <c r="A75" s="11" t="s">
        <v>10</v>
      </c>
      <c r="B75" s="11" t="s">
        <v>84</v>
      </c>
      <c r="C75" s="9">
        <v>4275</v>
      </c>
      <c r="D75" s="11">
        <f t="shared" si="13"/>
        <v>4498.18</v>
      </c>
      <c r="E75" s="11">
        <f t="shared" si="14"/>
        <v>5346.21</v>
      </c>
      <c r="F75" s="11">
        <f t="shared" si="15"/>
        <v>3650.15</v>
      </c>
      <c r="G75" s="11">
        <f t="shared" si="17"/>
        <v>60</v>
      </c>
      <c r="H75" s="11">
        <f t="shared" si="18"/>
        <v>318.81</v>
      </c>
      <c r="I75" s="11">
        <f t="shared" si="16"/>
        <v>1041.8699999999999</v>
      </c>
    </row>
    <row r="76" spans="1:9" x14ac:dyDescent="0.25">
      <c r="A76" s="11" t="s">
        <v>10</v>
      </c>
      <c r="B76" s="11" t="s">
        <v>85</v>
      </c>
      <c r="C76" s="9">
        <v>4275</v>
      </c>
      <c r="D76" s="11">
        <f t="shared" si="13"/>
        <v>4498.18</v>
      </c>
      <c r="E76" s="11">
        <f t="shared" si="14"/>
        <v>5346.21</v>
      </c>
      <c r="F76" s="11">
        <f t="shared" si="15"/>
        <v>3650.15</v>
      </c>
      <c r="G76" s="11">
        <f t="shared" si="17"/>
        <v>0</v>
      </c>
      <c r="H76" s="11">
        <f t="shared" si="18"/>
        <v>318.81</v>
      </c>
      <c r="I76" s="11">
        <f t="shared" si="16"/>
        <v>1041.8699999999999</v>
      </c>
    </row>
    <row r="77" spans="1:9" x14ac:dyDescent="0.25">
      <c r="A77" s="11" t="s">
        <v>10</v>
      </c>
      <c r="B77" s="11" t="s">
        <v>86</v>
      </c>
      <c r="C77" s="9">
        <v>5000</v>
      </c>
      <c r="D77" s="11">
        <f t="shared" si="13"/>
        <v>4498.18</v>
      </c>
      <c r="E77" s="11">
        <f t="shared" si="14"/>
        <v>5346.21</v>
      </c>
      <c r="F77" s="11">
        <f t="shared" si="15"/>
        <v>3650.15</v>
      </c>
      <c r="G77" s="11">
        <f t="shared" si="17"/>
        <v>725</v>
      </c>
      <c r="H77" s="11">
        <f t="shared" si="18"/>
        <v>318.81</v>
      </c>
      <c r="I77" s="11">
        <f t="shared" si="16"/>
        <v>1041.8699999999999</v>
      </c>
    </row>
    <row r="78" spans="1:9" x14ac:dyDescent="0.25">
      <c r="A78" s="11" t="s">
        <v>10</v>
      </c>
      <c r="B78" s="11" t="s">
        <v>87</v>
      </c>
      <c r="C78" s="9">
        <v>4615</v>
      </c>
      <c r="D78" s="11">
        <f t="shared" si="13"/>
        <v>4498.18</v>
      </c>
      <c r="E78" s="11">
        <f t="shared" si="14"/>
        <v>5346.21</v>
      </c>
      <c r="F78" s="11">
        <f t="shared" si="15"/>
        <v>3650.15</v>
      </c>
      <c r="G78" s="11">
        <f t="shared" si="17"/>
        <v>385</v>
      </c>
      <c r="H78" s="11">
        <f t="shared" si="18"/>
        <v>318.81</v>
      </c>
      <c r="I78" s="11">
        <f t="shared" si="16"/>
        <v>1041.8699999999999</v>
      </c>
    </row>
    <row r="79" spans="1:9" x14ac:dyDescent="0.25">
      <c r="A79" s="11" t="s">
        <v>10</v>
      </c>
      <c r="B79" s="11" t="s">
        <v>88</v>
      </c>
      <c r="C79" s="9">
        <v>4735</v>
      </c>
      <c r="D79" s="11">
        <f t="shared" si="13"/>
        <v>4498.18</v>
      </c>
      <c r="E79" s="11">
        <f t="shared" si="14"/>
        <v>5346.21</v>
      </c>
      <c r="F79" s="11">
        <f t="shared" si="15"/>
        <v>3650.15</v>
      </c>
      <c r="G79" s="11">
        <f t="shared" si="17"/>
        <v>120</v>
      </c>
      <c r="H79" s="11">
        <f t="shared" si="18"/>
        <v>318.81</v>
      </c>
      <c r="I79" s="11">
        <f t="shared" si="16"/>
        <v>1041.8699999999999</v>
      </c>
    </row>
    <row r="80" spans="1:9" x14ac:dyDescent="0.25">
      <c r="A80" s="11" t="s">
        <v>10</v>
      </c>
      <c r="B80" s="11" t="s">
        <v>89</v>
      </c>
      <c r="C80" s="9">
        <v>4215</v>
      </c>
      <c r="D80" s="11">
        <f t="shared" si="13"/>
        <v>4498.18</v>
      </c>
      <c r="E80" s="11">
        <f t="shared" si="14"/>
        <v>5346.21</v>
      </c>
      <c r="F80" s="11">
        <f t="shared" si="15"/>
        <v>3650.15</v>
      </c>
      <c r="G80" s="11">
        <f t="shared" si="17"/>
        <v>520</v>
      </c>
      <c r="H80" s="11">
        <f t="shared" si="18"/>
        <v>318.81</v>
      </c>
      <c r="I80" s="11">
        <f t="shared" si="16"/>
        <v>1041.8699999999999</v>
      </c>
    </row>
    <row r="81" spans="1:9" x14ac:dyDescent="0.25">
      <c r="A81" s="11" t="s">
        <v>10</v>
      </c>
      <c r="B81" s="11" t="s">
        <v>90</v>
      </c>
      <c r="C81" s="9">
        <v>4700</v>
      </c>
      <c r="D81" s="11">
        <f t="shared" si="13"/>
        <v>4498.18</v>
      </c>
      <c r="E81" s="11">
        <f t="shared" si="14"/>
        <v>5346.21</v>
      </c>
      <c r="F81" s="11">
        <f t="shared" si="15"/>
        <v>3650.15</v>
      </c>
      <c r="G81" s="11">
        <f t="shared" si="17"/>
        <v>485</v>
      </c>
      <c r="H81" s="11">
        <f t="shared" si="18"/>
        <v>318.81</v>
      </c>
      <c r="I81" s="11">
        <f t="shared" si="16"/>
        <v>1041.8699999999999</v>
      </c>
    </row>
    <row r="82" spans="1:9" x14ac:dyDescent="0.25">
      <c r="A82" s="11" t="s">
        <v>10</v>
      </c>
      <c r="B82" s="11" t="s">
        <v>91</v>
      </c>
      <c r="C82" s="9">
        <v>4700</v>
      </c>
      <c r="D82" s="11">
        <f t="shared" si="13"/>
        <v>4498.18</v>
      </c>
      <c r="E82" s="11">
        <f t="shared" si="14"/>
        <v>5346.21</v>
      </c>
      <c r="F82" s="11">
        <f t="shared" si="15"/>
        <v>3650.15</v>
      </c>
      <c r="G82" s="11">
        <f t="shared" si="17"/>
        <v>0</v>
      </c>
      <c r="H82" s="11">
        <f t="shared" si="18"/>
        <v>318.81</v>
      </c>
      <c r="I82" s="11">
        <f t="shared" si="16"/>
        <v>1041.8699999999999</v>
      </c>
    </row>
    <row r="83" spans="1:9" x14ac:dyDescent="0.25">
      <c r="A83" s="11" t="s">
        <v>10</v>
      </c>
      <c r="B83" s="11" t="s">
        <v>92</v>
      </c>
      <c r="C83" s="9">
        <v>4700</v>
      </c>
      <c r="D83" s="11">
        <f t="shared" si="13"/>
        <v>4498.18</v>
      </c>
      <c r="E83" s="11">
        <f t="shared" si="14"/>
        <v>5346.21</v>
      </c>
      <c r="F83" s="11">
        <f t="shared" si="15"/>
        <v>3650.15</v>
      </c>
      <c r="G83" s="11">
        <f t="shared" si="17"/>
        <v>0</v>
      </c>
      <c r="H83" s="11">
        <f t="shared" si="18"/>
        <v>318.81</v>
      </c>
      <c r="I83" s="11">
        <f t="shared" si="16"/>
        <v>1041.8699999999999</v>
      </c>
    </row>
    <row r="84" spans="1:9" x14ac:dyDescent="0.25">
      <c r="A84" s="11" t="s">
        <v>10</v>
      </c>
      <c r="B84" s="11" t="s">
        <v>93</v>
      </c>
      <c r="C84" s="9">
        <v>4700</v>
      </c>
      <c r="D84" s="11">
        <f t="shared" si="13"/>
        <v>4498.18</v>
      </c>
      <c r="E84" s="11">
        <f t="shared" si="14"/>
        <v>5346.21</v>
      </c>
      <c r="F84" s="11">
        <f t="shared" si="15"/>
        <v>3650.15</v>
      </c>
      <c r="G84" s="11">
        <f t="shared" si="17"/>
        <v>0</v>
      </c>
      <c r="H84" s="11">
        <f t="shared" si="18"/>
        <v>318.81</v>
      </c>
      <c r="I84" s="11">
        <f t="shared" si="16"/>
        <v>1041.8699999999999</v>
      </c>
    </row>
    <row r="85" spans="1:9" x14ac:dyDescent="0.25">
      <c r="A85" s="11" t="s">
        <v>10</v>
      </c>
      <c r="B85" s="11" t="s">
        <v>94</v>
      </c>
      <c r="C85" s="9">
        <v>4095</v>
      </c>
      <c r="D85" s="11">
        <f t="shared" si="13"/>
        <v>4498.18</v>
      </c>
      <c r="E85" s="11">
        <f t="shared" si="14"/>
        <v>5346.21</v>
      </c>
      <c r="F85" s="11">
        <f t="shared" si="15"/>
        <v>3650.15</v>
      </c>
      <c r="G85" s="11">
        <f t="shared" si="17"/>
        <v>605</v>
      </c>
      <c r="H85" s="11">
        <f t="shared" si="18"/>
        <v>318.81</v>
      </c>
      <c r="I85" s="11">
        <f t="shared" si="16"/>
        <v>1041.8699999999999</v>
      </c>
    </row>
    <row r="86" spans="1:9" x14ac:dyDescent="0.25">
      <c r="A86" s="11" t="s">
        <v>10</v>
      </c>
      <c r="B86" s="11" t="s">
        <v>95</v>
      </c>
      <c r="C86" s="9">
        <v>4095</v>
      </c>
      <c r="D86" s="11">
        <f t="shared" si="13"/>
        <v>4498.18</v>
      </c>
      <c r="E86" s="11">
        <f t="shared" si="14"/>
        <v>5346.21</v>
      </c>
      <c r="F86" s="11">
        <f t="shared" si="15"/>
        <v>3650.15</v>
      </c>
      <c r="G86" s="11">
        <f t="shared" si="17"/>
        <v>0</v>
      </c>
      <c r="H86" s="11">
        <f t="shared" si="18"/>
        <v>318.81</v>
      </c>
      <c r="I86" s="11">
        <f t="shared" si="16"/>
        <v>1041.8699999999999</v>
      </c>
    </row>
    <row r="87" spans="1:9" x14ac:dyDescent="0.25">
      <c r="A87" s="11" t="s">
        <v>10</v>
      </c>
      <c r="B87" s="11" t="s">
        <v>96</v>
      </c>
      <c r="C87" s="9">
        <v>3940</v>
      </c>
      <c r="D87" s="11">
        <f t="shared" si="13"/>
        <v>4498.18</v>
      </c>
      <c r="E87" s="11">
        <f t="shared" si="14"/>
        <v>5346.21</v>
      </c>
      <c r="F87" s="11">
        <f t="shared" si="15"/>
        <v>3650.15</v>
      </c>
      <c r="G87" s="11">
        <f t="shared" si="17"/>
        <v>155</v>
      </c>
      <c r="H87" s="11">
        <f t="shared" si="18"/>
        <v>318.81</v>
      </c>
      <c r="I87" s="11">
        <f t="shared" si="16"/>
        <v>1041.8699999999999</v>
      </c>
    </row>
    <row r="88" spans="1:9" x14ac:dyDescent="0.25">
      <c r="A88" s="11" t="s">
        <v>10</v>
      </c>
      <c r="B88" s="11" t="s">
        <v>97</v>
      </c>
      <c r="C88" s="9">
        <v>3700</v>
      </c>
      <c r="D88" s="11">
        <f t="shared" si="13"/>
        <v>4498.18</v>
      </c>
      <c r="E88" s="11">
        <f t="shared" si="14"/>
        <v>5346.21</v>
      </c>
      <c r="F88" s="11">
        <f t="shared" si="15"/>
        <v>3650.15</v>
      </c>
      <c r="G88" s="11">
        <f t="shared" si="17"/>
        <v>240</v>
      </c>
      <c r="H88" s="11">
        <f t="shared" si="18"/>
        <v>318.81</v>
      </c>
      <c r="I88" s="11">
        <f t="shared" si="16"/>
        <v>1041.8699999999999</v>
      </c>
    </row>
    <row r="89" spans="1:9" x14ac:dyDescent="0.25">
      <c r="A89" s="11" t="s">
        <v>10</v>
      </c>
      <c r="B89" s="11" t="s">
        <v>98</v>
      </c>
      <c r="C89" s="9">
        <v>3650</v>
      </c>
      <c r="D89" s="11">
        <f t="shared" si="13"/>
        <v>4498.18</v>
      </c>
      <c r="E89" s="11">
        <f t="shared" si="14"/>
        <v>5346.21</v>
      </c>
      <c r="F89" s="11">
        <f t="shared" si="15"/>
        <v>3650.15</v>
      </c>
      <c r="G89" s="11">
        <f t="shared" si="17"/>
        <v>50</v>
      </c>
      <c r="H89" s="11">
        <f t="shared" si="18"/>
        <v>318.81</v>
      </c>
      <c r="I89" s="11">
        <f t="shared" si="16"/>
        <v>1041.8699999999999</v>
      </c>
    </row>
    <row r="90" spans="1:9" x14ac:dyDescent="0.25">
      <c r="A90" s="11" t="s">
        <v>10</v>
      </c>
      <c r="B90" s="11" t="s">
        <v>99</v>
      </c>
      <c r="C90" s="9">
        <v>4445</v>
      </c>
      <c r="D90" s="11">
        <f t="shared" si="13"/>
        <v>4498.18</v>
      </c>
      <c r="E90" s="11">
        <f t="shared" si="14"/>
        <v>5346.21</v>
      </c>
      <c r="F90" s="11">
        <f t="shared" si="15"/>
        <v>3650.15</v>
      </c>
      <c r="G90" s="11">
        <f t="shared" si="17"/>
        <v>795</v>
      </c>
      <c r="H90" s="11">
        <f t="shared" si="18"/>
        <v>318.81</v>
      </c>
      <c r="I90" s="11">
        <f t="shared" si="16"/>
        <v>1041.8699999999999</v>
      </c>
    </row>
    <row r="91" spans="1:9" x14ac:dyDescent="0.25">
      <c r="A91" s="11" t="s">
        <v>10</v>
      </c>
      <c r="B91" s="11" t="s">
        <v>100</v>
      </c>
      <c r="C91" s="9">
        <v>4000</v>
      </c>
      <c r="D91" s="11">
        <f t="shared" si="13"/>
        <v>4498.18</v>
      </c>
      <c r="E91" s="11">
        <f t="shared" si="14"/>
        <v>5346.21</v>
      </c>
      <c r="F91" s="11">
        <f t="shared" si="15"/>
        <v>3650.15</v>
      </c>
      <c r="G91" s="11">
        <f t="shared" si="17"/>
        <v>445</v>
      </c>
      <c r="H91" s="11">
        <f t="shared" si="18"/>
        <v>318.81</v>
      </c>
      <c r="I91" s="11">
        <f t="shared" si="16"/>
        <v>1041.8699999999999</v>
      </c>
    </row>
    <row r="92" spans="1:9" x14ac:dyDescent="0.25">
      <c r="A92" s="11" t="s">
        <v>10</v>
      </c>
      <c r="B92" s="11" t="s">
        <v>101</v>
      </c>
      <c r="C92" s="9">
        <v>4845</v>
      </c>
      <c r="D92" s="11">
        <f t="shared" si="13"/>
        <v>4498.18</v>
      </c>
      <c r="E92" s="11">
        <f t="shared" si="14"/>
        <v>5346.21</v>
      </c>
      <c r="F92" s="11">
        <f t="shared" si="15"/>
        <v>3650.15</v>
      </c>
      <c r="G92" s="11">
        <f t="shared" si="17"/>
        <v>845</v>
      </c>
      <c r="H92" s="11">
        <f t="shared" si="18"/>
        <v>318.81</v>
      </c>
      <c r="I92" s="11">
        <f t="shared" si="16"/>
        <v>1041.8699999999999</v>
      </c>
    </row>
    <row r="93" spans="1:9" x14ac:dyDescent="0.25">
      <c r="A93" s="11" t="s">
        <v>10</v>
      </c>
      <c r="B93" s="11" t="s">
        <v>102</v>
      </c>
      <c r="C93" s="9">
        <v>5000</v>
      </c>
      <c r="D93" s="11">
        <f t="shared" si="13"/>
        <v>4498.18</v>
      </c>
      <c r="E93" s="11">
        <f t="shared" si="14"/>
        <v>5346.21</v>
      </c>
      <c r="F93" s="11">
        <f t="shared" si="15"/>
        <v>3650.15</v>
      </c>
      <c r="G93" s="11">
        <f t="shared" si="17"/>
        <v>155</v>
      </c>
      <c r="H93" s="11">
        <f t="shared" si="18"/>
        <v>318.81</v>
      </c>
      <c r="I93" s="11">
        <f t="shared" si="16"/>
        <v>1041.8699999999999</v>
      </c>
    </row>
    <row r="94" spans="1:9" x14ac:dyDescent="0.25">
      <c r="A94" s="11" t="s">
        <v>10</v>
      </c>
      <c r="B94" s="11" t="s">
        <v>103</v>
      </c>
      <c r="C94" s="9">
        <v>4560</v>
      </c>
      <c r="D94" s="11">
        <f t="shared" si="13"/>
        <v>4498.18</v>
      </c>
      <c r="E94" s="11">
        <f t="shared" si="14"/>
        <v>5346.21</v>
      </c>
      <c r="F94" s="11">
        <f t="shared" si="15"/>
        <v>3650.15</v>
      </c>
      <c r="G94" s="11">
        <f t="shared" si="17"/>
        <v>440</v>
      </c>
      <c r="H94" s="11">
        <f t="shared" si="18"/>
        <v>318.81</v>
      </c>
      <c r="I94" s="11">
        <f t="shared" si="16"/>
        <v>1041.8699999999999</v>
      </c>
    </row>
    <row r="95" spans="1:9" x14ac:dyDescent="0.25">
      <c r="A95" s="11" t="s">
        <v>10</v>
      </c>
      <c r="B95" s="11" t="s">
        <v>104</v>
      </c>
      <c r="C95" s="9">
        <v>4700</v>
      </c>
      <c r="D95" s="11">
        <f t="shared" si="13"/>
        <v>4498.18</v>
      </c>
      <c r="E95" s="11">
        <f t="shared" si="14"/>
        <v>5346.21</v>
      </c>
      <c r="F95" s="11">
        <f t="shared" si="15"/>
        <v>3650.15</v>
      </c>
      <c r="G95" s="11">
        <f t="shared" si="17"/>
        <v>140</v>
      </c>
      <c r="H95" s="11">
        <f t="shared" si="18"/>
        <v>318.81</v>
      </c>
      <c r="I95" s="11">
        <f t="shared" si="16"/>
        <v>1041.8699999999999</v>
      </c>
    </row>
    <row r="96" spans="1:9" x14ac:dyDescent="0.25">
      <c r="A96" s="11" t="s">
        <v>10</v>
      </c>
      <c r="B96" s="11" t="s">
        <v>105</v>
      </c>
      <c r="C96" s="9">
        <v>4310</v>
      </c>
      <c r="D96" s="11">
        <f t="shared" si="13"/>
        <v>4498.18</v>
      </c>
      <c r="E96" s="11">
        <f t="shared" si="14"/>
        <v>5346.21</v>
      </c>
      <c r="F96" s="11">
        <f t="shared" si="15"/>
        <v>3650.15</v>
      </c>
      <c r="G96" s="11">
        <f t="shared" si="17"/>
        <v>390</v>
      </c>
      <c r="H96" s="11">
        <f t="shared" si="18"/>
        <v>318.81</v>
      </c>
      <c r="I96" s="11">
        <f t="shared" si="16"/>
        <v>1041.8699999999999</v>
      </c>
    </row>
    <row r="97" spans="1:9" x14ac:dyDescent="0.25">
      <c r="A97" s="11" t="s">
        <v>10</v>
      </c>
      <c r="B97" s="11" t="s">
        <v>106</v>
      </c>
      <c r="C97" s="9">
        <v>4310</v>
      </c>
      <c r="D97" s="11">
        <f t="shared" si="13"/>
        <v>4498.18</v>
      </c>
      <c r="E97" s="11">
        <f t="shared" si="14"/>
        <v>5346.21</v>
      </c>
      <c r="F97" s="11">
        <f t="shared" si="15"/>
        <v>3650.15</v>
      </c>
      <c r="G97" s="11">
        <f t="shared" si="17"/>
        <v>0</v>
      </c>
      <c r="H97" s="11">
        <f t="shared" si="18"/>
        <v>318.81</v>
      </c>
      <c r="I97" s="11">
        <f t="shared" si="16"/>
        <v>1041.8699999999999</v>
      </c>
    </row>
    <row r="98" spans="1:9" x14ac:dyDescent="0.25">
      <c r="A98" s="11" t="s">
        <v>10</v>
      </c>
      <c r="B98" s="11" t="s">
        <v>107</v>
      </c>
      <c r="C98" s="9">
        <v>5000</v>
      </c>
      <c r="D98" s="11">
        <f t="shared" si="13"/>
        <v>4498.18</v>
      </c>
      <c r="E98" s="11">
        <f t="shared" si="14"/>
        <v>5346.21</v>
      </c>
      <c r="F98" s="11">
        <f t="shared" si="15"/>
        <v>3650.15</v>
      </c>
      <c r="G98" s="11">
        <f t="shared" si="17"/>
        <v>690</v>
      </c>
      <c r="H98" s="11">
        <f t="shared" si="18"/>
        <v>318.81</v>
      </c>
      <c r="I98" s="11">
        <f t="shared" si="16"/>
        <v>1041.8699999999999</v>
      </c>
    </row>
    <row r="99" spans="1:9" x14ac:dyDescent="0.25">
      <c r="A99" s="11" t="s">
        <v>10</v>
      </c>
      <c r="B99" s="11" t="s">
        <v>108</v>
      </c>
      <c r="C99" s="9">
        <v>4575</v>
      </c>
      <c r="D99" s="11">
        <f t="shared" si="13"/>
        <v>4498.18</v>
      </c>
      <c r="E99" s="11">
        <f t="shared" si="14"/>
        <v>5346.21</v>
      </c>
      <c r="F99" s="11">
        <f t="shared" si="15"/>
        <v>3650.15</v>
      </c>
      <c r="G99" s="11">
        <f t="shared" si="17"/>
        <v>425</v>
      </c>
      <c r="H99" s="11">
        <f t="shared" si="18"/>
        <v>318.81</v>
      </c>
      <c r="I99" s="11">
        <f t="shared" si="16"/>
        <v>1041.8699999999999</v>
      </c>
    </row>
    <row r="100" spans="1:9" x14ac:dyDescent="0.25">
      <c r="A100" s="11" t="s">
        <v>10</v>
      </c>
      <c r="B100" s="11" t="s">
        <v>109</v>
      </c>
      <c r="C100" s="9">
        <v>4700</v>
      </c>
      <c r="D100" s="11">
        <f t="shared" si="13"/>
        <v>4498.18</v>
      </c>
      <c r="E100" s="11">
        <f t="shared" si="14"/>
        <v>5346.21</v>
      </c>
      <c r="F100" s="11">
        <f t="shared" si="15"/>
        <v>3650.15</v>
      </c>
      <c r="G100" s="11">
        <f t="shared" si="17"/>
        <v>125</v>
      </c>
      <c r="H100" s="11">
        <f t="shared" si="18"/>
        <v>318.81</v>
      </c>
      <c r="I100" s="11">
        <f t="shared" si="16"/>
        <v>1041.8699999999999</v>
      </c>
    </row>
    <row r="101" spans="1:9" x14ac:dyDescent="0.25">
      <c r="A101" s="11" t="s">
        <v>10</v>
      </c>
      <c r="B101" s="11" t="s">
        <v>110</v>
      </c>
      <c r="C101" s="9">
        <v>4430</v>
      </c>
      <c r="D101" s="11">
        <f t="shared" si="13"/>
        <v>4498.18</v>
      </c>
      <c r="E101" s="11">
        <f t="shared" si="14"/>
        <v>5346.21</v>
      </c>
      <c r="F101" s="11">
        <f t="shared" si="15"/>
        <v>3650.15</v>
      </c>
      <c r="G101" s="11">
        <f t="shared" si="17"/>
        <v>270</v>
      </c>
      <c r="H101" s="11">
        <f t="shared" si="18"/>
        <v>318.81</v>
      </c>
      <c r="I101" s="11">
        <f t="shared" si="16"/>
        <v>1041.8699999999999</v>
      </c>
    </row>
    <row r="102" spans="1:9" x14ac:dyDescent="0.25">
      <c r="A102" s="11" t="s">
        <v>10</v>
      </c>
      <c r="B102" s="11" t="s">
        <v>111</v>
      </c>
      <c r="C102" s="9">
        <v>4850</v>
      </c>
      <c r="D102" s="11">
        <f t="shared" si="13"/>
        <v>4498.18</v>
      </c>
      <c r="E102" s="11">
        <f t="shared" si="14"/>
        <v>5346.21</v>
      </c>
      <c r="F102" s="11">
        <f t="shared" si="15"/>
        <v>3650.15</v>
      </c>
      <c r="G102" s="11">
        <f t="shared" si="17"/>
        <v>420</v>
      </c>
      <c r="H102" s="11">
        <f t="shared" si="18"/>
        <v>318.81</v>
      </c>
      <c r="I102" s="11">
        <f t="shared" si="16"/>
        <v>1041.8699999999999</v>
      </c>
    </row>
    <row r="103" spans="1:9" x14ac:dyDescent="0.25">
      <c r="A103" s="11" t="s">
        <v>10</v>
      </c>
      <c r="B103" s="11" t="s">
        <v>112</v>
      </c>
      <c r="C103" s="9">
        <v>4850</v>
      </c>
      <c r="D103" s="11">
        <f t="shared" si="13"/>
        <v>4498.18</v>
      </c>
      <c r="E103" s="11">
        <f t="shared" si="14"/>
        <v>5346.21</v>
      </c>
      <c r="F103" s="11">
        <f t="shared" si="15"/>
        <v>3650.15</v>
      </c>
      <c r="G103" s="11">
        <f t="shared" si="17"/>
        <v>0</v>
      </c>
      <c r="H103" s="11">
        <f t="shared" si="18"/>
        <v>318.81</v>
      </c>
      <c r="I103" s="11">
        <f t="shared" si="16"/>
        <v>1041.8699999999999</v>
      </c>
    </row>
    <row r="104" spans="1:9" x14ac:dyDescent="0.25">
      <c r="A104" s="11" t="s">
        <v>10</v>
      </c>
      <c r="B104" s="11" t="s">
        <v>113</v>
      </c>
      <c r="C104" s="9">
        <v>4570</v>
      </c>
      <c r="D104" s="11">
        <f t="shared" si="13"/>
        <v>4498.18</v>
      </c>
      <c r="E104" s="11">
        <f t="shared" si="14"/>
        <v>5346.21</v>
      </c>
      <c r="F104" s="11">
        <f t="shared" si="15"/>
        <v>3650.15</v>
      </c>
      <c r="G104" s="11">
        <f t="shared" si="17"/>
        <v>280</v>
      </c>
      <c r="H104" s="11">
        <f t="shared" si="18"/>
        <v>318.81</v>
      </c>
      <c r="I104" s="11">
        <f t="shared" si="16"/>
        <v>1041.8699999999999</v>
      </c>
    </row>
    <row r="105" spans="1:9" x14ac:dyDescent="0.25">
      <c r="A105" s="11" t="s">
        <v>10</v>
      </c>
      <c r="B105" s="11" t="s">
        <v>114</v>
      </c>
      <c r="C105" s="9">
        <v>4570</v>
      </c>
      <c r="D105" s="11">
        <f t="shared" si="13"/>
        <v>4498.18</v>
      </c>
      <c r="E105" s="11">
        <f t="shared" si="14"/>
        <v>5346.21</v>
      </c>
      <c r="F105" s="11">
        <f t="shared" si="15"/>
        <v>3650.15</v>
      </c>
      <c r="G105" s="11">
        <f t="shared" si="17"/>
        <v>0</v>
      </c>
      <c r="H105" s="11">
        <f t="shared" si="18"/>
        <v>318.81</v>
      </c>
      <c r="I105" s="11">
        <f t="shared" si="16"/>
        <v>1041.8699999999999</v>
      </c>
    </row>
    <row r="106" spans="1:9" x14ac:dyDescent="0.25">
      <c r="A106" s="11" t="s">
        <v>10</v>
      </c>
      <c r="B106" s="11" t="s">
        <v>115</v>
      </c>
      <c r="C106" s="9">
        <v>4855</v>
      </c>
      <c r="D106" s="11">
        <f t="shared" si="13"/>
        <v>4498.18</v>
      </c>
      <c r="E106" s="11">
        <f t="shared" si="14"/>
        <v>5346.21</v>
      </c>
      <c r="F106" s="11">
        <f t="shared" si="15"/>
        <v>3650.15</v>
      </c>
      <c r="G106" s="11">
        <f t="shared" si="17"/>
        <v>285</v>
      </c>
      <c r="H106" s="11">
        <f t="shared" si="18"/>
        <v>318.81</v>
      </c>
      <c r="I106" s="11">
        <f t="shared" si="16"/>
        <v>1041.8699999999999</v>
      </c>
    </row>
    <row r="107" spans="1:9" x14ac:dyDescent="0.25">
      <c r="A107" s="11" t="s">
        <v>10</v>
      </c>
      <c r="B107" s="11" t="s">
        <v>116</v>
      </c>
      <c r="C107" s="9">
        <v>4160</v>
      </c>
      <c r="D107" s="11">
        <f t="shared" si="13"/>
        <v>4498.18</v>
      </c>
      <c r="E107" s="11">
        <f t="shared" si="14"/>
        <v>5346.21</v>
      </c>
      <c r="F107" s="11">
        <f t="shared" si="15"/>
        <v>3650.15</v>
      </c>
      <c r="G107" s="11">
        <f t="shared" si="17"/>
        <v>695</v>
      </c>
      <c r="H107" s="11">
        <f t="shared" si="18"/>
        <v>318.81</v>
      </c>
      <c r="I107" s="11">
        <f t="shared" si="16"/>
        <v>1041.8699999999999</v>
      </c>
    </row>
    <row r="108" spans="1:9" x14ac:dyDescent="0.25">
      <c r="A108" s="11" t="s">
        <v>10</v>
      </c>
      <c r="B108" s="11" t="s">
        <v>117</v>
      </c>
      <c r="C108" s="9">
        <v>4325</v>
      </c>
      <c r="D108" s="11">
        <f t="shared" si="13"/>
        <v>4498.18</v>
      </c>
      <c r="E108" s="11">
        <f t="shared" si="14"/>
        <v>5346.21</v>
      </c>
      <c r="F108" s="11">
        <f t="shared" si="15"/>
        <v>3650.15</v>
      </c>
      <c r="G108" s="11">
        <f t="shared" si="17"/>
        <v>165</v>
      </c>
      <c r="H108" s="11">
        <f t="shared" si="18"/>
        <v>318.81</v>
      </c>
      <c r="I108" s="11">
        <f t="shared" si="16"/>
        <v>1041.8699999999999</v>
      </c>
    </row>
    <row r="109" spans="1:9" x14ac:dyDescent="0.25">
      <c r="A109" s="11" t="s">
        <v>10</v>
      </c>
      <c r="B109" s="11" t="s">
        <v>118</v>
      </c>
      <c r="C109" s="9">
        <v>4125</v>
      </c>
      <c r="D109" s="11">
        <f t="shared" si="13"/>
        <v>4498.18</v>
      </c>
      <c r="E109" s="11">
        <f t="shared" si="14"/>
        <v>5346.21</v>
      </c>
      <c r="F109" s="11">
        <f t="shared" si="15"/>
        <v>3650.15</v>
      </c>
      <c r="G109" s="11">
        <f t="shared" si="17"/>
        <v>200</v>
      </c>
      <c r="H109" s="11">
        <f t="shared" si="18"/>
        <v>318.81</v>
      </c>
      <c r="I109" s="11">
        <f t="shared" si="16"/>
        <v>1041.8699999999999</v>
      </c>
    </row>
    <row r="110" spans="1:9" x14ac:dyDescent="0.25">
      <c r="A110" s="11" t="s">
        <v>10</v>
      </c>
      <c r="B110" s="11" t="s">
        <v>119</v>
      </c>
      <c r="C110" s="9">
        <v>4100</v>
      </c>
      <c r="D110" s="11">
        <f t="shared" si="13"/>
        <v>4498.18</v>
      </c>
      <c r="E110" s="11">
        <f t="shared" si="14"/>
        <v>5346.21</v>
      </c>
      <c r="F110" s="11">
        <f t="shared" si="15"/>
        <v>3650.15</v>
      </c>
      <c r="G110" s="11">
        <f t="shared" si="17"/>
        <v>25</v>
      </c>
      <c r="H110" s="11">
        <f t="shared" si="18"/>
        <v>318.81</v>
      </c>
      <c r="I110" s="11">
        <f t="shared" si="16"/>
        <v>1041.8699999999999</v>
      </c>
    </row>
    <row r="111" spans="1:9" x14ac:dyDescent="0.25">
      <c r="A111" s="11" t="s">
        <v>10</v>
      </c>
      <c r="B111" s="11" t="s">
        <v>120</v>
      </c>
      <c r="C111" s="9">
        <v>4340</v>
      </c>
      <c r="D111" s="11">
        <f t="shared" si="13"/>
        <v>4498.18</v>
      </c>
      <c r="E111" s="11">
        <f t="shared" si="14"/>
        <v>5346.21</v>
      </c>
      <c r="F111" s="11">
        <f t="shared" si="15"/>
        <v>3650.15</v>
      </c>
      <c r="G111" s="11">
        <f t="shared" si="17"/>
        <v>240</v>
      </c>
      <c r="H111" s="11">
        <f t="shared" si="18"/>
        <v>318.81</v>
      </c>
      <c r="I111" s="11">
        <f t="shared" si="16"/>
        <v>1041.8699999999999</v>
      </c>
    </row>
    <row r="112" spans="1:9" x14ac:dyDescent="0.25">
      <c r="A112" s="11" t="s">
        <v>10</v>
      </c>
      <c r="B112" s="11" t="s">
        <v>121</v>
      </c>
      <c r="C112" s="9">
        <v>4575</v>
      </c>
      <c r="D112" s="11">
        <f t="shared" si="13"/>
        <v>4498.18</v>
      </c>
      <c r="E112" s="11">
        <f t="shared" si="14"/>
        <v>5346.21</v>
      </c>
      <c r="F112" s="11">
        <f t="shared" si="15"/>
        <v>3650.15</v>
      </c>
      <c r="G112" s="11">
        <f t="shared" si="17"/>
        <v>235</v>
      </c>
      <c r="H112" s="11">
        <f t="shared" si="18"/>
        <v>318.81</v>
      </c>
      <c r="I112" s="11">
        <f t="shared" si="16"/>
        <v>1041.8699999999999</v>
      </c>
    </row>
    <row r="113" spans="1:9" x14ac:dyDescent="0.25">
      <c r="A113" s="11" t="s">
        <v>10</v>
      </c>
      <c r="B113" s="11" t="s">
        <v>122</v>
      </c>
      <c r="C113" s="9">
        <v>3875</v>
      </c>
      <c r="D113" s="11">
        <f t="shared" si="13"/>
        <v>4498.18</v>
      </c>
      <c r="E113" s="11">
        <f t="shared" si="14"/>
        <v>5346.21</v>
      </c>
      <c r="F113" s="11">
        <f t="shared" si="15"/>
        <v>3650.15</v>
      </c>
      <c r="G113" s="11">
        <f t="shared" si="17"/>
        <v>700</v>
      </c>
      <c r="H113" s="11">
        <f t="shared" si="18"/>
        <v>318.81</v>
      </c>
      <c r="I113" s="11">
        <f t="shared" si="16"/>
        <v>1041.8699999999999</v>
      </c>
    </row>
    <row r="114" spans="1:9" x14ac:dyDescent="0.25">
      <c r="A114" s="11" t="s">
        <v>10</v>
      </c>
      <c r="B114" s="11" t="s">
        <v>123</v>
      </c>
      <c r="C114" s="9">
        <v>4050</v>
      </c>
      <c r="D114" s="11">
        <f t="shared" si="13"/>
        <v>4498.18</v>
      </c>
      <c r="E114" s="11">
        <f t="shared" si="14"/>
        <v>5346.21</v>
      </c>
      <c r="F114" s="11">
        <f t="shared" si="15"/>
        <v>3650.15</v>
      </c>
      <c r="G114" s="11">
        <f t="shared" si="17"/>
        <v>175</v>
      </c>
      <c r="H114" s="11">
        <f t="shared" si="18"/>
        <v>318.81</v>
      </c>
      <c r="I114" s="11">
        <f t="shared" si="16"/>
        <v>1041.8699999999999</v>
      </c>
    </row>
    <row r="115" spans="1:9" x14ac:dyDescent="0.25">
      <c r="A115" s="11" t="s">
        <v>10</v>
      </c>
      <c r="B115" s="11" t="s">
        <v>124</v>
      </c>
      <c r="C115" s="9">
        <v>4050</v>
      </c>
      <c r="D115" s="11">
        <f t="shared" si="13"/>
        <v>4498.18</v>
      </c>
      <c r="E115" s="11">
        <f t="shared" si="14"/>
        <v>5346.21</v>
      </c>
      <c r="F115" s="11">
        <f t="shared" si="15"/>
        <v>3650.15</v>
      </c>
      <c r="G115" s="11">
        <f t="shared" si="17"/>
        <v>0</v>
      </c>
      <c r="H115" s="11">
        <f t="shared" si="18"/>
        <v>318.81</v>
      </c>
      <c r="I115" s="11">
        <f t="shared" si="16"/>
        <v>1041.8699999999999</v>
      </c>
    </row>
    <row r="116" spans="1:9" x14ac:dyDescent="0.25">
      <c r="A116" s="11" t="s">
        <v>10</v>
      </c>
      <c r="B116" s="11" t="s">
        <v>125</v>
      </c>
      <c r="C116" s="9">
        <v>4685</v>
      </c>
      <c r="D116" s="11">
        <f t="shared" si="13"/>
        <v>4498.18</v>
      </c>
      <c r="E116" s="11">
        <f t="shared" si="14"/>
        <v>5346.21</v>
      </c>
      <c r="F116" s="11">
        <f t="shared" si="15"/>
        <v>3650.15</v>
      </c>
      <c r="G116" s="11">
        <f t="shared" si="17"/>
        <v>635</v>
      </c>
      <c r="H116" s="11">
        <f t="shared" si="18"/>
        <v>318.81</v>
      </c>
      <c r="I116" s="11">
        <f t="shared" si="16"/>
        <v>1041.8699999999999</v>
      </c>
    </row>
    <row r="117" spans="1:9" x14ac:dyDescent="0.25">
      <c r="A117" s="11" t="s">
        <v>10</v>
      </c>
      <c r="B117" s="11" t="s">
        <v>126</v>
      </c>
      <c r="C117" s="9">
        <v>4685</v>
      </c>
      <c r="D117" s="11">
        <f t="shared" si="13"/>
        <v>4498.18</v>
      </c>
      <c r="E117" s="11">
        <f t="shared" si="14"/>
        <v>5346.21</v>
      </c>
      <c r="F117" s="11">
        <f t="shared" si="15"/>
        <v>3650.15</v>
      </c>
      <c r="G117" s="11">
        <f t="shared" si="17"/>
        <v>0</v>
      </c>
      <c r="H117" s="11">
        <f t="shared" si="18"/>
        <v>318.81</v>
      </c>
      <c r="I117" s="11">
        <f t="shared" si="16"/>
        <v>1041.8699999999999</v>
      </c>
    </row>
    <row r="118" spans="1:9" x14ac:dyDescent="0.25">
      <c r="A118" s="11" t="s">
        <v>10</v>
      </c>
      <c r="B118" s="11" t="s">
        <v>127</v>
      </c>
      <c r="C118" s="9">
        <v>4430</v>
      </c>
      <c r="D118" s="11">
        <f t="shared" si="13"/>
        <v>4498.18</v>
      </c>
      <c r="E118" s="11">
        <f t="shared" si="14"/>
        <v>5346.21</v>
      </c>
      <c r="F118" s="11">
        <f t="shared" si="15"/>
        <v>3650.15</v>
      </c>
      <c r="G118" s="11">
        <f t="shared" si="17"/>
        <v>255</v>
      </c>
      <c r="H118" s="11">
        <f t="shared" si="18"/>
        <v>318.81</v>
      </c>
      <c r="I118" s="11">
        <f t="shared" si="16"/>
        <v>1041.8699999999999</v>
      </c>
    </row>
    <row r="119" spans="1:9" x14ac:dyDescent="0.25">
      <c r="A119" s="11" t="s">
        <v>10</v>
      </c>
      <c r="B119" s="11" t="s">
        <v>128</v>
      </c>
      <c r="C119" s="9">
        <v>4300</v>
      </c>
      <c r="D119" s="11">
        <f t="shared" si="13"/>
        <v>4498.18</v>
      </c>
      <c r="E119" s="11">
        <f t="shared" si="14"/>
        <v>5346.21</v>
      </c>
      <c r="F119" s="11">
        <f t="shared" si="15"/>
        <v>3650.15</v>
      </c>
      <c r="G119" s="11">
        <f t="shared" si="17"/>
        <v>130</v>
      </c>
      <c r="H119" s="11">
        <f t="shared" si="18"/>
        <v>318.81</v>
      </c>
      <c r="I119" s="11">
        <f t="shared" si="16"/>
        <v>1041.8699999999999</v>
      </c>
    </row>
    <row r="120" spans="1:9" x14ac:dyDescent="0.25">
      <c r="A120" s="11" t="s">
        <v>10</v>
      </c>
      <c r="B120" s="11" t="s">
        <v>129</v>
      </c>
      <c r="C120" s="9">
        <v>4690</v>
      </c>
      <c r="D120" s="11">
        <f t="shared" si="13"/>
        <v>4498.18</v>
      </c>
      <c r="E120" s="11">
        <f t="shared" si="14"/>
        <v>5346.21</v>
      </c>
      <c r="F120" s="11">
        <f t="shared" si="15"/>
        <v>3650.15</v>
      </c>
      <c r="G120" s="11">
        <f t="shared" si="17"/>
        <v>390</v>
      </c>
      <c r="H120" s="11">
        <f t="shared" si="18"/>
        <v>318.81</v>
      </c>
      <c r="I120" s="11">
        <f t="shared" si="16"/>
        <v>1041.8699999999999</v>
      </c>
    </row>
    <row r="121" spans="1:9" x14ac:dyDescent="0.25">
      <c r="A121" s="11" t="s">
        <v>10</v>
      </c>
      <c r="B121" s="11" t="s">
        <v>130</v>
      </c>
      <c r="C121" s="9">
        <v>4560</v>
      </c>
      <c r="D121" s="11">
        <f t="shared" si="13"/>
        <v>4498.18</v>
      </c>
      <c r="E121" s="11">
        <f t="shared" si="14"/>
        <v>5346.21</v>
      </c>
      <c r="F121" s="11">
        <f t="shared" si="15"/>
        <v>3650.15</v>
      </c>
      <c r="G121" s="11">
        <f t="shared" si="17"/>
        <v>130</v>
      </c>
      <c r="H121" s="11">
        <f t="shared" si="18"/>
        <v>318.81</v>
      </c>
      <c r="I121" s="11">
        <f t="shared" si="16"/>
        <v>1041.8699999999999</v>
      </c>
    </row>
    <row r="122" spans="1:9" x14ac:dyDescent="0.25">
      <c r="A122" s="11" t="s">
        <v>10</v>
      </c>
      <c r="B122" s="11" t="s">
        <v>131</v>
      </c>
      <c r="C122" s="9">
        <v>3075</v>
      </c>
      <c r="D122" s="11">
        <f t="shared" si="13"/>
        <v>4498.18</v>
      </c>
      <c r="E122" s="11">
        <f t="shared" si="14"/>
        <v>5346.21</v>
      </c>
      <c r="F122" s="11">
        <f t="shared" si="15"/>
        <v>3650.15</v>
      </c>
      <c r="G122" s="11">
        <f t="shared" si="17"/>
        <v>1485</v>
      </c>
      <c r="H122" s="11">
        <f t="shared" si="18"/>
        <v>318.81</v>
      </c>
      <c r="I122" s="11">
        <f t="shared" si="16"/>
        <v>1041.8699999999999</v>
      </c>
    </row>
    <row r="123" spans="1:9" x14ac:dyDescent="0.25">
      <c r="A123" s="11" t="s">
        <v>10</v>
      </c>
      <c r="B123" s="11" t="s">
        <v>132</v>
      </c>
      <c r="C123" s="9">
        <v>2965</v>
      </c>
      <c r="D123" s="11">
        <f t="shared" si="13"/>
        <v>4498.18</v>
      </c>
      <c r="E123" s="11">
        <f t="shared" si="14"/>
        <v>5346.21</v>
      </c>
      <c r="F123" s="11">
        <f t="shared" si="15"/>
        <v>3650.15</v>
      </c>
      <c r="G123" s="11">
        <f t="shared" si="17"/>
        <v>110</v>
      </c>
      <c r="H123" s="11">
        <f t="shared" si="18"/>
        <v>318.81</v>
      </c>
      <c r="I123" s="11">
        <f t="shared" si="16"/>
        <v>1041.8699999999999</v>
      </c>
    </row>
    <row r="124" spans="1:9" x14ac:dyDescent="0.25">
      <c r="A124" s="11" t="s">
        <v>10</v>
      </c>
      <c r="B124" s="11" t="s">
        <v>133</v>
      </c>
      <c r="C124" s="9">
        <v>4080</v>
      </c>
      <c r="D124" s="11">
        <f t="shared" si="13"/>
        <v>4498.18</v>
      </c>
      <c r="E124" s="11">
        <f t="shared" si="14"/>
        <v>5346.21</v>
      </c>
      <c r="F124" s="11">
        <f t="shared" si="15"/>
        <v>3650.15</v>
      </c>
      <c r="G124" s="11">
        <f t="shared" si="17"/>
        <v>1115</v>
      </c>
      <c r="H124" s="11">
        <f t="shared" si="18"/>
        <v>318.81</v>
      </c>
      <c r="I124" s="11">
        <f t="shared" si="16"/>
        <v>1041.8699999999999</v>
      </c>
    </row>
    <row r="125" spans="1:9" x14ac:dyDescent="0.25">
      <c r="A125" s="11" t="s">
        <v>10</v>
      </c>
      <c r="B125" s="11" t="s">
        <v>134</v>
      </c>
      <c r="C125" s="9">
        <v>4080</v>
      </c>
      <c r="D125" s="11">
        <f t="shared" si="13"/>
        <v>4498.18</v>
      </c>
      <c r="E125" s="11">
        <f t="shared" si="14"/>
        <v>5346.21</v>
      </c>
      <c r="F125" s="11">
        <f t="shared" si="15"/>
        <v>3650.15</v>
      </c>
      <c r="G125" s="11">
        <f t="shared" si="17"/>
        <v>0</v>
      </c>
      <c r="H125" s="11">
        <f t="shared" si="18"/>
        <v>318.81</v>
      </c>
      <c r="I125" s="11">
        <f t="shared" si="16"/>
        <v>1041.8699999999999</v>
      </c>
    </row>
    <row r="126" spans="1:9" x14ac:dyDescent="0.25">
      <c r="A126" s="11" t="s">
        <v>10</v>
      </c>
      <c r="B126" s="11" t="s">
        <v>135</v>
      </c>
      <c r="C126" s="9">
        <v>4425</v>
      </c>
      <c r="D126" s="11">
        <f t="shared" si="13"/>
        <v>4498.18</v>
      </c>
      <c r="E126" s="11">
        <f t="shared" si="14"/>
        <v>5346.21</v>
      </c>
      <c r="F126" s="11">
        <f t="shared" si="15"/>
        <v>3650.15</v>
      </c>
      <c r="G126" s="11">
        <f t="shared" si="17"/>
        <v>345</v>
      </c>
      <c r="H126" s="11">
        <f t="shared" si="18"/>
        <v>318.81</v>
      </c>
      <c r="I126" s="11">
        <f t="shared" si="16"/>
        <v>1041.8699999999999</v>
      </c>
    </row>
    <row r="127" spans="1:9" x14ac:dyDescent="0.25">
      <c r="A127" s="11" t="s">
        <v>10</v>
      </c>
      <c r="B127" s="11" t="s">
        <v>136</v>
      </c>
      <c r="C127" s="9">
        <v>4300</v>
      </c>
      <c r="D127" s="11">
        <f t="shared" si="13"/>
        <v>4498.18</v>
      </c>
      <c r="E127" s="11">
        <f t="shared" si="14"/>
        <v>5346.21</v>
      </c>
      <c r="F127" s="11">
        <f t="shared" si="15"/>
        <v>3650.15</v>
      </c>
      <c r="G127" s="11">
        <f t="shared" si="17"/>
        <v>125</v>
      </c>
      <c r="H127" s="11">
        <f t="shared" si="18"/>
        <v>318.81</v>
      </c>
      <c r="I127" s="11">
        <f t="shared" si="16"/>
        <v>1041.8699999999999</v>
      </c>
    </row>
    <row r="128" spans="1:9" x14ac:dyDescent="0.25">
      <c r="A128" s="11" t="s">
        <v>10</v>
      </c>
      <c r="B128" s="11" t="s">
        <v>137</v>
      </c>
      <c r="C128" s="9">
        <v>4430</v>
      </c>
      <c r="D128" s="11">
        <f t="shared" si="13"/>
        <v>4498.18</v>
      </c>
      <c r="E128" s="11">
        <f t="shared" si="14"/>
        <v>5346.21</v>
      </c>
      <c r="F128" s="11">
        <f t="shared" si="15"/>
        <v>3650.15</v>
      </c>
      <c r="G128" s="11">
        <f t="shared" si="17"/>
        <v>130</v>
      </c>
      <c r="H128" s="11">
        <f t="shared" si="18"/>
        <v>318.81</v>
      </c>
      <c r="I128" s="11">
        <f t="shared" si="16"/>
        <v>1041.8699999999999</v>
      </c>
    </row>
    <row r="129" spans="1:9" x14ac:dyDescent="0.25">
      <c r="A129" s="11" t="s">
        <v>10</v>
      </c>
      <c r="B129" s="11" t="s">
        <v>138</v>
      </c>
      <c r="C129" s="9">
        <v>4840</v>
      </c>
      <c r="D129" s="11">
        <f t="shared" si="13"/>
        <v>4498.18</v>
      </c>
      <c r="E129" s="11">
        <f t="shared" si="14"/>
        <v>5346.21</v>
      </c>
      <c r="F129" s="11">
        <f t="shared" si="15"/>
        <v>3650.15</v>
      </c>
      <c r="G129" s="11">
        <f t="shared" si="17"/>
        <v>410</v>
      </c>
      <c r="H129" s="11">
        <f t="shared" si="18"/>
        <v>318.81</v>
      </c>
      <c r="I129" s="11">
        <f t="shared" si="16"/>
        <v>1041.8699999999999</v>
      </c>
    </row>
    <row r="130" spans="1:9" x14ac:dyDescent="0.25">
      <c r="A130" s="11" t="s">
        <v>10</v>
      </c>
      <c r="B130" s="11" t="s">
        <v>139</v>
      </c>
      <c r="C130" s="9">
        <v>4840</v>
      </c>
      <c r="D130" s="11">
        <f t="shared" ref="D130:D193" si="19">ROUND(AVERAGE($C$2:$C$205),2)</f>
        <v>4498.18</v>
      </c>
      <c r="E130" s="11">
        <f t="shared" ref="E130:E193" si="20">ROUND(D130+(2.66*H130),2)</f>
        <v>5346.21</v>
      </c>
      <c r="F130" s="11">
        <f t="shared" ref="F130:F193" si="21">ROUND(D130-(2.66*H130),2)</f>
        <v>3650.15</v>
      </c>
      <c r="G130" s="11">
        <f t="shared" si="17"/>
        <v>0</v>
      </c>
      <c r="H130" s="11">
        <f t="shared" si="18"/>
        <v>318.81</v>
      </c>
      <c r="I130" s="11">
        <f t="shared" ref="I130:I193" si="22">ROUND(3.268*H130,2)</f>
        <v>1041.8699999999999</v>
      </c>
    </row>
    <row r="131" spans="1:9" x14ac:dyDescent="0.25">
      <c r="A131" s="11" t="s">
        <v>10</v>
      </c>
      <c r="B131" s="11" t="s">
        <v>140</v>
      </c>
      <c r="C131" s="9">
        <v>4310</v>
      </c>
      <c r="D131" s="11">
        <f t="shared" si="19"/>
        <v>4498.18</v>
      </c>
      <c r="E131" s="11">
        <f t="shared" si="20"/>
        <v>5346.21</v>
      </c>
      <c r="F131" s="11">
        <f t="shared" si="21"/>
        <v>3650.15</v>
      </c>
      <c r="G131" s="11">
        <f t="shared" ref="G131:G194" si="23">ABS(C130-C131)</f>
        <v>530</v>
      </c>
      <c r="H131" s="11">
        <f t="shared" ref="H131:H194" si="24">ROUND(AVERAGE($G$3:$G$205),2)</f>
        <v>318.81</v>
      </c>
      <c r="I131" s="11">
        <f t="shared" si="22"/>
        <v>1041.8699999999999</v>
      </c>
    </row>
    <row r="132" spans="1:9" x14ac:dyDescent="0.25">
      <c r="A132" s="11" t="s">
        <v>10</v>
      </c>
      <c r="B132" s="11" t="s">
        <v>141</v>
      </c>
      <c r="C132" s="9">
        <v>4185</v>
      </c>
      <c r="D132" s="11">
        <f t="shared" si="19"/>
        <v>4498.18</v>
      </c>
      <c r="E132" s="11">
        <f t="shared" si="20"/>
        <v>5346.21</v>
      </c>
      <c r="F132" s="11">
        <f t="shared" si="21"/>
        <v>3650.15</v>
      </c>
      <c r="G132" s="11">
        <f t="shared" si="23"/>
        <v>125</v>
      </c>
      <c r="H132" s="11">
        <f t="shared" si="24"/>
        <v>318.81</v>
      </c>
      <c r="I132" s="11">
        <f t="shared" si="22"/>
        <v>1041.8699999999999</v>
      </c>
    </row>
    <row r="133" spans="1:9" x14ac:dyDescent="0.25">
      <c r="A133" s="11" t="s">
        <v>10</v>
      </c>
      <c r="B133" s="11" t="s">
        <v>142</v>
      </c>
      <c r="C133" s="9">
        <v>4570</v>
      </c>
      <c r="D133" s="11">
        <f t="shared" si="19"/>
        <v>4498.18</v>
      </c>
      <c r="E133" s="11">
        <f t="shared" si="20"/>
        <v>5346.21</v>
      </c>
      <c r="F133" s="11">
        <f t="shared" si="21"/>
        <v>3650.15</v>
      </c>
      <c r="G133" s="11">
        <f t="shared" si="23"/>
        <v>385</v>
      </c>
      <c r="H133" s="11">
        <f t="shared" si="24"/>
        <v>318.81</v>
      </c>
      <c r="I133" s="11">
        <f t="shared" si="22"/>
        <v>1041.8699999999999</v>
      </c>
    </row>
    <row r="134" spans="1:9" x14ac:dyDescent="0.25">
      <c r="A134" s="11" t="s">
        <v>10</v>
      </c>
      <c r="B134" s="11" t="s">
        <v>143</v>
      </c>
      <c r="C134" s="9">
        <v>4700</v>
      </c>
      <c r="D134" s="11">
        <f t="shared" si="19"/>
        <v>4498.18</v>
      </c>
      <c r="E134" s="11">
        <f t="shared" si="20"/>
        <v>5346.21</v>
      </c>
      <c r="F134" s="11">
        <f t="shared" si="21"/>
        <v>3650.15</v>
      </c>
      <c r="G134" s="11">
        <f t="shared" si="23"/>
        <v>130</v>
      </c>
      <c r="H134" s="11">
        <f t="shared" si="24"/>
        <v>318.81</v>
      </c>
      <c r="I134" s="11">
        <f t="shared" si="22"/>
        <v>1041.8699999999999</v>
      </c>
    </row>
    <row r="135" spans="1:9" x14ac:dyDescent="0.25">
      <c r="A135" s="11" t="s">
        <v>10</v>
      </c>
      <c r="B135" s="11" t="s">
        <v>144</v>
      </c>
      <c r="C135" s="9">
        <v>4440</v>
      </c>
      <c r="D135" s="11">
        <f t="shared" si="19"/>
        <v>4498.18</v>
      </c>
      <c r="E135" s="11">
        <f t="shared" si="20"/>
        <v>5346.21</v>
      </c>
      <c r="F135" s="11">
        <f t="shared" si="21"/>
        <v>3650.15</v>
      </c>
      <c r="G135" s="11">
        <f t="shared" si="23"/>
        <v>260</v>
      </c>
      <c r="H135" s="11">
        <f t="shared" si="24"/>
        <v>318.81</v>
      </c>
      <c r="I135" s="11">
        <f t="shared" si="22"/>
        <v>1041.8699999999999</v>
      </c>
    </row>
    <row r="136" spans="1:9" x14ac:dyDescent="0.25">
      <c r="A136" s="11" t="s">
        <v>10</v>
      </c>
      <c r="B136" s="11" t="s">
        <v>145</v>
      </c>
      <c r="C136" s="9">
        <v>4850</v>
      </c>
      <c r="D136" s="11">
        <f t="shared" si="19"/>
        <v>4498.18</v>
      </c>
      <c r="E136" s="11">
        <f t="shared" si="20"/>
        <v>5346.21</v>
      </c>
      <c r="F136" s="11">
        <f t="shared" si="21"/>
        <v>3650.15</v>
      </c>
      <c r="G136" s="11">
        <f t="shared" si="23"/>
        <v>410</v>
      </c>
      <c r="H136" s="11">
        <f t="shared" si="24"/>
        <v>318.81</v>
      </c>
      <c r="I136" s="11">
        <f t="shared" si="22"/>
        <v>1041.8699999999999</v>
      </c>
    </row>
    <row r="137" spans="1:9" x14ac:dyDescent="0.25">
      <c r="A137" s="11" t="s">
        <v>10</v>
      </c>
      <c r="B137" s="11" t="s">
        <v>146</v>
      </c>
      <c r="C137" s="9">
        <v>4125</v>
      </c>
      <c r="D137" s="11">
        <f t="shared" si="19"/>
        <v>4498.18</v>
      </c>
      <c r="E137" s="11">
        <f t="shared" si="20"/>
        <v>5346.21</v>
      </c>
      <c r="F137" s="11">
        <f t="shared" si="21"/>
        <v>3650.15</v>
      </c>
      <c r="G137" s="11">
        <f t="shared" si="23"/>
        <v>725</v>
      </c>
      <c r="H137" s="11">
        <f t="shared" si="24"/>
        <v>318.81</v>
      </c>
      <c r="I137" s="11">
        <f t="shared" si="22"/>
        <v>1041.8699999999999</v>
      </c>
    </row>
    <row r="138" spans="1:9" x14ac:dyDescent="0.25">
      <c r="A138" s="11" t="s">
        <v>10</v>
      </c>
      <c r="B138" s="11" t="s">
        <v>147</v>
      </c>
      <c r="C138" s="9">
        <v>4450</v>
      </c>
      <c r="D138" s="11">
        <f t="shared" si="19"/>
        <v>4498.18</v>
      </c>
      <c r="E138" s="11">
        <f t="shared" si="20"/>
        <v>5346.21</v>
      </c>
      <c r="F138" s="11">
        <f t="shared" si="21"/>
        <v>3650.15</v>
      </c>
      <c r="G138" s="11">
        <f t="shared" si="23"/>
        <v>325</v>
      </c>
      <c r="H138" s="11">
        <f t="shared" si="24"/>
        <v>318.81</v>
      </c>
      <c r="I138" s="11">
        <f t="shared" si="22"/>
        <v>1041.8699999999999</v>
      </c>
    </row>
    <row r="139" spans="1:9" x14ac:dyDescent="0.25">
      <c r="A139" s="11" t="s">
        <v>10</v>
      </c>
      <c r="B139" s="11" t="s">
        <v>148</v>
      </c>
      <c r="C139" s="9">
        <v>4450</v>
      </c>
      <c r="D139" s="11">
        <f t="shared" si="19"/>
        <v>4498.18</v>
      </c>
      <c r="E139" s="11">
        <f t="shared" si="20"/>
        <v>5346.21</v>
      </c>
      <c r="F139" s="11">
        <f t="shared" si="21"/>
        <v>3650.15</v>
      </c>
      <c r="G139" s="11">
        <f t="shared" si="23"/>
        <v>0</v>
      </c>
      <c r="H139" s="11">
        <f t="shared" si="24"/>
        <v>318.81</v>
      </c>
      <c r="I139" s="11">
        <f t="shared" si="22"/>
        <v>1041.8699999999999</v>
      </c>
    </row>
    <row r="140" spans="1:9" x14ac:dyDescent="0.25">
      <c r="A140" s="11" t="s">
        <v>10</v>
      </c>
      <c r="B140" s="11" t="s">
        <v>149</v>
      </c>
      <c r="C140" s="9">
        <v>4850</v>
      </c>
      <c r="D140" s="11">
        <f t="shared" si="19"/>
        <v>4498.18</v>
      </c>
      <c r="E140" s="11">
        <f t="shared" si="20"/>
        <v>5346.21</v>
      </c>
      <c r="F140" s="11">
        <f t="shared" si="21"/>
        <v>3650.15</v>
      </c>
      <c r="G140" s="11">
        <f t="shared" si="23"/>
        <v>400</v>
      </c>
      <c r="H140" s="11">
        <f t="shared" si="24"/>
        <v>318.81</v>
      </c>
      <c r="I140" s="11">
        <f t="shared" si="22"/>
        <v>1041.8699999999999</v>
      </c>
    </row>
    <row r="141" spans="1:9" x14ac:dyDescent="0.25">
      <c r="A141" s="11" t="s">
        <v>10</v>
      </c>
      <c r="B141" s="11" t="s">
        <v>150</v>
      </c>
      <c r="C141" s="9">
        <v>4450</v>
      </c>
      <c r="D141" s="11">
        <f t="shared" si="19"/>
        <v>4498.18</v>
      </c>
      <c r="E141" s="11">
        <f t="shared" si="20"/>
        <v>5346.21</v>
      </c>
      <c r="F141" s="11">
        <f t="shared" si="21"/>
        <v>3650.15</v>
      </c>
      <c r="G141" s="11">
        <f t="shared" si="23"/>
        <v>400</v>
      </c>
      <c r="H141" s="11">
        <f t="shared" si="24"/>
        <v>318.81</v>
      </c>
      <c r="I141" s="11">
        <f t="shared" si="22"/>
        <v>1041.8699999999999</v>
      </c>
    </row>
    <row r="142" spans="1:9" x14ac:dyDescent="0.25">
      <c r="A142" s="11" t="s">
        <v>10</v>
      </c>
      <c r="B142" s="11" t="s">
        <v>151</v>
      </c>
      <c r="C142" s="9">
        <v>3635</v>
      </c>
      <c r="D142" s="11">
        <f t="shared" si="19"/>
        <v>4498.18</v>
      </c>
      <c r="E142" s="11">
        <f t="shared" si="20"/>
        <v>5346.21</v>
      </c>
      <c r="F142" s="11">
        <f t="shared" si="21"/>
        <v>3650.15</v>
      </c>
      <c r="G142" s="11">
        <f t="shared" si="23"/>
        <v>815</v>
      </c>
      <c r="H142" s="11">
        <f t="shared" si="24"/>
        <v>318.81</v>
      </c>
      <c r="I142" s="11">
        <f t="shared" si="22"/>
        <v>1041.8699999999999</v>
      </c>
    </row>
    <row r="143" spans="1:9" x14ac:dyDescent="0.25">
      <c r="A143" s="11" t="s">
        <v>10</v>
      </c>
      <c r="B143" s="11" t="s">
        <v>152</v>
      </c>
      <c r="C143" s="9">
        <v>3635</v>
      </c>
      <c r="D143" s="11">
        <f t="shared" si="19"/>
        <v>4498.18</v>
      </c>
      <c r="E143" s="11">
        <f t="shared" si="20"/>
        <v>5346.21</v>
      </c>
      <c r="F143" s="11">
        <f t="shared" si="21"/>
        <v>3650.15</v>
      </c>
      <c r="G143" s="11">
        <f t="shared" si="23"/>
        <v>0</v>
      </c>
      <c r="H143" s="11">
        <f t="shared" si="24"/>
        <v>318.81</v>
      </c>
      <c r="I143" s="11">
        <f t="shared" si="22"/>
        <v>1041.8699999999999</v>
      </c>
    </row>
    <row r="144" spans="1:9" x14ac:dyDescent="0.25">
      <c r="A144" s="11" t="s">
        <v>10</v>
      </c>
      <c r="B144" s="11" t="s">
        <v>153</v>
      </c>
      <c r="C144" s="9">
        <v>3635</v>
      </c>
      <c r="D144" s="11">
        <f t="shared" si="19"/>
        <v>4498.18</v>
      </c>
      <c r="E144" s="11">
        <f t="shared" si="20"/>
        <v>5346.21</v>
      </c>
      <c r="F144" s="11">
        <f t="shared" si="21"/>
        <v>3650.15</v>
      </c>
      <c r="G144" s="11">
        <f t="shared" si="23"/>
        <v>0</v>
      </c>
      <c r="H144" s="11">
        <f t="shared" si="24"/>
        <v>318.81</v>
      </c>
      <c r="I144" s="11">
        <f t="shared" si="22"/>
        <v>1041.8699999999999</v>
      </c>
    </row>
    <row r="145" spans="1:9" x14ac:dyDescent="0.25">
      <c r="A145" s="11" t="s">
        <v>10</v>
      </c>
      <c r="B145" s="11" t="s">
        <v>154</v>
      </c>
      <c r="C145" s="9">
        <v>3900</v>
      </c>
      <c r="D145" s="11">
        <f t="shared" si="19"/>
        <v>4498.18</v>
      </c>
      <c r="E145" s="11">
        <f t="shared" si="20"/>
        <v>5346.21</v>
      </c>
      <c r="F145" s="11">
        <f t="shared" si="21"/>
        <v>3650.15</v>
      </c>
      <c r="G145" s="11">
        <f t="shared" si="23"/>
        <v>265</v>
      </c>
      <c r="H145" s="11">
        <f t="shared" si="24"/>
        <v>318.81</v>
      </c>
      <c r="I145" s="11">
        <f t="shared" si="22"/>
        <v>1041.8699999999999</v>
      </c>
    </row>
    <row r="146" spans="1:9" x14ac:dyDescent="0.25">
      <c r="A146" s="11" t="s">
        <v>10</v>
      </c>
      <c r="B146" s="11" t="s">
        <v>155</v>
      </c>
      <c r="C146" s="9">
        <v>4340</v>
      </c>
      <c r="D146" s="11">
        <f t="shared" si="19"/>
        <v>4498.18</v>
      </c>
      <c r="E146" s="11">
        <f t="shared" si="20"/>
        <v>5346.21</v>
      </c>
      <c r="F146" s="11">
        <f t="shared" si="21"/>
        <v>3650.15</v>
      </c>
      <c r="G146" s="11">
        <f t="shared" si="23"/>
        <v>440</v>
      </c>
      <c r="H146" s="11">
        <f t="shared" si="24"/>
        <v>318.81</v>
      </c>
      <c r="I146" s="11">
        <f t="shared" si="22"/>
        <v>1041.8699999999999</v>
      </c>
    </row>
    <row r="147" spans="1:9" x14ac:dyDescent="0.25">
      <c r="A147" s="11" t="s">
        <v>10</v>
      </c>
      <c r="B147" s="11" t="s">
        <v>156</v>
      </c>
      <c r="C147" s="9">
        <v>4340</v>
      </c>
      <c r="D147" s="11">
        <f t="shared" si="19"/>
        <v>4498.18</v>
      </c>
      <c r="E147" s="11">
        <f t="shared" si="20"/>
        <v>5346.21</v>
      </c>
      <c r="F147" s="11">
        <f t="shared" si="21"/>
        <v>3650.15</v>
      </c>
      <c r="G147" s="11">
        <f t="shared" si="23"/>
        <v>0</v>
      </c>
      <c r="H147" s="11">
        <f t="shared" si="24"/>
        <v>318.81</v>
      </c>
      <c r="I147" s="11">
        <f t="shared" si="22"/>
        <v>1041.8699999999999</v>
      </c>
    </row>
    <row r="148" spans="1:9" x14ac:dyDescent="0.25">
      <c r="A148" s="11" t="s">
        <v>10</v>
      </c>
      <c r="B148" s="11" t="s">
        <v>157</v>
      </c>
      <c r="C148" s="9">
        <v>3665</v>
      </c>
      <c r="D148" s="11">
        <f t="shared" si="19"/>
        <v>4498.18</v>
      </c>
      <c r="E148" s="11">
        <f t="shared" si="20"/>
        <v>5346.21</v>
      </c>
      <c r="F148" s="11">
        <f t="shared" si="21"/>
        <v>3650.15</v>
      </c>
      <c r="G148" s="11">
        <f t="shared" si="23"/>
        <v>675</v>
      </c>
      <c r="H148" s="11">
        <f t="shared" si="24"/>
        <v>318.81</v>
      </c>
      <c r="I148" s="11">
        <f t="shared" si="22"/>
        <v>1041.8699999999999</v>
      </c>
    </row>
    <row r="149" spans="1:9" x14ac:dyDescent="0.25">
      <c r="A149" s="11" t="s">
        <v>10</v>
      </c>
      <c r="B149" s="11" t="s">
        <v>158</v>
      </c>
      <c r="C149" s="9">
        <v>3775</v>
      </c>
      <c r="D149" s="11">
        <f t="shared" si="19"/>
        <v>4498.18</v>
      </c>
      <c r="E149" s="11">
        <f t="shared" si="20"/>
        <v>5346.21</v>
      </c>
      <c r="F149" s="11">
        <f t="shared" si="21"/>
        <v>3650.15</v>
      </c>
      <c r="G149" s="11">
        <f t="shared" si="23"/>
        <v>110</v>
      </c>
      <c r="H149" s="11">
        <f t="shared" si="24"/>
        <v>318.81</v>
      </c>
      <c r="I149" s="11">
        <f t="shared" si="22"/>
        <v>1041.8699999999999</v>
      </c>
    </row>
    <row r="150" spans="1:9" x14ac:dyDescent="0.25">
      <c r="A150" s="11" t="s">
        <v>10</v>
      </c>
      <c r="B150" s="11" t="s">
        <v>159</v>
      </c>
      <c r="C150" s="9">
        <v>5000</v>
      </c>
      <c r="D150" s="11">
        <f t="shared" si="19"/>
        <v>4498.18</v>
      </c>
      <c r="E150" s="11">
        <f t="shared" si="20"/>
        <v>5346.21</v>
      </c>
      <c r="F150" s="11">
        <f t="shared" si="21"/>
        <v>3650.15</v>
      </c>
      <c r="G150" s="11">
        <f t="shared" si="23"/>
        <v>1225</v>
      </c>
      <c r="H150" s="11">
        <f t="shared" si="24"/>
        <v>318.81</v>
      </c>
      <c r="I150" s="11">
        <f t="shared" si="22"/>
        <v>1041.8699999999999</v>
      </c>
    </row>
    <row r="151" spans="1:9" x14ac:dyDescent="0.25">
      <c r="A151" s="11" t="s">
        <v>10</v>
      </c>
      <c r="B151" s="11" t="s">
        <v>160</v>
      </c>
      <c r="C151" s="9">
        <v>4850</v>
      </c>
      <c r="D151" s="11">
        <f t="shared" si="19"/>
        <v>4498.18</v>
      </c>
      <c r="E151" s="11">
        <f t="shared" si="20"/>
        <v>5346.21</v>
      </c>
      <c r="F151" s="11">
        <f t="shared" si="21"/>
        <v>3650.15</v>
      </c>
      <c r="G151" s="11">
        <f t="shared" si="23"/>
        <v>150</v>
      </c>
      <c r="H151" s="11">
        <f t="shared" si="24"/>
        <v>318.81</v>
      </c>
      <c r="I151" s="11">
        <f t="shared" si="22"/>
        <v>1041.8699999999999</v>
      </c>
    </row>
    <row r="152" spans="1:9" x14ac:dyDescent="0.25">
      <c r="A152" s="11" t="s">
        <v>10</v>
      </c>
      <c r="B152" s="11" t="s">
        <v>161</v>
      </c>
      <c r="C152" s="9">
        <v>4775</v>
      </c>
      <c r="D152" s="11">
        <f t="shared" si="19"/>
        <v>4498.18</v>
      </c>
      <c r="E152" s="11">
        <f t="shared" si="20"/>
        <v>5346.21</v>
      </c>
      <c r="F152" s="11">
        <f t="shared" si="21"/>
        <v>3650.15</v>
      </c>
      <c r="G152" s="11">
        <f t="shared" si="23"/>
        <v>75</v>
      </c>
      <c r="H152" s="11">
        <f t="shared" si="24"/>
        <v>318.81</v>
      </c>
      <c r="I152" s="11">
        <f t="shared" si="22"/>
        <v>1041.8699999999999</v>
      </c>
    </row>
    <row r="153" spans="1:9" x14ac:dyDescent="0.25">
      <c r="A153" s="11" t="s">
        <v>10</v>
      </c>
      <c r="B153" s="11" t="s">
        <v>162</v>
      </c>
      <c r="C153" s="9">
        <v>4500</v>
      </c>
      <c r="D153" s="11">
        <f t="shared" si="19"/>
        <v>4498.18</v>
      </c>
      <c r="E153" s="11">
        <f t="shared" si="20"/>
        <v>5346.21</v>
      </c>
      <c r="F153" s="11">
        <f t="shared" si="21"/>
        <v>3650.15</v>
      </c>
      <c r="G153" s="11">
        <f t="shared" si="23"/>
        <v>275</v>
      </c>
      <c r="H153" s="11">
        <f t="shared" si="24"/>
        <v>318.81</v>
      </c>
      <c r="I153" s="11">
        <f t="shared" si="22"/>
        <v>1041.8699999999999</v>
      </c>
    </row>
    <row r="154" spans="1:9" x14ac:dyDescent="0.25">
      <c r="A154" s="11" t="s">
        <v>10</v>
      </c>
      <c r="B154" s="11" t="s">
        <v>163</v>
      </c>
      <c r="C154" s="9">
        <v>4770</v>
      </c>
      <c r="D154" s="11">
        <f t="shared" si="19"/>
        <v>4498.18</v>
      </c>
      <c r="E154" s="11">
        <f t="shared" si="20"/>
        <v>5346.21</v>
      </c>
      <c r="F154" s="11">
        <f t="shared" si="21"/>
        <v>3650.15</v>
      </c>
      <c r="G154" s="11">
        <f t="shared" si="23"/>
        <v>270</v>
      </c>
      <c r="H154" s="11">
        <f t="shared" si="24"/>
        <v>318.81</v>
      </c>
      <c r="I154" s="11">
        <f t="shared" si="22"/>
        <v>1041.8699999999999</v>
      </c>
    </row>
    <row r="155" spans="1:9" x14ac:dyDescent="0.25">
      <c r="A155" s="11" t="s">
        <v>10</v>
      </c>
      <c r="B155" s="11" t="s">
        <v>164</v>
      </c>
      <c r="C155" s="9">
        <v>4500</v>
      </c>
      <c r="D155" s="11">
        <f t="shared" si="19"/>
        <v>4498.18</v>
      </c>
      <c r="E155" s="11">
        <f t="shared" si="20"/>
        <v>5346.21</v>
      </c>
      <c r="F155" s="11">
        <f t="shared" si="21"/>
        <v>3650.15</v>
      </c>
      <c r="G155" s="11">
        <f t="shared" si="23"/>
        <v>270</v>
      </c>
      <c r="H155" s="11">
        <f t="shared" si="24"/>
        <v>318.81</v>
      </c>
      <c r="I155" s="11">
        <f t="shared" si="22"/>
        <v>1041.8699999999999</v>
      </c>
    </row>
    <row r="156" spans="1:9" x14ac:dyDescent="0.25">
      <c r="A156" s="11" t="s">
        <v>10</v>
      </c>
      <c r="B156" s="11" t="s">
        <v>165</v>
      </c>
      <c r="C156" s="9">
        <v>4770</v>
      </c>
      <c r="D156" s="11">
        <f t="shared" si="19"/>
        <v>4498.18</v>
      </c>
      <c r="E156" s="11">
        <f t="shared" si="20"/>
        <v>5346.21</v>
      </c>
      <c r="F156" s="11">
        <f t="shared" si="21"/>
        <v>3650.15</v>
      </c>
      <c r="G156" s="11">
        <f t="shared" si="23"/>
        <v>270</v>
      </c>
      <c r="H156" s="11">
        <f t="shared" si="24"/>
        <v>318.81</v>
      </c>
      <c r="I156" s="11">
        <f t="shared" si="22"/>
        <v>1041.8699999999999</v>
      </c>
    </row>
    <row r="157" spans="1:9" x14ac:dyDescent="0.25">
      <c r="A157" s="11" t="s">
        <v>10</v>
      </c>
      <c r="B157" s="11" t="s">
        <v>166</v>
      </c>
      <c r="C157" s="9">
        <v>5150</v>
      </c>
      <c r="D157" s="11">
        <f t="shared" si="19"/>
        <v>4498.18</v>
      </c>
      <c r="E157" s="11">
        <f t="shared" si="20"/>
        <v>5346.21</v>
      </c>
      <c r="F157" s="11">
        <f t="shared" si="21"/>
        <v>3650.15</v>
      </c>
      <c r="G157" s="11">
        <f t="shared" si="23"/>
        <v>380</v>
      </c>
      <c r="H157" s="11">
        <f t="shared" si="24"/>
        <v>318.81</v>
      </c>
      <c r="I157" s="11">
        <f t="shared" si="22"/>
        <v>1041.8699999999999</v>
      </c>
    </row>
    <row r="158" spans="1:9" x14ac:dyDescent="0.25">
      <c r="A158" s="11" t="s">
        <v>10</v>
      </c>
      <c r="B158" s="11" t="s">
        <v>167</v>
      </c>
      <c r="C158" s="9">
        <v>4850</v>
      </c>
      <c r="D158" s="11">
        <f t="shared" si="19"/>
        <v>4498.18</v>
      </c>
      <c r="E158" s="11">
        <f t="shared" si="20"/>
        <v>5346.21</v>
      </c>
      <c r="F158" s="11">
        <f t="shared" si="21"/>
        <v>3650.15</v>
      </c>
      <c r="G158" s="11">
        <f t="shared" si="23"/>
        <v>300</v>
      </c>
      <c r="H158" s="11">
        <f t="shared" si="24"/>
        <v>318.81</v>
      </c>
      <c r="I158" s="11">
        <f t="shared" si="22"/>
        <v>1041.8699999999999</v>
      </c>
    </row>
    <row r="159" spans="1:9" x14ac:dyDescent="0.25">
      <c r="A159" s="11" t="s">
        <v>10</v>
      </c>
      <c r="B159" s="11" t="s">
        <v>168</v>
      </c>
      <c r="C159" s="9">
        <v>4700</v>
      </c>
      <c r="D159" s="11">
        <f t="shared" si="19"/>
        <v>4498.18</v>
      </c>
      <c r="E159" s="11">
        <f t="shared" si="20"/>
        <v>5346.21</v>
      </c>
      <c r="F159" s="11">
        <f t="shared" si="21"/>
        <v>3650.15</v>
      </c>
      <c r="G159" s="11">
        <f t="shared" si="23"/>
        <v>150</v>
      </c>
      <c r="H159" s="11">
        <f t="shared" si="24"/>
        <v>318.81</v>
      </c>
      <c r="I159" s="11">
        <f t="shared" si="22"/>
        <v>1041.8699999999999</v>
      </c>
    </row>
    <row r="160" spans="1:9" x14ac:dyDescent="0.25">
      <c r="A160" s="11" t="s">
        <v>10</v>
      </c>
      <c r="B160" s="11" t="s">
        <v>169</v>
      </c>
      <c r="C160" s="9">
        <v>5000</v>
      </c>
      <c r="D160" s="11">
        <f t="shared" si="19"/>
        <v>4498.18</v>
      </c>
      <c r="E160" s="11">
        <f t="shared" si="20"/>
        <v>5346.21</v>
      </c>
      <c r="F160" s="11">
        <f t="shared" si="21"/>
        <v>3650.15</v>
      </c>
      <c r="G160" s="11">
        <f t="shared" si="23"/>
        <v>300</v>
      </c>
      <c r="H160" s="11">
        <f t="shared" si="24"/>
        <v>318.81</v>
      </c>
      <c r="I160" s="11">
        <f t="shared" si="22"/>
        <v>1041.8699999999999</v>
      </c>
    </row>
    <row r="161" spans="1:9" x14ac:dyDescent="0.25">
      <c r="A161" s="11" t="s">
        <v>10</v>
      </c>
      <c r="B161" s="11" t="s">
        <v>170</v>
      </c>
      <c r="C161" s="9">
        <v>5000</v>
      </c>
      <c r="D161" s="11">
        <f t="shared" si="19"/>
        <v>4498.18</v>
      </c>
      <c r="E161" s="11">
        <f t="shared" si="20"/>
        <v>5346.21</v>
      </c>
      <c r="F161" s="11">
        <f t="shared" si="21"/>
        <v>3650.15</v>
      </c>
      <c r="G161" s="11">
        <f t="shared" si="23"/>
        <v>0</v>
      </c>
      <c r="H161" s="11">
        <f t="shared" si="24"/>
        <v>318.81</v>
      </c>
      <c r="I161" s="11">
        <f t="shared" si="22"/>
        <v>1041.8699999999999</v>
      </c>
    </row>
    <row r="162" spans="1:9" x14ac:dyDescent="0.25">
      <c r="A162" s="11" t="s">
        <v>10</v>
      </c>
      <c r="B162" s="11" t="s">
        <v>171</v>
      </c>
      <c r="C162" s="9">
        <v>5000</v>
      </c>
      <c r="D162" s="11">
        <f t="shared" si="19"/>
        <v>4498.18</v>
      </c>
      <c r="E162" s="11">
        <f t="shared" si="20"/>
        <v>5346.21</v>
      </c>
      <c r="F162" s="11">
        <f t="shared" si="21"/>
        <v>3650.15</v>
      </c>
      <c r="G162" s="11">
        <f t="shared" si="23"/>
        <v>0</v>
      </c>
      <c r="H162" s="11">
        <f t="shared" si="24"/>
        <v>318.81</v>
      </c>
      <c r="I162" s="11">
        <f t="shared" si="22"/>
        <v>1041.8699999999999</v>
      </c>
    </row>
    <row r="163" spans="1:9" x14ac:dyDescent="0.25">
      <c r="A163" s="11" t="s">
        <v>10</v>
      </c>
      <c r="B163" s="11" t="s">
        <v>172</v>
      </c>
      <c r="C163" s="9">
        <v>4700</v>
      </c>
      <c r="D163" s="11">
        <f t="shared" si="19"/>
        <v>4498.18</v>
      </c>
      <c r="E163" s="11">
        <f t="shared" si="20"/>
        <v>5346.21</v>
      </c>
      <c r="F163" s="11">
        <f t="shared" si="21"/>
        <v>3650.15</v>
      </c>
      <c r="G163" s="11">
        <f t="shared" si="23"/>
        <v>300</v>
      </c>
      <c r="H163" s="11">
        <f t="shared" si="24"/>
        <v>318.81</v>
      </c>
      <c r="I163" s="11">
        <f t="shared" si="22"/>
        <v>1041.8699999999999</v>
      </c>
    </row>
    <row r="164" spans="1:9" x14ac:dyDescent="0.25">
      <c r="A164" s="11" t="s">
        <v>10</v>
      </c>
      <c r="B164" s="11" t="s">
        <v>173</v>
      </c>
      <c r="C164" s="9">
        <v>4500</v>
      </c>
      <c r="D164" s="11">
        <f t="shared" si="19"/>
        <v>4498.18</v>
      </c>
      <c r="E164" s="11">
        <f t="shared" si="20"/>
        <v>5346.21</v>
      </c>
      <c r="F164" s="11">
        <f t="shared" si="21"/>
        <v>3650.15</v>
      </c>
      <c r="G164" s="11">
        <f t="shared" si="23"/>
        <v>200</v>
      </c>
      <c r="H164" s="11">
        <f t="shared" si="24"/>
        <v>318.81</v>
      </c>
      <c r="I164" s="11">
        <f t="shared" si="22"/>
        <v>1041.8699999999999</v>
      </c>
    </row>
    <row r="165" spans="1:9" x14ac:dyDescent="0.25">
      <c r="A165" s="11" t="s">
        <v>10</v>
      </c>
      <c r="B165" s="11" t="s">
        <v>174</v>
      </c>
      <c r="C165" s="9">
        <v>4840</v>
      </c>
      <c r="D165" s="11">
        <f t="shared" si="19"/>
        <v>4498.18</v>
      </c>
      <c r="E165" s="11">
        <f t="shared" si="20"/>
        <v>5346.21</v>
      </c>
      <c r="F165" s="11">
        <f t="shared" si="21"/>
        <v>3650.15</v>
      </c>
      <c r="G165" s="11">
        <f t="shared" si="23"/>
        <v>340</v>
      </c>
      <c r="H165" s="11">
        <f t="shared" si="24"/>
        <v>318.81</v>
      </c>
      <c r="I165" s="11">
        <f t="shared" si="22"/>
        <v>1041.8699999999999</v>
      </c>
    </row>
    <row r="166" spans="1:9" x14ac:dyDescent="0.25">
      <c r="A166" s="11" t="s">
        <v>10</v>
      </c>
      <c r="B166" s="11" t="s">
        <v>175</v>
      </c>
      <c r="C166" s="9">
        <v>5075</v>
      </c>
      <c r="D166" s="11">
        <f t="shared" si="19"/>
        <v>4498.18</v>
      </c>
      <c r="E166" s="11">
        <f t="shared" si="20"/>
        <v>5346.21</v>
      </c>
      <c r="F166" s="11">
        <f t="shared" si="21"/>
        <v>3650.15</v>
      </c>
      <c r="G166" s="11">
        <f t="shared" si="23"/>
        <v>235</v>
      </c>
      <c r="H166" s="11">
        <f t="shared" si="24"/>
        <v>318.81</v>
      </c>
      <c r="I166" s="11">
        <f t="shared" si="22"/>
        <v>1041.8699999999999</v>
      </c>
    </row>
    <row r="167" spans="1:9" x14ac:dyDescent="0.25">
      <c r="A167" s="11" t="s">
        <v>10</v>
      </c>
      <c r="B167" s="11" t="s">
        <v>176</v>
      </c>
      <c r="C167" s="9">
        <v>5000</v>
      </c>
      <c r="D167" s="11">
        <f t="shared" si="19"/>
        <v>4498.18</v>
      </c>
      <c r="E167" s="11">
        <f t="shared" si="20"/>
        <v>5346.21</v>
      </c>
      <c r="F167" s="11">
        <f t="shared" si="21"/>
        <v>3650.15</v>
      </c>
      <c r="G167" s="11">
        <f t="shared" si="23"/>
        <v>75</v>
      </c>
      <c r="H167" s="11">
        <f t="shared" si="24"/>
        <v>318.81</v>
      </c>
      <c r="I167" s="11">
        <f t="shared" si="22"/>
        <v>1041.8699999999999</v>
      </c>
    </row>
    <row r="168" spans="1:9" x14ac:dyDescent="0.25">
      <c r="A168" s="11" t="s">
        <v>10</v>
      </c>
      <c r="B168" s="11" t="s">
        <v>177</v>
      </c>
      <c r="C168" s="9">
        <v>4770</v>
      </c>
      <c r="D168" s="11">
        <f t="shared" si="19"/>
        <v>4498.18</v>
      </c>
      <c r="E168" s="11">
        <f t="shared" si="20"/>
        <v>5346.21</v>
      </c>
      <c r="F168" s="11">
        <f t="shared" si="21"/>
        <v>3650.15</v>
      </c>
      <c r="G168" s="11">
        <f t="shared" si="23"/>
        <v>230</v>
      </c>
      <c r="H168" s="11">
        <f t="shared" si="24"/>
        <v>318.81</v>
      </c>
      <c r="I168" s="11">
        <f t="shared" si="22"/>
        <v>1041.8699999999999</v>
      </c>
    </row>
    <row r="169" spans="1:9" x14ac:dyDescent="0.25">
      <c r="A169" s="11" t="s">
        <v>10</v>
      </c>
      <c r="B169" s="11" t="s">
        <v>178</v>
      </c>
      <c r="C169" s="9">
        <v>4570</v>
      </c>
      <c r="D169" s="11">
        <f t="shared" si="19"/>
        <v>4498.18</v>
      </c>
      <c r="E169" s="11">
        <f t="shared" si="20"/>
        <v>5346.21</v>
      </c>
      <c r="F169" s="11">
        <f t="shared" si="21"/>
        <v>3650.15</v>
      </c>
      <c r="G169" s="11">
        <f t="shared" si="23"/>
        <v>200</v>
      </c>
      <c r="H169" s="11">
        <f t="shared" si="24"/>
        <v>318.81</v>
      </c>
      <c r="I169" s="11">
        <f t="shared" si="22"/>
        <v>1041.8699999999999</v>
      </c>
    </row>
    <row r="170" spans="1:9" x14ac:dyDescent="0.25">
      <c r="A170" s="11" t="s">
        <v>10</v>
      </c>
      <c r="B170" s="11" t="s">
        <v>179</v>
      </c>
      <c r="C170" s="9">
        <v>4925</v>
      </c>
      <c r="D170" s="11">
        <f t="shared" si="19"/>
        <v>4498.18</v>
      </c>
      <c r="E170" s="11">
        <f t="shared" si="20"/>
        <v>5346.21</v>
      </c>
      <c r="F170" s="11">
        <f t="shared" si="21"/>
        <v>3650.15</v>
      </c>
      <c r="G170" s="11">
        <f t="shared" si="23"/>
        <v>355</v>
      </c>
      <c r="H170" s="11">
        <f t="shared" si="24"/>
        <v>318.81</v>
      </c>
      <c r="I170" s="11">
        <f t="shared" si="22"/>
        <v>1041.8699999999999</v>
      </c>
    </row>
    <row r="171" spans="1:9" x14ac:dyDescent="0.25">
      <c r="A171" s="11" t="s">
        <v>10</v>
      </c>
      <c r="B171" s="11" t="s">
        <v>180</v>
      </c>
      <c r="C171" s="9">
        <v>4775</v>
      </c>
      <c r="D171" s="11">
        <f t="shared" si="19"/>
        <v>4498.18</v>
      </c>
      <c r="E171" s="11">
        <f t="shared" si="20"/>
        <v>5346.21</v>
      </c>
      <c r="F171" s="11">
        <f t="shared" si="21"/>
        <v>3650.15</v>
      </c>
      <c r="G171" s="11">
        <f t="shared" si="23"/>
        <v>150</v>
      </c>
      <c r="H171" s="11">
        <f t="shared" si="24"/>
        <v>318.81</v>
      </c>
      <c r="I171" s="11">
        <f t="shared" si="22"/>
        <v>1041.8699999999999</v>
      </c>
    </row>
    <row r="172" spans="1:9" x14ac:dyDescent="0.25">
      <c r="A172" s="11" t="s">
        <v>10</v>
      </c>
      <c r="B172" s="11" t="s">
        <v>181</v>
      </c>
      <c r="C172" s="9">
        <v>5075</v>
      </c>
      <c r="D172" s="11">
        <f t="shared" si="19"/>
        <v>4498.18</v>
      </c>
      <c r="E172" s="11">
        <f t="shared" si="20"/>
        <v>5346.21</v>
      </c>
      <c r="F172" s="11">
        <f t="shared" si="21"/>
        <v>3650.15</v>
      </c>
      <c r="G172" s="11">
        <f t="shared" si="23"/>
        <v>300</v>
      </c>
      <c r="H172" s="11">
        <f t="shared" si="24"/>
        <v>318.81</v>
      </c>
      <c r="I172" s="11">
        <f t="shared" si="22"/>
        <v>1041.8699999999999</v>
      </c>
    </row>
    <row r="173" spans="1:9" x14ac:dyDescent="0.25">
      <c r="A173" s="11" t="s">
        <v>10</v>
      </c>
      <c r="B173" s="11" t="s">
        <v>182</v>
      </c>
      <c r="C173" s="9">
        <v>4925</v>
      </c>
      <c r="D173" s="11">
        <f t="shared" si="19"/>
        <v>4498.18</v>
      </c>
      <c r="E173" s="11">
        <f t="shared" si="20"/>
        <v>5346.21</v>
      </c>
      <c r="F173" s="11">
        <f t="shared" si="21"/>
        <v>3650.15</v>
      </c>
      <c r="G173" s="11">
        <f t="shared" si="23"/>
        <v>150</v>
      </c>
      <c r="H173" s="11">
        <f t="shared" si="24"/>
        <v>318.81</v>
      </c>
      <c r="I173" s="11">
        <f t="shared" si="22"/>
        <v>1041.8699999999999</v>
      </c>
    </row>
    <row r="174" spans="1:9" x14ac:dyDescent="0.25">
      <c r="A174" s="11" t="s">
        <v>10</v>
      </c>
      <c r="B174" s="11" t="s">
        <v>183</v>
      </c>
      <c r="C174" s="9">
        <v>5075</v>
      </c>
      <c r="D174" s="11">
        <f t="shared" si="19"/>
        <v>4498.18</v>
      </c>
      <c r="E174" s="11">
        <f t="shared" si="20"/>
        <v>5346.21</v>
      </c>
      <c r="F174" s="11">
        <f t="shared" si="21"/>
        <v>3650.15</v>
      </c>
      <c r="G174" s="11">
        <f t="shared" si="23"/>
        <v>150</v>
      </c>
      <c r="H174" s="11">
        <f t="shared" si="24"/>
        <v>318.81</v>
      </c>
      <c r="I174" s="11">
        <f t="shared" si="22"/>
        <v>1041.8699999999999</v>
      </c>
    </row>
    <row r="175" spans="1:9" x14ac:dyDescent="0.25">
      <c r="A175" s="11" t="s">
        <v>10</v>
      </c>
      <c r="B175" s="11" t="s">
        <v>184</v>
      </c>
      <c r="C175" s="9">
        <v>4925</v>
      </c>
      <c r="D175" s="11">
        <f t="shared" si="19"/>
        <v>4498.18</v>
      </c>
      <c r="E175" s="11">
        <f t="shared" si="20"/>
        <v>5346.21</v>
      </c>
      <c r="F175" s="11">
        <f t="shared" si="21"/>
        <v>3650.15</v>
      </c>
      <c r="G175" s="11">
        <f t="shared" si="23"/>
        <v>150</v>
      </c>
      <c r="H175" s="11">
        <f t="shared" si="24"/>
        <v>318.81</v>
      </c>
      <c r="I175" s="11">
        <f t="shared" si="22"/>
        <v>1041.8699999999999</v>
      </c>
    </row>
    <row r="176" spans="1:9" x14ac:dyDescent="0.25">
      <c r="A176" s="11" t="s">
        <v>10</v>
      </c>
      <c r="B176" s="11" t="s">
        <v>185</v>
      </c>
      <c r="C176" s="9">
        <v>5250</v>
      </c>
      <c r="D176" s="11">
        <f t="shared" si="19"/>
        <v>4498.18</v>
      </c>
      <c r="E176" s="11">
        <f t="shared" si="20"/>
        <v>5346.21</v>
      </c>
      <c r="F176" s="11">
        <f t="shared" si="21"/>
        <v>3650.15</v>
      </c>
      <c r="G176" s="11">
        <f t="shared" si="23"/>
        <v>325</v>
      </c>
      <c r="H176" s="11">
        <f t="shared" si="24"/>
        <v>318.81</v>
      </c>
      <c r="I176" s="11">
        <f t="shared" si="22"/>
        <v>1041.8699999999999</v>
      </c>
    </row>
    <row r="177" spans="1:9" x14ac:dyDescent="0.25">
      <c r="A177" s="11" t="s">
        <v>10</v>
      </c>
      <c r="B177" s="11" t="s">
        <v>186</v>
      </c>
      <c r="C177" s="9">
        <v>4915</v>
      </c>
      <c r="D177" s="11">
        <f t="shared" si="19"/>
        <v>4498.18</v>
      </c>
      <c r="E177" s="11">
        <f t="shared" si="20"/>
        <v>5346.21</v>
      </c>
      <c r="F177" s="11">
        <f t="shared" si="21"/>
        <v>3650.15</v>
      </c>
      <c r="G177" s="11">
        <f t="shared" si="23"/>
        <v>335</v>
      </c>
      <c r="H177" s="11">
        <f t="shared" si="24"/>
        <v>318.81</v>
      </c>
      <c r="I177" s="11">
        <f t="shared" si="22"/>
        <v>1041.8699999999999</v>
      </c>
    </row>
    <row r="178" spans="1:9" x14ac:dyDescent="0.25">
      <c r="A178" s="11" t="s">
        <v>10</v>
      </c>
      <c r="B178" s="11" t="s">
        <v>187</v>
      </c>
      <c r="C178" s="9">
        <v>5600</v>
      </c>
      <c r="D178" s="11">
        <f t="shared" si="19"/>
        <v>4498.18</v>
      </c>
      <c r="E178" s="11">
        <f t="shared" si="20"/>
        <v>5346.21</v>
      </c>
      <c r="F178" s="11">
        <f t="shared" si="21"/>
        <v>3650.15</v>
      </c>
      <c r="G178" s="11">
        <f t="shared" si="23"/>
        <v>685</v>
      </c>
      <c r="H178" s="11">
        <f t="shared" si="24"/>
        <v>318.81</v>
      </c>
      <c r="I178" s="11">
        <f t="shared" si="22"/>
        <v>1041.8699999999999</v>
      </c>
    </row>
    <row r="179" spans="1:9" x14ac:dyDescent="0.25">
      <c r="A179" s="11" t="s">
        <v>10</v>
      </c>
      <c r="B179" s="11" t="s">
        <v>188</v>
      </c>
      <c r="C179" s="9">
        <v>5075</v>
      </c>
      <c r="D179" s="11">
        <f t="shared" si="19"/>
        <v>4498.18</v>
      </c>
      <c r="E179" s="11">
        <f t="shared" si="20"/>
        <v>5346.21</v>
      </c>
      <c r="F179" s="11">
        <f t="shared" si="21"/>
        <v>3650.15</v>
      </c>
      <c r="G179" s="11">
        <f t="shared" si="23"/>
        <v>525</v>
      </c>
      <c r="H179" s="11">
        <f t="shared" si="24"/>
        <v>318.81</v>
      </c>
      <c r="I179" s="11">
        <f t="shared" si="22"/>
        <v>1041.8699999999999</v>
      </c>
    </row>
    <row r="180" spans="1:9" x14ac:dyDescent="0.25">
      <c r="A180" s="11" t="s">
        <v>10</v>
      </c>
      <c r="B180" s="11" t="s">
        <v>189</v>
      </c>
      <c r="C180" s="9">
        <v>4450</v>
      </c>
      <c r="D180" s="11">
        <f t="shared" si="19"/>
        <v>4498.18</v>
      </c>
      <c r="E180" s="11">
        <f t="shared" si="20"/>
        <v>5346.21</v>
      </c>
      <c r="F180" s="11">
        <f t="shared" si="21"/>
        <v>3650.15</v>
      </c>
      <c r="G180" s="11">
        <f t="shared" si="23"/>
        <v>625</v>
      </c>
      <c r="H180" s="11">
        <f t="shared" si="24"/>
        <v>318.81</v>
      </c>
      <c r="I180" s="11">
        <f t="shared" si="22"/>
        <v>1041.8699999999999</v>
      </c>
    </row>
    <row r="181" spans="1:9" x14ac:dyDescent="0.25">
      <c r="A181" s="11" t="s">
        <v>10</v>
      </c>
      <c r="B181" s="11" t="s">
        <v>190</v>
      </c>
      <c r="C181" s="9">
        <v>4215</v>
      </c>
      <c r="D181" s="11">
        <f t="shared" si="19"/>
        <v>4498.18</v>
      </c>
      <c r="E181" s="11">
        <f t="shared" si="20"/>
        <v>5346.21</v>
      </c>
      <c r="F181" s="11">
        <f t="shared" si="21"/>
        <v>3650.15</v>
      </c>
      <c r="G181" s="11">
        <f t="shared" si="23"/>
        <v>235</v>
      </c>
      <c r="H181" s="11">
        <f t="shared" si="24"/>
        <v>318.81</v>
      </c>
      <c r="I181" s="11">
        <f t="shared" si="22"/>
        <v>1041.8699999999999</v>
      </c>
    </row>
    <row r="182" spans="1:9" x14ac:dyDescent="0.25">
      <c r="A182" s="11" t="s">
        <v>10</v>
      </c>
      <c r="B182" s="11" t="s">
        <v>191</v>
      </c>
      <c r="C182" s="9">
        <v>4325</v>
      </c>
      <c r="D182" s="11">
        <f t="shared" si="19"/>
        <v>4498.18</v>
      </c>
      <c r="E182" s="11">
        <f t="shared" si="20"/>
        <v>5346.21</v>
      </c>
      <c r="F182" s="11">
        <f t="shared" si="21"/>
        <v>3650.15</v>
      </c>
      <c r="G182" s="11">
        <f t="shared" si="23"/>
        <v>110</v>
      </c>
      <c r="H182" s="11">
        <f t="shared" si="24"/>
        <v>318.81</v>
      </c>
      <c r="I182" s="11">
        <f t="shared" si="22"/>
        <v>1041.8699999999999</v>
      </c>
    </row>
    <row r="183" spans="1:9" x14ac:dyDescent="0.25">
      <c r="A183" s="11" t="s">
        <v>10</v>
      </c>
      <c r="B183" s="11" t="s">
        <v>192</v>
      </c>
      <c r="C183" s="9">
        <v>4665</v>
      </c>
      <c r="D183" s="11">
        <f t="shared" si="19"/>
        <v>4498.18</v>
      </c>
      <c r="E183" s="11">
        <f t="shared" si="20"/>
        <v>5346.21</v>
      </c>
      <c r="F183" s="11">
        <f t="shared" si="21"/>
        <v>3650.15</v>
      </c>
      <c r="G183" s="11">
        <f t="shared" si="23"/>
        <v>340</v>
      </c>
      <c r="H183" s="11">
        <f t="shared" si="24"/>
        <v>318.81</v>
      </c>
      <c r="I183" s="11">
        <f t="shared" si="22"/>
        <v>1041.8699999999999</v>
      </c>
    </row>
    <row r="184" spans="1:9" x14ac:dyDescent="0.25">
      <c r="A184" s="11" t="s">
        <v>10</v>
      </c>
      <c r="B184" s="11" t="s">
        <v>193</v>
      </c>
      <c r="C184" s="9">
        <v>4615</v>
      </c>
      <c r="D184" s="11">
        <f t="shared" si="19"/>
        <v>4498.18</v>
      </c>
      <c r="E184" s="11">
        <f t="shared" si="20"/>
        <v>5346.21</v>
      </c>
      <c r="F184" s="11">
        <f t="shared" si="21"/>
        <v>3650.15</v>
      </c>
      <c r="G184" s="11">
        <f t="shared" si="23"/>
        <v>50</v>
      </c>
      <c r="H184" s="11">
        <f t="shared" si="24"/>
        <v>318.81</v>
      </c>
      <c r="I184" s="11">
        <f t="shared" si="22"/>
        <v>1041.8699999999999</v>
      </c>
    </row>
    <row r="185" spans="1:9" x14ac:dyDescent="0.25">
      <c r="A185" s="11" t="s">
        <v>10</v>
      </c>
      <c r="B185" s="11" t="s">
        <v>194</v>
      </c>
      <c r="C185" s="9">
        <v>4615</v>
      </c>
      <c r="D185" s="11">
        <f t="shared" si="19"/>
        <v>4498.18</v>
      </c>
      <c r="E185" s="11">
        <f t="shared" si="20"/>
        <v>5346.21</v>
      </c>
      <c r="F185" s="11">
        <f t="shared" si="21"/>
        <v>3650.15</v>
      </c>
      <c r="G185" s="11">
        <f t="shared" si="23"/>
        <v>0</v>
      </c>
      <c r="H185" s="11">
        <f t="shared" si="24"/>
        <v>318.81</v>
      </c>
      <c r="I185" s="11">
        <f t="shared" si="22"/>
        <v>1041.8699999999999</v>
      </c>
    </row>
    <row r="186" spans="1:9" x14ac:dyDescent="0.25">
      <c r="A186" s="11" t="s">
        <v>10</v>
      </c>
      <c r="B186" s="11" t="s">
        <v>195</v>
      </c>
      <c r="C186" s="9">
        <v>4500</v>
      </c>
      <c r="D186" s="11">
        <f t="shared" si="19"/>
        <v>4498.18</v>
      </c>
      <c r="E186" s="11">
        <f t="shared" si="20"/>
        <v>5346.21</v>
      </c>
      <c r="F186" s="11">
        <f t="shared" si="21"/>
        <v>3650.15</v>
      </c>
      <c r="G186" s="11">
        <f t="shared" si="23"/>
        <v>115</v>
      </c>
      <c r="H186" s="11">
        <f t="shared" si="24"/>
        <v>318.81</v>
      </c>
      <c r="I186" s="11">
        <f t="shared" si="22"/>
        <v>1041.8699999999999</v>
      </c>
    </row>
    <row r="187" spans="1:9" x14ac:dyDescent="0.25">
      <c r="A187" s="11" t="s">
        <v>10</v>
      </c>
      <c r="B187" s="11" t="s">
        <v>196</v>
      </c>
      <c r="C187" s="9">
        <v>4765</v>
      </c>
      <c r="D187" s="11">
        <f t="shared" si="19"/>
        <v>4498.18</v>
      </c>
      <c r="E187" s="11">
        <f t="shared" si="20"/>
        <v>5346.21</v>
      </c>
      <c r="F187" s="11">
        <f t="shared" si="21"/>
        <v>3650.15</v>
      </c>
      <c r="G187" s="11">
        <f t="shared" si="23"/>
        <v>265</v>
      </c>
      <c r="H187" s="11">
        <f t="shared" si="24"/>
        <v>318.81</v>
      </c>
      <c r="I187" s="11">
        <f t="shared" si="22"/>
        <v>1041.8699999999999</v>
      </c>
    </row>
    <row r="188" spans="1:9" x14ac:dyDescent="0.25">
      <c r="A188" s="11" t="s">
        <v>10</v>
      </c>
      <c r="B188" s="11" t="s">
        <v>197</v>
      </c>
      <c r="C188" s="9">
        <v>4500</v>
      </c>
      <c r="D188" s="11">
        <f t="shared" si="19"/>
        <v>4498.18</v>
      </c>
      <c r="E188" s="11">
        <f t="shared" si="20"/>
        <v>5346.21</v>
      </c>
      <c r="F188" s="11">
        <f t="shared" si="21"/>
        <v>3650.15</v>
      </c>
      <c r="G188" s="11">
        <f t="shared" si="23"/>
        <v>265</v>
      </c>
      <c r="H188" s="11">
        <f t="shared" si="24"/>
        <v>318.81</v>
      </c>
      <c r="I188" s="11">
        <f t="shared" si="22"/>
        <v>1041.8699999999999</v>
      </c>
    </row>
    <row r="189" spans="1:9" x14ac:dyDescent="0.25">
      <c r="A189" s="11" t="s">
        <v>10</v>
      </c>
      <c r="B189" s="11" t="s">
        <v>198</v>
      </c>
      <c r="C189" s="9">
        <v>4500</v>
      </c>
      <c r="D189" s="11">
        <f t="shared" si="19"/>
        <v>4498.18</v>
      </c>
      <c r="E189" s="11">
        <f t="shared" si="20"/>
        <v>5346.21</v>
      </c>
      <c r="F189" s="11">
        <f t="shared" si="21"/>
        <v>3650.15</v>
      </c>
      <c r="G189" s="11">
        <f t="shared" si="23"/>
        <v>0</v>
      </c>
      <c r="H189" s="11">
        <f t="shared" si="24"/>
        <v>318.81</v>
      </c>
      <c r="I189" s="11">
        <f t="shared" si="22"/>
        <v>1041.8699999999999</v>
      </c>
    </row>
    <row r="190" spans="1:9" x14ac:dyDescent="0.25">
      <c r="A190" s="11" t="s">
        <v>10</v>
      </c>
      <c r="B190" s="11" t="s">
        <v>199</v>
      </c>
      <c r="C190" s="9">
        <v>4850</v>
      </c>
      <c r="D190" s="11">
        <f t="shared" si="19"/>
        <v>4498.18</v>
      </c>
      <c r="E190" s="11">
        <f t="shared" si="20"/>
        <v>5346.21</v>
      </c>
      <c r="F190" s="11">
        <f t="shared" si="21"/>
        <v>3650.15</v>
      </c>
      <c r="G190" s="11">
        <f t="shared" si="23"/>
        <v>350</v>
      </c>
      <c r="H190" s="11">
        <f t="shared" si="24"/>
        <v>318.81</v>
      </c>
      <c r="I190" s="11">
        <f t="shared" si="22"/>
        <v>1041.8699999999999</v>
      </c>
    </row>
    <row r="191" spans="1:9" x14ac:dyDescent="0.25">
      <c r="A191" s="11" t="s">
        <v>10</v>
      </c>
      <c r="B191" s="11" t="s">
        <v>200</v>
      </c>
      <c r="C191" s="9">
        <v>4930</v>
      </c>
      <c r="D191" s="11">
        <f t="shared" si="19"/>
        <v>4498.18</v>
      </c>
      <c r="E191" s="11">
        <f t="shared" si="20"/>
        <v>5346.21</v>
      </c>
      <c r="F191" s="11">
        <f t="shared" si="21"/>
        <v>3650.15</v>
      </c>
      <c r="G191" s="11">
        <f t="shared" si="23"/>
        <v>80</v>
      </c>
      <c r="H191" s="11">
        <f t="shared" si="24"/>
        <v>318.81</v>
      </c>
      <c r="I191" s="11">
        <f t="shared" si="22"/>
        <v>1041.8699999999999</v>
      </c>
    </row>
    <row r="192" spans="1:9" x14ac:dyDescent="0.25">
      <c r="A192" s="11" t="s">
        <v>10</v>
      </c>
      <c r="B192" s="11" t="s">
        <v>201</v>
      </c>
      <c r="C192" s="9">
        <v>4700</v>
      </c>
      <c r="D192" s="11">
        <f t="shared" si="19"/>
        <v>4498.18</v>
      </c>
      <c r="E192" s="11">
        <f t="shared" si="20"/>
        <v>5346.21</v>
      </c>
      <c r="F192" s="11">
        <f t="shared" si="21"/>
        <v>3650.15</v>
      </c>
      <c r="G192" s="11">
        <f t="shared" si="23"/>
        <v>230</v>
      </c>
      <c r="H192" s="11">
        <f t="shared" si="24"/>
        <v>318.81</v>
      </c>
      <c r="I192" s="11">
        <f t="shared" si="22"/>
        <v>1041.8699999999999</v>
      </c>
    </row>
    <row r="193" spans="1:9" x14ac:dyDescent="0.25">
      <c r="A193" s="11" t="s">
        <v>10</v>
      </c>
      <c r="B193" s="11" t="s">
        <v>202</v>
      </c>
      <c r="C193" s="9">
        <v>4890</v>
      </c>
      <c r="D193" s="11">
        <f t="shared" si="19"/>
        <v>4498.18</v>
      </c>
      <c r="E193" s="11">
        <f t="shared" si="20"/>
        <v>5346.21</v>
      </c>
      <c r="F193" s="11">
        <f t="shared" si="21"/>
        <v>3650.15</v>
      </c>
      <c r="G193" s="11">
        <f t="shared" si="23"/>
        <v>190</v>
      </c>
      <c r="H193" s="11">
        <f t="shared" si="24"/>
        <v>318.81</v>
      </c>
      <c r="I193" s="11">
        <f t="shared" si="22"/>
        <v>1041.8699999999999</v>
      </c>
    </row>
    <row r="194" spans="1:9" x14ac:dyDescent="0.25">
      <c r="A194" s="11" t="s">
        <v>10</v>
      </c>
      <c r="B194" s="11" t="s">
        <v>203</v>
      </c>
      <c r="C194" s="9">
        <v>4625</v>
      </c>
      <c r="D194" s="11">
        <f t="shared" ref="D194:D205" si="25">ROUND(AVERAGE($C$2:$C$205),2)</f>
        <v>4498.18</v>
      </c>
      <c r="E194" s="11">
        <f t="shared" ref="E194:E205" si="26">ROUND(D194+(2.66*H194),2)</f>
        <v>5346.21</v>
      </c>
      <c r="F194" s="11">
        <f t="shared" ref="F194:F205" si="27">ROUND(D194-(2.66*H194),2)</f>
        <v>3650.15</v>
      </c>
      <c r="G194" s="11">
        <f t="shared" si="23"/>
        <v>265</v>
      </c>
      <c r="H194" s="11">
        <f t="shared" si="24"/>
        <v>318.81</v>
      </c>
      <c r="I194" s="11">
        <f t="shared" ref="I194:I205" si="28">ROUND(3.268*H194,2)</f>
        <v>1041.8699999999999</v>
      </c>
    </row>
    <row r="195" spans="1:9" x14ac:dyDescent="0.25">
      <c r="A195" s="11" t="s">
        <v>10</v>
      </c>
      <c r="B195" s="11" t="s">
        <v>204</v>
      </c>
      <c r="C195" s="9">
        <v>4425</v>
      </c>
      <c r="D195" s="11">
        <f t="shared" si="25"/>
        <v>4498.18</v>
      </c>
      <c r="E195" s="11">
        <f t="shared" si="26"/>
        <v>5346.21</v>
      </c>
      <c r="F195" s="11">
        <f t="shared" si="27"/>
        <v>3650.15</v>
      </c>
      <c r="G195" s="11">
        <f t="shared" ref="G195:G205" si="29">ABS(C194-C195)</f>
        <v>200</v>
      </c>
      <c r="H195" s="11">
        <f t="shared" ref="H195:H205" si="30">ROUND(AVERAGE($G$3:$G$205),2)</f>
        <v>318.81</v>
      </c>
      <c r="I195" s="11">
        <f t="shared" si="28"/>
        <v>1041.8699999999999</v>
      </c>
    </row>
    <row r="196" spans="1:9" x14ac:dyDescent="0.25">
      <c r="A196" s="11" t="s">
        <v>10</v>
      </c>
      <c r="B196" s="11" t="s">
        <v>205</v>
      </c>
      <c r="C196" s="9">
        <v>4135</v>
      </c>
      <c r="D196" s="11">
        <f t="shared" si="25"/>
        <v>4498.18</v>
      </c>
      <c r="E196" s="11">
        <f t="shared" si="26"/>
        <v>5346.21</v>
      </c>
      <c r="F196" s="11">
        <f t="shared" si="27"/>
        <v>3650.15</v>
      </c>
      <c r="G196" s="11">
        <f t="shared" si="29"/>
        <v>290</v>
      </c>
      <c r="H196" s="11">
        <f t="shared" si="30"/>
        <v>318.81</v>
      </c>
      <c r="I196" s="11">
        <f t="shared" si="28"/>
        <v>1041.8699999999999</v>
      </c>
    </row>
    <row r="197" spans="1:9" x14ac:dyDescent="0.25">
      <c r="A197" s="11" t="s">
        <v>10</v>
      </c>
      <c r="B197" s="11" t="s">
        <v>206</v>
      </c>
      <c r="C197" s="9">
        <v>4190</v>
      </c>
      <c r="D197" s="11">
        <f t="shared" si="25"/>
        <v>4498.18</v>
      </c>
      <c r="E197" s="11">
        <f t="shared" si="26"/>
        <v>5346.21</v>
      </c>
      <c r="F197" s="11">
        <f t="shared" si="27"/>
        <v>3650.15</v>
      </c>
      <c r="G197" s="11">
        <f t="shared" si="29"/>
        <v>55</v>
      </c>
      <c r="H197" s="11">
        <f t="shared" si="30"/>
        <v>318.81</v>
      </c>
      <c r="I197" s="11">
        <f t="shared" si="28"/>
        <v>1041.8699999999999</v>
      </c>
    </row>
    <row r="198" spans="1:9" x14ac:dyDescent="0.25">
      <c r="A198" s="11" t="s">
        <v>10</v>
      </c>
      <c r="B198" s="11" t="s">
        <v>207</v>
      </c>
      <c r="C198" s="9">
        <v>4080</v>
      </c>
      <c r="D198" s="11">
        <f t="shared" si="25"/>
        <v>4498.18</v>
      </c>
      <c r="E198" s="11">
        <f t="shared" si="26"/>
        <v>5346.21</v>
      </c>
      <c r="F198" s="11">
        <f t="shared" si="27"/>
        <v>3650.15</v>
      </c>
      <c r="G198" s="11">
        <f t="shared" si="29"/>
        <v>110</v>
      </c>
      <c r="H198" s="11">
        <f t="shared" si="30"/>
        <v>318.81</v>
      </c>
      <c r="I198" s="11">
        <f t="shared" si="28"/>
        <v>1041.8699999999999</v>
      </c>
    </row>
    <row r="199" spans="1:9" x14ac:dyDescent="0.25">
      <c r="A199" s="11" t="s">
        <v>10</v>
      </c>
      <c r="B199" s="11" t="s">
        <v>208</v>
      </c>
      <c r="C199" s="9">
        <v>3690</v>
      </c>
      <c r="D199" s="11">
        <f t="shared" si="25"/>
        <v>4498.18</v>
      </c>
      <c r="E199" s="11">
        <f t="shared" si="26"/>
        <v>5346.21</v>
      </c>
      <c r="F199" s="11">
        <f t="shared" si="27"/>
        <v>3650.15</v>
      </c>
      <c r="G199" s="11">
        <f t="shared" si="29"/>
        <v>390</v>
      </c>
      <c r="H199" s="11">
        <f t="shared" si="30"/>
        <v>318.81</v>
      </c>
      <c r="I199" s="11">
        <f t="shared" si="28"/>
        <v>1041.8699999999999</v>
      </c>
    </row>
    <row r="200" spans="1:9" x14ac:dyDescent="0.25">
      <c r="A200" s="11" t="s">
        <v>10</v>
      </c>
      <c r="B200" s="11" t="s">
        <v>209</v>
      </c>
      <c r="C200" s="9">
        <v>5050</v>
      </c>
      <c r="D200" s="11">
        <f t="shared" si="25"/>
        <v>4498.18</v>
      </c>
      <c r="E200" s="11">
        <f t="shared" si="26"/>
        <v>5346.21</v>
      </c>
      <c r="F200" s="11">
        <f t="shared" si="27"/>
        <v>3650.15</v>
      </c>
      <c r="G200" s="11">
        <f t="shared" si="29"/>
        <v>1360</v>
      </c>
      <c r="H200" s="11">
        <f t="shared" si="30"/>
        <v>318.81</v>
      </c>
      <c r="I200" s="11">
        <f t="shared" si="28"/>
        <v>1041.8699999999999</v>
      </c>
    </row>
    <row r="201" spans="1:9" x14ac:dyDescent="0.25">
      <c r="A201" s="11" t="s">
        <v>10</v>
      </c>
      <c r="B201" s="11" t="s">
        <v>210</v>
      </c>
      <c r="C201" s="9">
        <v>4625</v>
      </c>
      <c r="D201" s="11">
        <f t="shared" si="25"/>
        <v>4498.18</v>
      </c>
      <c r="E201" s="11">
        <f t="shared" si="26"/>
        <v>5346.21</v>
      </c>
      <c r="F201" s="11">
        <f t="shared" si="27"/>
        <v>3650.15</v>
      </c>
      <c r="G201" s="11">
        <f t="shared" si="29"/>
        <v>425</v>
      </c>
      <c r="H201" s="11">
        <f t="shared" si="30"/>
        <v>318.81</v>
      </c>
      <c r="I201" s="11">
        <f t="shared" si="28"/>
        <v>1041.8699999999999</v>
      </c>
    </row>
    <row r="202" spans="1:9" x14ac:dyDescent="0.25">
      <c r="A202" s="11" t="s">
        <v>10</v>
      </c>
      <c r="B202" s="11" t="s">
        <v>211</v>
      </c>
      <c r="C202" s="9">
        <v>5150</v>
      </c>
      <c r="D202" s="11">
        <f t="shared" si="25"/>
        <v>4498.18</v>
      </c>
      <c r="E202" s="11">
        <f t="shared" si="26"/>
        <v>5346.21</v>
      </c>
      <c r="F202" s="11">
        <f t="shared" si="27"/>
        <v>3650.15</v>
      </c>
      <c r="G202" s="11">
        <f t="shared" si="29"/>
        <v>525</v>
      </c>
      <c r="H202" s="11">
        <f t="shared" si="30"/>
        <v>318.81</v>
      </c>
      <c r="I202" s="11">
        <f t="shared" si="28"/>
        <v>1041.8699999999999</v>
      </c>
    </row>
    <row r="203" spans="1:9" x14ac:dyDescent="0.25">
      <c r="A203" s="11" t="s">
        <v>10</v>
      </c>
      <c r="B203" s="11" t="s">
        <v>212</v>
      </c>
      <c r="C203" s="9">
        <v>5250</v>
      </c>
      <c r="D203" s="11">
        <f t="shared" si="25"/>
        <v>4498.18</v>
      </c>
      <c r="E203" s="11">
        <f t="shared" si="26"/>
        <v>5346.21</v>
      </c>
      <c r="F203" s="11">
        <f t="shared" si="27"/>
        <v>3650.15</v>
      </c>
      <c r="G203" s="11">
        <f t="shared" si="29"/>
        <v>100</v>
      </c>
      <c r="H203" s="11">
        <f t="shared" si="30"/>
        <v>318.81</v>
      </c>
      <c r="I203" s="11">
        <f t="shared" si="28"/>
        <v>1041.8699999999999</v>
      </c>
    </row>
    <row r="204" spans="1:9" x14ac:dyDescent="0.25">
      <c r="A204" s="11" t="s">
        <v>10</v>
      </c>
      <c r="B204" s="11" t="s">
        <v>213</v>
      </c>
      <c r="C204" s="9">
        <v>5000</v>
      </c>
      <c r="D204" s="11">
        <f t="shared" si="25"/>
        <v>4498.18</v>
      </c>
      <c r="E204" s="11">
        <f t="shared" si="26"/>
        <v>5346.21</v>
      </c>
      <c r="F204" s="11">
        <f t="shared" si="27"/>
        <v>3650.15</v>
      </c>
      <c r="G204" s="11">
        <f t="shared" si="29"/>
        <v>250</v>
      </c>
      <c r="H204" s="11">
        <f t="shared" si="30"/>
        <v>318.81</v>
      </c>
      <c r="I204" s="11">
        <f t="shared" si="28"/>
        <v>1041.8699999999999</v>
      </c>
    </row>
    <row r="205" spans="1:9" x14ac:dyDescent="0.25">
      <c r="A205" s="11" t="s">
        <v>10</v>
      </c>
      <c r="B205" s="11" t="s">
        <v>214</v>
      </c>
      <c r="C205" s="9">
        <v>5000</v>
      </c>
      <c r="D205" s="11">
        <f t="shared" si="25"/>
        <v>4498.18</v>
      </c>
      <c r="E205" s="11">
        <f t="shared" si="26"/>
        <v>5346.21</v>
      </c>
      <c r="F205" s="11">
        <f t="shared" si="27"/>
        <v>3650.15</v>
      </c>
      <c r="G205" s="11">
        <f t="shared" si="29"/>
        <v>0</v>
      </c>
      <c r="H205" s="11">
        <f t="shared" si="30"/>
        <v>318.81</v>
      </c>
      <c r="I205" s="11">
        <f t="shared" si="28"/>
        <v>1041.8699999999999</v>
      </c>
    </row>
  </sheetData>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E5A6-8826-47C4-9ABF-72241AD06E59}">
  <dimension ref="A1:U205"/>
  <sheetViews>
    <sheetView topLeftCell="I1" workbookViewId="0">
      <selection activeCell="AI23" sqref="AI23"/>
    </sheetView>
  </sheetViews>
  <sheetFormatPr defaultRowHeight="13.2" x14ac:dyDescent="0.25"/>
  <cols>
    <col min="3" max="3" width="12.21875" bestFit="1" customWidth="1"/>
    <col min="12" max="12" width="17.88671875" bestFit="1" customWidth="1"/>
    <col min="13" max="13" width="11.109375" bestFit="1" customWidth="1"/>
    <col min="14" max="14" width="9.88671875" bestFit="1" customWidth="1"/>
    <col min="15" max="15" width="15.5546875" bestFit="1" customWidth="1"/>
    <col min="16" max="17" width="7" bestFit="1" customWidth="1"/>
    <col min="18" max="18" width="17" bestFit="1" customWidth="1"/>
    <col min="19" max="19" width="15.77734375" bestFit="1" customWidth="1"/>
    <col min="20" max="20" width="6.6640625" bestFit="1" customWidth="1"/>
    <col min="21" max="21" width="6.44140625" bestFit="1" customWidth="1"/>
  </cols>
  <sheetData>
    <row r="1" spans="1:21" x14ac:dyDescent="0.25">
      <c r="A1" s="10" t="s">
        <v>1</v>
      </c>
      <c r="B1" s="10" t="s">
        <v>2</v>
      </c>
      <c r="C1" s="10" t="s">
        <v>3</v>
      </c>
      <c r="D1" s="10" t="s">
        <v>4</v>
      </c>
      <c r="E1" s="10" t="s">
        <v>5</v>
      </c>
      <c r="F1" s="10" t="s">
        <v>6</v>
      </c>
      <c r="G1" s="10" t="s">
        <v>7</v>
      </c>
      <c r="H1" s="10" t="s">
        <v>8</v>
      </c>
      <c r="I1" s="10" t="s">
        <v>9</v>
      </c>
      <c r="K1" s="12" t="s">
        <v>1</v>
      </c>
      <c r="L1" s="12" t="s">
        <v>223</v>
      </c>
      <c r="M1" s="12" t="s">
        <v>215</v>
      </c>
      <c r="N1" s="12" t="s">
        <v>224</v>
      </c>
      <c r="O1" s="12" t="s">
        <v>216</v>
      </c>
      <c r="P1" s="12" t="s">
        <v>217</v>
      </c>
      <c r="Q1" s="12" t="s">
        <v>218</v>
      </c>
      <c r="R1" s="12" t="s">
        <v>219</v>
      </c>
      <c r="S1" s="12" t="s">
        <v>220</v>
      </c>
      <c r="T1" s="12" t="s">
        <v>9</v>
      </c>
      <c r="U1" s="12" t="s">
        <v>221</v>
      </c>
    </row>
    <row r="2" spans="1:21" x14ac:dyDescent="0.25">
      <c r="A2" s="11" t="s">
        <v>10</v>
      </c>
      <c r="B2" s="11" t="s">
        <v>11</v>
      </c>
      <c r="C2" s="9">
        <v>5045</v>
      </c>
      <c r="D2" s="11">
        <f t="shared" ref="D2:D65" si="0">ROUND(AVERAGE($C$2:$C$205),2)</f>
        <v>4498.18</v>
      </c>
      <c r="E2" s="11">
        <f t="shared" ref="E2:E65" si="1">ROUND(D2+(2.66*H2),2)</f>
        <v>5346.21</v>
      </c>
      <c r="F2" s="11">
        <f t="shared" ref="F2:F65" si="2">ROUND(D2-(2.66*H2),2)</f>
        <v>3650.15</v>
      </c>
      <c r="G2" s="11"/>
      <c r="H2" s="11">
        <f>ROUND(AVERAGE($G$3:$G$205),2)</f>
        <v>318.81</v>
      </c>
      <c r="I2" s="11">
        <f t="shared" ref="I2:I65" si="3">ROUND(3.268*H2,2)</f>
        <v>1041.8699999999999</v>
      </c>
      <c r="K2" s="3" t="s">
        <v>10</v>
      </c>
      <c r="L2">
        <v>4</v>
      </c>
      <c r="M2" s="3" t="s">
        <v>11</v>
      </c>
      <c r="N2">
        <v>4430</v>
      </c>
      <c r="O2">
        <f t="shared" ref="O2:O52" si="4">ROUND(AVERAGE($D$2:$D$52),1)</f>
        <v>4498.2</v>
      </c>
      <c r="P2">
        <f t="shared" ref="P2:P52" si="5">ROUND(O2+(0.729*S2),1)</f>
        <v>4730.6000000000004</v>
      </c>
      <c r="Q2">
        <f t="shared" ref="Q2:Q52" si="6">ROUND(O2-(0.729*S2),1)</f>
        <v>4265.8</v>
      </c>
      <c r="R2">
        <v>1070</v>
      </c>
      <c r="S2" s="13">
        <f t="shared" ref="S2:S33" si="7">ROUND(AVERAGE($H$2:$H$52),1)</f>
        <v>318.8</v>
      </c>
      <c r="T2" s="13">
        <f t="shared" ref="T2:T52" si="8">ROUND(2.282*S2,1)</f>
        <v>727.5</v>
      </c>
      <c r="U2" s="6">
        <f t="shared" ref="U2:U52" si="9">0*S2</f>
        <v>0</v>
      </c>
    </row>
    <row r="3" spans="1:21" x14ac:dyDescent="0.25">
      <c r="A3" s="11" t="s">
        <v>10</v>
      </c>
      <c r="B3" s="11" t="s">
        <v>12</v>
      </c>
      <c r="C3" s="9">
        <v>4350</v>
      </c>
      <c r="D3" s="11">
        <f t="shared" si="0"/>
        <v>4498.18</v>
      </c>
      <c r="E3" s="11">
        <f t="shared" si="1"/>
        <v>5346.21</v>
      </c>
      <c r="F3" s="11">
        <f t="shared" si="2"/>
        <v>3650.15</v>
      </c>
      <c r="G3" s="11">
        <f t="shared" ref="G3:G66" si="10">ABS(C2-C3)</f>
        <v>695</v>
      </c>
      <c r="H3" s="11">
        <f t="shared" ref="H3:H66" si="11">ROUND(AVERAGE($G$3:$G$205),2)</f>
        <v>318.81</v>
      </c>
      <c r="I3" s="11">
        <f t="shared" si="3"/>
        <v>1041.8699999999999</v>
      </c>
      <c r="K3" s="3" t="s">
        <v>10</v>
      </c>
      <c r="L3">
        <v>4</v>
      </c>
      <c r="M3" s="3" t="s">
        <v>12</v>
      </c>
      <c r="N3">
        <v>4372.5</v>
      </c>
      <c r="O3">
        <f t="shared" si="4"/>
        <v>4498.2</v>
      </c>
      <c r="P3">
        <f t="shared" si="5"/>
        <v>4730.6000000000004</v>
      </c>
      <c r="Q3">
        <f t="shared" si="6"/>
        <v>4265.8</v>
      </c>
      <c r="R3">
        <v>200</v>
      </c>
      <c r="S3" s="13">
        <f t="shared" si="7"/>
        <v>318.8</v>
      </c>
      <c r="T3" s="13">
        <f t="shared" si="8"/>
        <v>727.5</v>
      </c>
      <c r="U3" s="6">
        <f t="shared" si="9"/>
        <v>0</v>
      </c>
    </row>
    <row r="4" spans="1:21" x14ac:dyDescent="0.25">
      <c r="A4" s="11" t="s">
        <v>10</v>
      </c>
      <c r="B4" s="11" t="s">
        <v>13</v>
      </c>
      <c r="C4" s="9">
        <v>4350</v>
      </c>
      <c r="D4" s="11">
        <f t="shared" si="0"/>
        <v>4498.18</v>
      </c>
      <c r="E4" s="11">
        <f t="shared" si="1"/>
        <v>5346.21</v>
      </c>
      <c r="F4" s="11">
        <f t="shared" si="2"/>
        <v>3650.15</v>
      </c>
      <c r="G4" s="11">
        <f t="shared" si="10"/>
        <v>0</v>
      </c>
      <c r="H4" s="11">
        <f t="shared" si="11"/>
        <v>318.81</v>
      </c>
      <c r="I4" s="11">
        <f t="shared" si="3"/>
        <v>1041.8699999999999</v>
      </c>
      <c r="K4" s="3" t="s">
        <v>10</v>
      </c>
      <c r="L4">
        <v>4</v>
      </c>
      <c r="M4" s="3" t="s">
        <v>13</v>
      </c>
      <c r="N4">
        <v>3827.5</v>
      </c>
      <c r="O4">
        <f t="shared" si="4"/>
        <v>4498.2</v>
      </c>
      <c r="P4">
        <f t="shared" si="5"/>
        <v>4730.6000000000004</v>
      </c>
      <c r="Q4">
        <f t="shared" si="6"/>
        <v>4265.8</v>
      </c>
      <c r="R4">
        <v>335</v>
      </c>
      <c r="S4" s="13">
        <f t="shared" si="7"/>
        <v>318.8</v>
      </c>
      <c r="T4" s="13">
        <f t="shared" si="8"/>
        <v>727.5</v>
      </c>
      <c r="U4" s="6">
        <f t="shared" si="9"/>
        <v>0</v>
      </c>
    </row>
    <row r="5" spans="1:21" x14ac:dyDescent="0.25">
      <c r="A5" s="11" t="s">
        <v>10</v>
      </c>
      <c r="B5" s="11" t="s">
        <v>14</v>
      </c>
      <c r="C5" s="9">
        <v>3975</v>
      </c>
      <c r="D5" s="11">
        <f t="shared" si="0"/>
        <v>4498.18</v>
      </c>
      <c r="E5" s="11">
        <f t="shared" si="1"/>
        <v>5346.21</v>
      </c>
      <c r="F5" s="11">
        <f t="shared" si="2"/>
        <v>3650.15</v>
      </c>
      <c r="G5" s="11">
        <f t="shared" si="10"/>
        <v>375</v>
      </c>
      <c r="H5" s="11">
        <f t="shared" si="11"/>
        <v>318.81</v>
      </c>
      <c r="I5" s="11">
        <f t="shared" si="3"/>
        <v>1041.8699999999999</v>
      </c>
      <c r="K5" s="3" t="s">
        <v>10</v>
      </c>
      <c r="L5">
        <v>4</v>
      </c>
      <c r="M5" s="3" t="s">
        <v>14</v>
      </c>
      <c r="N5">
        <v>3912</v>
      </c>
      <c r="O5">
        <f t="shared" si="4"/>
        <v>4498.2</v>
      </c>
      <c r="P5">
        <f t="shared" si="5"/>
        <v>4730.6000000000004</v>
      </c>
      <c r="Q5">
        <f t="shared" si="6"/>
        <v>4265.8</v>
      </c>
      <c r="R5">
        <v>1900</v>
      </c>
      <c r="S5" s="13">
        <f t="shared" si="7"/>
        <v>318.8</v>
      </c>
      <c r="T5" s="13">
        <f t="shared" si="8"/>
        <v>727.5</v>
      </c>
      <c r="U5" s="6">
        <f t="shared" si="9"/>
        <v>0</v>
      </c>
    </row>
    <row r="6" spans="1:21" x14ac:dyDescent="0.25">
      <c r="A6" s="11" t="s">
        <v>10</v>
      </c>
      <c r="B6" s="11" t="s">
        <v>15</v>
      </c>
      <c r="C6" s="9">
        <v>4290</v>
      </c>
      <c r="D6" s="11">
        <f t="shared" si="0"/>
        <v>4498.18</v>
      </c>
      <c r="E6" s="11">
        <f t="shared" si="1"/>
        <v>5346.21</v>
      </c>
      <c r="F6" s="11">
        <f t="shared" si="2"/>
        <v>3650.15</v>
      </c>
      <c r="G6" s="11">
        <f t="shared" si="10"/>
        <v>315</v>
      </c>
      <c r="H6" s="11">
        <f t="shared" si="11"/>
        <v>318.81</v>
      </c>
      <c r="I6" s="11">
        <f t="shared" si="3"/>
        <v>1041.8699999999999</v>
      </c>
      <c r="K6" s="3" t="s">
        <v>10</v>
      </c>
      <c r="L6">
        <v>4</v>
      </c>
      <c r="M6" s="3" t="s">
        <v>15</v>
      </c>
      <c r="N6">
        <v>5071.3</v>
      </c>
      <c r="O6">
        <f t="shared" si="4"/>
        <v>4498.2</v>
      </c>
      <c r="P6">
        <f t="shared" si="5"/>
        <v>4730.6000000000004</v>
      </c>
      <c r="Q6">
        <f t="shared" si="6"/>
        <v>4265.8</v>
      </c>
      <c r="R6">
        <v>815</v>
      </c>
      <c r="S6" s="13">
        <f t="shared" si="7"/>
        <v>318.8</v>
      </c>
      <c r="T6" s="13">
        <f t="shared" si="8"/>
        <v>727.5</v>
      </c>
      <c r="U6" s="6">
        <f t="shared" si="9"/>
        <v>0</v>
      </c>
    </row>
    <row r="7" spans="1:21" x14ac:dyDescent="0.25">
      <c r="A7" s="11" t="s">
        <v>10</v>
      </c>
      <c r="B7" s="11" t="s">
        <v>16</v>
      </c>
      <c r="C7" s="9">
        <v>4430</v>
      </c>
      <c r="D7" s="11">
        <f t="shared" si="0"/>
        <v>4498.18</v>
      </c>
      <c r="E7" s="11">
        <f t="shared" si="1"/>
        <v>5346.21</v>
      </c>
      <c r="F7" s="11">
        <f t="shared" si="2"/>
        <v>3650.15</v>
      </c>
      <c r="G7" s="11">
        <f t="shared" si="10"/>
        <v>140</v>
      </c>
      <c r="H7" s="11">
        <f t="shared" si="11"/>
        <v>318.81</v>
      </c>
      <c r="I7" s="11">
        <f t="shared" si="3"/>
        <v>1041.8699999999999</v>
      </c>
      <c r="K7" s="3" t="s">
        <v>10</v>
      </c>
      <c r="L7">
        <v>4</v>
      </c>
      <c r="M7" s="3" t="s">
        <v>16</v>
      </c>
      <c r="N7">
        <v>4682.5</v>
      </c>
      <c r="O7">
        <f t="shared" si="4"/>
        <v>4498.2</v>
      </c>
      <c r="P7">
        <f t="shared" si="5"/>
        <v>4730.6000000000004</v>
      </c>
      <c r="Q7">
        <f t="shared" si="6"/>
        <v>4265.8</v>
      </c>
      <c r="R7">
        <v>245</v>
      </c>
      <c r="S7" s="13">
        <f t="shared" si="7"/>
        <v>318.8</v>
      </c>
      <c r="T7" s="13">
        <f t="shared" si="8"/>
        <v>727.5</v>
      </c>
      <c r="U7" s="6">
        <f t="shared" si="9"/>
        <v>0</v>
      </c>
    </row>
    <row r="8" spans="1:21" x14ac:dyDescent="0.25">
      <c r="A8" s="11" t="s">
        <v>10</v>
      </c>
      <c r="B8" s="11" t="s">
        <v>17</v>
      </c>
      <c r="C8" s="9">
        <v>4485</v>
      </c>
      <c r="D8" s="11">
        <f t="shared" si="0"/>
        <v>4498.18</v>
      </c>
      <c r="E8" s="11">
        <f t="shared" si="1"/>
        <v>5346.21</v>
      </c>
      <c r="F8" s="11">
        <f t="shared" si="2"/>
        <v>3650.15</v>
      </c>
      <c r="G8" s="11">
        <f t="shared" si="10"/>
        <v>55</v>
      </c>
      <c r="H8" s="11">
        <f t="shared" si="11"/>
        <v>318.81</v>
      </c>
      <c r="I8" s="11">
        <f t="shared" si="3"/>
        <v>1041.8699999999999</v>
      </c>
      <c r="K8" s="3" t="s">
        <v>10</v>
      </c>
      <c r="L8">
        <v>4</v>
      </c>
      <c r="M8" s="3" t="s">
        <v>17</v>
      </c>
      <c r="N8">
        <v>4557.5</v>
      </c>
      <c r="O8">
        <f t="shared" si="4"/>
        <v>4498.2</v>
      </c>
      <c r="P8">
        <f t="shared" si="5"/>
        <v>4730.6000000000004</v>
      </c>
      <c r="Q8">
        <f t="shared" si="6"/>
        <v>4265.8</v>
      </c>
      <c r="R8">
        <v>1125</v>
      </c>
      <c r="S8" s="13">
        <f t="shared" si="7"/>
        <v>318.8</v>
      </c>
      <c r="T8" s="13">
        <f t="shared" si="8"/>
        <v>727.5</v>
      </c>
      <c r="U8" s="6">
        <f t="shared" si="9"/>
        <v>0</v>
      </c>
    </row>
    <row r="9" spans="1:21" x14ac:dyDescent="0.25">
      <c r="A9" s="11" t="s">
        <v>10</v>
      </c>
      <c r="B9" s="11" t="s">
        <v>18</v>
      </c>
      <c r="C9" s="9">
        <v>4285</v>
      </c>
      <c r="D9" s="11">
        <f t="shared" si="0"/>
        <v>4498.18</v>
      </c>
      <c r="E9" s="11">
        <f t="shared" si="1"/>
        <v>5346.21</v>
      </c>
      <c r="F9" s="11">
        <f t="shared" si="2"/>
        <v>3650.15</v>
      </c>
      <c r="G9" s="11">
        <f t="shared" si="10"/>
        <v>200</v>
      </c>
      <c r="H9" s="11">
        <f t="shared" si="11"/>
        <v>318.81</v>
      </c>
      <c r="I9" s="11">
        <f t="shared" si="3"/>
        <v>1041.8699999999999</v>
      </c>
      <c r="K9" s="3" t="s">
        <v>10</v>
      </c>
      <c r="L9">
        <v>4</v>
      </c>
      <c r="M9" s="3" t="s">
        <v>18</v>
      </c>
      <c r="N9">
        <v>4725</v>
      </c>
      <c r="O9">
        <f t="shared" si="4"/>
        <v>4498.2</v>
      </c>
      <c r="P9">
        <f t="shared" si="5"/>
        <v>4730.6000000000004</v>
      </c>
      <c r="Q9">
        <f t="shared" si="6"/>
        <v>4265.8</v>
      </c>
      <c r="R9">
        <v>255</v>
      </c>
      <c r="S9" s="13">
        <f t="shared" si="7"/>
        <v>318.8</v>
      </c>
      <c r="T9" s="13">
        <f t="shared" si="8"/>
        <v>727.5</v>
      </c>
      <c r="U9" s="6">
        <f t="shared" si="9"/>
        <v>0</v>
      </c>
    </row>
    <row r="10" spans="1:21" x14ac:dyDescent="0.25">
      <c r="A10" s="11" t="s">
        <v>10</v>
      </c>
      <c r="B10" s="11" t="s">
        <v>19</v>
      </c>
      <c r="C10" s="9">
        <v>3980</v>
      </c>
      <c r="D10" s="11">
        <f t="shared" si="0"/>
        <v>4498.18</v>
      </c>
      <c r="E10" s="11">
        <f t="shared" si="1"/>
        <v>5346.21</v>
      </c>
      <c r="F10" s="11">
        <f t="shared" si="2"/>
        <v>3650.15</v>
      </c>
      <c r="G10" s="11">
        <f t="shared" si="10"/>
        <v>305</v>
      </c>
      <c r="H10" s="11">
        <f t="shared" si="11"/>
        <v>318.81</v>
      </c>
      <c r="I10" s="11">
        <f t="shared" si="3"/>
        <v>1041.8699999999999</v>
      </c>
      <c r="K10" s="3" t="s">
        <v>10</v>
      </c>
      <c r="L10">
        <v>4</v>
      </c>
      <c r="M10" s="3" t="s">
        <v>19</v>
      </c>
      <c r="N10">
        <v>4733.8</v>
      </c>
      <c r="O10">
        <f t="shared" si="4"/>
        <v>4498.2</v>
      </c>
      <c r="P10">
        <f t="shared" si="5"/>
        <v>4730.6000000000004</v>
      </c>
      <c r="Q10">
        <f t="shared" si="6"/>
        <v>4265.8</v>
      </c>
      <c r="R10">
        <v>245</v>
      </c>
      <c r="S10" s="13">
        <f t="shared" si="7"/>
        <v>318.8</v>
      </c>
      <c r="T10" s="13">
        <f t="shared" si="8"/>
        <v>727.5</v>
      </c>
      <c r="U10" s="6">
        <f t="shared" si="9"/>
        <v>0</v>
      </c>
    </row>
    <row r="11" spans="1:21" x14ac:dyDescent="0.25">
      <c r="A11" s="11" t="s">
        <v>10</v>
      </c>
      <c r="B11" s="11" t="s">
        <v>20</v>
      </c>
      <c r="C11" s="9">
        <v>3925</v>
      </c>
      <c r="D11" s="11">
        <f t="shared" si="0"/>
        <v>4498.18</v>
      </c>
      <c r="E11" s="11">
        <f t="shared" si="1"/>
        <v>5346.21</v>
      </c>
      <c r="F11" s="11">
        <f t="shared" si="2"/>
        <v>3650.15</v>
      </c>
      <c r="G11" s="11">
        <f t="shared" si="10"/>
        <v>55</v>
      </c>
      <c r="H11" s="11">
        <f t="shared" si="11"/>
        <v>318.81</v>
      </c>
      <c r="I11" s="11">
        <f t="shared" si="3"/>
        <v>1041.8699999999999</v>
      </c>
      <c r="K11" s="3" t="s">
        <v>10</v>
      </c>
      <c r="L11">
        <v>4</v>
      </c>
      <c r="M11" s="3" t="s">
        <v>20</v>
      </c>
      <c r="N11">
        <v>4372.5</v>
      </c>
      <c r="O11">
        <f t="shared" si="4"/>
        <v>4498.2</v>
      </c>
      <c r="P11">
        <f t="shared" si="5"/>
        <v>4730.6000000000004</v>
      </c>
      <c r="Q11">
        <f t="shared" si="6"/>
        <v>4265.8</v>
      </c>
      <c r="R11">
        <v>680</v>
      </c>
      <c r="S11" s="13">
        <f t="shared" si="7"/>
        <v>318.8</v>
      </c>
      <c r="T11" s="13">
        <f t="shared" si="8"/>
        <v>727.5</v>
      </c>
      <c r="U11" s="6">
        <f t="shared" si="9"/>
        <v>0</v>
      </c>
    </row>
    <row r="12" spans="1:21" x14ac:dyDescent="0.25">
      <c r="A12" s="11" t="s">
        <v>10</v>
      </c>
      <c r="B12" s="11" t="s">
        <v>21</v>
      </c>
      <c r="C12" s="9">
        <v>3645</v>
      </c>
      <c r="D12" s="11">
        <f t="shared" si="0"/>
        <v>4498.18</v>
      </c>
      <c r="E12" s="11">
        <f t="shared" si="1"/>
        <v>5346.21</v>
      </c>
      <c r="F12" s="11">
        <f t="shared" si="2"/>
        <v>3650.15</v>
      </c>
      <c r="G12" s="11">
        <f t="shared" si="10"/>
        <v>280</v>
      </c>
      <c r="H12" s="11">
        <f t="shared" si="11"/>
        <v>318.81</v>
      </c>
      <c r="I12" s="11">
        <f t="shared" si="3"/>
        <v>1041.8699999999999</v>
      </c>
      <c r="K12" s="3" t="s">
        <v>10</v>
      </c>
      <c r="L12">
        <v>4</v>
      </c>
      <c r="M12" s="3" t="s">
        <v>21</v>
      </c>
      <c r="N12">
        <v>4943.8</v>
      </c>
      <c r="O12">
        <f t="shared" si="4"/>
        <v>4498.2</v>
      </c>
      <c r="P12">
        <f t="shared" si="5"/>
        <v>4730.6000000000004</v>
      </c>
      <c r="Q12">
        <f t="shared" si="6"/>
        <v>4265.8</v>
      </c>
      <c r="R12">
        <v>1410</v>
      </c>
      <c r="S12" s="13">
        <f t="shared" si="7"/>
        <v>318.8</v>
      </c>
      <c r="T12" s="13">
        <f t="shared" si="8"/>
        <v>727.5</v>
      </c>
      <c r="U12" s="6">
        <f t="shared" si="9"/>
        <v>0</v>
      </c>
    </row>
    <row r="13" spans="1:21" x14ac:dyDescent="0.25">
      <c r="A13" s="11" t="s">
        <v>10</v>
      </c>
      <c r="B13" s="11" t="s">
        <v>22</v>
      </c>
      <c r="C13" s="9">
        <v>3760</v>
      </c>
      <c r="D13" s="11">
        <f t="shared" si="0"/>
        <v>4498.18</v>
      </c>
      <c r="E13" s="11">
        <f t="shared" si="1"/>
        <v>5346.21</v>
      </c>
      <c r="F13" s="11">
        <f t="shared" si="2"/>
        <v>3650.15</v>
      </c>
      <c r="G13" s="11">
        <f t="shared" si="10"/>
        <v>115</v>
      </c>
      <c r="H13" s="11">
        <f t="shared" si="11"/>
        <v>318.81</v>
      </c>
      <c r="I13" s="11">
        <f t="shared" si="3"/>
        <v>1041.8699999999999</v>
      </c>
      <c r="K13" s="3" t="s">
        <v>10</v>
      </c>
      <c r="L13">
        <v>4</v>
      </c>
      <c r="M13" s="3" t="s">
        <v>22</v>
      </c>
      <c r="N13">
        <v>4722.5</v>
      </c>
      <c r="O13">
        <f t="shared" si="4"/>
        <v>4498.2</v>
      </c>
      <c r="P13">
        <f t="shared" si="5"/>
        <v>4730.6000000000004</v>
      </c>
      <c r="Q13">
        <f t="shared" si="6"/>
        <v>4265.8</v>
      </c>
      <c r="R13">
        <v>745</v>
      </c>
      <c r="S13" s="13">
        <f t="shared" si="7"/>
        <v>318.8</v>
      </c>
      <c r="T13" s="13">
        <f t="shared" si="8"/>
        <v>727.5</v>
      </c>
      <c r="U13" s="6">
        <f t="shared" si="9"/>
        <v>0</v>
      </c>
    </row>
    <row r="14" spans="1:21" x14ac:dyDescent="0.25">
      <c r="A14" s="11" t="s">
        <v>10</v>
      </c>
      <c r="B14" s="11" t="s">
        <v>23</v>
      </c>
      <c r="C14" s="9">
        <v>3300</v>
      </c>
      <c r="D14" s="11">
        <f t="shared" si="0"/>
        <v>4498.18</v>
      </c>
      <c r="E14" s="11">
        <f t="shared" si="1"/>
        <v>5346.21</v>
      </c>
      <c r="F14" s="11">
        <f t="shared" si="2"/>
        <v>3650.15</v>
      </c>
      <c r="G14" s="11">
        <f t="shared" si="10"/>
        <v>460</v>
      </c>
      <c r="H14" s="11">
        <f t="shared" si="11"/>
        <v>318.81</v>
      </c>
      <c r="I14" s="11">
        <f t="shared" si="3"/>
        <v>1041.8699999999999</v>
      </c>
      <c r="K14" s="3" t="s">
        <v>10</v>
      </c>
      <c r="L14">
        <v>4</v>
      </c>
      <c r="M14" s="3" t="s">
        <v>23</v>
      </c>
      <c r="N14">
        <v>4278.8</v>
      </c>
      <c r="O14">
        <f t="shared" si="4"/>
        <v>4498.2</v>
      </c>
      <c r="P14">
        <f t="shared" si="5"/>
        <v>4730.6000000000004</v>
      </c>
      <c r="Q14">
        <f t="shared" si="6"/>
        <v>4265.8</v>
      </c>
      <c r="R14">
        <v>800</v>
      </c>
      <c r="S14" s="13">
        <f t="shared" si="7"/>
        <v>318.8</v>
      </c>
      <c r="T14" s="13">
        <f t="shared" si="8"/>
        <v>727.5</v>
      </c>
      <c r="U14" s="6">
        <f t="shared" si="9"/>
        <v>0</v>
      </c>
    </row>
    <row r="15" spans="1:21" x14ac:dyDescent="0.25">
      <c r="A15" s="11" t="s">
        <v>10</v>
      </c>
      <c r="B15" s="11" t="s">
        <v>24</v>
      </c>
      <c r="C15" s="9">
        <v>3685</v>
      </c>
      <c r="D15" s="11">
        <f t="shared" si="0"/>
        <v>4498.18</v>
      </c>
      <c r="E15" s="11">
        <f t="shared" si="1"/>
        <v>5346.21</v>
      </c>
      <c r="F15" s="11">
        <f t="shared" si="2"/>
        <v>3650.15</v>
      </c>
      <c r="G15" s="11">
        <f t="shared" si="10"/>
        <v>385</v>
      </c>
      <c r="H15" s="11">
        <f t="shared" si="11"/>
        <v>318.81</v>
      </c>
      <c r="I15" s="11">
        <f t="shared" si="3"/>
        <v>1041.8699999999999</v>
      </c>
      <c r="K15" s="3" t="s">
        <v>10</v>
      </c>
      <c r="L15">
        <v>4</v>
      </c>
      <c r="M15" s="3" t="s">
        <v>24</v>
      </c>
      <c r="N15">
        <v>4242.5</v>
      </c>
      <c r="O15">
        <f t="shared" si="4"/>
        <v>4498.2</v>
      </c>
      <c r="P15">
        <f t="shared" si="5"/>
        <v>4730.6000000000004</v>
      </c>
      <c r="Q15">
        <f t="shared" si="6"/>
        <v>4265.8</v>
      </c>
      <c r="R15">
        <v>205</v>
      </c>
      <c r="S15" s="13">
        <f t="shared" si="7"/>
        <v>318.8</v>
      </c>
      <c r="T15" s="13">
        <f t="shared" si="8"/>
        <v>727.5</v>
      </c>
      <c r="U15" s="6">
        <f t="shared" si="9"/>
        <v>0</v>
      </c>
    </row>
    <row r="16" spans="1:21" x14ac:dyDescent="0.25">
      <c r="A16" s="11" t="s">
        <v>10</v>
      </c>
      <c r="B16" s="11" t="s">
        <v>25</v>
      </c>
      <c r="C16" s="9">
        <v>3463</v>
      </c>
      <c r="D16" s="11">
        <f t="shared" si="0"/>
        <v>4498.18</v>
      </c>
      <c r="E16" s="11">
        <f t="shared" si="1"/>
        <v>5346.21</v>
      </c>
      <c r="F16" s="11">
        <f t="shared" si="2"/>
        <v>3650.15</v>
      </c>
      <c r="G16" s="11">
        <f t="shared" si="10"/>
        <v>222</v>
      </c>
      <c r="H16" s="11">
        <f t="shared" si="11"/>
        <v>318.81</v>
      </c>
      <c r="I16" s="11">
        <f t="shared" si="3"/>
        <v>1041.8699999999999</v>
      </c>
      <c r="K16" s="3" t="s">
        <v>10</v>
      </c>
      <c r="L16">
        <v>4</v>
      </c>
      <c r="M16" s="3" t="s">
        <v>25</v>
      </c>
      <c r="N16">
        <v>4007.5</v>
      </c>
      <c r="O16">
        <f t="shared" si="4"/>
        <v>4498.2</v>
      </c>
      <c r="P16">
        <f t="shared" si="5"/>
        <v>4730.6000000000004</v>
      </c>
      <c r="Q16">
        <f t="shared" si="6"/>
        <v>4265.8</v>
      </c>
      <c r="R16">
        <v>1695</v>
      </c>
      <c r="S16" s="13">
        <f t="shared" si="7"/>
        <v>318.8</v>
      </c>
      <c r="T16" s="13">
        <f t="shared" si="8"/>
        <v>727.5</v>
      </c>
      <c r="U16" s="6">
        <f t="shared" si="9"/>
        <v>0</v>
      </c>
    </row>
    <row r="17" spans="1:21" x14ac:dyDescent="0.25">
      <c r="A17" s="11" t="s">
        <v>10</v>
      </c>
      <c r="B17" s="11" t="s">
        <v>26</v>
      </c>
      <c r="C17" s="9">
        <v>5200</v>
      </c>
      <c r="D17" s="11">
        <f t="shared" si="0"/>
        <v>4498.18</v>
      </c>
      <c r="E17" s="11">
        <f t="shared" si="1"/>
        <v>5346.21</v>
      </c>
      <c r="F17" s="11">
        <f t="shared" si="2"/>
        <v>3650.15</v>
      </c>
      <c r="G17" s="11">
        <f t="shared" si="10"/>
        <v>1737</v>
      </c>
      <c r="H17" s="11">
        <f t="shared" si="11"/>
        <v>318.81</v>
      </c>
      <c r="I17" s="11">
        <f t="shared" si="3"/>
        <v>1041.8699999999999</v>
      </c>
      <c r="K17" s="3" t="s">
        <v>10</v>
      </c>
      <c r="L17">
        <v>4</v>
      </c>
      <c r="M17" s="3" t="s">
        <v>26</v>
      </c>
      <c r="N17">
        <v>4006.3</v>
      </c>
      <c r="O17">
        <f t="shared" si="4"/>
        <v>4498.2</v>
      </c>
      <c r="P17">
        <f t="shared" si="5"/>
        <v>4730.6000000000004</v>
      </c>
      <c r="Q17">
        <f t="shared" si="6"/>
        <v>4265.8</v>
      </c>
      <c r="R17">
        <v>1455</v>
      </c>
      <c r="S17" s="13">
        <f t="shared" si="7"/>
        <v>318.8</v>
      </c>
      <c r="T17" s="13">
        <f t="shared" si="8"/>
        <v>727.5</v>
      </c>
      <c r="U17" s="6">
        <f t="shared" si="9"/>
        <v>0</v>
      </c>
    </row>
    <row r="18" spans="1:21" x14ac:dyDescent="0.25">
      <c r="A18" s="11" t="s">
        <v>10</v>
      </c>
      <c r="B18" s="11" t="s">
        <v>27</v>
      </c>
      <c r="C18" s="9">
        <v>5100</v>
      </c>
      <c r="D18" s="11">
        <f t="shared" si="0"/>
        <v>4498.18</v>
      </c>
      <c r="E18" s="11">
        <f t="shared" si="1"/>
        <v>5346.21</v>
      </c>
      <c r="F18" s="11">
        <f t="shared" si="2"/>
        <v>3650.15</v>
      </c>
      <c r="G18" s="11">
        <f t="shared" si="10"/>
        <v>100</v>
      </c>
      <c r="H18" s="11">
        <f t="shared" si="11"/>
        <v>318.81</v>
      </c>
      <c r="I18" s="11">
        <f t="shared" si="3"/>
        <v>1041.8699999999999</v>
      </c>
      <c r="K18" s="3" t="s">
        <v>10</v>
      </c>
      <c r="L18">
        <v>4</v>
      </c>
      <c r="M18" s="3" t="s">
        <v>27</v>
      </c>
      <c r="N18">
        <v>4606.3</v>
      </c>
      <c r="O18">
        <f t="shared" si="4"/>
        <v>4498.2</v>
      </c>
      <c r="P18">
        <f t="shared" si="5"/>
        <v>4730.6000000000004</v>
      </c>
      <c r="Q18">
        <f t="shared" si="6"/>
        <v>4265.8</v>
      </c>
      <c r="R18">
        <v>910</v>
      </c>
      <c r="S18" s="13">
        <f t="shared" si="7"/>
        <v>318.8</v>
      </c>
      <c r="T18" s="13">
        <f t="shared" si="8"/>
        <v>727.5</v>
      </c>
      <c r="U18" s="6">
        <f t="shared" si="9"/>
        <v>0</v>
      </c>
    </row>
    <row r="19" spans="1:21" x14ac:dyDescent="0.25">
      <c r="A19" s="11" t="s">
        <v>10</v>
      </c>
      <c r="B19" s="11" t="s">
        <v>28</v>
      </c>
      <c r="C19" s="9">
        <v>4635</v>
      </c>
      <c r="D19" s="11">
        <f t="shared" si="0"/>
        <v>4498.18</v>
      </c>
      <c r="E19" s="11">
        <f t="shared" si="1"/>
        <v>5346.21</v>
      </c>
      <c r="F19" s="11">
        <f t="shared" si="2"/>
        <v>3650.15</v>
      </c>
      <c r="G19" s="11">
        <f t="shared" si="10"/>
        <v>465</v>
      </c>
      <c r="H19" s="11">
        <f t="shared" si="11"/>
        <v>318.81</v>
      </c>
      <c r="I19" s="11">
        <f t="shared" si="3"/>
        <v>1041.8699999999999</v>
      </c>
      <c r="K19" s="3" t="s">
        <v>10</v>
      </c>
      <c r="L19">
        <v>4</v>
      </c>
      <c r="M19" s="3" t="s">
        <v>28</v>
      </c>
      <c r="N19">
        <v>4647.5</v>
      </c>
      <c r="O19">
        <f t="shared" si="4"/>
        <v>4498.2</v>
      </c>
      <c r="P19">
        <f t="shared" si="5"/>
        <v>4730.6000000000004</v>
      </c>
      <c r="Q19">
        <f t="shared" si="6"/>
        <v>4265.8</v>
      </c>
      <c r="R19">
        <v>665</v>
      </c>
      <c r="S19" s="13">
        <f t="shared" si="7"/>
        <v>318.8</v>
      </c>
      <c r="T19" s="13">
        <f t="shared" si="8"/>
        <v>727.5</v>
      </c>
      <c r="U19" s="6">
        <f t="shared" si="9"/>
        <v>0</v>
      </c>
    </row>
    <row r="20" spans="1:21" x14ac:dyDescent="0.25">
      <c r="A20" s="11" t="s">
        <v>10</v>
      </c>
      <c r="B20" s="11" t="s">
        <v>29</v>
      </c>
      <c r="C20" s="9">
        <v>5100</v>
      </c>
      <c r="D20" s="11">
        <f t="shared" si="0"/>
        <v>4498.18</v>
      </c>
      <c r="E20" s="11">
        <f t="shared" si="1"/>
        <v>5346.21</v>
      </c>
      <c r="F20" s="11">
        <f t="shared" si="2"/>
        <v>3650.15</v>
      </c>
      <c r="G20" s="11">
        <f t="shared" si="10"/>
        <v>465</v>
      </c>
      <c r="H20" s="11">
        <f t="shared" si="11"/>
        <v>318.81</v>
      </c>
      <c r="I20" s="11">
        <f t="shared" si="3"/>
        <v>1041.8699999999999</v>
      </c>
      <c r="K20" s="3" t="s">
        <v>10</v>
      </c>
      <c r="L20">
        <v>4</v>
      </c>
      <c r="M20" s="3" t="s">
        <v>29</v>
      </c>
      <c r="N20">
        <v>4441.3</v>
      </c>
      <c r="O20">
        <f t="shared" si="4"/>
        <v>4498.2</v>
      </c>
      <c r="P20">
        <f t="shared" si="5"/>
        <v>4730.6000000000004</v>
      </c>
      <c r="Q20">
        <f t="shared" si="6"/>
        <v>4265.8</v>
      </c>
      <c r="R20">
        <v>785</v>
      </c>
      <c r="S20" s="13">
        <f t="shared" si="7"/>
        <v>318.8</v>
      </c>
      <c r="T20" s="13">
        <f t="shared" si="8"/>
        <v>727.5</v>
      </c>
      <c r="U20" s="6">
        <f t="shared" si="9"/>
        <v>0</v>
      </c>
    </row>
    <row r="21" spans="1:21" x14ac:dyDescent="0.25">
      <c r="A21" s="11" t="s">
        <v>10</v>
      </c>
      <c r="B21" s="11" t="s">
        <v>30</v>
      </c>
      <c r="C21" s="9">
        <v>5450</v>
      </c>
      <c r="D21" s="11">
        <f t="shared" si="0"/>
        <v>4498.18</v>
      </c>
      <c r="E21" s="11">
        <f t="shared" si="1"/>
        <v>5346.21</v>
      </c>
      <c r="F21" s="11">
        <f t="shared" si="2"/>
        <v>3650.15</v>
      </c>
      <c r="G21" s="11">
        <f t="shared" si="10"/>
        <v>350</v>
      </c>
      <c r="H21" s="11">
        <f t="shared" si="11"/>
        <v>318.81</v>
      </c>
      <c r="I21" s="11">
        <f t="shared" si="3"/>
        <v>1041.8699999999999</v>
      </c>
      <c r="K21" s="3" t="s">
        <v>10</v>
      </c>
      <c r="L21">
        <v>4</v>
      </c>
      <c r="M21" s="3" t="s">
        <v>30</v>
      </c>
      <c r="N21">
        <v>4566.3</v>
      </c>
      <c r="O21">
        <f t="shared" si="4"/>
        <v>4498.2</v>
      </c>
      <c r="P21">
        <f t="shared" si="5"/>
        <v>4730.6000000000004</v>
      </c>
      <c r="Q21">
        <f t="shared" si="6"/>
        <v>4265.8</v>
      </c>
      <c r="R21">
        <v>520</v>
      </c>
      <c r="S21" s="13">
        <f t="shared" si="7"/>
        <v>318.8</v>
      </c>
      <c r="T21" s="13">
        <f t="shared" si="8"/>
        <v>727.5</v>
      </c>
      <c r="U21" s="6">
        <f t="shared" si="9"/>
        <v>0</v>
      </c>
    </row>
    <row r="22" spans="1:21" x14ac:dyDescent="0.25">
      <c r="A22" s="11" t="s">
        <v>10</v>
      </c>
      <c r="B22" s="11" t="s">
        <v>31</v>
      </c>
      <c r="C22" s="9">
        <v>4635</v>
      </c>
      <c r="D22" s="11">
        <f t="shared" si="0"/>
        <v>4498.18</v>
      </c>
      <c r="E22" s="11">
        <f t="shared" si="1"/>
        <v>5346.21</v>
      </c>
      <c r="F22" s="11">
        <f t="shared" si="2"/>
        <v>3650.15</v>
      </c>
      <c r="G22" s="11">
        <f t="shared" si="10"/>
        <v>815</v>
      </c>
      <c r="H22" s="11">
        <f t="shared" si="11"/>
        <v>318.81</v>
      </c>
      <c r="I22" s="11">
        <f t="shared" si="3"/>
        <v>1041.8699999999999</v>
      </c>
      <c r="K22" s="3" t="s">
        <v>10</v>
      </c>
      <c r="L22">
        <v>4</v>
      </c>
      <c r="M22" s="3" t="s">
        <v>31</v>
      </c>
      <c r="N22">
        <v>4548.8</v>
      </c>
      <c r="O22">
        <f t="shared" si="4"/>
        <v>4498.2</v>
      </c>
      <c r="P22">
        <f t="shared" si="5"/>
        <v>4730.6000000000004</v>
      </c>
      <c r="Q22">
        <f t="shared" si="6"/>
        <v>4265.8</v>
      </c>
      <c r="R22">
        <v>605</v>
      </c>
      <c r="S22" s="13">
        <f t="shared" si="7"/>
        <v>318.8</v>
      </c>
      <c r="T22" s="13">
        <f t="shared" si="8"/>
        <v>727.5</v>
      </c>
      <c r="U22" s="6">
        <f t="shared" si="9"/>
        <v>0</v>
      </c>
    </row>
    <row r="23" spans="1:21" x14ac:dyDescent="0.25">
      <c r="A23" s="11" t="s">
        <v>10</v>
      </c>
      <c r="B23" s="11" t="s">
        <v>32</v>
      </c>
      <c r="C23" s="9">
        <v>4720</v>
      </c>
      <c r="D23" s="11">
        <f t="shared" si="0"/>
        <v>4498.18</v>
      </c>
      <c r="E23" s="11">
        <f t="shared" si="1"/>
        <v>5346.21</v>
      </c>
      <c r="F23" s="11">
        <f t="shared" si="2"/>
        <v>3650.15</v>
      </c>
      <c r="G23" s="11">
        <f t="shared" si="10"/>
        <v>85</v>
      </c>
      <c r="H23" s="11">
        <f t="shared" si="11"/>
        <v>318.81</v>
      </c>
      <c r="I23" s="11">
        <f t="shared" si="3"/>
        <v>1041.8699999999999</v>
      </c>
      <c r="K23" s="3" t="s">
        <v>10</v>
      </c>
      <c r="L23">
        <v>4</v>
      </c>
      <c r="M23" s="3" t="s">
        <v>32</v>
      </c>
      <c r="N23">
        <v>3846.3</v>
      </c>
      <c r="O23">
        <f t="shared" si="4"/>
        <v>4498.2</v>
      </c>
      <c r="P23">
        <f t="shared" si="5"/>
        <v>4730.6000000000004</v>
      </c>
      <c r="Q23">
        <f t="shared" si="6"/>
        <v>4265.8</v>
      </c>
      <c r="R23">
        <v>445</v>
      </c>
      <c r="S23" s="13">
        <f t="shared" si="7"/>
        <v>318.8</v>
      </c>
      <c r="T23" s="13">
        <f t="shared" si="8"/>
        <v>727.5</v>
      </c>
      <c r="U23" s="6">
        <f t="shared" si="9"/>
        <v>0</v>
      </c>
    </row>
    <row r="24" spans="1:21" x14ac:dyDescent="0.25">
      <c r="A24" s="11" t="s">
        <v>10</v>
      </c>
      <c r="B24" s="11" t="s">
        <v>33</v>
      </c>
      <c r="C24" s="9">
        <v>4810</v>
      </c>
      <c r="D24" s="11">
        <f t="shared" si="0"/>
        <v>4498.18</v>
      </c>
      <c r="E24" s="11">
        <f t="shared" si="1"/>
        <v>5346.21</v>
      </c>
      <c r="F24" s="11">
        <f t="shared" si="2"/>
        <v>3650.15</v>
      </c>
      <c r="G24" s="11">
        <f t="shared" si="10"/>
        <v>90</v>
      </c>
      <c r="H24" s="11">
        <f t="shared" si="11"/>
        <v>318.81</v>
      </c>
      <c r="I24" s="11">
        <f t="shared" si="3"/>
        <v>1041.8699999999999</v>
      </c>
      <c r="K24" s="3" t="s">
        <v>10</v>
      </c>
      <c r="L24">
        <v>4</v>
      </c>
      <c r="M24" s="3" t="s">
        <v>33</v>
      </c>
      <c r="N24">
        <v>4572.5</v>
      </c>
      <c r="O24">
        <f t="shared" si="4"/>
        <v>4498.2</v>
      </c>
      <c r="P24">
        <f t="shared" si="5"/>
        <v>4730.6000000000004</v>
      </c>
      <c r="Q24">
        <f t="shared" si="6"/>
        <v>4265.8</v>
      </c>
      <c r="R24">
        <v>1000</v>
      </c>
      <c r="S24" s="13">
        <f t="shared" si="7"/>
        <v>318.8</v>
      </c>
      <c r="T24" s="13">
        <f t="shared" si="8"/>
        <v>727.5</v>
      </c>
      <c r="U24" s="6">
        <f t="shared" si="9"/>
        <v>0</v>
      </c>
    </row>
    <row r="25" spans="1:21" x14ac:dyDescent="0.25">
      <c r="A25" s="11" t="s">
        <v>10</v>
      </c>
      <c r="B25" s="11" t="s">
        <v>34</v>
      </c>
      <c r="C25" s="9">
        <v>4565</v>
      </c>
      <c r="D25" s="11">
        <f t="shared" si="0"/>
        <v>4498.18</v>
      </c>
      <c r="E25" s="11">
        <f t="shared" si="1"/>
        <v>5346.21</v>
      </c>
      <c r="F25" s="11">
        <f t="shared" si="2"/>
        <v>3650.15</v>
      </c>
      <c r="G25" s="11">
        <f t="shared" si="10"/>
        <v>245</v>
      </c>
      <c r="H25" s="11">
        <f t="shared" si="11"/>
        <v>318.81</v>
      </c>
      <c r="I25" s="11">
        <f t="shared" si="3"/>
        <v>1041.8699999999999</v>
      </c>
      <c r="K25" s="3" t="s">
        <v>10</v>
      </c>
      <c r="L25">
        <v>4</v>
      </c>
      <c r="M25" s="3" t="s">
        <v>34</v>
      </c>
      <c r="N25">
        <v>4470</v>
      </c>
      <c r="O25">
        <f t="shared" si="4"/>
        <v>4498.2</v>
      </c>
      <c r="P25">
        <f t="shared" si="5"/>
        <v>4730.6000000000004</v>
      </c>
      <c r="Q25">
        <f t="shared" si="6"/>
        <v>4265.8</v>
      </c>
      <c r="R25">
        <v>390</v>
      </c>
      <c r="S25" s="13">
        <f t="shared" si="7"/>
        <v>318.8</v>
      </c>
      <c r="T25" s="13">
        <f t="shared" si="8"/>
        <v>727.5</v>
      </c>
      <c r="U25" s="6">
        <f t="shared" si="9"/>
        <v>0</v>
      </c>
    </row>
    <row r="26" spans="1:21" x14ac:dyDescent="0.25">
      <c r="A26" s="11" t="s">
        <v>10</v>
      </c>
      <c r="B26" s="11" t="s">
        <v>35</v>
      </c>
      <c r="C26" s="9">
        <v>4410</v>
      </c>
      <c r="D26" s="11">
        <f t="shared" si="0"/>
        <v>4498.18</v>
      </c>
      <c r="E26" s="11">
        <f t="shared" si="1"/>
        <v>5346.21</v>
      </c>
      <c r="F26" s="11">
        <f t="shared" si="2"/>
        <v>3650.15</v>
      </c>
      <c r="G26" s="11">
        <f t="shared" si="10"/>
        <v>155</v>
      </c>
      <c r="H26" s="11">
        <f t="shared" si="11"/>
        <v>318.81</v>
      </c>
      <c r="I26" s="11">
        <f t="shared" si="3"/>
        <v>1041.8699999999999</v>
      </c>
      <c r="K26" s="3" t="s">
        <v>10</v>
      </c>
      <c r="L26">
        <v>4</v>
      </c>
      <c r="M26" s="3" t="s">
        <v>35</v>
      </c>
      <c r="N26">
        <v>4676.3</v>
      </c>
      <c r="O26">
        <f t="shared" si="4"/>
        <v>4498.2</v>
      </c>
      <c r="P26">
        <f t="shared" si="5"/>
        <v>4730.6000000000004</v>
      </c>
      <c r="Q26">
        <f t="shared" si="6"/>
        <v>4265.8</v>
      </c>
      <c r="R26">
        <v>570</v>
      </c>
      <c r="S26" s="13">
        <f t="shared" si="7"/>
        <v>318.8</v>
      </c>
      <c r="T26" s="13">
        <f t="shared" si="8"/>
        <v>727.5</v>
      </c>
      <c r="U26" s="6">
        <f t="shared" si="9"/>
        <v>0</v>
      </c>
    </row>
    <row r="27" spans="1:21" x14ac:dyDescent="0.25">
      <c r="A27" s="11" t="s">
        <v>10</v>
      </c>
      <c r="B27" s="11" t="s">
        <v>36</v>
      </c>
      <c r="C27" s="9">
        <v>4065</v>
      </c>
      <c r="D27" s="11">
        <f t="shared" si="0"/>
        <v>4498.18</v>
      </c>
      <c r="E27" s="11">
        <f t="shared" si="1"/>
        <v>5346.21</v>
      </c>
      <c r="F27" s="11">
        <f t="shared" si="2"/>
        <v>3650.15</v>
      </c>
      <c r="G27" s="11">
        <f t="shared" si="10"/>
        <v>345</v>
      </c>
      <c r="H27" s="11">
        <f t="shared" si="11"/>
        <v>318.81</v>
      </c>
      <c r="I27" s="11">
        <f t="shared" si="3"/>
        <v>1041.8699999999999</v>
      </c>
      <c r="K27" s="3" t="s">
        <v>10</v>
      </c>
      <c r="L27">
        <v>4</v>
      </c>
      <c r="M27" s="3" t="s">
        <v>36</v>
      </c>
      <c r="N27">
        <v>4710</v>
      </c>
      <c r="O27">
        <f t="shared" si="4"/>
        <v>4498.2</v>
      </c>
      <c r="P27">
        <f t="shared" si="5"/>
        <v>4730.6000000000004</v>
      </c>
      <c r="Q27">
        <f t="shared" si="6"/>
        <v>4265.8</v>
      </c>
      <c r="R27">
        <v>280</v>
      </c>
      <c r="S27" s="13">
        <f t="shared" si="7"/>
        <v>318.8</v>
      </c>
      <c r="T27" s="13">
        <f t="shared" si="8"/>
        <v>727.5</v>
      </c>
      <c r="U27" s="6">
        <f t="shared" si="9"/>
        <v>0</v>
      </c>
    </row>
    <row r="28" spans="1:21" x14ac:dyDescent="0.25">
      <c r="A28" s="11" t="s">
        <v>10</v>
      </c>
      <c r="B28" s="11" t="s">
        <v>37</v>
      </c>
      <c r="C28" s="9">
        <v>4565</v>
      </c>
      <c r="D28" s="11">
        <f t="shared" si="0"/>
        <v>4498.18</v>
      </c>
      <c r="E28" s="11">
        <f t="shared" si="1"/>
        <v>5346.21</v>
      </c>
      <c r="F28" s="11">
        <f t="shared" si="2"/>
        <v>3650.15</v>
      </c>
      <c r="G28" s="11">
        <f t="shared" si="10"/>
        <v>500</v>
      </c>
      <c r="H28" s="11">
        <f t="shared" si="11"/>
        <v>318.81</v>
      </c>
      <c r="I28" s="11">
        <f t="shared" si="3"/>
        <v>1041.8699999999999</v>
      </c>
      <c r="K28" s="3" t="s">
        <v>10</v>
      </c>
      <c r="L28">
        <v>4</v>
      </c>
      <c r="M28" s="3" t="s">
        <v>37</v>
      </c>
      <c r="N28">
        <v>4366.3</v>
      </c>
      <c r="O28">
        <f t="shared" si="4"/>
        <v>4498.2</v>
      </c>
      <c r="P28">
        <f t="shared" si="5"/>
        <v>4730.6000000000004</v>
      </c>
      <c r="Q28">
        <f t="shared" si="6"/>
        <v>4265.8</v>
      </c>
      <c r="R28">
        <v>730</v>
      </c>
      <c r="S28" s="13">
        <f t="shared" si="7"/>
        <v>318.8</v>
      </c>
      <c r="T28" s="13">
        <f t="shared" si="8"/>
        <v>727.5</v>
      </c>
      <c r="U28" s="6">
        <f t="shared" si="9"/>
        <v>0</v>
      </c>
    </row>
    <row r="29" spans="1:21" x14ac:dyDescent="0.25">
      <c r="A29" s="11" t="s">
        <v>10</v>
      </c>
      <c r="B29" s="11" t="s">
        <v>38</v>
      </c>
      <c r="C29" s="9">
        <v>5190</v>
      </c>
      <c r="D29" s="11">
        <f t="shared" si="0"/>
        <v>4498.18</v>
      </c>
      <c r="E29" s="11">
        <f t="shared" si="1"/>
        <v>5346.21</v>
      </c>
      <c r="F29" s="11">
        <f t="shared" si="2"/>
        <v>3650.15</v>
      </c>
      <c r="G29" s="11">
        <f t="shared" si="10"/>
        <v>625</v>
      </c>
      <c r="H29" s="11">
        <f t="shared" si="11"/>
        <v>318.81</v>
      </c>
      <c r="I29" s="11">
        <f t="shared" si="3"/>
        <v>1041.8699999999999</v>
      </c>
      <c r="K29" s="3" t="s">
        <v>10</v>
      </c>
      <c r="L29">
        <v>4</v>
      </c>
      <c r="M29" s="3" t="s">
        <v>38</v>
      </c>
      <c r="N29">
        <v>4222.5</v>
      </c>
      <c r="O29">
        <f t="shared" si="4"/>
        <v>4498.2</v>
      </c>
      <c r="P29">
        <f t="shared" si="5"/>
        <v>4730.6000000000004</v>
      </c>
      <c r="Q29">
        <f t="shared" si="6"/>
        <v>4265.8</v>
      </c>
      <c r="R29">
        <v>700</v>
      </c>
      <c r="S29" s="13">
        <f t="shared" si="7"/>
        <v>318.8</v>
      </c>
      <c r="T29" s="13">
        <f t="shared" si="8"/>
        <v>727.5</v>
      </c>
      <c r="U29" s="6">
        <f t="shared" si="9"/>
        <v>0</v>
      </c>
    </row>
    <row r="30" spans="1:21" x14ac:dyDescent="0.25">
      <c r="A30" s="11" t="s">
        <v>10</v>
      </c>
      <c r="B30" s="11" t="s">
        <v>39</v>
      </c>
      <c r="C30" s="9">
        <v>4725</v>
      </c>
      <c r="D30" s="11">
        <f t="shared" si="0"/>
        <v>4498.18</v>
      </c>
      <c r="E30" s="11">
        <f t="shared" si="1"/>
        <v>5346.21</v>
      </c>
      <c r="F30" s="11">
        <f t="shared" si="2"/>
        <v>3650.15</v>
      </c>
      <c r="G30" s="11">
        <f t="shared" si="10"/>
        <v>465</v>
      </c>
      <c r="H30" s="11">
        <f t="shared" si="11"/>
        <v>318.81</v>
      </c>
      <c r="I30" s="11">
        <f t="shared" si="3"/>
        <v>1041.8699999999999</v>
      </c>
      <c r="K30" s="3" t="s">
        <v>10</v>
      </c>
      <c r="L30">
        <v>4</v>
      </c>
      <c r="M30" s="3" t="s">
        <v>39</v>
      </c>
      <c r="N30">
        <v>4367.5</v>
      </c>
      <c r="O30">
        <f t="shared" si="4"/>
        <v>4498.2</v>
      </c>
      <c r="P30">
        <f t="shared" si="5"/>
        <v>4730.6000000000004</v>
      </c>
      <c r="Q30">
        <f t="shared" si="6"/>
        <v>4265.8</v>
      </c>
      <c r="R30">
        <v>635</v>
      </c>
      <c r="S30" s="13">
        <f t="shared" si="7"/>
        <v>318.8</v>
      </c>
      <c r="T30" s="13">
        <f t="shared" si="8"/>
        <v>727.5</v>
      </c>
      <c r="U30" s="6">
        <f t="shared" si="9"/>
        <v>0</v>
      </c>
    </row>
    <row r="31" spans="1:21" x14ac:dyDescent="0.25">
      <c r="A31" s="11" t="s">
        <v>10</v>
      </c>
      <c r="B31" s="11" t="s">
        <v>40</v>
      </c>
      <c r="C31" s="9">
        <v>4640</v>
      </c>
      <c r="D31" s="11">
        <f t="shared" si="0"/>
        <v>4498.18</v>
      </c>
      <c r="E31" s="11">
        <f t="shared" si="1"/>
        <v>5346.21</v>
      </c>
      <c r="F31" s="11">
        <f t="shared" si="2"/>
        <v>3650.15</v>
      </c>
      <c r="G31" s="11">
        <f t="shared" si="10"/>
        <v>85</v>
      </c>
      <c r="H31" s="11">
        <f t="shared" si="11"/>
        <v>318.81</v>
      </c>
      <c r="I31" s="11">
        <f t="shared" si="3"/>
        <v>1041.8699999999999</v>
      </c>
      <c r="K31" s="3" t="s">
        <v>10</v>
      </c>
      <c r="L31">
        <v>4</v>
      </c>
      <c r="M31" s="3" t="s">
        <v>40</v>
      </c>
      <c r="N31">
        <v>4495</v>
      </c>
      <c r="O31">
        <f t="shared" si="4"/>
        <v>4498.2</v>
      </c>
      <c r="P31">
        <f t="shared" si="5"/>
        <v>4730.6000000000004</v>
      </c>
      <c r="Q31">
        <f t="shared" si="6"/>
        <v>4265.8</v>
      </c>
      <c r="R31">
        <v>390</v>
      </c>
      <c r="S31" s="13">
        <f t="shared" si="7"/>
        <v>318.8</v>
      </c>
      <c r="T31" s="13">
        <f t="shared" si="8"/>
        <v>727.5</v>
      </c>
      <c r="U31" s="6">
        <f t="shared" si="9"/>
        <v>0</v>
      </c>
    </row>
    <row r="32" spans="1:21" x14ac:dyDescent="0.25">
      <c r="A32" s="11" t="s">
        <v>10</v>
      </c>
      <c r="B32" s="11" t="s">
        <v>41</v>
      </c>
      <c r="C32" s="9">
        <v>4640</v>
      </c>
      <c r="D32" s="11">
        <f t="shared" si="0"/>
        <v>4498.18</v>
      </c>
      <c r="E32" s="11">
        <f t="shared" si="1"/>
        <v>5346.21</v>
      </c>
      <c r="F32" s="11">
        <f t="shared" si="2"/>
        <v>3650.15</v>
      </c>
      <c r="G32" s="11">
        <f t="shared" si="10"/>
        <v>0</v>
      </c>
      <c r="H32" s="11">
        <f t="shared" si="11"/>
        <v>318.81</v>
      </c>
      <c r="I32" s="11">
        <f t="shared" si="3"/>
        <v>1041.8699999999999</v>
      </c>
      <c r="K32" s="3" t="s">
        <v>10</v>
      </c>
      <c r="L32">
        <v>4</v>
      </c>
      <c r="M32" s="3" t="s">
        <v>41</v>
      </c>
      <c r="N32">
        <v>3550</v>
      </c>
      <c r="O32">
        <f t="shared" si="4"/>
        <v>4498.2</v>
      </c>
      <c r="P32">
        <f t="shared" si="5"/>
        <v>4730.6000000000004</v>
      </c>
      <c r="Q32">
        <f t="shared" si="6"/>
        <v>4265.8</v>
      </c>
      <c r="R32">
        <v>1115</v>
      </c>
      <c r="S32" s="13">
        <f t="shared" si="7"/>
        <v>318.8</v>
      </c>
      <c r="T32" s="13">
        <f t="shared" si="8"/>
        <v>727.5</v>
      </c>
      <c r="U32" s="6">
        <f t="shared" si="9"/>
        <v>0</v>
      </c>
    </row>
    <row r="33" spans="1:21" x14ac:dyDescent="0.25">
      <c r="A33" s="11" t="s">
        <v>10</v>
      </c>
      <c r="B33" s="11" t="s">
        <v>42</v>
      </c>
      <c r="C33" s="9">
        <v>4895</v>
      </c>
      <c r="D33" s="11">
        <f t="shared" si="0"/>
        <v>4498.18</v>
      </c>
      <c r="E33" s="11">
        <f t="shared" si="1"/>
        <v>5346.21</v>
      </c>
      <c r="F33" s="11">
        <f t="shared" si="2"/>
        <v>3650.15</v>
      </c>
      <c r="G33" s="11">
        <f t="shared" si="10"/>
        <v>255</v>
      </c>
      <c r="H33" s="11">
        <f t="shared" si="11"/>
        <v>318.81</v>
      </c>
      <c r="I33" s="11">
        <f t="shared" si="3"/>
        <v>1041.8699999999999</v>
      </c>
      <c r="K33" s="3" t="s">
        <v>10</v>
      </c>
      <c r="L33">
        <v>4</v>
      </c>
      <c r="M33" s="3" t="s">
        <v>42</v>
      </c>
      <c r="N33">
        <v>4498.8</v>
      </c>
      <c r="O33">
        <f t="shared" si="4"/>
        <v>4498.2</v>
      </c>
      <c r="P33">
        <f t="shared" si="5"/>
        <v>4730.6000000000004</v>
      </c>
      <c r="Q33">
        <f t="shared" si="6"/>
        <v>4265.8</v>
      </c>
      <c r="R33">
        <v>540</v>
      </c>
      <c r="S33" s="13">
        <f t="shared" si="7"/>
        <v>318.8</v>
      </c>
      <c r="T33" s="13">
        <f t="shared" si="8"/>
        <v>727.5</v>
      </c>
      <c r="U33" s="6">
        <f t="shared" si="9"/>
        <v>0</v>
      </c>
    </row>
    <row r="34" spans="1:21" x14ac:dyDescent="0.25">
      <c r="A34" s="11" t="s">
        <v>10</v>
      </c>
      <c r="B34" s="11" t="s">
        <v>43</v>
      </c>
      <c r="C34" s="9">
        <v>4790</v>
      </c>
      <c r="D34" s="11">
        <f t="shared" si="0"/>
        <v>4498.18</v>
      </c>
      <c r="E34" s="11">
        <f t="shared" si="1"/>
        <v>5346.21</v>
      </c>
      <c r="F34" s="11">
        <f t="shared" si="2"/>
        <v>3650.15</v>
      </c>
      <c r="G34" s="11">
        <f t="shared" si="10"/>
        <v>105</v>
      </c>
      <c r="H34" s="11">
        <f t="shared" si="11"/>
        <v>318.81</v>
      </c>
      <c r="I34" s="11">
        <f t="shared" si="3"/>
        <v>1041.8699999999999</v>
      </c>
      <c r="K34" s="3" t="s">
        <v>10</v>
      </c>
      <c r="L34">
        <v>4</v>
      </c>
      <c r="M34" s="3" t="s">
        <v>43</v>
      </c>
      <c r="N34">
        <v>4476.3</v>
      </c>
      <c r="O34">
        <f t="shared" si="4"/>
        <v>4498.2</v>
      </c>
      <c r="P34">
        <f t="shared" si="5"/>
        <v>4730.6000000000004</v>
      </c>
      <c r="Q34">
        <f t="shared" si="6"/>
        <v>4265.8</v>
      </c>
      <c r="R34">
        <v>655</v>
      </c>
      <c r="S34" s="13">
        <f t="shared" ref="S34:S52" si="12">ROUND(AVERAGE($H$2:$H$52),1)</f>
        <v>318.8</v>
      </c>
      <c r="T34" s="13">
        <f t="shared" si="8"/>
        <v>727.5</v>
      </c>
      <c r="U34" s="6">
        <f t="shared" si="9"/>
        <v>0</v>
      </c>
    </row>
    <row r="35" spans="1:21" x14ac:dyDescent="0.25">
      <c r="A35" s="11" t="s">
        <v>10</v>
      </c>
      <c r="B35" s="11" t="s">
        <v>44</v>
      </c>
      <c r="C35" s="9">
        <v>4845</v>
      </c>
      <c r="D35" s="11">
        <f t="shared" si="0"/>
        <v>4498.18</v>
      </c>
      <c r="E35" s="11">
        <f t="shared" si="1"/>
        <v>5346.21</v>
      </c>
      <c r="F35" s="11">
        <f t="shared" si="2"/>
        <v>3650.15</v>
      </c>
      <c r="G35" s="11">
        <f t="shared" si="10"/>
        <v>55</v>
      </c>
      <c r="H35" s="11">
        <f t="shared" si="11"/>
        <v>318.81</v>
      </c>
      <c r="I35" s="11">
        <f t="shared" si="3"/>
        <v>1041.8699999999999</v>
      </c>
      <c r="K35" s="3" t="s">
        <v>10</v>
      </c>
      <c r="L35">
        <v>4</v>
      </c>
      <c r="M35" s="3" t="s">
        <v>44</v>
      </c>
      <c r="N35">
        <v>4528.8</v>
      </c>
      <c r="O35">
        <f t="shared" si="4"/>
        <v>4498.2</v>
      </c>
      <c r="P35">
        <f t="shared" si="5"/>
        <v>4730.6000000000004</v>
      </c>
      <c r="Q35">
        <f t="shared" si="6"/>
        <v>4265.8</v>
      </c>
      <c r="R35">
        <v>725</v>
      </c>
      <c r="S35" s="13">
        <f t="shared" si="12"/>
        <v>318.8</v>
      </c>
      <c r="T35" s="13">
        <f t="shared" si="8"/>
        <v>727.5</v>
      </c>
      <c r="U35" s="6">
        <f t="shared" si="9"/>
        <v>0</v>
      </c>
    </row>
    <row r="36" spans="1:21" x14ac:dyDescent="0.25">
      <c r="A36" s="11" t="s">
        <v>10</v>
      </c>
      <c r="B36" s="11" t="s">
        <v>45</v>
      </c>
      <c r="C36" s="9">
        <v>4700</v>
      </c>
      <c r="D36" s="11">
        <f t="shared" si="0"/>
        <v>4498.18</v>
      </c>
      <c r="E36" s="11">
        <f t="shared" si="1"/>
        <v>5346.21</v>
      </c>
      <c r="F36" s="11">
        <f t="shared" si="2"/>
        <v>3650.15</v>
      </c>
      <c r="G36" s="11">
        <f t="shared" si="10"/>
        <v>145</v>
      </c>
      <c r="H36" s="11">
        <f t="shared" si="11"/>
        <v>318.81</v>
      </c>
      <c r="I36" s="11">
        <f t="shared" si="3"/>
        <v>1041.8699999999999</v>
      </c>
      <c r="K36" s="3" t="s">
        <v>10</v>
      </c>
      <c r="L36">
        <v>4</v>
      </c>
      <c r="M36" s="3" t="s">
        <v>45</v>
      </c>
      <c r="N36">
        <v>4550</v>
      </c>
      <c r="O36">
        <f t="shared" si="4"/>
        <v>4498.2</v>
      </c>
      <c r="P36">
        <f t="shared" si="5"/>
        <v>4730.6000000000004</v>
      </c>
      <c r="Q36">
        <f t="shared" si="6"/>
        <v>4265.8</v>
      </c>
      <c r="R36">
        <v>400</v>
      </c>
      <c r="S36" s="13">
        <f t="shared" si="12"/>
        <v>318.8</v>
      </c>
      <c r="T36" s="13">
        <f t="shared" si="8"/>
        <v>727.5</v>
      </c>
      <c r="U36" s="6">
        <f t="shared" si="9"/>
        <v>0</v>
      </c>
    </row>
    <row r="37" spans="1:21" x14ac:dyDescent="0.25">
      <c r="A37" s="11" t="s">
        <v>10</v>
      </c>
      <c r="B37" s="11" t="s">
        <v>46</v>
      </c>
      <c r="C37" s="9">
        <v>4600</v>
      </c>
      <c r="D37" s="11">
        <f t="shared" si="0"/>
        <v>4498.18</v>
      </c>
      <c r="E37" s="11">
        <f t="shared" si="1"/>
        <v>5346.21</v>
      </c>
      <c r="F37" s="11">
        <f t="shared" si="2"/>
        <v>3650.15</v>
      </c>
      <c r="G37" s="11">
        <f t="shared" si="10"/>
        <v>100</v>
      </c>
      <c r="H37" s="11">
        <f t="shared" si="11"/>
        <v>318.81</v>
      </c>
      <c r="I37" s="11">
        <f t="shared" si="3"/>
        <v>1041.8699999999999</v>
      </c>
      <c r="K37" s="3" t="s">
        <v>10</v>
      </c>
      <c r="L37">
        <v>4</v>
      </c>
      <c r="M37" s="3" t="s">
        <v>46</v>
      </c>
      <c r="N37">
        <v>3701.3</v>
      </c>
      <c r="O37">
        <f t="shared" si="4"/>
        <v>4498.2</v>
      </c>
      <c r="P37">
        <f t="shared" si="5"/>
        <v>4730.6000000000004</v>
      </c>
      <c r="Q37">
        <f t="shared" si="6"/>
        <v>4265.8</v>
      </c>
      <c r="R37">
        <v>265</v>
      </c>
      <c r="S37" s="13">
        <f t="shared" si="12"/>
        <v>318.8</v>
      </c>
      <c r="T37" s="13">
        <f t="shared" si="8"/>
        <v>727.5</v>
      </c>
      <c r="U37" s="6">
        <f t="shared" si="9"/>
        <v>0</v>
      </c>
    </row>
    <row r="38" spans="1:21" x14ac:dyDescent="0.25">
      <c r="A38" s="11" t="s">
        <v>10</v>
      </c>
      <c r="B38" s="11" t="s">
        <v>47</v>
      </c>
      <c r="C38" s="9">
        <v>4110</v>
      </c>
      <c r="D38" s="11">
        <f t="shared" si="0"/>
        <v>4498.18</v>
      </c>
      <c r="E38" s="11">
        <f t="shared" si="1"/>
        <v>5346.21</v>
      </c>
      <c r="F38" s="11">
        <f t="shared" si="2"/>
        <v>3650.15</v>
      </c>
      <c r="G38" s="11">
        <f t="shared" si="10"/>
        <v>490</v>
      </c>
      <c r="H38" s="11">
        <f t="shared" si="11"/>
        <v>318.81</v>
      </c>
      <c r="I38" s="11">
        <f t="shared" si="3"/>
        <v>1041.8699999999999</v>
      </c>
      <c r="K38" s="3" t="s">
        <v>10</v>
      </c>
      <c r="L38">
        <v>4</v>
      </c>
      <c r="M38" s="3" t="s">
        <v>47</v>
      </c>
      <c r="N38">
        <v>4030</v>
      </c>
      <c r="O38">
        <f t="shared" si="4"/>
        <v>4498.2</v>
      </c>
      <c r="P38">
        <f t="shared" si="5"/>
        <v>4730.6000000000004</v>
      </c>
      <c r="Q38">
        <f t="shared" si="6"/>
        <v>4265.8</v>
      </c>
      <c r="R38">
        <v>675</v>
      </c>
      <c r="S38" s="13">
        <f t="shared" si="12"/>
        <v>318.8</v>
      </c>
      <c r="T38" s="13">
        <f t="shared" si="8"/>
        <v>727.5</v>
      </c>
      <c r="U38" s="6">
        <f t="shared" si="9"/>
        <v>0</v>
      </c>
    </row>
    <row r="39" spans="1:21" x14ac:dyDescent="0.25">
      <c r="A39" s="11" t="s">
        <v>10</v>
      </c>
      <c r="B39" s="11" t="s">
        <v>48</v>
      </c>
      <c r="C39" s="9">
        <v>4410</v>
      </c>
      <c r="D39" s="11">
        <f t="shared" si="0"/>
        <v>4498.18</v>
      </c>
      <c r="E39" s="11">
        <f t="shared" si="1"/>
        <v>5346.21</v>
      </c>
      <c r="F39" s="11">
        <f t="shared" si="2"/>
        <v>3650.15</v>
      </c>
      <c r="G39" s="11">
        <f t="shared" si="10"/>
        <v>300</v>
      </c>
      <c r="H39" s="11">
        <f t="shared" si="11"/>
        <v>318.81</v>
      </c>
      <c r="I39" s="11">
        <f t="shared" si="3"/>
        <v>1041.8699999999999</v>
      </c>
      <c r="K39" s="3" t="s">
        <v>10</v>
      </c>
      <c r="L39">
        <v>4</v>
      </c>
      <c r="M39" s="3" t="s">
        <v>48</v>
      </c>
      <c r="N39">
        <v>4781.3</v>
      </c>
      <c r="O39">
        <f t="shared" si="4"/>
        <v>4498.2</v>
      </c>
      <c r="P39">
        <f t="shared" si="5"/>
        <v>4730.6000000000004</v>
      </c>
      <c r="Q39">
        <f t="shared" si="6"/>
        <v>4265.8</v>
      </c>
      <c r="R39">
        <v>500</v>
      </c>
      <c r="S39" s="13">
        <f t="shared" si="12"/>
        <v>318.8</v>
      </c>
      <c r="T39" s="13">
        <f t="shared" si="8"/>
        <v>727.5</v>
      </c>
      <c r="U39" s="6">
        <f t="shared" si="9"/>
        <v>0</v>
      </c>
    </row>
    <row r="40" spans="1:21" x14ac:dyDescent="0.25">
      <c r="A40" s="11" t="s">
        <v>10</v>
      </c>
      <c r="B40" s="11" t="s">
        <v>49</v>
      </c>
      <c r="C40" s="9">
        <v>4180</v>
      </c>
      <c r="D40" s="11">
        <f t="shared" si="0"/>
        <v>4498.18</v>
      </c>
      <c r="E40" s="11">
        <f t="shared" si="1"/>
        <v>5346.21</v>
      </c>
      <c r="F40" s="11">
        <f t="shared" si="2"/>
        <v>3650.15</v>
      </c>
      <c r="G40" s="11">
        <f t="shared" si="10"/>
        <v>230</v>
      </c>
      <c r="H40" s="11">
        <f t="shared" si="11"/>
        <v>318.81</v>
      </c>
      <c r="I40" s="11">
        <f t="shared" si="3"/>
        <v>1041.8699999999999</v>
      </c>
      <c r="K40" s="3" t="s">
        <v>10</v>
      </c>
      <c r="L40">
        <v>4</v>
      </c>
      <c r="M40" s="3" t="s">
        <v>49</v>
      </c>
      <c r="N40">
        <v>4797.5</v>
      </c>
      <c r="O40">
        <f t="shared" si="4"/>
        <v>4498.2</v>
      </c>
      <c r="P40">
        <f t="shared" si="5"/>
        <v>4730.6000000000004</v>
      </c>
      <c r="Q40">
        <f t="shared" si="6"/>
        <v>4265.8</v>
      </c>
      <c r="R40">
        <v>650</v>
      </c>
      <c r="S40" s="13">
        <f t="shared" si="12"/>
        <v>318.8</v>
      </c>
      <c r="T40" s="13">
        <f t="shared" si="8"/>
        <v>727.5</v>
      </c>
      <c r="U40" s="6">
        <f t="shared" si="9"/>
        <v>0</v>
      </c>
    </row>
    <row r="41" spans="1:21" x14ac:dyDescent="0.25">
      <c r="A41" s="11" t="s">
        <v>10</v>
      </c>
      <c r="B41" s="11" t="s">
        <v>50</v>
      </c>
      <c r="C41" s="9">
        <v>4790</v>
      </c>
      <c r="D41" s="11">
        <f t="shared" si="0"/>
        <v>4498.18</v>
      </c>
      <c r="E41" s="11">
        <f t="shared" si="1"/>
        <v>5346.21</v>
      </c>
      <c r="F41" s="11">
        <f t="shared" si="2"/>
        <v>3650.15</v>
      </c>
      <c r="G41" s="11">
        <f t="shared" si="10"/>
        <v>610</v>
      </c>
      <c r="H41" s="11">
        <f t="shared" si="11"/>
        <v>318.81</v>
      </c>
      <c r="I41" s="11">
        <f t="shared" si="3"/>
        <v>1041.8699999999999</v>
      </c>
      <c r="K41" s="3" t="s">
        <v>10</v>
      </c>
      <c r="L41">
        <v>4</v>
      </c>
      <c r="M41" s="3" t="s">
        <v>50</v>
      </c>
      <c r="N41">
        <v>4887.5</v>
      </c>
      <c r="O41">
        <f t="shared" si="4"/>
        <v>4498.2</v>
      </c>
      <c r="P41">
        <f t="shared" si="5"/>
        <v>4730.6000000000004</v>
      </c>
      <c r="Q41">
        <f t="shared" si="6"/>
        <v>4265.8</v>
      </c>
      <c r="R41">
        <v>300</v>
      </c>
      <c r="S41" s="13">
        <f t="shared" si="12"/>
        <v>318.8</v>
      </c>
      <c r="T41" s="13">
        <f t="shared" si="8"/>
        <v>727.5</v>
      </c>
      <c r="U41" s="6">
        <f t="shared" si="9"/>
        <v>0</v>
      </c>
    </row>
    <row r="42" spans="1:21" x14ac:dyDescent="0.25">
      <c r="A42" s="11" t="s">
        <v>10</v>
      </c>
      <c r="B42" s="11" t="s">
        <v>51</v>
      </c>
      <c r="C42" s="9">
        <v>4790</v>
      </c>
      <c r="D42" s="11">
        <f t="shared" si="0"/>
        <v>4498.18</v>
      </c>
      <c r="E42" s="11">
        <f t="shared" si="1"/>
        <v>5346.21</v>
      </c>
      <c r="F42" s="11">
        <f t="shared" si="2"/>
        <v>3650.15</v>
      </c>
      <c r="G42" s="11">
        <f t="shared" si="10"/>
        <v>0</v>
      </c>
      <c r="H42" s="11">
        <f t="shared" si="11"/>
        <v>318.81</v>
      </c>
      <c r="I42" s="11">
        <f t="shared" si="3"/>
        <v>1041.8699999999999</v>
      </c>
      <c r="K42" s="3" t="s">
        <v>10</v>
      </c>
      <c r="L42">
        <v>4</v>
      </c>
      <c r="M42" s="3" t="s">
        <v>51</v>
      </c>
      <c r="N42">
        <v>4760</v>
      </c>
      <c r="O42">
        <f t="shared" si="4"/>
        <v>4498.2</v>
      </c>
      <c r="P42">
        <f t="shared" si="5"/>
        <v>4730.6000000000004</v>
      </c>
      <c r="Q42">
        <f t="shared" si="6"/>
        <v>4265.8</v>
      </c>
      <c r="R42">
        <v>500</v>
      </c>
      <c r="S42" s="13">
        <f t="shared" si="12"/>
        <v>318.8</v>
      </c>
      <c r="T42" s="13">
        <f t="shared" si="8"/>
        <v>727.5</v>
      </c>
      <c r="U42" s="6">
        <f t="shared" si="9"/>
        <v>0</v>
      </c>
    </row>
    <row r="43" spans="1:21" x14ac:dyDescent="0.25">
      <c r="A43" s="11" t="s">
        <v>10</v>
      </c>
      <c r="B43" s="11" t="s">
        <v>52</v>
      </c>
      <c r="C43" s="9">
        <v>4340</v>
      </c>
      <c r="D43" s="11">
        <f t="shared" si="0"/>
        <v>4498.18</v>
      </c>
      <c r="E43" s="11">
        <f t="shared" si="1"/>
        <v>5346.21</v>
      </c>
      <c r="F43" s="11">
        <f t="shared" si="2"/>
        <v>3650.15</v>
      </c>
      <c r="G43" s="11">
        <f t="shared" si="10"/>
        <v>450</v>
      </c>
      <c r="H43" s="11">
        <f t="shared" si="11"/>
        <v>318.81</v>
      </c>
      <c r="I43" s="11">
        <f t="shared" si="3"/>
        <v>1041.8699999999999</v>
      </c>
      <c r="K43" s="3" t="s">
        <v>10</v>
      </c>
      <c r="L43">
        <v>4</v>
      </c>
      <c r="M43" s="3" t="s">
        <v>52</v>
      </c>
      <c r="N43">
        <v>4853.8</v>
      </c>
      <c r="O43">
        <f t="shared" si="4"/>
        <v>4498.2</v>
      </c>
      <c r="P43">
        <f t="shared" si="5"/>
        <v>4730.6000000000004</v>
      </c>
      <c r="Q43">
        <f t="shared" si="6"/>
        <v>4265.8</v>
      </c>
      <c r="R43">
        <v>505</v>
      </c>
      <c r="S43" s="13">
        <f t="shared" si="12"/>
        <v>318.8</v>
      </c>
      <c r="T43" s="13">
        <f t="shared" si="8"/>
        <v>727.5</v>
      </c>
      <c r="U43" s="6">
        <f t="shared" si="9"/>
        <v>0</v>
      </c>
    </row>
    <row r="44" spans="1:21" x14ac:dyDescent="0.25">
      <c r="A44" s="11" t="s">
        <v>10</v>
      </c>
      <c r="B44" s="11" t="s">
        <v>53</v>
      </c>
      <c r="C44" s="9">
        <v>4895</v>
      </c>
      <c r="D44" s="11">
        <f t="shared" si="0"/>
        <v>4498.18</v>
      </c>
      <c r="E44" s="11">
        <f t="shared" si="1"/>
        <v>5346.21</v>
      </c>
      <c r="F44" s="11">
        <f t="shared" si="2"/>
        <v>3650.15</v>
      </c>
      <c r="G44" s="11">
        <f t="shared" si="10"/>
        <v>555</v>
      </c>
      <c r="H44" s="11">
        <f t="shared" si="11"/>
        <v>318.81</v>
      </c>
      <c r="I44" s="11">
        <f t="shared" si="3"/>
        <v>1041.8699999999999</v>
      </c>
      <c r="K44" s="3" t="s">
        <v>10</v>
      </c>
      <c r="L44">
        <v>4</v>
      </c>
      <c r="M44" s="3" t="s">
        <v>53</v>
      </c>
      <c r="N44">
        <v>4925</v>
      </c>
      <c r="O44">
        <f t="shared" si="4"/>
        <v>4498.2</v>
      </c>
      <c r="P44">
        <f t="shared" si="5"/>
        <v>4730.6000000000004</v>
      </c>
      <c r="Q44">
        <f t="shared" si="6"/>
        <v>4265.8</v>
      </c>
      <c r="R44">
        <v>300</v>
      </c>
      <c r="S44" s="13">
        <f t="shared" si="12"/>
        <v>318.8</v>
      </c>
      <c r="T44" s="13">
        <f t="shared" si="8"/>
        <v>727.5</v>
      </c>
      <c r="U44" s="6">
        <f t="shared" si="9"/>
        <v>0</v>
      </c>
    </row>
    <row r="45" spans="1:21" x14ac:dyDescent="0.25">
      <c r="A45" s="11" t="s">
        <v>10</v>
      </c>
      <c r="B45" s="11" t="s">
        <v>54</v>
      </c>
      <c r="C45" s="9">
        <v>5750</v>
      </c>
      <c r="D45" s="11">
        <f t="shared" si="0"/>
        <v>4498.18</v>
      </c>
      <c r="E45" s="11">
        <f t="shared" si="1"/>
        <v>5346.21</v>
      </c>
      <c r="F45" s="11">
        <f t="shared" si="2"/>
        <v>3650.15</v>
      </c>
      <c r="G45" s="11">
        <f t="shared" si="10"/>
        <v>855</v>
      </c>
      <c r="H45" s="11">
        <f t="shared" si="11"/>
        <v>318.81</v>
      </c>
      <c r="I45" s="11">
        <f t="shared" si="3"/>
        <v>1041.8699999999999</v>
      </c>
      <c r="K45" s="3" t="s">
        <v>10</v>
      </c>
      <c r="L45">
        <v>4</v>
      </c>
      <c r="M45" s="3" t="s">
        <v>54</v>
      </c>
      <c r="N45">
        <v>5041.3</v>
      </c>
      <c r="O45">
        <f t="shared" si="4"/>
        <v>4498.2</v>
      </c>
      <c r="P45">
        <f t="shared" si="5"/>
        <v>4730.6000000000004</v>
      </c>
      <c r="Q45">
        <f t="shared" si="6"/>
        <v>4265.8</v>
      </c>
      <c r="R45">
        <v>335</v>
      </c>
      <c r="S45" s="13">
        <f t="shared" si="12"/>
        <v>318.8</v>
      </c>
      <c r="T45" s="13">
        <f t="shared" si="8"/>
        <v>727.5</v>
      </c>
      <c r="U45" s="6">
        <f t="shared" si="9"/>
        <v>0</v>
      </c>
    </row>
    <row r="46" spans="1:21" x14ac:dyDescent="0.25">
      <c r="A46" s="11" t="s">
        <v>10</v>
      </c>
      <c r="B46" s="11" t="s">
        <v>55</v>
      </c>
      <c r="C46" s="9">
        <v>4740</v>
      </c>
      <c r="D46" s="11">
        <f t="shared" si="0"/>
        <v>4498.18</v>
      </c>
      <c r="E46" s="11">
        <f t="shared" si="1"/>
        <v>5346.21</v>
      </c>
      <c r="F46" s="11">
        <f t="shared" si="2"/>
        <v>3650.15</v>
      </c>
      <c r="G46" s="11">
        <f t="shared" si="10"/>
        <v>1010</v>
      </c>
      <c r="H46" s="11">
        <f t="shared" si="11"/>
        <v>318.81</v>
      </c>
      <c r="I46" s="11">
        <f t="shared" si="3"/>
        <v>1041.8699999999999</v>
      </c>
      <c r="K46" s="3" t="s">
        <v>10</v>
      </c>
      <c r="L46">
        <v>4</v>
      </c>
      <c r="M46" s="3" t="s">
        <v>55</v>
      </c>
      <c r="N46">
        <v>4835</v>
      </c>
      <c r="O46">
        <f t="shared" si="4"/>
        <v>4498.2</v>
      </c>
      <c r="P46">
        <f t="shared" si="5"/>
        <v>4730.6000000000004</v>
      </c>
      <c r="Q46">
        <f t="shared" si="6"/>
        <v>4265.8</v>
      </c>
      <c r="R46">
        <v>1385</v>
      </c>
      <c r="S46" s="13">
        <f t="shared" si="12"/>
        <v>318.8</v>
      </c>
      <c r="T46" s="13">
        <f t="shared" si="8"/>
        <v>727.5</v>
      </c>
      <c r="U46" s="6">
        <f t="shared" si="9"/>
        <v>0</v>
      </c>
    </row>
    <row r="47" spans="1:21" x14ac:dyDescent="0.25">
      <c r="A47" s="11" t="s">
        <v>10</v>
      </c>
      <c r="B47" s="11" t="s">
        <v>56</v>
      </c>
      <c r="C47" s="9">
        <v>5000</v>
      </c>
      <c r="D47" s="11">
        <f t="shared" si="0"/>
        <v>4498.18</v>
      </c>
      <c r="E47" s="11">
        <f t="shared" si="1"/>
        <v>5346.21</v>
      </c>
      <c r="F47" s="11">
        <f t="shared" si="2"/>
        <v>3650.15</v>
      </c>
      <c r="G47" s="11">
        <f t="shared" si="10"/>
        <v>260</v>
      </c>
      <c r="H47" s="11">
        <f t="shared" si="11"/>
        <v>318.81</v>
      </c>
      <c r="I47" s="11">
        <f t="shared" si="3"/>
        <v>1041.8699999999999</v>
      </c>
      <c r="K47" s="3" t="s">
        <v>10</v>
      </c>
      <c r="L47">
        <v>4</v>
      </c>
      <c r="M47" s="3" t="s">
        <v>56</v>
      </c>
      <c r="N47">
        <v>4555</v>
      </c>
      <c r="O47">
        <f t="shared" si="4"/>
        <v>4498.2</v>
      </c>
      <c r="P47">
        <f t="shared" si="5"/>
        <v>4730.6000000000004</v>
      </c>
      <c r="Q47">
        <f t="shared" si="6"/>
        <v>4265.8</v>
      </c>
      <c r="R47">
        <v>340</v>
      </c>
      <c r="S47" s="13">
        <f t="shared" si="12"/>
        <v>318.8</v>
      </c>
      <c r="T47" s="13">
        <f t="shared" si="8"/>
        <v>727.5</v>
      </c>
      <c r="U47" s="6">
        <f t="shared" si="9"/>
        <v>0</v>
      </c>
    </row>
    <row r="48" spans="1:21" x14ac:dyDescent="0.25">
      <c r="A48" s="11" t="s">
        <v>10</v>
      </c>
      <c r="B48" s="11" t="s">
        <v>57</v>
      </c>
      <c r="C48" s="9">
        <v>4895</v>
      </c>
      <c r="D48" s="11">
        <f t="shared" si="0"/>
        <v>4498.18</v>
      </c>
      <c r="E48" s="11">
        <f t="shared" si="1"/>
        <v>5346.21</v>
      </c>
      <c r="F48" s="11">
        <f t="shared" si="2"/>
        <v>3650.15</v>
      </c>
      <c r="G48" s="11">
        <f t="shared" si="10"/>
        <v>105</v>
      </c>
      <c r="H48" s="11">
        <f t="shared" si="11"/>
        <v>318.81</v>
      </c>
      <c r="I48" s="11">
        <f t="shared" si="3"/>
        <v>1041.8699999999999</v>
      </c>
      <c r="K48" s="3" t="s">
        <v>10</v>
      </c>
      <c r="L48">
        <v>4</v>
      </c>
      <c r="M48" s="3" t="s">
        <v>57</v>
      </c>
      <c r="N48">
        <v>4566.3</v>
      </c>
      <c r="O48">
        <f t="shared" si="4"/>
        <v>4498.2</v>
      </c>
      <c r="P48">
        <f t="shared" si="5"/>
        <v>4730.6000000000004</v>
      </c>
      <c r="Q48">
        <f t="shared" si="6"/>
        <v>4265.8</v>
      </c>
      <c r="R48">
        <v>265</v>
      </c>
      <c r="S48" s="13">
        <f t="shared" si="12"/>
        <v>318.8</v>
      </c>
      <c r="T48" s="13">
        <f t="shared" si="8"/>
        <v>727.5</v>
      </c>
      <c r="U48" s="6">
        <f t="shared" si="9"/>
        <v>0</v>
      </c>
    </row>
    <row r="49" spans="1:21" x14ac:dyDescent="0.25">
      <c r="A49" s="11" t="s">
        <v>10</v>
      </c>
      <c r="B49" s="11" t="s">
        <v>58</v>
      </c>
      <c r="C49" s="9">
        <v>4255</v>
      </c>
      <c r="D49" s="11">
        <f t="shared" si="0"/>
        <v>4498.18</v>
      </c>
      <c r="E49" s="11">
        <f t="shared" si="1"/>
        <v>5346.21</v>
      </c>
      <c r="F49" s="11">
        <f t="shared" si="2"/>
        <v>3650.15</v>
      </c>
      <c r="G49" s="11">
        <f t="shared" si="10"/>
        <v>640</v>
      </c>
      <c r="H49" s="11">
        <f t="shared" si="11"/>
        <v>318.81</v>
      </c>
      <c r="I49" s="11">
        <f t="shared" si="3"/>
        <v>1041.8699999999999</v>
      </c>
      <c r="K49" s="3" t="s">
        <v>10</v>
      </c>
      <c r="L49">
        <v>4</v>
      </c>
      <c r="M49" s="3" t="s">
        <v>58</v>
      </c>
      <c r="N49">
        <v>4842.5</v>
      </c>
      <c r="O49">
        <f t="shared" si="4"/>
        <v>4498.2</v>
      </c>
      <c r="P49">
        <f t="shared" si="5"/>
        <v>4730.6000000000004</v>
      </c>
      <c r="Q49">
        <f t="shared" si="6"/>
        <v>4265.8</v>
      </c>
      <c r="R49">
        <v>230</v>
      </c>
      <c r="S49" s="13">
        <f t="shared" si="12"/>
        <v>318.8</v>
      </c>
      <c r="T49" s="13">
        <f t="shared" si="8"/>
        <v>727.5</v>
      </c>
      <c r="U49" s="6">
        <f t="shared" si="9"/>
        <v>0</v>
      </c>
    </row>
    <row r="50" spans="1:21" x14ac:dyDescent="0.25">
      <c r="A50" s="11" t="s">
        <v>10</v>
      </c>
      <c r="B50" s="11" t="s">
        <v>59</v>
      </c>
      <c r="C50" s="9">
        <v>4170</v>
      </c>
      <c r="D50" s="11">
        <f t="shared" si="0"/>
        <v>4498.18</v>
      </c>
      <c r="E50" s="11">
        <f t="shared" si="1"/>
        <v>5346.21</v>
      </c>
      <c r="F50" s="11">
        <f t="shared" si="2"/>
        <v>3650.15</v>
      </c>
      <c r="G50" s="11">
        <f t="shared" si="10"/>
        <v>85</v>
      </c>
      <c r="H50" s="11">
        <f t="shared" si="11"/>
        <v>318.81</v>
      </c>
      <c r="I50" s="11">
        <f t="shared" si="3"/>
        <v>1041.8699999999999</v>
      </c>
      <c r="K50" s="3" t="s">
        <v>10</v>
      </c>
      <c r="L50">
        <v>4</v>
      </c>
      <c r="M50" s="3" t="s">
        <v>59</v>
      </c>
      <c r="N50">
        <v>4343.8</v>
      </c>
      <c r="O50">
        <f t="shared" si="4"/>
        <v>4498.2</v>
      </c>
      <c r="P50">
        <f t="shared" si="5"/>
        <v>4730.6000000000004</v>
      </c>
      <c r="Q50">
        <f t="shared" si="6"/>
        <v>4265.8</v>
      </c>
      <c r="R50">
        <v>490</v>
      </c>
      <c r="S50" s="13">
        <f t="shared" si="12"/>
        <v>318.8</v>
      </c>
      <c r="T50" s="13">
        <f t="shared" si="8"/>
        <v>727.5</v>
      </c>
      <c r="U50" s="6">
        <f t="shared" si="9"/>
        <v>0</v>
      </c>
    </row>
    <row r="51" spans="1:21" x14ac:dyDescent="0.25">
      <c r="A51" s="11" t="s">
        <v>10</v>
      </c>
      <c r="B51" s="11" t="s">
        <v>60</v>
      </c>
      <c r="C51" s="9">
        <v>3850</v>
      </c>
      <c r="D51" s="11">
        <f t="shared" si="0"/>
        <v>4498.18</v>
      </c>
      <c r="E51" s="11">
        <f t="shared" si="1"/>
        <v>5346.21</v>
      </c>
      <c r="F51" s="11">
        <f t="shared" si="2"/>
        <v>3650.15</v>
      </c>
      <c r="G51" s="11">
        <f t="shared" si="10"/>
        <v>320</v>
      </c>
      <c r="H51" s="11">
        <f t="shared" si="11"/>
        <v>318.81</v>
      </c>
      <c r="I51" s="11">
        <f t="shared" si="3"/>
        <v>1041.8699999999999</v>
      </c>
      <c r="K51" s="3" t="s">
        <v>10</v>
      </c>
      <c r="L51">
        <v>4</v>
      </c>
      <c r="M51" s="3" t="s">
        <v>60</v>
      </c>
      <c r="N51">
        <v>4361.3</v>
      </c>
      <c r="O51">
        <f t="shared" si="4"/>
        <v>4498.2</v>
      </c>
      <c r="P51">
        <f t="shared" si="5"/>
        <v>4730.6000000000004</v>
      </c>
      <c r="Q51">
        <f t="shared" si="6"/>
        <v>4265.8</v>
      </c>
      <c r="R51">
        <v>1360</v>
      </c>
      <c r="S51" s="13">
        <f t="shared" si="12"/>
        <v>318.8</v>
      </c>
      <c r="T51" s="13">
        <f t="shared" si="8"/>
        <v>727.5</v>
      </c>
      <c r="U51" s="6">
        <f t="shared" si="9"/>
        <v>0</v>
      </c>
    </row>
    <row r="52" spans="1:21" x14ac:dyDescent="0.25">
      <c r="A52" s="11" t="s">
        <v>10</v>
      </c>
      <c r="B52" s="11" t="s">
        <v>61</v>
      </c>
      <c r="C52" s="9">
        <v>4445</v>
      </c>
      <c r="D52" s="11">
        <f t="shared" si="0"/>
        <v>4498.18</v>
      </c>
      <c r="E52" s="11">
        <f t="shared" si="1"/>
        <v>5346.21</v>
      </c>
      <c r="F52" s="11">
        <f t="shared" si="2"/>
        <v>3650.15</v>
      </c>
      <c r="G52" s="11">
        <f t="shared" si="10"/>
        <v>595</v>
      </c>
      <c r="H52" s="11">
        <f t="shared" si="11"/>
        <v>318.81</v>
      </c>
      <c r="I52" s="11">
        <f t="shared" si="3"/>
        <v>1041.8699999999999</v>
      </c>
      <c r="K52" s="3" t="s">
        <v>10</v>
      </c>
      <c r="L52">
        <v>4</v>
      </c>
      <c r="M52" s="3" t="s">
        <v>61</v>
      </c>
      <c r="N52">
        <v>5100</v>
      </c>
      <c r="O52">
        <f t="shared" si="4"/>
        <v>4498.2</v>
      </c>
      <c r="P52">
        <f t="shared" si="5"/>
        <v>4730.6000000000004</v>
      </c>
      <c r="Q52">
        <f t="shared" si="6"/>
        <v>4265.8</v>
      </c>
      <c r="R52">
        <v>250</v>
      </c>
      <c r="S52" s="13">
        <f t="shared" si="12"/>
        <v>318.8</v>
      </c>
      <c r="T52" s="13">
        <f t="shared" si="8"/>
        <v>727.5</v>
      </c>
      <c r="U52" s="6">
        <f t="shared" si="9"/>
        <v>0</v>
      </c>
    </row>
    <row r="53" spans="1:21" x14ac:dyDescent="0.25">
      <c r="A53" s="11" t="s">
        <v>10</v>
      </c>
      <c r="B53" s="11" t="s">
        <v>62</v>
      </c>
      <c r="C53" s="9">
        <v>4650</v>
      </c>
      <c r="D53" s="11">
        <f t="shared" si="0"/>
        <v>4498.18</v>
      </c>
      <c r="E53" s="11">
        <f t="shared" si="1"/>
        <v>5346.21</v>
      </c>
      <c r="F53" s="11">
        <f t="shared" si="2"/>
        <v>3650.15</v>
      </c>
      <c r="G53" s="11">
        <f t="shared" si="10"/>
        <v>205</v>
      </c>
      <c r="H53" s="11">
        <f t="shared" si="11"/>
        <v>318.81</v>
      </c>
      <c r="I53" s="11">
        <f t="shared" si="3"/>
        <v>1041.8699999999999</v>
      </c>
    </row>
    <row r="54" spans="1:21" x14ac:dyDescent="0.25">
      <c r="A54" s="11" t="s">
        <v>10</v>
      </c>
      <c r="B54" s="11" t="s">
        <v>63</v>
      </c>
      <c r="C54" s="9">
        <v>4170</v>
      </c>
      <c r="D54" s="11">
        <f t="shared" si="0"/>
        <v>4498.18</v>
      </c>
      <c r="E54" s="11">
        <f t="shared" si="1"/>
        <v>5346.21</v>
      </c>
      <c r="F54" s="11">
        <f t="shared" si="2"/>
        <v>3650.15</v>
      </c>
      <c r="G54" s="11">
        <f t="shared" si="10"/>
        <v>480</v>
      </c>
      <c r="H54" s="11">
        <f t="shared" si="11"/>
        <v>318.81</v>
      </c>
      <c r="I54" s="11">
        <f t="shared" si="3"/>
        <v>1041.8699999999999</v>
      </c>
    </row>
    <row r="55" spans="1:21" x14ac:dyDescent="0.25">
      <c r="A55" s="11" t="s">
        <v>10</v>
      </c>
      <c r="B55" s="11" t="s">
        <v>64</v>
      </c>
      <c r="C55" s="9">
        <v>4255</v>
      </c>
      <c r="D55" s="11">
        <f t="shared" si="0"/>
        <v>4498.18</v>
      </c>
      <c r="E55" s="11">
        <f t="shared" si="1"/>
        <v>5346.21</v>
      </c>
      <c r="F55" s="11">
        <f t="shared" si="2"/>
        <v>3650.15</v>
      </c>
      <c r="G55" s="11">
        <f t="shared" si="10"/>
        <v>85</v>
      </c>
      <c r="H55" s="11">
        <f t="shared" si="11"/>
        <v>318.81</v>
      </c>
      <c r="I55" s="11">
        <f t="shared" si="3"/>
        <v>1041.8699999999999</v>
      </c>
    </row>
    <row r="56" spans="1:21" x14ac:dyDescent="0.25">
      <c r="A56" s="11" t="s">
        <v>10</v>
      </c>
      <c r="B56" s="11" t="s">
        <v>65</v>
      </c>
      <c r="C56" s="9">
        <v>4170</v>
      </c>
      <c r="D56" s="11">
        <f t="shared" si="0"/>
        <v>4498.18</v>
      </c>
      <c r="E56" s="11">
        <f t="shared" si="1"/>
        <v>5346.21</v>
      </c>
      <c r="F56" s="11">
        <f t="shared" si="2"/>
        <v>3650.15</v>
      </c>
      <c r="G56" s="11">
        <f t="shared" si="10"/>
        <v>85</v>
      </c>
      <c r="H56" s="11">
        <f t="shared" si="11"/>
        <v>318.81</v>
      </c>
      <c r="I56" s="11">
        <f t="shared" si="3"/>
        <v>1041.8699999999999</v>
      </c>
    </row>
    <row r="57" spans="1:21" x14ac:dyDescent="0.25">
      <c r="A57" s="11" t="s">
        <v>10</v>
      </c>
      <c r="B57" s="11" t="s">
        <v>66</v>
      </c>
      <c r="C57" s="9">
        <v>4375</v>
      </c>
      <c r="D57" s="11">
        <f t="shared" si="0"/>
        <v>4498.18</v>
      </c>
      <c r="E57" s="11">
        <f t="shared" si="1"/>
        <v>5346.21</v>
      </c>
      <c r="F57" s="11">
        <f t="shared" si="2"/>
        <v>3650.15</v>
      </c>
      <c r="G57" s="11">
        <f t="shared" si="10"/>
        <v>205</v>
      </c>
      <c r="H57" s="11">
        <f t="shared" si="11"/>
        <v>318.81</v>
      </c>
      <c r="I57" s="11">
        <f t="shared" si="3"/>
        <v>1041.8699999999999</v>
      </c>
    </row>
    <row r="58" spans="1:21" x14ac:dyDescent="0.25">
      <c r="A58" s="11" t="s">
        <v>10</v>
      </c>
      <c r="B58" s="11" t="s">
        <v>67</v>
      </c>
      <c r="C58" s="9">
        <v>4175</v>
      </c>
      <c r="D58" s="11">
        <f t="shared" si="0"/>
        <v>4498.18</v>
      </c>
      <c r="E58" s="11">
        <f t="shared" si="1"/>
        <v>5346.21</v>
      </c>
      <c r="F58" s="11">
        <f t="shared" si="2"/>
        <v>3650.15</v>
      </c>
      <c r="G58" s="11">
        <f t="shared" si="10"/>
        <v>200</v>
      </c>
      <c r="H58" s="11">
        <f t="shared" si="11"/>
        <v>318.81</v>
      </c>
      <c r="I58" s="11">
        <f t="shared" si="3"/>
        <v>1041.8699999999999</v>
      </c>
    </row>
    <row r="59" spans="1:21" x14ac:dyDescent="0.25">
      <c r="A59" s="11" t="s">
        <v>10</v>
      </c>
      <c r="B59" s="11" t="s">
        <v>68</v>
      </c>
      <c r="C59" s="9">
        <v>4550</v>
      </c>
      <c r="D59" s="11">
        <f t="shared" si="0"/>
        <v>4498.18</v>
      </c>
      <c r="E59" s="11">
        <f t="shared" si="1"/>
        <v>5346.21</v>
      </c>
      <c r="F59" s="11">
        <f t="shared" si="2"/>
        <v>3650.15</v>
      </c>
      <c r="G59" s="11">
        <f t="shared" si="10"/>
        <v>375</v>
      </c>
      <c r="H59" s="11">
        <f t="shared" si="11"/>
        <v>318.81</v>
      </c>
      <c r="I59" s="11">
        <f t="shared" si="3"/>
        <v>1041.8699999999999</v>
      </c>
    </row>
    <row r="60" spans="1:21" x14ac:dyDescent="0.25">
      <c r="A60" s="11" t="s">
        <v>10</v>
      </c>
      <c r="B60" s="11" t="s">
        <v>69</v>
      </c>
      <c r="C60" s="9">
        <v>4450</v>
      </c>
      <c r="D60" s="11">
        <f t="shared" si="0"/>
        <v>4498.18</v>
      </c>
      <c r="E60" s="11">
        <f t="shared" si="1"/>
        <v>5346.21</v>
      </c>
      <c r="F60" s="11">
        <f t="shared" si="2"/>
        <v>3650.15</v>
      </c>
      <c r="G60" s="11">
        <f t="shared" si="10"/>
        <v>100</v>
      </c>
      <c r="H60" s="11">
        <f t="shared" si="11"/>
        <v>318.81</v>
      </c>
      <c r="I60" s="11">
        <f t="shared" si="3"/>
        <v>1041.8699999999999</v>
      </c>
    </row>
    <row r="61" spans="1:21" x14ac:dyDescent="0.25">
      <c r="A61" s="11" t="s">
        <v>10</v>
      </c>
      <c r="B61" s="11" t="s">
        <v>70</v>
      </c>
      <c r="C61" s="9">
        <v>2855</v>
      </c>
      <c r="D61" s="11">
        <f t="shared" si="0"/>
        <v>4498.18</v>
      </c>
      <c r="E61" s="11">
        <f t="shared" si="1"/>
        <v>5346.21</v>
      </c>
      <c r="F61" s="11">
        <f t="shared" si="2"/>
        <v>3650.15</v>
      </c>
      <c r="G61" s="11">
        <f t="shared" si="10"/>
        <v>1595</v>
      </c>
      <c r="H61" s="11">
        <f t="shared" si="11"/>
        <v>318.81</v>
      </c>
      <c r="I61" s="11">
        <f t="shared" si="3"/>
        <v>1041.8699999999999</v>
      </c>
    </row>
    <row r="62" spans="1:21" x14ac:dyDescent="0.25">
      <c r="A62" s="11" t="s">
        <v>10</v>
      </c>
      <c r="B62" s="11" t="s">
        <v>71</v>
      </c>
      <c r="C62" s="9">
        <v>2920</v>
      </c>
      <c r="D62" s="11">
        <f t="shared" si="0"/>
        <v>4498.18</v>
      </c>
      <c r="E62" s="11">
        <f t="shared" si="1"/>
        <v>5346.21</v>
      </c>
      <c r="F62" s="11">
        <f t="shared" si="2"/>
        <v>3650.15</v>
      </c>
      <c r="G62" s="11">
        <f t="shared" si="10"/>
        <v>65</v>
      </c>
      <c r="H62" s="11">
        <f t="shared" si="11"/>
        <v>318.81</v>
      </c>
      <c r="I62" s="11">
        <f t="shared" si="3"/>
        <v>1041.8699999999999</v>
      </c>
    </row>
    <row r="63" spans="1:21" x14ac:dyDescent="0.25">
      <c r="A63" s="11" t="s">
        <v>10</v>
      </c>
      <c r="B63" s="11" t="s">
        <v>72</v>
      </c>
      <c r="C63" s="9">
        <v>4375</v>
      </c>
      <c r="D63" s="11">
        <f t="shared" si="0"/>
        <v>4498.18</v>
      </c>
      <c r="E63" s="11">
        <f t="shared" si="1"/>
        <v>5346.21</v>
      </c>
      <c r="F63" s="11">
        <f t="shared" si="2"/>
        <v>3650.15</v>
      </c>
      <c r="G63" s="11">
        <f t="shared" si="10"/>
        <v>1455</v>
      </c>
      <c r="H63" s="11">
        <f t="shared" si="11"/>
        <v>318.81</v>
      </c>
      <c r="I63" s="11">
        <f t="shared" si="3"/>
        <v>1041.8699999999999</v>
      </c>
    </row>
    <row r="64" spans="1:21" x14ac:dyDescent="0.25">
      <c r="A64" s="11" t="s">
        <v>10</v>
      </c>
      <c r="B64" s="11" t="s">
        <v>73</v>
      </c>
      <c r="C64" s="9">
        <v>4375</v>
      </c>
      <c r="D64" s="11">
        <f t="shared" si="0"/>
        <v>4498.18</v>
      </c>
      <c r="E64" s="11">
        <f t="shared" si="1"/>
        <v>5346.21</v>
      </c>
      <c r="F64" s="11">
        <f t="shared" si="2"/>
        <v>3650.15</v>
      </c>
      <c r="G64" s="11">
        <f t="shared" si="10"/>
        <v>0</v>
      </c>
      <c r="H64" s="11">
        <f t="shared" si="11"/>
        <v>318.81</v>
      </c>
      <c r="I64" s="11">
        <f t="shared" si="3"/>
        <v>1041.8699999999999</v>
      </c>
    </row>
    <row r="65" spans="1:9" x14ac:dyDescent="0.25">
      <c r="A65" s="11" t="s">
        <v>10</v>
      </c>
      <c r="B65" s="11" t="s">
        <v>74</v>
      </c>
      <c r="C65" s="9">
        <v>4355</v>
      </c>
      <c r="D65" s="11">
        <f t="shared" si="0"/>
        <v>4498.18</v>
      </c>
      <c r="E65" s="11">
        <f t="shared" si="1"/>
        <v>5346.21</v>
      </c>
      <c r="F65" s="11">
        <f t="shared" si="2"/>
        <v>3650.15</v>
      </c>
      <c r="G65" s="11">
        <f t="shared" si="10"/>
        <v>20</v>
      </c>
      <c r="H65" s="11">
        <f t="shared" si="11"/>
        <v>318.81</v>
      </c>
      <c r="I65" s="11">
        <f t="shared" si="3"/>
        <v>1041.8699999999999</v>
      </c>
    </row>
    <row r="66" spans="1:9" x14ac:dyDescent="0.25">
      <c r="A66" s="11" t="s">
        <v>10</v>
      </c>
      <c r="B66" s="11" t="s">
        <v>75</v>
      </c>
      <c r="C66" s="9">
        <v>4090</v>
      </c>
      <c r="D66" s="11">
        <f t="shared" ref="D66:D129" si="13">ROUND(AVERAGE($C$2:$C$205),2)</f>
        <v>4498.18</v>
      </c>
      <c r="E66" s="11">
        <f t="shared" ref="E66:E129" si="14">ROUND(D66+(2.66*H66),2)</f>
        <v>5346.21</v>
      </c>
      <c r="F66" s="11">
        <f t="shared" ref="F66:F129" si="15">ROUND(D66-(2.66*H66),2)</f>
        <v>3650.15</v>
      </c>
      <c r="G66" s="11">
        <f t="shared" si="10"/>
        <v>265</v>
      </c>
      <c r="H66" s="11">
        <f t="shared" si="11"/>
        <v>318.81</v>
      </c>
      <c r="I66" s="11">
        <f t="shared" ref="I66:I129" si="16">ROUND(3.268*H66,2)</f>
        <v>1041.8699999999999</v>
      </c>
    </row>
    <row r="67" spans="1:9" x14ac:dyDescent="0.25">
      <c r="A67" s="11" t="s">
        <v>10</v>
      </c>
      <c r="B67" s="11" t="s">
        <v>76</v>
      </c>
      <c r="C67" s="9">
        <v>5000</v>
      </c>
      <c r="D67" s="11">
        <f t="shared" si="13"/>
        <v>4498.18</v>
      </c>
      <c r="E67" s="11">
        <f t="shared" si="14"/>
        <v>5346.21</v>
      </c>
      <c r="F67" s="11">
        <f t="shared" si="15"/>
        <v>3650.15</v>
      </c>
      <c r="G67" s="11">
        <f t="shared" ref="G67:G130" si="17">ABS(C66-C67)</f>
        <v>910</v>
      </c>
      <c r="H67" s="11">
        <f t="shared" ref="H67:H130" si="18">ROUND(AVERAGE($G$3:$G$205),2)</f>
        <v>318.81</v>
      </c>
      <c r="I67" s="11">
        <f t="shared" si="16"/>
        <v>1041.8699999999999</v>
      </c>
    </row>
    <row r="68" spans="1:9" x14ac:dyDescent="0.25">
      <c r="A68" s="11" t="s">
        <v>10</v>
      </c>
      <c r="B68" s="11" t="s">
        <v>77</v>
      </c>
      <c r="C68" s="9">
        <v>4335</v>
      </c>
      <c r="D68" s="11">
        <f t="shared" si="13"/>
        <v>4498.18</v>
      </c>
      <c r="E68" s="11">
        <f t="shared" si="14"/>
        <v>5346.21</v>
      </c>
      <c r="F68" s="11">
        <f t="shared" si="15"/>
        <v>3650.15</v>
      </c>
      <c r="G68" s="11">
        <f t="shared" si="17"/>
        <v>665</v>
      </c>
      <c r="H68" s="11">
        <f t="shared" si="18"/>
        <v>318.81</v>
      </c>
      <c r="I68" s="11">
        <f t="shared" si="16"/>
        <v>1041.8699999999999</v>
      </c>
    </row>
    <row r="69" spans="1:9" x14ac:dyDescent="0.25">
      <c r="A69" s="11" t="s">
        <v>10</v>
      </c>
      <c r="B69" s="11" t="s">
        <v>78</v>
      </c>
      <c r="C69" s="9">
        <v>5000</v>
      </c>
      <c r="D69" s="11">
        <f t="shared" si="13"/>
        <v>4498.18</v>
      </c>
      <c r="E69" s="11">
        <f t="shared" si="14"/>
        <v>5346.21</v>
      </c>
      <c r="F69" s="11">
        <f t="shared" si="15"/>
        <v>3650.15</v>
      </c>
      <c r="G69" s="11">
        <f t="shared" si="17"/>
        <v>665</v>
      </c>
      <c r="H69" s="11">
        <f t="shared" si="18"/>
        <v>318.81</v>
      </c>
      <c r="I69" s="11">
        <f t="shared" si="16"/>
        <v>1041.8699999999999</v>
      </c>
    </row>
    <row r="70" spans="1:9" x14ac:dyDescent="0.25">
      <c r="A70" s="11" t="s">
        <v>10</v>
      </c>
      <c r="B70" s="11" t="s">
        <v>79</v>
      </c>
      <c r="C70" s="9">
        <v>4640</v>
      </c>
      <c r="D70" s="11">
        <f t="shared" si="13"/>
        <v>4498.18</v>
      </c>
      <c r="E70" s="11">
        <f t="shared" si="14"/>
        <v>5346.21</v>
      </c>
      <c r="F70" s="11">
        <f t="shared" si="15"/>
        <v>3650.15</v>
      </c>
      <c r="G70" s="11">
        <f t="shared" si="17"/>
        <v>360</v>
      </c>
      <c r="H70" s="11">
        <f t="shared" si="18"/>
        <v>318.81</v>
      </c>
      <c r="I70" s="11">
        <f t="shared" si="16"/>
        <v>1041.8699999999999</v>
      </c>
    </row>
    <row r="71" spans="1:9" x14ac:dyDescent="0.25">
      <c r="A71" s="11" t="s">
        <v>10</v>
      </c>
      <c r="B71" s="11" t="s">
        <v>80</v>
      </c>
      <c r="C71" s="9">
        <v>4335</v>
      </c>
      <c r="D71" s="11">
        <f t="shared" si="13"/>
        <v>4498.18</v>
      </c>
      <c r="E71" s="11">
        <f t="shared" si="14"/>
        <v>5346.21</v>
      </c>
      <c r="F71" s="11">
        <f t="shared" si="15"/>
        <v>3650.15</v>
      </c>
      <c r="G71" s="11">
        <f t="shared" si="17"/>
        <v>305</v>
      </c>
      <c r="H71" s="11">
        <f t="shared" si="18"/>
        <v>318.81</v>
      </c>
      <c r="I71" s="11">
        <f t="shared" si="16"/>
        <v>1041.8699999999999</v>
      </c>
    </row>
    <row r="72" spans="1:9" x14ac:dyDescent="0.25">
      <c r="A72" s="11" t="s">
        <v>10</v>
      </c>
      <c r="B72" s="11" t="s">
        <v>81</v>
      </c>
      <c r="C72" s="9">
        <v>5000</v>
      </c>
      <c r="D72" s="11">
        <f t="shared" si="13"/>
        <v>4498.18</v>
      </c>
      <c r="E72" s="11">
        <f t="shared" si="14"/>
        <v>5346.21</v>
      </c>
      <c r="F72" s="11">
        <f t="shared" si="15"/>
        <v>3650.15</v>
      </c>
      <c r="G72" s="11">
        <f t="shared" si="17"/>
        <v>665</v>
      </c>
      <c r="H72" s="11">
        <f t="shared" si="18"/>
        <v>318.81</v>
      </c>
      <c r="I72" s="11">
        <f t="shared" si="16"/>
        <v>1041.8699999999999</v>
      </c>
    </row>
    <row r="73" spans="1:9" x14ac:dyDescent="0.25">
      <c r="A73" s="11" t="s">
        <v>10</v>
      </c>
      <c r="B73" s="11" t="s">
        <v>82</v>
      </c>
      <c r="C73" s="9">
        <v>4615</v>
      </c>
      <c r="D73" s="11">
        <f t="shared" si="13"/>
        <v>4498.18</v>
      </c>
      <c r="E73" s="11">
        <f t="shared" si="14"/>
        <v>5346.21</v>
      </c>
      <c r="F73" s="11">
        <f t="shared" si="15"/>
        <v>3650.15</v>
      </c>
      <c r="G73" s="11">
        <f t="shared" si="17"/>
        <v>385</v>
      </c>
      <c r="H73" s="11">
        <f t="shared" si="18"/>
        <v>318.81</v>
      </c>
      <c r="I73" s="11">
        <f t="shared" si="16"/>
        <v>1041.8699999999999</v>
      </c>
    </row>
    <row r="74" spans="1:9" x14ac:dyDescent="0.25">
      <c r="A74" s="11" t="s">
        <v>10</v>
      </c>
      <c r="B74" s="11" t="s">
        <v>83</v>
      </c>
      <c r="C74" s="9">
        <v>4215</v>
      </c>
      <c r="D74" s="11">
        <f t="shared" si="13"/>
        <v>4498.18</v>
      </c>
      <c r="E74" s="11">
        <f t="shared" si="14"/>
        <v>5346.21</v>
      </c>
      <c r="F74" s="11">
        <f t="shared" si="15"/>
        <v>3650.15</v>
      </c>
      <c r="G74" s="11">
        <f t="shared" si="17"/>
        <v>400</v>
      </c>
      <c r="H74" s="11">
        <f t="shared" si="18"/>
        <v>318.81</v>
      </c>
      <c r="I74" s="11">
        <f t="shared" si="16"/>
        <v>1041.8699999999999</v>
      </c>
    </row>
    <row r="75" spans="1:9" x14ac:dyDescent="0.25">
      <c r="A75" s="11" t="s">
        <v>10</v>
      </c>
      <c r="B75" s="11" t="s">
        <v>84</v>
      </c>
      <c r="C75" s="9">
        <v>4275</v>
      </c>
      <c r="D75" s="11">
        <f t="shared" si="13"/>
        <v>4498.18</v>
      </c>
      <c r="E75" s="11">
        <f t="shared" si="14"/>
        <v>5346.21</v>
      </c>
      <c r="F75" s="11">
        <f t="shared" si="15"/>
        <v>3650.15</v>
      </c>
      <c r="G75" s="11">
        <f t="shared" si="17"/>
        <v>60</v>
      </c>
      <c r="H75" s="11">
        <f t="shared" si="18"/>
        <v>318.81</v>
      </c>
      <c r="I75" s="11">
        <f t="shared" si="16"/>
        <v>1041.8699999999999</v>
      </c>
    </row>
    <row r="76" spans="1:9" x14ac:dyDescent="0.25">
      <c r="A76" s="11" t="s">
        <v>10</v>
      </c>
      <c r="B76" s="11" t="s">
        <v>85</v>
      </c>
      <c r="C76" s="9">
        <v>4275</v>
      </c>
      <c r="D76" s="11">
        <f t="shared" si="13"/>
        <v>4498.18</v>
      </c>
      <c r="E76" s="11">
        <f t="shared" si="14"/>
        <v>5346.21</v>
      </c>
      <c r="F76" s="11">
        <f t="shared" si="15"/>
        <v>3650.15</v>
      </c>
      <c r="G76" s="11">
        <f t="shared" si="17"/>
        <v>0</v>
      </c>
      <c r="H76" s="11">
        <f t="shared" si="18"/>
        <v>318.81</v>
      </c>
      <c r="I76" s="11">
        <f t="shared" si="16"/>
        <v>1041.8699999999999</v>
      </c>
    </row>
    <row r="77" spans="1:9" x14ac:dyDescent="0.25">
      <c r="A77" s="11" t="s">
        <v>10</v>
      </c>
      <c r="B77" s="11" t="s">
        <v>86</v>
      </c>
      <c r="C77" s="9">
        <v>5000</v>
      </c>
      <c r="D77" s="11">
        <f t="shared" si="13"/>
        <v>4498.18</v>
      </c>
      <c r="E77" s="11">
        <f t="shared" si="14"/>
        <v>5346.21</v>
      </c>
      <c r="F77" s="11">
        <f t="shared" si="15"/>
        <v>3650.15</v>
      </c>
      <c r="G77" s="11">
        <f t="shared" si="17"/>
        <v>725</v>
      </c>
      <c r="H77" s="11">
        <f t="shared" si="18"/>
        <v>318.81</v>
      </c>
      <c r="I77" s="11">
        <f t="shared" si="16"/>
        <v>1041.8699999999999</v>
      </c>
    </row>
    <row r="78" spans="1:9" x14ac:dyDescent="0.25">
      <c r="A78" s="11" t="s">
        <v>10</v>
      </c>
      <c r="B78" s="11" t="s">
        <v>87</v>
      </c>
      <c r="C78" s="9">
        <v>4615</v>
      </c>
      <c r="D78" s="11">
        <f t="shared" si="13"/>
        <v>4498.18</v>
      </c>
      <c r="E78" s="11">
        <f t="shared" si="14"/>
        <v>5346.21</v>
      </c>
      <c r="F78" s="11">
        <f t="shared" si="15"/>
        <v>3650.15</v>
      </c>
      <c r="G78" s="11">
        <f t="shared" si="17"/>
        <v>385</v>
      </c>
      <c r="H78" s="11">
        <f t="shared" si="18"/>
        <v>318.81</v>
      </c>
      <c r="I78" s="11">
        <f t="shared" si="16"/>
        <v>1041.8699999999999</v>
      </c>
    </row>
    <row r="79" spans="1:9" x14ac:dyDescent="0.25">
      <c r="A79" s="11" t="s">
        <v>10</v>
      </c>
      <c r="B79" s="11" t="s">
        <v>88</v>
      </c>
      <c r="C79" s="9">
        <v>4735</v>
      </c>
      <c r="D79" s="11">
        <f t="shared" si="13"/>
        <v>4498.18</v>
      </c>
      <c r="E79" s="11">
        <f t="shared" si="14"/>
        <v>5346.21</v>
      </c>
      <c r="F79" s="11">
        <f t="shared" si="15"/>
        <v>3650.15</v>
      </c>
      <c r="G79" s="11">
        <f t="shared" si="17"/>
        <v>120</v>
      </c>
      <c r="H79" s="11">
        <f t="shared" si="18"/>
        <v>318.81</v>
      </c>
      <c r="I79" s="11">
        <f t="shared" si="16"/>
        <v>1041.8699999999999</v>
      </c>
    </row>
    <row r="80" spans="1:9" x14ac:dyDescent="0.25">
      <c r="A80" s="11" t="s">
        <v>10</v>
      </c>
      <c r="B80" s="11" t="s">
        <v>89</v>
      </c>
      <c r="C80" s="9">
        <v>4215</v>
      </c>
      <c r="D80" s="11">
        <f t="shared" si="13"/>
        <v>4498.18</v>
      </c>
      <c r="E80" s="11">
        <f t="shared" si="14"/>
        <v>5346.21</v>
      </c>
      <c r="F80" s="11">
        <f t="shared" si="15"/>
        <v>3650.15</v>
      </c>
      <c r="G80" s="11">
        <f t="shared" si="17"/>
        <v>520</v>
      </c>
      <c r="H80" s="11">
        <f t="shared" si="18"/>
        <v>318.81</v>
      </c>
      <c r="I80" s="11">
        <f t="shared" si="16"/>
        <v>1041.8699999999999</v>
      </c>
    </row>
    <row r="81" spans="1:9" x14ac:dyDescent="0.25">
      <c r="A81" s="11" t="s">
        <v>10</v>
      </c>
      <c r="B81" s="11" t="s">
        <v>90</v>
      </c>
      <c r="C81" s="9">
        <v>4700</v>
      </c>
      <c r="D81" s="11">
        <f t="shared" si="13"/>
        <v>4498.18</v>
      </c>
      <c r="E81" s="11">
        <f t="shared" si="14"/>
        <v>5346.21</v>
      </c>
      <c r="F81" s="11">
        <f t="shared" si="15"/>
        <v>3650.15</v>
      </c>
      <c r="G81" s="11">
        <f t="shared" si="17"/>
        <v>485</v>
      </c>
      <c r="H81" s="11">
        <f t="shared" si="18"/>
        <v>318.81</v>
      </c>
      <c r="I81" s="11">
        <f t="shared" si="16"/>
        <v>1041.8699999999999</v>
      </c>
    </row>
    <row r="82" spans="1:9" x14ac:dyDescent="0.25">
      <c r="A82" s="11" t="s">
        <v>10</v>
      </c>
      <c r="B82" s="11" t="s">
        <v>91</v>
      </c>
      <c r="C82" s="9">
        <v>4700</v>
      </c>
      <c r="D82" s="11">
        <f t="shared" si="13"/>
        <v>4498.18</v>
      </c>
      <c r="E82" s="11">
        <f t="shared" si="14"/>
        <v>5346.21</v>
      </c>
      <c r="F82" s="11">
        <f t="shared" si="15"/>
        <v>3650.15</v>
      </c>
      <c r="G82" s="11">
        <f t="shared" si="17"/>
        <v>0</v>
      </c>
      <c r="H82" s="11">
        <f t="shared" si="18"/>
        <v>318.81</v>
      </c>
      <c r="I82" s="11">
        <f t="shared" si="16"/>
        <v>1041.8699999999999</v>
      </c>
    </row>
    <row r="83" spans="1:9" x14ac:dyDescent="0.25">
      <c r="A83" s="11" t="s">
        <v>10</v>
      </c>
      <c r="B83" s="11" t="s">
        <v>92</v>
      </c>
      <c r="C83" s="9">
        <v>4700</v>
      </c>
      <c r="D83" s="11">
        <f t="shared" si="13"/>
        <v>4498.18</v>
      </c>
      <c r="E83" s="11">
        <f t="shared" si="14"/>
        <v>5346.21</v>
      </c>
      <c r="F83" s="11">
        <f t="shared" si="15"/>
        <v>3650.15</v>
      </c>
      <c r="G83" s="11">
        <f t="shared" si="17"/>
        <v>0</v>
      </c>
      <c r="H83" s="11">
        <f t="shared" si="18"/>
        <v>318.81</v>
      </c>
      <c r="I83" s="11">
        <f t="shared" si="16"/>
        <v>1041.8699999999999</v>
      </c>
    </row>
    <row r="84" spans="1:9" x14ac:dyDescent="0.25">
      <c r="A84" s="11" t="s">
        <v>10</v>
      </c>
      <c r="B84" s="11" t="s">
        <v>93</v>
      </c>
      <c r="C84" s="9">
        <v>4700</v>
      </c>
      <c r="D84" s="11">
        <f t="shared" si="13"/>
        <v>4498.18</v>
      </c>
      <c r="E84" s="11">
        <f t="shared" si="14"/>
        <v>5346.21</v>
      </c>
      <c r="F84" s="11">
        <f t="shared" si="15"/>
        <v>3650.15</v>
      </c>
      <c r="G84" s="11">
        <f t="shared" si="17"/>
        <v>0</v>
      </c>
      <c r="H84" s="11">
        <f t="shared" si="18"/>
        <v>318.81</v>
      </c>
      <c r="I84" s="11">
        <f t="shared" si="16"/>
        <v>1041.8699999999999</v>
      </c>
    </row>
    <row r="85" spans="1:9" x14ac:dyDescent="0.25">
      <c r="A85" s="11" t="s">
        <v>10</v>
      </c>
      <c r="B85" s="11" t="s">
        <v>94</v>
      </c>
      <c r="C85" s="9">
        <v>4095</v>
      </c>
      <c r="D85" s="11">
        <f t="shared" si="13"/>
        <v>4498.18</v>
      </c>
      <c r="E85" s="11">
        <f t="shared" si="14"/>
        <v>5346.21</v>
      </c>
      <c r="F85" s="11">
        <f t="shared" si="15"/>
        <v>3650.15</v>
      </c>
      <c r="G85" s="11">
        <f t="shared" si="17"/>
        <v>605</v>
      </c>
      <c r="H85" s="11">
        <f t="shared" si="18"/>
        <v>318.81</v>
      </c>
      <c r="I85" s="11">
        <f t="shared" si="16"/>
        <v>1041.8699999999999</v>
      </c>
    </row>
    <row r="86" spans="1:9" x14ac:dyDescent="0.25">
      <c r="A86" s="11" t="s">
        <v>10</v>
      </c>
      <c r="B86" s="11" t="s">
        <v>95</v>
      </c>
      <c r="C86" s="9">
        <v>4095</v>
      </c>
      <c r="D86" s="11">
        <f t="shared" si="13"/>
        <v>4498.18</v>
      </c>
      <c r="E86" s="11">
        <f t="shared" si="14"/>
        <v>5346.21</v>
      </c>
      <c r="F86" s="11">
        <f t="shared" si="15"/>
        <v>3650.15</v>
      </c>
      <c r="G86" s="11">
        <f t="shared" si="17"/>
        <v>0</v>
      </c>
      <c r="H86" s="11">
        <f t="shared" si="18"/>
        <v>318.81</v>
      </c>
      <c r="I86" s="11">
        <f t="shared" si="16"/>
        <v>1041.8699999999999</v>
      </c>
    </row>
    <row r="87" spans="1:9" x14ac:dyDescent="0.25">
      <c r="A87" s="11" t="s">
        <v>10</v>
      </c>
      <c r="B87" s="11" t="s">
        <v>96</v>
      </c>
      <c r="C87" s="9">
        <v>3940</v>
      </c>
      <c r="D87" s="11">
        <f t="shared" si="13"/>
        <v>4498.18</v>
      </c>
      <c r="E87" s="11">
        <f t="shared" si="14"/>
        <v>5346.21</v>
      </c>
      <c r="F87" s="11">
        <f t="shared" si="15"/>
        <v>3650.15</v>
      </c>
      <c r="G87" s="11">
        <f t="shared" si="17"/>
        <v>155</v>
      </c>
      <c r="H87" s="11">
        <f t="shared" si="18"/>
        <v>318.81</v>
      </c>
      <c r="I87" s="11">
        <f t="shared" si="16"/>
        <v>1041.8699999999999</v>
      </c>
    </row>
    <row r="88" spans="1:9" x14ac:dyDescent="0.25">
      <c r="A88" s="11" t="s">
        <v>10</v>
      </c>
      <c r="B88" s="11" t="s">
        <v>97</v>
      </c>
      <c r="C88" s="9">
        <v>3700</v>
      </c>
      <c r="D88" s="11">
        <f t="shared" si="13"/>
        <v>4498.18</v>
      </c>
      <c r="E88" s="11">
        <f t="shared" si="14"/>
        <v>5346.21</v>
      </c>
      <c r="F88" s="11">
        <f t="shared" si="15"/>
        <v>3650.15</v>
      </c>
      <c r="G88" s="11">
        <f t="shared" si="17"/>
        <v>240</v>
      </c>
      <c r="H88" s="11">
        <f t="shared" si="18"/>
        <v>318.81</v>
      </c>
      <c r="I88" s="11">
        <f t="shared" si="16"/>
        <v>1041.8699999999999</v>
      </c>
    </row>
    <row r="89" spans="1:9" x14ac:dyDescent="0.25">
      <c r="A89" s="11" t="s">
        <v>10</v>
      </c>
      <c r="B89" s="11" t="s">
        <v>98</v>
      </c>
      <c r="C89" s="9">
        <v>3650</v>
      </c>
      <c r="D89" s="11">
        <f t="shared" si="13"/>
        <v>4498.18</v>
      </c>
      <c r="E89" s="11">
        <f t="shared" si="14"/>
        <v>5346.21</v>
      </c>
      <c r="F89" s="11">
        <f t="shared" si="15"/>
        <v>3650.15</v>
      </c>
      <c r="G89" s="11">
        <f t="shared" si="17"/>
        <v>50</v>
      </c>
      <c r="H89" s="11">
        <f t="shared" si="18"/>
        <v>318.81</v>
      </c>
      <c r="I89" s="11">
        <f t="shared" si="16"/>
        <v>1041.8699999999999</v>
      </c>
    </row>
    <row r="90" spans="1:9" x14ac:dyDescent="0.25">
      <c r="A90" s="11" t="s">
        <v>10</v>
      </c>
      <c r="B90" s="11" t="s">
        <v>99</v>
      </c>
      <c r="C90" s="9">
        <v>4445</v>
      </c>
      <c r="D90" s="11">
        <f t="shared" si="13"/>
        <v>4498.18</v>
      </c>
      <c r="E90" s="11">
        <f t="shared" si="14"/>
        <v>5346.21</v>
      </c>
      <c r="F90" s="11">
        <f t="shared" si="15"/>
        <v>3650.15</v>
      </c>
      <c r="G90" s="11">
        <f t="shared" si="17"/>
        <v>795</v>
      </c>
      <c r="H90" s="11">
        <f t="shared" si="18"/>
        <v>318.81</v>
      </c>
      <c r="I90" s="11">
        <f t="shared" si="16"/>
        <v>1041.8699999999999</v>
      </c>
    </row>
    <row r="91" spans="1:9" x14ac:dyDescent="0.25">
      <c r="A91" s="11" t="s">
        <v>10</v>
      </c>
      <c r="B91" s="11" t="s">
        <v>100</v>
      </c>
      <c r="C91" s="9">
        <v>4000</v>
      </c>
      <c r="D91" s="11">
        <f t="shared" si="13"/>
        <v>4498.18</v>
      </c>
      <c r="E91" s="11">
        <f t="shared" si="14"/>
        <v>5346.21</v>
      </c>
      <c r="F91" s="11">
        <f t="shared" si="15"/>
        <v>3650.15</v>
      </c>
      <c r="G91" s="11">
        <f t="shared" si="17"/>
        <v>445</v>
      </c>
      <c r="H91" s="11">
        <f t="shared" si="18"/>
        <v>318.81</v>
      </c>
      <c r="I91" s="11">
        <f t="shared" si="16"/>
        <v>1041.8699999999999</v>
      </c>
    </row>
    <row r="92" spans="1:9" x14ac:dyDescent="0.25">
      <c r="A92" s="11" t="s">
        <v>10</v>
      </c>
      <c r="B92" s="11" t="s">
        <v>101</v>
      </c>
      <c r="C92" s="9">
        <v>4845</v>
      </c>
      <c r="D92" s="11">
        <f t="shared" si="13"/>
        <v>4498.18</v>
      </c>
      <c r="E92" s="11">
        <f t="shared" si="14"/>
        <v>5346.21</v>
      </c>
      <c r="F92" s="11">
        <f t="shared" si="15"/>
        <v>3650.15</v>
      </c>
      <c r="G92" s="11">
        <f t="shared" si="17"/>
        <v>845</v>
      </c>
      <c r="H92" s="11">
        <f t="shared" si="18"/>
        <v>318.81</v>
      </c>
      <c r="I92" s="11">
        <f t="shared" si="16"/>
        <v>1041.8699999999999</v>
      </c>
    </row>
    <row r="93" spans="1:9" x14ac:dyDescent="0.25">
      <c r="A93" s="11" t="s">
        <v>10</v>
      </c>
      <c r="B93" s="11" t="s">
        <v>102</v>
      </c>
      <c r="C93" s="9">
        <v>5000</v>
      </c>
      <c r="D93" s="11">
        <f t="shared" si="13"/>
        <v>4498.18</v>
      </c>
      <c r="E93" s="11">
        <f t="shared" si="14"/>
        <v>5346.21</v>
      </c>
      <c r="F93" s="11">
        <f t="shared" si="15"/>
        <v>3650.15</v>
      </c>
      <c r="G93" s="11">
        <f t="shared" si="17"/>
        <v>155</v>
      </c>
      <c r="H93" s="11">
        <f t="shared" si="18"/>
        <v>318.81</v>
      </c>
      <c r="I93" s="11">
        <f t="shared" si="16"/>
        <v>1041.8699999999999</v>
      </c>
    </row>
    <row r="94" spans="1:9" x14ac:dyDescent="0.25">
      <c r="A94" s="11" t="s">
        <v>10</v>
      </c>
      <c r="B94" s="11" t="s">
        <v>103</v>
      </c>
      <c r="C94" s="9">
        <v>4560</v>
      </c>
      <c r="D94" s="11">
        <f t="shared" si="13"/>
        <v>4498.18</v>
      </c>
      <c r="E94" s="11">
        <f t="shared" si="14"/>
        <v>5346.21</v>
      </c>
      <c r="F94" s="11">
        <f t="shared" si="15"/>
        <v>3650.15</v>
      </c>
      <c r="G94" s="11">
        <f t="shared" si="17"/>
        <v>440</v>
      </c>
      <c r="H94" s="11">
        <f t="shared" si="18"/>
        <v>318.81</v>
      </c>
      <c r="I94" s="11">
        <f t="shared" si="16"/>
        <v>1041.8699999999999</v>
      </c>
    </row>
    <row r="95" spans="1:9" x14ac:dyDescent="0.25">
      <c r="A95" s="11" t="s">
        <v>10</v>
      </c>
      <c r="B95" s="11" t="s">
        <v>104</v>
      </c>
      <c r="C95" s="9">
        <v>4700</v>
      </c>
      <c r="D95" s="11">
        <f t="shared" si="13"/>
        <v>4498.18</v>
      </c>
      <c r="E95" s="11">
        <f t="shared" si="14"/>
        <v>5346.21</v>
      </c>
      <c r="F95" s="11">
        <f t="shared" si="15"/>
        <v>3650.15</v>
      </c>
      <c r="G95" s="11">
        <f t="shared" si="17"/>
        <v>140</v>
      </c>
      <c r="H95" s="11">
        <f t="shared" si="18"/>
        <v>318.81</v>
      </c>
      <c r="I95" s="11">
        <f t="shared" si="16"/>
        <v>1041.8699999999999</v>
      </c>
    </row>
    <row r="96" spans="1:9" x14ac:dyDescent="0.25">
      <c r="A96" s="11" t="s">
        <v>10</v>
      </c>
      <c r="B96" s="11" t="s">
        <v>105</v>
      </c>
      <c r="C96" s="9">
        <v>4310</v>
      </c>
      <c r="D96" s="11">
        <f t="shared" si="13"/>
        <v>4498.18</v>
      </c>
      <c r="E96" s="11">
        <f t="shared" si="14"/>
        <v>5346.21</v>
      </c>
      <c r="F96" s="11">
        <f t="shared" si="15"/>
        <v>3650.15</v>
      </c>
      <c r="G96" s="11">
        <f t="shared" si="17"/>
        <v>390</v>
      </c>
      <c r="H96" s="11">
        <f t="shared" si="18"/>
        <v>318.81</v>
      </c>
      <c r="I96" s="11">
        <f t="shared" si="16"/>
        <v>1041.8699999999999</v>
      </c>
    </row>
    <row r="97" spans="1:9" x14ac:dyDescent="0.25">
      <c r="A97" s="11" t="s">
        <v>10</v>
      </c>
      <c r="B97" s="11" t="s">
        <v>106</v>
      </c>
      <c r="C97" s="9">
        <v>4310</v>
      </c>
      <c r="D97" s="11">
        <f t="shared" si="13"/>
        <v>4498.18</v>
      </c>
      <c r="E97" s="11">
        <f t="shared" si="14"/>
        <v>5346.21</v>
      </c>
      <c r="F97" s="11">
        <f t="shared" si="15"/>
        <v>3650.15</v>
      </c>
      <c r="G97" s="11">
        <f t="shared" si="17"/>
        <v>0</v>
      </c>
      <c r="H97" s="11">
        <f t="shared" si="18"/>
        <v>318.81</v>
      </c>
      <c r="I97" s="11">
        <f t="shared" si="16"/>
        <v>1041.8699999999999</v>
      </c>
    </row>
    <row r="98" spans="1:9" x14ac:dyDescent="0.25">
      <c r="A98" s="11" t="s">
        <v>10</v>
      </c>
      <c r="B98" s="11" t="s">
        <v>107</v>
      </c>
      <c r="C98" s="9">
        <v>5000</v>
      </c>
      <c r="D98" s="11">
        <f t="shared" si="13"/>
        <v>4498.18</v>
      </c>
      <c r="E98" s="11">
        <f t="shared" si="14"/>
        <v>5346.21</v>
      </c>
      <c r="F98" s="11">
        <f t="shared" si="15"/>
        <v>3650.15</v>
      </c>
      <c r="G98" s="11">
        <f t="shared" si="17"/>
        <v>690</v>
      </c>
      <c r="H98" s="11">
        <f t="shared" si="18"/>
        <v>318.81</v>
      </c>
      <c r="I98" s="11">
        <f t="shared" si="16"/>
        <v>1041.8699999999999</v>
      </c>
    </row>
    <row r="99" spans="1:9" x14ac:dyDescent="0.25">
      <c r="A99" s="11" t="s">
        <v>10</v>
      </c>
      <c r="B99" s="11" t="s">
        <v>108</v>
      </c>
      <c r="C99" s="9">
        <v>4575</v>
      </c>
      <c r="D99" s="11">
        <f t="shared" si="13"/>
        <v>4498.18</v>
      </c>
      <c r="E99" s="11">
        <f t="shared" si="14"/>
        <v>5346.21</v>
      </c>
      <c r="F99" s="11">
        <f t="shared" si="15"/>
        <v>3650.15</v>
      </c>
      <c r="G99" s="11">
        <f t="shared" si="17"/>
        <v>425</v>
      </c>
      <c r="H99" s="11">
        <f t="shared" si="18"/>
        <v>318.81</v>
      </c>
      <c r="I99" s="11">
        <f t="shared" si="16"/>
        <v>1041.8699999999999</v>
      </c>
    </row>
    <row r="100" spans="1:9" x14ac:dyDescent="0.25">
      <c r="A100" s="11" t="s">
        <v>10</v>
      </c>
      <c r="B100" s="11" t="s">
        <v>109</v>
      </c>
      <c r="C100" s="9">
        <v>4700</v>
      </c>
      <c r="D100" s="11">
        <f t="shared" si="13"/>
        <v>4498.18</v>
      </c>
      <c r="E100" s="11">
        <f t="shared" si="14"/>
        <v>5346.21</v>
      </c>
      <c r="F100" s="11">
        <f t="shared" si="15"/>
        <v>3650.15</v>
      </c>
      <c r="G100" s="11">
        <f t="shared" si="17"/>
        <v>125</v>
      </c>
      <c r="H100" s="11">
        <f t="shared" si="18"/>
        <v>318.81</v>
      </c>
      <c r="I100" s="11">
        <f t="shared" si="16"/>
        <v>1041.8699999999999</v>
      </c>
    </row>
    <row r="101" spans="1:9" x14ac:dyDescent="0.25">
      <c r="A101" s="11" t="s">
        <v>10</v>
      </c>
      <c r="B101" s="11" t="s">
        <v>110</v>
      </c>
      <c r="C101" s="9">
        <v>4430</v>
      </c>
      <c r="D101" s="11">
        <f t="shared" si="13"/>
        <v>4498.18</v>
      </c>
      <c r="E101" s="11">
        <f t="shared" si="14"/>
        <v>5346.21</v>
      </c>
      <c r="F101" s="11">
        <f t="shared" si="15"/>
        <v>3650.15</v>
      </c>
      <c r="G101" s="11">
        <f t="shared" si="17"/>
        <v>270</v>
      </c>
      <c r="H101" s="11">
        <f t="shared" si="18"/>
        <v>318.81</v>
      </c>
      <c r="I101" s="11">
        <f t="shared" si="16"/>
        <v>1041.8699999999999</v>
      </c>
    </row>
    <row r="102" spans="1:9" x14ac:dyDescent="0.25">
      <c r="A102" s="11" t="s">
        <v>10</v>
      </c>
      <c r="B102" s="11" t="s">
        <v>111</v>
      </c>
      <c r="C102" s="9">
        <v>4850</v>
      </c>
      <c r="D102" s="11">
        <f t="shared" si="13"/>
        <v>4498.18</v>
      </c>
      <c r="E102" s="11">
        <f t="shared" si="14"/>
        <v>5346.21</v>
      </c>
      <c r="F102" s="11">
        <f t="shared" si="15"/>
        <v>3650.15</v>
      </c>
      <c r="G102" s="11">
        <f t="shared" si="17"/>
        <v>420</v>
      </c>
      <c r="H102" s="11">
        <f t="shared" si="18"/>
        <v>318.81</v>
      </c>
      <c r="I102" s="11">
        <f t="shared" si="16"/>
        <v>1041.8699999999999</v>
      </c>
    </row>
    <row r="103" spans="1:9" x14ac:dyDescent="0.25">
      <c r="A103" s="11" t="s">
        <v>10</v>
      </c>
      <c r="B103" s="11" t="s">
        <v>112</v>
      </c>
      <c r="C103" s="9">
        <v>4850</v>
      </c>
      <c r="D103" s="11">
        <f t="shared" si="13"/>
        <v>4498.18</v>
      </c>
      <c r="E103" s="11">
        <f t="shared" si="14"/>
        <v>5346.21</v>
      </c>
      <c r="F103" s="11">
        <f t="shared" si="15"/>
        <v>3650.15</v>
      </c>
      <c r="G103" s="11">
        <f t="shared" si="17"/>
        <v>0</v>
      </c>
      <c r="H103" s="11">
        <f t="shared" si="18"/>
        <v>318.81</v>
      </c>
      <c r="I103" s="11">
        <f t="shared" si="16"/>
        <v>1041.8699999999999</v>
      </c>
    </row>
    <row r="104" spans="1:9" x14ac:dyDescent="0.25">
      <c r="A104" s="11" t="s">
        <v>10</v>
      </c>
      <c r="B104" s="11" t="s">
        <v>113</v>
      </c>
      <c r="C104" s="9">
        <v>4570</v>
      </c>
      <c r="D104" s="11">
        <f t="shared" si="13"/>
        <v>4498.18</v>
      </c>
      <c r="E104" s="11">
        <f t="shared" si="14"/>
        <v>5346.21</v>
      </c>
      <c r="F104" s="11">
        <f t="shared" si="15"/>
        <v>3650.15</v>
      </c>
      <c r="G104" s="11">
        <f t="shared" si="17"/>
        <v>280</v>
      </c>
      <c r="H104" s="11">
        <f t="shared" si="18"/>
        <v>318.81</v>
      </c>
      <c r="I104" s="11">
        <f t="shared" si="16"/>
        <v>1041.8699999999999</v>
      </c>
    </row>
    <row r="105" spans="1:9" x14ac:dyDescent="0.25">
      <c r="A105" s="11" t="s">
        <v>10</v>
      </c>
      <c r="B105" s="11" t="s">
        <v>114</v>
      </c>
      <c r="C105" s="9">
        <v>4570</v>
      </c>
      <c r="D105" s="11">
        <f t="shared" si="13"/>
        <v>4498.18</v>
      </c>
      <c r="E105" s="11">
        <f t="shared" si="14"/>
        <v>5346.21</v>
      </c>
      <c r="F105" s="11">
        <f t="shared" si="15"/>
        <v>3650.15</v>
      </c>
      <c r="G105" s="11">
        <f t="shared" si="17"/>
        <v>0</v>
      </c>
      <c r="H105" s="11">
        <f t="shared" si="18"/>
        <v>318.81</v>
      </c>
      <c r="I105" s="11">
        <f t="shared" si="16"/>
        <v>1041.8699999999999</v>
      </c>
    </row>
    <row r="106" spans="1:9" x14ac:dyDescent="0.25">
      <c r="A106" s="11" t="s">
        <v>10</v>
      </c>
      <c r="B106" s="11" t="s">
        <v>115</v>
      </c>
      <c r="C106" s="9">
        <v>4855</v>
      </c>
      <c r="D106" s="11">
        <f t="shared" si="13"/>
        <v>4498.18</v>
      </c>
      <c r="E106" s="11">
        <f t="shared" si="14"/>
        <v>5346.21</v>
      </c>
      <c r="F106" s="11">
        <f t="shared" si="15"/>
        <v>3650.15</v>
      </c>
      <c r="G106" s="11">
        <f t="shared" si="17"/>
        <v>285</v>
      </c>
      <c r="H106" s="11">
        <f t="shared" si="18"/>
        <v>318.81</v>
      </c>
      <c r="I106" s="11">
        <f t="shared" si="16"/>
        <v>1041.8699999999999</v>
      </c>
    </row>
    <row r="107" spans="1:9" x14ac:dyDescent="0.25">
      <c r="A107" s="11" t="s">
        <v>10</v>
      </c>
      <c r="B107" s="11" t="s">
        <v>116</v>
      </c>
      <c r="C107" s="9">
        <v>4160</v>
      </c>
      <c r="D107" s="11">
        <f t="shared" si="13"/>
        <v>4498.18</v>
      </c>
      <c r="E107" s="11">
        <f t="shared" si="14"/>
        <v>5346.21</v>
      </c>
      <c r="F107" s="11">
        <f t="shared" si="15"/>
        <v>3650.15</v>
      </c>
      <c r="G107" s="11">
        <f t="shared" si="17"/>
        <v>695</v>
      </c>
      <c r="H107" s="11">
        <f t="shared" si="18"/>
        <v>318.81</v>
      </c>
      <c r="I107" s="11">
        <f t="shared" si="16"/>
        <v>1041.8699999999999</v>
      </c>
    </row>
    <row r="108" spans="1:9" x14ac:dyDescent="0.25">
      <c r="A108" s="11" t="s">
        <v>10</v>
      </c>
      <c r="B108" s="11" t="s">
        <v>117</v>
      </c>
      <c r="C108" s="9">
        <v>4325</v>
      </c>
      <c r="D108" s="11">
        <f t="shared" si="13"/>
        <v>4498.18</v>
      </c>
      <c r="E108" s="11">
        <f t="shared" si="14"/>
        <v>5346.21</v>
      </c>
      <c r="F108" s="11">
        <f t="shared" si="15"/>
        <v>3650.15</v>
      </c>
      <c r="G108" s="11">
        <f t="shared" si="17"/>
        <v>165</v>
      </c>
      <c r="H108" s="11">
        <f t="shared" si="18"/>
        <v>318.81</v>
      </c>
      <c r="I108" s="11">
        <f t="shared" si="16"/>
        <v>1041.8699999999999</v>
      </c>
    </row>
    <row r="109" spans="1:9" x14ac:dyDescent="0.25">
      <c r="A109" s="11" t="s">
        <v>10</v>
      </c>
      <c r="B109" s="11" t="s">
        <v>118</v>
      </c>
      <c r="C109" s="9">
        <v>4125</v>
      </c>
      <c r="D109" s="11">
        <f t="shared" si="13"/>
        <v>4498.18</v>
      </c>
      <c r="E109" s="11">
        <f t="shared" si="14"/>
        <v>5346.21</v>
      </c>
      <c r="F109" s="11">
        <f t="shared" si="15"/>
        <v>3650.15</v>
      </c>
      <c r="G109" s="11">
        <f t="shared" si="17"/>
        <v>200</v>
      </c>
      <c r="H109" s="11">
        <f t="shared" si="18"/>
        <v>318.81</v>
      </c>
      <c r="I109" s="11">
        <f t="shared" si="16"/>
        <v>1041.8699999999999</v>
      </c>
    </row>
    <row r="110" spans="1:9" x14ac:dyDescent="0.25">
      <c r="A110" s="11" t="s">
        <v>10</v>
      </c>
      <c r="B110" s="11" t="s">
        <v>119</v>
      </c>
      <c r="C110" s="9">
        <v>4100</v>
      </c>
      <c r="D110" s="11">
        <f t="shared" si="13"/>
        <v>4498.18</v>
      </c>
      <c r="E110" s="11">
        <f t="shared" si="14"/>
        <v>5346.21</v>
      </c>
      <c r="F110" s="11">
        <f t="shared" si="15"/>
        <v>3650.15</v>
      </c>
      <c r="G110" s="11">
        <f t="shared" si="17"/>
        <v>25</v>
      </c>
      <c r="H110" s="11">
        <f t="shared" si="18"/>
        <v>318.81</v>
      </c>
      <c r="I110" s="11">
        <f t="shared" si="16"/>
        <v>1041.8699999999999</v>
      </c>
    </row>
    <row r="111" spans="1:9" x14ac:dyDescent="0.25">
      <c r="A111" s="11" t="s">
        <v>10</v>
      </c>
      <c r="B111" s="11" t="s">
        <v>120</v>
      </c>
      <c r="C111" s="9">
        <v>4340</v>
      </c>
      <c r="D111" s="11">
        <f t="shared" si="13"/>
        <v>4498.18</v>
      </c>
      <c r="E111" s="11">
        <f t="shared" si="14"/>
        <v>5346.21</v>
      </c>
      <c r="F111" s="11">
        <f t="shared" si="15"/>
        <v>3650.15</v>
      </c>
      <c r="G111" s="11">
        <f t="shared" si="17"/>
        <v>240</v>
      </c>
      <c r="H111" s="11">
        <f t="shared" si="18"/>
        <v>318.81</v>
      </c>
      <c r="I111" s="11">
        <f t="shared" si="16"/>
        <v>1041.8699999999999</v>
      </c>
    </row>
    <row r="112" spans="1:9" x14ac:dyDescent="0.25">
      <c r="A112" s="11" t="s">
        <v>10</v>
      </c>
      <c r="B112" s="11" t="s">
        <v>121</v>
      </c>
      <c r="C112" s="9">
        <v>4575</v>
      </c>
      <c r="D112" s="11">
        <f t="shared" si="13"/>
        <v>4498.18</v>
      </c>
      <c r="E112" s="11">
        <f t="shared" si="14"/>
        <v>5346.21</v>
      </c>
      <c r="F112" s="11">
        <f t="shared" si="15"/>
        <v>3650.15</v>
      </c>
      <c r="G112" s="11">
        <f t="shared" si="17"/>
        <v>235</v>
      </c>
      <c r="H112" s="11">
        <f t="shared" si="18"/>
        <v>318.81</v>
      </c>
      <c r="I112" s="11">
        <f t="shared" si="16"/>
        <v>1041.8699999999999</v>
      </c>
    </row>
    <row r="113" spans="1:9" x14ac:dyDescent="0.25">
      <c r="A113" s="11" t="s">
        <v>10</v>
      </c>
      <c r="B113" s="11" t="s">
        <v>122</v>
      </c>
      <c r="C113" s="9">
        <v>3875</v>
      </c>
      <c r="D113" s="11">
        <f t="shared" si="13"/>
        <v>4498.18</v>
      </c>
      <c r="E113" s="11">
        <f t="shared" si="14"/>
        <v>5346.21</v>
      </c>
      <c r="F113" s="11">
        <f t="shared" si="15"/>
        <v>3650.15</v>
      </c>
      <c r="G113" s="11">
        <f t="shared" si="17"/>
        <v>700</v>
      </c>
      <c r="H113" s="11">
        <f t="shared" si="18"/>
        <v>318.81</v>
      </c>
      <c r="I113" s="11">
        <f t="shared" si="16"/>
        <v>1041.8699999999999</v>
      </c>
    </row>
    <row r="114" spans="1:9" x14ac:dyDescent="0.25">
      <c r="A114" s="11" t="s">
        <v>10</v>
      </c>
      <c r="B114" s="11" t="s">
        <v>123</v>
      </c>
      <c r="C114" s="9">
        <v>4050</v>
      </c>
      <c r="D114" s="11">
        <f t="shared" si="13"/>
        <v>4498.18</v>
      </c>
      <c r="E114" s="11">
        <f t="shared" si="14"/>
        <v>5346.21</v>
      </c>
      <c r="F114" s="11">
        <f t="shared" si="15"/>
        <v>3650.15</v>
      </c>
      <c r="G114" s="11">
        <f t="shared" si="17"/>
        <v>175</v>
      </c>
      <c r="H114" s="11">
        <f t="shared" si="18"/>
        <v>318.81</v>
      </c>
      <c r="I114" s="11">
        <f t="shared" si="16"/>
        <v>1041.8699999999999</v>
      </c>
    </row>
    <row r="115" spans="1:9" x14ac:dyDescent="0.25">
      <c r="A115" s="11" t="s">
        <v>10</v>
      </c>
      <c r="B115" s="11" t="s">
        <v>124</v>
      </c>
      <c r="C115" s="9">
        <v>4050</v>
      </c>
      <c r="D115" s="11">
        <f t="shared" si="13"/>
        <v>4498.18</v>
      </c>
      <c r="E115" s="11">
        <f t="shared" si="14"/>
        <v>5346.21</v>
      </c>
      <c r="F115" s="11">
        <f t="shared" si="15"/>
        <v>3650.15</v>
      </c>
      <c r="G115" s="11">
        <f t="shared" si="17"/>
        <v>0</v>
      </c>
      <c r="H115" s="11">
        <f t="shared" si="18"/>
        <v>318.81</v>
      </c>
      <c r="I115" s="11">
        <f t="shared" si="16"/>
        <v>1041.8699999999999</v>
      </c>
    </row>
    <row r="116" spans="1:9" x14ac:dyDescent="0.25">
      <c r="A116" s="11" t="s">
        <v>10</v>
      </c>
      <c r="B116" s="11" t="s">
        <v>125</v>
      </c>
      <c r="C116" s="9">
        <v>4685</v>
      </c>
      <c r="D116" s="11">
        <f t="shared" si="13"/>
        <v>4498.18</v>
      </c>
      <c r="E116" s="11">
        <f t="shared" si="14"/>
        <v>5346.21</v>
      </c>
      <c r="F116" s="11">
        <f t="shared" si="15"/>
        <v>3650.15</v>
      </c>
      <c r="G116" s="11">
        <f t="shared" si="17"/>
        <v>635</v>
      </c>
      <c r="H116" s="11">
        <f t="shared" si="18"/>
        <v>318.81</v>
      </c>
      <c r="I116" s="11">
        <f t="shared" si="16"/>
        <v>1041.8699999999999</v>
      </c>
    </row>
    <row r="117" spans="1:9" x14ac:dyDescent="0.25">
      <c r="A117" s="11" t="s">
        <v>10</v>
      </c>
      <c r="B117" s="11" t="s">
        <v>126</v>
      </c>
      <c r="C117" s="9">
        <v>4685</v>
      </c>
      <c r="D117" s="11">
        <f t="shared" si="13"/>
        <v>4498.18</v>
      </c>
      <c r="E117" s="11">
        <f t="shared" si="14"/>
        <v>5346.21</v>
      </c>
      <c r="F117" s="11">
        <f t="shared" si="15"/>
        <v>3650.15</v>
      </c>
      <c r="G117" s="11">
        <f t="shared" si="17"/>
        <v>0</v>
      </c>
      <c r="H117" s="11">
        <f t="shared" si="18"/>
        <v>318.81</v>
      </c>
      <c r="I117" s="11">
        <f t="shared" si="16"/>
        <v>1041.8699999999999</v>
      </c>
    </row>
    <row r="118" spans="1:9" x14ac:dyDescent="0.25">
      <c r="A118" s="11" t="s">
        <v>10</v>
      </c>
      <c r="B118" s="11" t="s">
        <v>127</v>
      </c>
      <c r="C118" s="9">
        <v>4430</v>
      </c>
      <c r="D118" s="11">
        <f t="shared" si="13"/>
        <v>4498.18</v>
      </c>
      <c r="E118" s="11">
        <f t="shared" si="14"/>
        <v>5346.21</v>
      </c>
      <c r="F118" s="11">
        <f t="shared" si="15"/>
        <v>3650.15</v>
      </c>
      <c r="G118" s="11">
        <f t="shared" si="17"/>
        <v>255</v>
      </c>
      <c r="H118" s="11">
        <f t="shared" si="18"/>
        <v>318.81</v>
      </c>
      <c r="I118" s="11">
        <f t="shared" si="16"/>
        <v>1041.8699999999999</v>
      </c>
    </row>
    <row r="119" spans="1:9" x14ac:dyDescent="0.25">
      <c r="A119" s="11" t="s">
        <v>10</v>
      </c>
      <c r="B119" s="11" t="s">
        <v>128</v>
      </c>
      <c r="C119" s="9">
        <v>4300</v>
      </c>
      <c r="D119" s="11">
        <f t="shared" si="13"/>
        <v>4498.18</v>
      </c>
      <c r="E119" s="11">
        <f t="shared" si="14"/>
        <v>5346.21</v>
      </c>
      <c r="F119" s="11">
        <f t="shared" si="15"/>
        <v>3650.15</v>
      </c>
      <c r="G119" s="11">
        <f t="shared" si="17"/>
        <v>130</v>
      </c>
      <c r="H119" s="11">
        <f t="shared" si="18"/>
        <v>318.81</v>
      </c>
      <c r="I119" s="11">
        <f t="shared" si="16"/>
        <v>1041.8699999999999</v>
      </c>
    </row>
    <row r="120" spans="1:9" x14ac:dyDescent="0.25">
      <c r="A120" s="11" t="s">
        <v>10</v>
      </c>
      <c r="B120" s="11" t="s">
        <v>129</v>
      </c>
      <c r="C120" s="9">
        <v>4690</v>
      </c>
      <c r="D120" s="11">
        <f t="shared" si="13"/>
        <v>4498.18</v>
      </c>
      <c r="E120" s="11">
        <f t="shared" si="14"/>
        <v>5346.21</v>
      </c>
      <c r="F120" s="11">
        <f t="shared" si="15"/>
        <v>3650.15</v>
      </c>
      <c r="G120" s="11">
        <f t="shared" si="17"/>
        <v>390</v>
      </c>
      <c r="H120" s="11">
        <f t="shared" si="18"/>
        <v>318.81</v>
      </c>
      <c r="I120" s="11">
        <f t="shared" si="16"/>
        <v>1041.8699999999999</v>
      </c>
    </row>
    <row r="121" spans="1:9" x14ac:dyDescent="0.25">
      <c r="A121" s="11" t="s">
        <v>10</v>
      </c>
      <c r="B121" s="11" t="s">
        <v>130</v>
      </c>
      <c r="C121" s="9">
        <v>4560</v>
      </c>
      <c r="D121" s="11">
        <f t="shared" si="13"/>
        <v>4498.18</v>
      </c>
      <c r="E121" s="11">
        <f t="shared" si="14"/>
        <v>5346.21</v>
      </c>
      <c r="F121" s="11">
        <f t="shared" si="15"/>
        <v>3650.15</v>
      </c>
      <c r="G121" s="11">
        <f t="shared" si="17"/>
        <v>130</v>
      </c>
      <c r="H121" s="11">
        <f t="shared" si="18"/>
        <v>318.81</v>
      </c>
      <c r="I121" s="11">
        <f t="shared" si="16"/>
        <v>1041.8699999999999</v>
      </c>
    </row>
    <row r="122" spans="1:9" x14ac:dyDescent="0.25">
      <c r="A122" s="11" t="s">
        <v>10</v>
      </c>
      <c r="B122" s="11" t="s">
        <v>131</v>
      </c>
      <c r="C122" s="9">
        <v>3075</v>
      </c>
      <c r="D122" s="11">
        <f t="shared" si="13"/>
        <v>4498.18</v>
      </c>
      <c r="E122" s="11">
        <f t="shared" si="14"/>
        <v>5346.21</v>
      </c>
      <c r="F122" s="11">
        <f t="shared" si="15"/>
        <v>3650.15</v>
      </c>
      <c r="G122" s="11">
        <f t="shared" si="17"/>
        <v>1485</v>
      </c>
      <c r="H122" s="11">
        <f t="shared" si="18"/>
        <v>318.81</v>
      </c>
      <c r="I122" s="11">
        <f t="shared" si="16"/>
        <v>1041.8699999999999</v>
      </c>
    </row>
    <row r="123" spans="1:9" x14ac:dyDescent="0.25">
      <c r="A123" s="11" t="s">
        <v>10</v>
      </c>
      <c r="B123" s="11" t="s">
        <v>132</v>
      </c>
      <c r="C123" s="9">
        <v>2965</v>
      </c>
      <c r="D123" s="11">
        <f t="shared" si="13"/>
        <v>4498.18</v>
      </c>
      <c r="E123" s="11">
        <f t="shared" si="14"/>
        <v>5346.21</v>
      </c>
      <c r="F123" s="11">
        <f t="shared" si="15"/>
        <v>3650.15</v>
      </c>
      <c r="G123" s="11">
        <f t="shared" si="17"/>
        <v>110</v>
      </c>
      <c r="H123" s="11">
        <f t="shared" si="18"/>
        <v>318.81</v>
      </c>
      <c r="I123" s="11">
        <f t="shared" si="16"/>
        <v>1041.8699999999999</v>
      </c>
    </row>
    <row r="124" spans="1:9" x14ac:dyDescent="0.25">
      <c r="A124" s="11" t="s">
        <v>10</v>
      </c>
      <c r="B124" s="11" t="s">
        <v>133</v>
      </c>
      <c r="C124" s="9">
        <v>4080</v>
      </c>
      <c r="D124" s="11">
        <f t="shared" si="13"/>
        <v>4498.18</v>
      </c>
      <c r="E124" s="11">
        <f t="shared" si="14"/>
        <v>5346.21</v>
      </c>
      <c r="F124" s="11">
        <f t="shared" si="15"/>
        <v>3650.15</v>
      </c>
      <c r="G124" s="11">
        <f t="shared" si="17"/>
        <v>1115</v>
      </c>
      <c r="H124" s="11">
        <f t="shared" si="18"/>
        <v>318.81</v>
      </c>
      <c r="I124" s="11">
        <f t="shared" si="16"/>
        <v>1041.8699999999999</v>
      </c>
    </row>
    <row r="125" spans="1:9" x14ac:dyDescent="0.25">
      <c r="A125" s="11" t="s">
        <v>10</v>
      </c>
      <c r="B125" s="11" t="s">
        <v>134</v>
      </c>
      <c r="C125" s="9">
        <v>4080</v>
      </c>
      <c r="D125" s="11">
        <f t="shared" si="13"/>
        <v>4498.18</v>
      </c>
      <c r="E125" s="11">
        <f t="shared" si="14"/>
        <v>5346.21</v>
      </c>
      <c r="F125" s="11">
        <f t="shared" si="15"/>
        <v>3650.15</v>
      </c>
      <c r="G125" s="11">
        <f t="shared" si="17"/>
        <v>0</v>
      </c>
      <c r="H125" s="11">
        <f t="shared" si="18"/>
        <v>318.81</v>
      </c>
      <c r="I125" s="11">
        <f t="shared" si="16"/>
        <v>1041.8699999999999</v>
      </c>
    </row>
    <row r="126" spans="1:9" x14ac:dyDescent="0.25">
      <c r="A126" s="11" t="s">
        <v>10</v>
      </c>
      <c r="B126" s="11" t="s">
        <v>135</v>
      </c>
      <c r="C126" s="9">
        <v>4425</v>
      </c>
      <c r="D126" s="11">
        <f t="shared" si="13"/>
        <v>4498.18</v>
      </c>
      <c r="E126" s="11">
        <f t="shared" si="14"/>
        <v>5346.21</v>
      </c>
      <c r="F126" s="11">
        <f t="shared" si="15"/>
        <v>3650.15</v>
      </c>
      <c r="G126" s="11">
        <f t="shared" si="17"/>
        <v>345</v>
      </c>
      <c r="H126" s="11">
        <f t="shared" si="18"/>
        <v>318.81</v>
      </c>
      <c r="I126" s="11">
        <f t="shared" si="16"/>
        <v>1041.8699999999999</v>
      </c>
    </row>
    <row r="127" spans="1:9" x14ac:dyDescent="0.25">
      <c r="A127" s="11" t="s">
        <v>10</v>
      </c>
      <c r="B127" s="11" t="s">
        <v>136</v>
      </c>
      <c r="C127" s="9">
        <v>4300</v>
      </c>
      <c r="D127" s="11">
        <f t="shared" si="13"/>
        <v>4498.18</v>
      </c>
      <c r="E127" s="11">
        <f t="shared" si="14"/>
        <v>5346.21</v>
      </c>
      <c r="F127" s="11">
        <f t="shared" si="15"/>
        <v>3650.15</v>
      </c>
      <c r="G127" s="11">
        <f t="shared" si="17"/>
        <v>125</v>
      </c>
      <c r="H127" s="11">
        <f t="shared" si="18"/>
        <v>318.81</v>
      </c>
      <c r="I127" s="11">
        <f t="shared" si="16"/>
        <v>1041.8699999999999</v>
      </c>
    </row>
    <row r="128" spans="1:9" x14ac:dyDescent="0.25">
      <c r="A128" s="11" t="s">
        <v>10</v>
      </c>
      <c r="B128" s="11" t="s">
        <v>137</v>
      </c>
      <c r="C128" s="9">
        <v>4430</v>
      </c>
      <c r="D128" s="11">
        <f t="shared" si="13"/>
        <v>4498.18</v>
      </c>
      <c r="E128" s="11">
        <f t="shared" si="14"/>
        <v>5346.21</v>
      </c>
      <c r="F128" s="11">
        <f t="shared" si="15"/>
        <v>3650.15</v>
      </c>
      <c r="G128" s="11">
        <f t="shared" si="17"/>
        <v>130</v>
      </c>
      <c r="H128" s="11">
        <f t="shared" si="18"/>
        <v>318.81</v>
      </c>
      <c r="I128" s="11">
        <f t="shared" si="16"/>
        <v>1041.8699999999999</v>
      </c>
    </row>
    <row r="129" spans="1:9" x14ac:dyDescent="0.25">
      <c r="A129" s="11" t="s">
        <v>10</v>
      </c>
      <c r="B129" s="11" t="s">
        <v>138</v>
      </c>
      <c r="C129" s="9">
        <v>4840</v>
      </c>
      <c r="D129" s="11">
        <f t="shared" si="13"/>
        <v>4498.18</v>
      </c>
      <c r="E129" s="11">
        <f t="shared" si="14"/>
        <v>5346.21</v>
      </c>
      <c r="F129" s="11">
        <f t="shared" si="15"/>
        <v>3650.15</v>
      </c>
      <c r="G129" s="11">
        <f t="shared" si="17"/>
        <v>410</v>
      </c>
      <c r="H129" s="11">
        <f t="shared" si="18"/>
        <v>318.81</v>
      </c>
      <c r="I129" s="11">
        <f t="shared" si="16"/>
        <v>1041.8699999999999</v>
      </c>
    </row>
    <row r="130" spans="1:9" x14ac:dyDescent="0.25">
      <c r="A130" s="11" t="s">
        <v>10</v>
      </c>
      <c r="B130" s="11" t="s">
        <v>139</v>
      </c>
      <c r="C130" s="9">
        <v>4840</v>
      </c>
      <c r="D130" s="11">
        <f t="shared" ref="D130:D193" si="19">ROUND(AVERAGE($C$2:$C$205),2)</f>
        <v>4498.18</v>
      </c>
      <c r="E130" s="11">
        <f t="shared" ref="E130:E193" si="20">ROUND(D130+(2.66*H130),2)</f>
        <v>5346.21</v>
      </c>
      <c r="F130" s="11">
        <f t="shared" ref="F130:F193" si="21">ROUND(D130-(2.66*H130),2)</f>
        <v>3650.15</v>
      </c>
      <c r="G130" s="11">
        <f t="shared" si="17"/>
        <v>0</v>
      </c>
      <c r="H130" s="11">
        <f t="shared" si="18"/>
        <v>318.81</v>
      </c>
      <c r="I130" s="11">
        <f t="shared" ref="I130:I193" si="22">ROUND(3.268*H130,2)</f>
        <v>1041.8699999999999</v>
      </c>
    </row>
    <row r="131" spans="1:9" x14ac:dyDescent="0.25">
      <c r="A131" s="11" t="s">
        <v>10</v>
      </c>
      <c r="B131" s="11" t="s">
        <v>140</v>
      </c>
      <c r="C131" s="9">
        <v>4310</v>
      </c>
      <c r="D131" s="11">
        <f t="shared" si="19"/>
        <v>4498.18</v>
      </c>
      <c r="E131" s="11">
        <f t="shared" si="20"/>
        <v>5346.21</v>
      </c>
      <c r="F131" s="11">
        <f t="shared" si="21"/>
        <v>3650.15</v>
      </c>
      <c r="G131" s="11">
        <f t="shared" ref="G131:G194" si="23">ABS(C130-C131)</f>
        <v>530</v>
      </c>
      <c r="H131" s="11">
        <f t="shared" ref="H131:H194" si="24">ROUND(AVERAGE($G$3:$G$205),2)</f>
        <v>318.81</v>
      </c>
      <c r="I131" s="11">
        <f t="shared" si="22"/>
        <v>1041.8699999999999</v>
      </c>
    </row>
    <row r="132" spans="1:9" x14ac:dyDescent="0.25">
      <c r="A132" s="11" t="s">
        <v>10</v>
      </c>
      <c r="B132" s="11" t="s">
        <v>141</v>
      </c>
      <c r="C132" s="9">
        <v>4185</v>
      </c>
      <c r="D132" s="11">
        <f t="shared" si="19"/>
        <v>4498.18</v>
      </c>
      <c r="E132" s="11">
        <f t="shared" si="20"/>
        <v>5346.21</v>
      </c>
      <c r="F132" s="11">
        <f t="shared" si="21"/>
        <v>3650.15</v>
      </c>
      <c r="G132" s="11">
        <f t="shared" si="23"/>
        <v>125</v>
      </c>
      <c r="H132" s="11">
        <f t="shared" si="24"/>
        <v>318.81</v>
      </c>
      <c r="I132" s="11">
        <f t="shared" si="22"/>
        <v>1041.8699999999999</v>
      </c>
    </row>
    <row r="133" spans="1:9" x14ac:dyDescent="0.25">
      <c r="A133" s="11" t="s">
        <v>10</v>
      </c>
      <c r="B133" s="11" t="s">
        <v>142</v>
      </c>
      <c r="C133" s="9">
        <v>4570</v>
      </c>
      <c r="D133" s="11">
        <f t="shared" si="19"/>
        <v>4498.18</v>
      </c>
      <c r="E133" s="11">
        <f t="shared" si="20"/>
        <v>5346.21</v>
      </c>
      <c r="F133" s="11">
        <f t="shared" si="21"/>
        <v>3650.15</v>
      </c>
      <c r="G133" s="11">
        <f t="shared" si="23"/>
        <v>385</v>
      </c>
      <c r="H133" s="11">
        <f t="shared" si="24"/>
        <v>318.81</v>
      </c>
      <c r="I133" s="11">
        <f t="shared" si="22"/>
        <v>1041.8699999999999</v>
      </c>
    </row>
    <row r="134" spans="1:9" x14ac:dyDescent="0.25">
      <c r="A134" s="11" t="s">
        <v>10</v>
      </c>
      <c r="B134" s="11" t="s">
        <v>143</v>
      </c>
      <c r="C134" s="9">
        <v>4700</v>
      </c>
      <c r="D134" s="11">
        <f t="shared" si="19"/>
        <v>4498.18</v>
      </c>
      <c r="E134" s="11">
        <f t="shared" si="20"/>
        <v>5346.21</v>
      </c>
      <c r="F134" s="11">
        <f t="shared" si="21"/>
        <v>3650.15</v>
      </c>
      <c r="G134" s="11">
        <f t="shared" si="23"/>
        <v>130</v>
      </c>
      <c r="H134" s="11">
        <f t="shared" si="24"/>
        <v>318.81</v>
      </c>
      <c r="I134" s="11">
        <f t="shared" si="22"/>
        <v>1041.8699999999999</v>
      </c>
    </row>
    <row r="135" spans="1:9" x14ac:dyDescent="0.25">
      <c r="A135" s="11" t="s">
        <v>10</v>
      </c>
      <c r="B135" s="11" t="s">
        <v>144</v>
      </c>
      <c r="C135" s="9">
        <v>4440</v>
      </c>
      <c r="D135" s="11">
        <f t="shared" si="19"/>
        <v>4498.18</v>
      </c>
      <c r="E135" s="11">
        <f t="shared" si="20"/>
        <v>5346.21</v>
      </c>
      <c r="F135" s="11">
        <f t="shared" si="21"/>
        <v>3650.15</v>
      </c>
      <c r="G135" s="11">
        <f t="shared" si="23"/>
        <v>260</v>
      </c>
      <c r="H135" s="11">
        <f t="shared" si="24"/>
        <v>318.81</v>
      </c>
      <c r="I135" s="11">
        <f t="shared" si="22"/>
        <v>1041.8699999999999</v>
      </c>
    </row>
    <row r="136" spans="1:9" x14ac:dyDescent="0.25">
      <c r="A136" s="11" t="s">
        <v>10</v>
      </c>
      <c r="B136" s="11" t="s">
        <v>145</v>
      </c>
      <c r="C136" s="9">
        <v>4850</v>
      </c>
      <c r="D136" s="11">
        <f t="shared" si="19"/>
        <v>4498.18</v>
      </c>
      <c r="E136" s="11">
        <f t="shared" si="20"/>
        <v>5346.21</v>
      </c>
      <c r="F136" s="11">
        <f t="shared" si="21"/>
        <v>3650.15</v>
      </c>
      <c r="G136" s="11">
        <f t="shared" si="23"/>
        <v>410</v>
      </c>
      <c r="H136" s="11">
        <f t="shared" si="24"/>
        <v>318.81</v>
      </c>
      <c r="I136" s="11">
        <f t="shared" si="22"/>
        <v>1041.8699999999999</v>
      </c>
    </row>
    <row r="137" spans="1:9" x14ac:dyDescent="0.25">
      <c r="A137" s="11" t="s">
        <v>10</v>
      </c>
      <c r="B137" s="11" t="s">
        <v>146</v>
      </c>
      <c r="C137" s="9">
        <v>4125</v>
      </c>
      <c r="D137" s="11">
        <f t="shared" si="19"/>
        <v>4498.18</v>
      </c>
      <c r="E137" s="11">
        <f t="shared" si="20"/>
        <v>5346.21</v>
      </c>
      <c r="F137" s="11">
        <f t="shared" si="21"/>
        <v>3650.15</v>
      </c>
      <c r="G137" s="11">
        <f t="shared" si="23"/>
        <v>725</v>
      </c>
      <c r="H137" s="11">
        <f t="shared" si="24"/>
        <v>318.81</v>
      </c>
      <c r="I137" s="11">
        <f t="shared" si="22"/>
        <v>1041.8699999999999</v>
      </c>
    </row>
    <row r="138" spans="1:9" x14ac:dyDescent="0.25">
      <c r="A138" s="11" t="s">
        <v>10</v>
      </c>
      <c r="B138" s="11" t="s">
        <v>147</v>
      </c>
      <c r="C138" s="9">
        <v>4450</v>
      </c>
      <c r="D138" s="11">
        <f t="shared" si="19"/>
        <v>4498.18</v>
      </c>
      <c r="E138" s="11">
        <f t="shared" si="20"/>
        <v>5346.21</v>
      </c>
      <c r="F138" s="11">
        <f t="shared" si="21"/>
        <v>3650.15</v>
      </c>
      <c r="G138" s="11">
        <f t="shared" si="23"/>
        <v>325</v>
      </c>
      <c r="H138" s="11">
        <f t="shared" si="24"/>
        <v>318.81</v>
      </c>
      <c r="I138" s="11">
        <f t="shared" si="22"/>
        <v>1041.8699999999999</v>
      </c>
    </row>
    <row r="139" spans="1:9" x14ac:dyDescent="0.25">
      <c r="A139" s="11" t="s">
        <v>10</v>
      </c>
      <c r="B139" s="11" t="s">
        <v>148</v>
      </c>
      <c r="C139" s="9">
        <v>4450</v>
      </c>
      <c r="D139" s="11">
        <f t="shared" si="19"/>
        <v>4498.18</v>
      </c>
      <c r="E139" s="11">
        <f t="shared" si="20"/>
        <v>5346.21</v>
      </c>
      <c r="F139" s="11">
        <f t="shared" si="21"/>
        <v>3650.15</v>
      </c>
      <c r="G139" s="11">
        <f t="shared" si="23"/>
        <v>0</v>
      </c>
      <c r="H139" s="11">
        <f t="shared" si="24"/>
        <v>318.81</v>
      </c>
      <c r="I139" s="11">
        <f t="shared" si="22"/>
        <v>1041.8699999999999</v>
      </c>
    </row>
    <row r="140" spans="1:9" x14ac:dyDescent="0.25">
      <c r="A140" s="11" t="s">
        <v>10</v>
      </c>
      <c r="B140" s="11" t="s">
        <v>149</v>
      </c>
      <c r="C140" s="9">
        <v>4850</v>
      </c>
      <c r="D140" s="11">
        <f t="shared" si="19"/>
        <v>4498.18</v>
      </c>
      <c r="E140" s="11">
        <f t="shared" si="20"/>
        <v>5346.21</v>
      </c>
      <c r="F140" s="11">
        <f t="shared" si="21"/>
        <v>3650.15</v>
      </c>
      <c r="G140" s="11">
        <f t="shared" si="23"/>
        <v>400</v>
      </c>
      <c r="H140" s="11">
        <f t="shared" si="24"/>
        <v>318.81</v>
      </c>
      <c r="I140" s="11">
        <f t="shared" si="22"/>
        <v>1041.8699999999999</v>
      </c>
    </row>
    <row r="141" spans="1:9" x14ac:dyDescent="0.25">
      <c r="A141" s="11" t="s">
        <v>10</v>
      </c>
      <c r="B141" s="11" t="s">
        <v>150</v>
      </c>
      <c r="C141" s="9">
        <v>4450</v>
      </c>
      <c r="D141" s="11">
        <f t="shared" si="19"/>
        <v>4498.18</v>
      </c>
      <c r="E141" s="11">
        <f t="shared" si="20"/>
        <v>5346.21</v>
      </c>
      <c r="F141" s="11">
        <f t="shared" si="21"/>
        <v>3650.15</v>
      </c>
      <c r="G141" s="11">
        <f t="shared" si="23"/>
        <v>400</v>
      </c>
      <c r="H141" s="11">
        <f t="shared" si="24"/>
        <v>318.81</v>
      </c>
      <c r="I141" s="11">
        <f t="shared" si="22"/>
        <v>1041.8699999999999</v>
      </c>
    </row>
    <row r="142" spans="1:9" x14ac:dyDescent="0.25">
      <c r="A142" s="11" t="s">
        <v>10</v>
      </c>
      <c r="B142" s="11" t="s">
        <v>151</v>
      </c>
      <c r="C142" s="9">
        <v>3635</v>
      </c>
      <c r="D142" s="11">
        <f t="shared" si="19"/>
        <v>4498.18</v>
      </c>
      <c r="E142" s="11">
        <f t="shared" si="20"/>
        <v>5346.21</v>
      </c>
      <c r="F142" s="11">
        <f t="shared" si="21"/>
        <v>3650.15</v>
      </c>
      <c r="G142" s="11">
        <f t="shared" si="23"/>
        <v>815</v>
      </c>
      <c r="H142" s="11">
        <f t="shared" si="24"/>
        <v>318.81</v>
      </c>
      <c r="I142" s="11">
        <f t="shared" si="22"/>
        <v>1041.8699999999999</v>
      </c>
    </row>
    <row r="143" spans="1:9" x14ac:dyDescent="0.25">
      <c r="A143" s="11" t="s">
        <v>10</v>
      </c>
      <c r="B143" s="11" t="s">
        <v>152</v>
      </c>
      <c r="C143" s="9">
        <v>3635</v>
      </c>
      <c r="D143" s="11">
        <f t="shared" si="19"/>
        <v>4498.18</v>
      </c>
      <c r="E143" s="11">
        <f t="shared" si="20"/>
        <v>5346.21</v>
      </c>
      <c r="F143" s="11">
        <f t="shared" si="21"/>
        <v>3650.15</v>
      </c>
      <c r="G143" s="11">
        <f t="shared" si="23"/>
        <v>0</v>
      </c>
      <c r="H143" s="11">
        <f t="shared" si="24"/>
        <v>318.81</v>
      </c>
      <c r="I143" s="11">
        <f t="shared" si="22"/>
        <v>1041.8699999999999</v>
      </c>
    </row>
    <row r="144" spans="1:9" x14ac:dyDescent="0.25">
      <c r="A144" s="11" t="s">
        <v>10</v>
      </c>
      <c r="B144" s="11" t="s">
        <v>153</v>
      </c>
      <c r="C144" s="9">
        <v>3635</v>
      </c>
      <c r="D144" s="11">
        <f t="shared" si="19"/>
        <v>4498.18</v>
      </c>
      <c r="E144" s="11">
        <f t="shared" si="20"/>
        <v>5346.21</v>
      </c>
      <c r="F144" s="11">
        <f t="shared" si="21"/>
        <v>3650.15</v>
      </c>
      <c r="G144" s="11">
        <f t="shared" si="23"/>
        <v>0</v>
      </c>
      <c r="H144" s="11">
        <f t="shared" si="24"/>
        <v>318.81</v>
      </c>
      <c r="I144" s="11">
        <f t="shared" si="22"/>
        <v>1041.8699999999999</v>
      </c>
    </row>
    <row r="145" spans="1:9" x14ac:dyDescent="0.25">
      <c r="A145" s="11" t="s">
        <v>10</v>
      </c>
      <c r="B145" s="11" t="s">
        <v>154</v>
      </c>
      <c r="C145" s="9">
        <v>3900</v>
      </c>
      <c r="D145" s="11">
        <f t="shared" si="19"/>
        <v>4498.18</v>
      </c>
      <c r="E145" s="11">
        <f t="shared" si="20"/>
        <v>5346.21</v>
      </c>
      <c r="F145" s="11">
        <f t="shared" si="21"/>
        <v>3650.15</v>
      </c>
      <c r="G145" s="11">
        <f t="shared" si="23"/>
        <v>265</v>
      </c>
      <c r="H145" s="11">
        <f t="shared" si="24"/>
        <v>318.81</v>
      </c>
      <c r="I145" s="11">
        <f t="shared" si="22"/>
        <v>1041.8699999999999</v>
      </c>
    </row>
    <row r="146" spans="1:9" x14ac:dyDescent="0.25">
      <c r="A146" s="11" t="s">
        <v>10</v>
      </c>
      <c r="B146" s="11" t="s">
        <v>155</v>
      </c>
      <c r="C146" s="9">
        <v>4340</v>
      </c>
      <c r="D146" s="11">
        <f t="shared" si="19"/>
        <v>4498.18</v>
      </c>
      <c r="E146" s="11">
        <f t="shared" si="20"/>
        <v>5346.21</v>
      </c>
      <c r="F146" s="11">
        <f t="shared" si="21"/>
        <v>3650.15</v>
      </c>
      <c r="G146" s="11">
        <f t="shared" si="23"/>
        <v>440</v>
      </c>
      <c r="H146" s="11">
        <f t="shared" si="24"/>
        <v>318.81</v>
      </c>
      <c r="I146" s="11">
        <f t="shared" si="22"/>
        <v>1041.8699999999999</v>
      </c>
    </row>
    <row r="147" spans="1:9" x14ac:dyDescent="0.25">
      <c r="A147" s="11" t="s">
        <v>10</v>
      </c>
      <c r="B147" s="11" t="s">
        <v>156</v>
      </c>
      <c r="C147" s="9">
        <v>4340</v>
      </c>
      <c r="D147" s="11">
        <f t="shared" si="19"/>
        <v>4498.18</v>
      </c>
      <c r="E147" s="11">
        <f t="shared" si="20"/>
        <v>5346.21</v>
      </c>
      <c r="F147" s="11">
        <f t="shared" si="21"/>
        <v>3650.15</v>
      </c>
      <c r="G147" s="11">
        <f t="shared" si="23"/>
        <v>0</v>
      </c>
      <c r="H147" s="11">
        <f t="shared" si="24"/>
        <v>318.81</v>
      </c>
      <c r="I147" s="11">
        <f t="shared" si="22"/>
        <v>1041.8699999999999</v>
      </c>
    </row>
    <row r="148" spans="1:9" x14ac:dyDescent="0.25">
      <c r="A148" s="11" t="s">
        <v>10</v>
      </c>
      <c r="B148" s="11" t="s">
        <v>157</v>
      </c>
      <c r="C148" s="9">
        <v>3665</v>
      </c>
      <c r="D148" s="11">
        <f t="shared" si="19"/>
        <v>4498.18</v>
      </c>
      <c r="E148" s="11">
        <f t="shared" si="20"/>
        <v>5346.21</v>
      </c>
      <c r="F148" s="11">
        <f t="shared" si="21"/>
        <v>3650.15</v>
      </c>
      <c r="G148" s="11">
        <f t="shared" si="23"/>
        <v>675</v>
      </c>
      <c r="H148" s="11">
        <f t="shared" si="24"/>
        <v>318.81</v>
      </c>
      <c r="I148" s="11">
        <f t="shared" si="22"/>
        <v>1041.8699999999999</v>
      </c>
    </row>
    <row r="149" spans="1:9" x14ac:dyDescent="0.25">
      <c r="A149" s="11" t="s">
        <v>10</v>
      </c>
      <c r="B149" s="11" t="s">
        <v>158</v>
      </c>
      <c r="C149" s="9">
        <v>3775</v>
      </c>
      <c r="D149" s="11">
        <f t="shared" si="19"/>
        <v>4498.18</v>
      </c>
      <c r="E149" s="11">
        <f t="shared" si="20"/>
        <v>5346.21</v>
      </c>
      <c r="F149" s="11">
        <f t="shared" si="21"/>
        <v>3650.15</v>
      </c>
      <c r="G149" s="11">
        <f t="shared" si="23"/>
        <v>110</v>
      </c>
      <c r="H149" s="11">
        <f t="shared" si="24"/>
        <v>318.81</v>
      </c>
      <c r="I149" s="11">
        <f t="shared" si="22"/>
        <v>1041.8699999999999</v>
      </c>
    </row>
    <row r="150" spans="1:9" x14ac:dyDescent="0.25">
      <c r="A150" s="11" t="s">
        <v>10</v>
      </c>
      <c r="B150" s="11" t="s">
        <v>159</v>
      </c>
      <c r="C150" s="9">
        <v>5000</v>
      </c>
      <c r="D150" s="11">
        <f t="shared" si="19"/>
        <v>4498.18</v>
      </c>
      <c r="E150" s="11">
        <f t="shared" si="20"/>
        <v>5346.21</v>
      </c>
      <c r="F150" s="11">
        <f t="shared" si="21"/>
        <v>3650.15</v>
      </c>
      <c r="G150" s="11">
        <f t="shared" si="23"/>
        <v>1225</v>
      </c>
      <c r="H150" s="11">
        <f t="shared" si="24"/>
        <v>318.81</v>
      </c>
      <c r="I150" s="11">
        <f t="shared" si="22"/>
        <v>1041.8699999999999</v>
      </c>
    </row>
    <row r="151" spans="1:9" x14ac:dyDescent="0.25">
      <c r="A151" s="11" t="s">
        <v>10</v>
      </c>
      <c r="B151" s="11" t="s">
        <v>160</v>
      </c>
      <c r="C151" s="9">
        <v>4850</v>
      </c>
      <c r="D151" s="11">
        <f t="shared" si="19"/>
        <v>4498.18</v>
      </c>
      <c r="E151" s="11">
        <f t="shared" si="20"/>
        <v>5346.21</v>
      </c>
      <c r="F151" s="11">
        <f t="shared" si="21"/>
        <v>3650.15</v>
      </c>
      <c r="G151" s="11">
        <f t="shared" si="23"/>
        <v>150</v>
      </c>
      <c r="H151" s="11">
        <f t="shared" si="24"/>
        <v>318.81</v>
      </c>
      <c r="I151" s="11">
        <f t="shared" si="22"/>
        <v>1041.8699999999999</v>
      </c>
    </row>
    <row r="152" spans="1:9" x14ac:dyDescent="0.25">
      <c r="A152" s="11" t="s">
        <v>10</v>
      </c>
      <c r="B152" s="11" t="s">
        <v>161</v>
      </c>
      <c r="C152" s="9">
        <v>4775</v>
      </c>
      <c r="D152" s="11">
        <f t="shared" si="19"/>
        <v>4498.18</v>
      </c>
      <c r="E152" s="11">
        <f t="shared" si="20"/>
        <v>5346.21</v>
      </c>
      <c r="F152" s="11">
        <f t="shared" si="21"/>
        <v>3650.15</v>
      </c>
      <c r="G152" s="11">
        <f t="shared" si="23"/>
        <v>75</v>
      </c>
      <c r="H152" s="11">
        <f t="shared" si="24"/>
        <v>318.81</v>
      </c>
      <c r="I152" s="11">
        <f t="shared" si="22"/>
        <v>1041.8699999999999</v>
      </c>
    </row>
    <row r="153" spans="1:9" x14ac:dyDescent="0.25">
      <c r="A153" s="11" t="s">
        <v>10</v>
      </c>
      <c r="B153" s="11" t="s">
        <v>162</v>
      </c>
      <c r="C153" s="9">
        <v>4500</v>
      </c>
      <c r="D153" s="11">
        <f t="shared" si="19"/>
        <v>4498.18</v>
      </c>
      <c r="E153" s="11">
        <f t="shared" si="20"/>
        <v>5346.21</v>
      </c>
      <c r="F153" s="11">
        <f t="shared" si="21"/>
        <v>3650.15</v>
      </c>
      <c r="G153" s="11">
        <f t="shared" si="23"/>
        <v>275</v>
      </c>
      <c r="H153" s="11">
        <f t="shared" si="24"/>
        <v>318.81</v>
      </c>
      <c r="I153" s="11">
        <f t="shared" si="22"/>
        <v>1041.8699999999999</v>
      </c>
    </row>
    <row r="154" spans="1:9" x14ac:dyDescent="0.25">
      <c r="A154" s="11" t="s">
        <v>10</v>
      </c>
      <c r="B154" s="11" t="s">
        <v>163</v>
      </c>
      <c r="C154" s="9">
        <v>4770</v>
      </c>
      <c r="D154" s="11">
        <f t="shared" si="19"/>
        <v>4498.18</v>
      </c>
      <c r="E154" s="11">
        <f t="shared" si="20"/>
        <v>5346.21</v>
      </c>
      <c r="F154" s="11">
        <f t="shared" si="21"/>
        <v>3650.15</v>
      </c>
      <c r="G154" s="11">
        <f t="shared" si="23"/>
        <v>270</v>
      </c>
      <c r="H154" s="11">
        <f t="shared" si="24"/>
        <v>318.81</v>
      </c>
      <c r="I154" s="11">
        <f t="shared" si="22"/>
        <v>1041.8699999999999</v>
      </c>
    </row>
    <row r="155" spans="1:9" x14ac:dyDescent="0.25">
      <c r="A155" s="11" t="s">
        <v>10</v>
      </c>
      <c r="B155" s="11" t="s">
        <v>164</v>
      </c>
      <c r="C155" s="9">
        <v>4500</v>
      </c>
      <c r="D155" s="11">
        <f t="shared" si="19"/>
        <v>4498.18</v>
      </c>
      <c r="E155" s="11">
        <f t="shared" si="20"/>
        <v>5346.21</v>
      </c>
      <c r="F155" s="11">
        <f t="shared" si="21"/>
        <v>3650.15</v>
      </c>
      <c r="G155" s="11">
        <f t="shared" si="23"/>
        <v>270</v>
      </c>
      <c r="H155" s="11">
        <f t="shared" si="24"/>
        <v>318.81</v>
      </c>
      <c r="I155" s="11">
        <f t="shared" si="22"/>
        <v>1041.8699999999999</v>
      </c>
    </row>
    <row r="156" spans="1:9" x14ac:dyDescent="0.25">
      <c r="A156" s="11" t="s">
        <v>10</v>
      </c>
      <c r="B156" s="11" t="s">
        <v>165</v>
      </c>
      <c r="C156" s="9">
        <v>4770</v>
      </c>
      <c r="D156" s="11">
        <f t="shared" si="19"/>
        <v>4498.18</v>
      </c>
      <c r="E156" s="11">
        <f t="shared" si="20"/>
        <v>5346.21</v>
      </c>
      <c r="F156" s="11">
        <f t="shared" si="21"/>
        <v>3650.15</v>
      </c>
      <c r="G156" s="11">
        <f t="shared" si="23"/>
        <v>270</v>
      </c>
      <c r="H156" s="11">
        <f t="shared" si="24"/>
        <v>318.81</v>
      </c>
      <c r="I156" s="11">
        <f t="shared" si="22"/>
        <v>1041.8699999999999</v>
      </c>
    </row>
    <row r="157" spans="1:9" x14ac:dyDescent="0.25">
      <c r="A157" s="11" t="s">
        <v>10</v>
      </c>
      <c r="B157" s="11" t="s">
        <v>166</v>
      </c>
      <c r="C157" s="9">
        <v>5150</v>
      </c>
      <c r="D157" s="11">
        <f t="shared" si="19"/>
        <v>4498.18</v>
      </c>
      <c r="E157" s="11">
        <f t="shared" si="20"/>
        <v>5346.21</v>
      </c>
      <c r="F157" s="11">
        <f t="shared" si="21"/>
        <v>3650.15</v>
      </c>
      <c r="G157" s="11">
        <f t="shared" si="23"/>
        <v>380</v>
      </c>
      <c r="H157" s="11">
        <f t="shared" si="24"/>
        <v>318.81</v>
      </c>
      <c r="I157" s="11">
        <f t="shared" si="22"/>
        <v>1041.8699999999999</v>
      </c>
    </row>
    <row r="158" spans="1:9" x14ac:dyDescent="0.25">
      <c r="A158" s="11" t="s">
        <v>10</v>
      </c>
      <c r="B158" s="11" t="s">
        <v>167</v>
      </c>
      <c r="C158" s="9">
        <v>4850</v>
      </c>
      <c r="D158" s="11">
        <f t="shared" si="19"/>
        <v>4498.18</v>
      </c>
      <c r="E158" s="11">
        <f t="shared" si="20"/>
        <v>5346.21</v>
      </c>
      <c r="F158" s="11">
        <f t="shared" si="21"/>
        <v>3650.15</v>
      </c>
      <c r="G158" s="11">
        <f t="shared" si="23"/>
        <v>300</v>
      </c>
      <c r="H158" s="11">
        <f t="shared" si="24"/>
        <v>318.81</v>
      </c>
      <c r="I158" s="11">
        <f t="shared" si="22"/>
        <v>1041.8699999999999</v>
      </c>
    </row>
    <row r="159" spans="1:9" x14ac:dyDescent="0.25">
      <c r="A159" s="11" t="s">
        <v>10</v>
      </c>
      <c r="B159" s="11" t="s">
        <v>168</v>
      </c>
      <c r="C159" s="9">
        <v>4700</v>
      </c>
      <c r="D159" s="11">
        <f t="shared" si="19"/>
        <v>4498.18</v>
      </c>
      <c r="E159" s="11">
        <f t="shared" si="20"/>
        <v>5346.21</v>
      </c>
      <c r="F159" s="11">
        <f t="shared" si="21"/>
        <v>3650.15</v>
      </c>
      <c r="G159" s="11">
        <f t="shared" si="23"/>
        <v>150</v>
      </c>
      <c r="H159" s="11">
        <f t="shared" si="24"/>
        <v>318.81</v>
      </c>
      <c r="I159" s="11">
        <f t="shared" si="22"/>
        <v>1041.8699999999999</v>
      </c>
    </row>
    <row r="160" spans="1:9" x14ac:dyDescent="0.25">
      <c r="A160" s="11" t="s">
        <v>10</v>
      </c>
      <c r="B160" s="11" t="s">
        <v>169</v>
      </c>
      <c r="C160" s="9">
        <v>5000</v>
      </c>
      <c r="D160" s="11">
        <f t="shared" si="19"/>
        <v>4498.18</v>
      </c>
      <c r="E160" s="11">
        <f t="shared" si="20"/>
        <v>5346.21</v>
      </c>
      <c r="F160" s="11">
        <f t="shared" si="21"/>
        <v>3650.15</v>
      </c>
      <c r="G160" s="11">
        <f t="shared" si="23"/>
        <v>300</v>
      </c>
      <c r="H160" s="11">
        <f t="shared" si="24"/>
        <v>318.81</v>
      </c>
      <c r="I160" s="11">
        <f t="shared" si="22"/>
        <v>1041.8699999999999</v>
      </c>
    </row>
    <row r="161" spans="1:9" x14ac:dyDescent="0.25">
      <c r="A161" s="11" t="s">
        <v>10</v>
      </c>
      <c r="B161" s="11" t="s">
        <v>170</v>
      </c>
      <c r="C161" s="9">
        <v>5000</v>
      </c>
      <c r="D161" s="11">
        <f t="shared" si="19"/>
        <v>4498.18</v>
      </c>
      <c r="E161" s="11">
        <f t="shared" si="20"/>
        <v>5346.21</v>
      </c>
      <c r="F161" s="11">
        <f t="shared" si="21"/>
        <v>3650.15</v>
      </c>
      <c r="G161" s="11">
        <f t="shared" si="23"/>
        <v>0</v>
      </c>
      <c r="H161" s="11">
        <f t="shared" si="24"/>
        <v>318.81</v>
      </c>
      <c r="I161" s="11">
        <f t="shared" si="22"/>
        <v>1041.8699999999999</v>
      </c>
    </row>
    <row r="162" spans="1:9" x14ac:dyDescent="0.25">
      <c r="A162" s="11" t="s">
        <v>10</v>
      </c>
      <c r="B162" s="11" t="s">
        <v>171</v>
      </c>
      <c r="C162" s="9">
        <v>5000</v>
      </c>
      <c r="D162" s="11">
        <f t="shared" si="19"/>
        <v>4498.18</v>
      </c>
      <c r="E162" s="11">
        <f t="shared" si="20"/>
        <v>5346.21</v>
      </c>
      <c r="F162" s="11">
        <f t="shared" si="21"/>
        <v>3650.15</v>
      </c>
      <c r="G162" s="11">
        <f t="shared" si="23"/>
        <v>0</v>
      </c>
      <c r="H162" s="11">
        <f t="shared" si="24"/>
        <v>318.81</v>
      </c>
      <c r="I162" s="11">
        <f t="shared" si="22"/>
        <v>1041.8699999999999</v>
      </c>
    </row>
    <row r="163" spans="1:9" x14ac:dyDescent="0.25">
      <c r="A163" s="11" t="s">
        <v>10</v>
      </c>
      <c r="B163" s="11" t="s">
        <v>172</v>
      </c>
      <c r="C163" s="9">
        <v>4700</v>
      </c>
      <c r="D163" s="11">
        <f t="shared" si="19"/>
        <v>4498.18</v>
      </c>
      <c r="E163" s="11">
        <f t="shared" si="20"/>
        <v>5346.21</v>
      </c>
      <c r="F163" s="11">
        <f t="shared" si="21"/>
        <v>3650.15</v>
      </c>
      <c r="G163" s="11">
        <f t="shared" si="23"/>
        <v>300</v>
      </c>
      <c r="H163" s="11">
        <f t="shared" si="24"/>
        <v>318.81</v>
      </c>
      <c r="I163" s="11">
        <f t="shared" si="22"/>
        <v>1041.8699999999999</v>
      </c>
    </row>
    <row r="164" spans="1:9" x14ac:dyDescent="0.25">
      <c r="A164" s="11" t="s">
        <v>10</v>
      </c>
      <c r="B164" s="11" t="s">
        <v>173</v>
      </c>
      <c r="C164" s="9">
        <v>4500</v>
      </c>
      <c r="D164" s="11">
        <f t="shared" si="19"/>
        <v>4498.18</v>
      </c>
      <c r="E164" s="11">
        <f t="shared" si="20"/>
        <v>5346.21</v>
      </c>
      <c r="F164" s="11">
        <f t="shared" si="21"/>
        <v>3650.15</v>
      </c>
      <c r="G164" s="11">
        <f t="shared" si="23"/>
        <v>200</v>
      </c>
      <c r="H164" s="11">
        <f t="shared" si="24"/>
        <v>318.81</v>
      </c>
      <c r="I164" s="11">
        <f t="shared" si="22"/>
        <v>1041.8699999999999</v>
      </c>
    </row>
    <row r="165" spans="1:9" x14ac:dyDescent="0.25">
      <c r="A165" s="11" t="s">
        <v>10</v>
      </c>
      <c r="B165" s="11" t="s">
        <v>174</v>
      </c>
      <c r="C165" s="9">
        <v>4840</v>
      </c>
      <c r="D165" s="11">
        <f t="shared" si="19"/>
        <v>4498.18</v>
      </c>
      <c r="E165" s="11">
        <f t="shared" si="20"/>
        <v>5346.21</v>
      </c>
      <c r="F165" s="11">
        <f t="shared" si="21"/>
        <v>3650.15</v>
      </c>
      <c r="G165" s="11">
        <f t="shared" si="23"/>
        <v>340</v>
      </c>
      <c r="H165" s="11">
        <f t="shared" si="24"/>
        <v>318.81</v>
      </c>
      <c r="I165" s="11">
        <f t="shared" si="22"/>
        <v>1041.8699999999999</v>
      </c>
    </row>
    <row r="166" spans="1:9" x14ac:dyDescent="0.25">
      <c r="A166" s="11" t="s">
        <v>10</v>
      </c>
      <c r="B166" s="11" t="s">
        <v>175</v>
      </c>
      <c r="C166" s="9">
        <v>5075</v>
      </c>
      <c r="D166" s="11">
        <f t="shared" si="19"/>
        <v>4498.18</v>
      </c>
      <c r="E166" s="11">
        <f t="shared" si="20"/>
        <v>5346.21</v>
      </c>
      <c r="F166" s="11">
        <f t="shared" si="21"/>
        <v>3650.15</v>
      </c>
      <c r="G166" s="11">
        <f t="shared" si="23"/>
        <v>235</v>
      </c>
      <c r="H166" s="11">
        <f t="shared" si="24"/>
        <v>318.81</v>
      </c>
      <c r="I166" s="11">
        <f t="shared" si="22"/>
        <v>1041.8699999999999</v>
      </c>
    </row>
    <row r="167" spans="1:9" x14ac:dyDescent="0.25">
      <c r="A167" s="11" t="s">
        <v>10</v>
      </c>
      <c r="B167" s="11" t="s">
        <v>176</v>
      </c>
      <c r="C167" s="9">
        <v>5000</v>
      </c>
      <c r="D167" s="11">
        <f t="shared" si="19"/>
        <v>4498.18</v>
      </c>
      <c r="E167" s="11">
        <f t="shared" si="20"/>
        <v>5346.21</v>
      </c>
      <c r="F167" s="11">
        <f t="shared" si="21"/>
        <v>3650.15</v>
      </c>
      <c r="G167" s="11">
        <f t="shared" si="23"/>
        <v>75</v>
      </c>
      <c r="H167" s="11">
        <f t="shared" si="24"/>
        <v>318.81</v>
      </c>
      <c r="I167" s="11">
        <f t="shared" si="22"/>
        <v>1041.8699999999999</v>
      </c>
    </row>
    <row r="168" spans="1:9" x14ac:dyDescent="0.25">
      <c r="A168" s="11" t="s">
        <v>10</v>
      </c>
      <c r="B168" s="11" t="s">
        <v>177</v>
      </c>
      <c r="C168" s="9">
        <v>4770</v>
      </c>
      <c r="D168" s="11">
        <f t="shared" si="19"/>
        <v>4498.18</v>
      </c>
      <c r="E168" s="11">
        <f t="shared" si="20"/>
        <v>5346.21</v>
      </c>
      <c r="F168" s="11">
        <f t="shared" si="21"/>
        <v>3650.15</v>
      </c>
      <c r="G168" s="11">
        <f t="shared" si="23"/>
        <v>230</v>
      </c>
      <c r="H168" s="11">
        <f t="shared" si="24"/>
        <v>318.81</v>
      </c>
      <c r="I168" s="11">
        <f t="shared" si="22"/>
        <v>1041.8699999999999</v>
      </c>
    </row>
    <row r="169" spans="1:9" x14ac:dyDescent="0.25">
      <c r="A169" s="11" t="s">
        <v>10</v>
      </c>
      <c r="B169" s="11" t="s">
        <v>178</v>
      </c>
      <c r="C169" s="9">
        <v>4570</v>
      </c>
      <c r="D169" s="11">
        <f t="shared" si="19"/>
        <v>4498.18</v>
      </c>
      <c r="E169" s="11">
        <f t="shared" si="20"/>
        <v>5346.21</v>
      </c>
      <c r="F169" s="11">
        <f t="shared" si="21"/>
        <v>3650.15</v>
      </c>
      <c r="G169" s="11">
        <f t="shared" si="23"/>
        <v>200</v>
      </c>
      <c r="H169" s="11">
        <f t="shared" si="24"/>
        <v>318.81</v>
      </c>
      <c r="I169" s="11">
        <f t="shared" si="22"/>
        <v>1041.8699999999999</v>
      </c>
    </row>
    <row r="170" spans="1:9" x14ac:dyDescent="0.25">
      <c r="A170" s="11" t="s">
        <v>10</v>
      </c>
      <c r="B170" s="11" t="s">
        <v>179</v>
      </c>
      <c r="C170" s="9">
        <v>4925</v>
      </c>
      <c r="D170" s="11">
        <f t="shared" si="19"/>
        <v>4498.18</v>
      </c>
      <c r="E170" s="11">
        <f t="shared" si="20"/>
        <v>5346.21</v>
      </c>
      <c r="F170" s="11">
        <f t="shared" si="21"/>
        <v>3650.15</v>
      </c>
      <c r="G170" s="11">
        <f t="shared" si="23"/>
        <v>355</v>
      </c>
      <c r="H170" s="11">
        <f t="shared" si="24"/>
        <v>318.81</v>
      </c>
      <c r="I170" s="11">
        <f t="shared" si="22"/>
        <v>1041.8699999999999</v>
      </c>
    </row>
    <row r="171" spans="1:9" x14ac:dyDescent="0.25">
      <c r="A171" s="11" t="s">
        <v>10</v>
      </c>
      <c r="B171" s="11" t="s">
        <v>180</v>
      </c>
      <c r="C171" s="9">
        <v>4775</v>
      </c>
      <c r="D171" s="11">
        <f t="shared" si="19"/>
        <v>4498.18</v>
      </c>
      <c r="E171" s="11">
        <f t="shared" si="20"/>
        <v>5346.21</v>
      </c>
      <c r="F171" s="11">
        <f t="shared" si="21"/>
        <v>3650.15</v>
      </c>
      <c r="G171" s="11">
        <f t="shared" si="23"/>
        <v>150</v>
      </c>
      <c r="H171" s="11">
        <f t="shared" si="24"/>
        <v>318.81</v>
      </c>
      <c r="I171" s="11">
        <f t="shared" si="22"/>
        <v>1041.8699999999999</v>
      </c>
    </row>
    <row r="172" spans="1:9" x14ac:dyDescent="0.25">
      <c r="A172" s="11" t="s">
        <v>10</v>
      </c>
      <c r="B172" s="11" t="s">
        <v>181</v>
      </c>
      <c r="C172" s="9">
        <v>5075</v>
      </c>
      <c r="D172" s="11">
        <f t="shared" si="19"/>
        <v>4498.18</v>
      </c>
      <c r="E172" s="11">
        <f t="shared" si="20"/>
        <v>5346.21</v>
      </c>
      <c r="F172" s="11">
        <f t="shared" si="21"/>
        <v>3650.15</v>
      </c>
      <c r="G172" s="11">
        <f t="shared" si="23"/>
        <v>300</v>
      </c>
      <c r="H172" s="11">
        <f t="shared" si="24"/>
        <v>318.81</v>
      </c>
      <c r="I172" s="11">
        <f t="shared" si="22"/>
        <v>1041.8699999999999</v>
      </c>
    </row>
    <row r="173" spans="1:9" x14ac:dyDescent="0.25">
      <c r="A173" s="11" t="s">
        <v>10</v>
      </c>
      <c r="B173" s="11" t="s">
        <v>182</v>
      </c>
      <c r="C173" s="9">
        <v>4925</v>
      </c>
      <c r="D173" s="11">
        <f t="shared" si="19"/>
        <v>4498.18</v>
      </c>
      <c r="E173" s="11">
        <f t="shared" si="20"/>
        <v>5346.21</v>
      </c>
      <c r="F173" s="11">
        <f t="shared" si="21"/>
        <v>3650.15</v>
      </c>
      <c r="G173" s="11">
        <f t="shared" si="23"/>
        <v>150</v>
      </c>
      <c r="H173" s="11">
        <f t="shared" si="24"/>
        <v>318.81</v>
      </c>
      <c r="I173" s="11">
        <f t="shared" si="22"/>
        <v>1041.8699999999999</v>
      </c>
    </row>
    <row r="174" spans="1:9" x14ac:dyDescent="0.25">
      <c r="A174" s="11" t="s">
        <v>10</v>
      </c>
      <c r="B174" s="11" t="s">
        <v>183</v>
      </c>
      <c r="C174" s="9">
        <v>5075</v>
      </c>
      <c r="D174" s="11">
        <f t="shared" si="19"/>
        <v>4498.18</v>
      </c>
      <c r="E174" s="11">
        <f t="shared" si="20"/>
        <v>5346.21</v>
      </c>
      <c r="F174" s="11">
        <f t="shared" si="21"/>
        <v>3650.15</v>
      </c>
      <c r="G174" s="11">
        <f t="shared" si="23"/>
        <v>150</v>
      </c>
      <c r="H174" s="11">
        <f t="shared" si="24"/>
        <v>318.81</v>
      </c>
      <c r="I174" s="11">
        <f t="shared" si="22"/>
        <v>1041.8699999999999</v>
      </c>
    </row>
    <row r="175" spans="1:9" x14ac:dyDescent="0.25">
      <c r="A175" s="11" t="s">
        <v>10</v>
      </c>
      <c r="B175" s="11" t="s">
        <v>184</v>
      </c>
      <c r="C175" s="9">
        <v>4925</v>
      </c>
      <c r="D175" s="11">
        <f t="shared" si="19"/>
        <v>4498.18</v>
      </c>
      <c r="E175" s="11">
        <f t="shared" si="20"/>
        <v>5346.21</v>
      </c>
      <c r="F175" s="11">
        <f t="shared" si="21"/>
        <v>3650.15</v>
      </c>
      <c r="G175" s="11">
        <f t="shared" si="23"/>
        <v>150</v>
      </c>
      <c r="H175" s="11">
        <f t="shared" si="24"/>
        <v>318.81</v>
      </c>
      <c r="I175" s="11">
        <f t="shared" si="22"/>
        <v>1041.8699999999999</v>
      </c>
    </row>
    <row r="176" spans="1:9" x14ac:dyDescent="0.25">
      <c r="A176" s="11" t="s">
        <v>10</v>
      </c>
      <c r="B176" s="11" t="s">
        <v>185</v>
      </c>
      <c r="C176" s="9">
        <v>5250</v>
      </c>
      <c r="D176" s="11">
        <f t="shared" si="19"/>
        <v>4498.18</v>
      </c>
      <c r="E176" s="11">
        <f t="shared" si="20"/>
        <v>5346.21</v>
      </c>
      <c r="F176" s="11">
        <f t="shared" si="21"/>
        <v>3650.15</v>
      </c>
      <c r="G176" s="11">
        <f t="shared" si="23"/>
        <v>325</v>
      </c>
      <c r="H176" s="11">
        <f t="shared" si="24"/>
        <v>318.81</v>
      </c>
      <c r="I176" s="11">
        <f t="shared" si="22"/>
        <v>1041.8699999999999</v>
      </c>
    </row>
    <row r="177" spans="1:9" x14ac:dyDescent="0.25">
      <c r="A177" s="11" t="s">
        <v>10</v>
      </c>
      <c r="B177" s="11" t="s">
        <v>186</v>
      </c>
      <c r="C177" s="9">
        <v>4915</v>
      </c>
      <c r="D177" s="11">
        <f t="shared" si="19"/>
        <v>4498.18</v>
      </c>
      <c r="E177" s="11">
        <f t="shared" si="20"/>
        <v>5346.21</v>
      </c>
      <c r="F177" s="11">
        <f t="shared" si="21"/>
        <v>3650.15</v>
      </c>
      <c r="G177" s="11">
        <f t="shared" si="23"/>
        <v>335</v>
      </c>
      <c r="H177" s="11">
        <f t="shared" si="24"/>
        <v>318.81</v>
      </c>
      <c r="I177" s="11">
        <f t="shared" si="22"/>
        <v>1041.8699999999999</v>
      </c>
    </row>
    <row r="178" spans="1:9" x14ac:dyDescent="0.25">
      <c r="A178" s="11" t="s">
        <v>10</v>
      </c>
      <c r="B178" s="11" t="s">
        <v>187</v>
      </c>
      <c r="C178" s="9">
        <v>5600</v>
      </c>
      <c r="D178" s="11">
        <f t="shared" si="19"/>
        <v>4498.18</v>
      </c>
      <c r="E178" s="11">
        <f t="shared" si="20"/>
        <v>5346.21</v>
      </c>
      <c r="F178" s="11">
        <f t="shared" si="21"/>
        <v>3650.15</v>
      </c>
      <c r="G178" s="11">
        <f t="shared" si="23"/>
        <v>685</v>
      </c>
      <c r="H178" s="11">
        <f t="shared" si="24"/>
        <v>318.81</v>
      </c>
      <c r="I178" s="11">
        <f t="shared" si="22"/>
        <v>1041.8699999999999</v>
      </c>
    </row>
    <row r="179" spans="1:9" x14ac:dyDescent="0.25">
      <c r="A179" s="11" t="s">
        <v>10</v>
      </c>
      <c r="B179" s="11" t="s">
        <v>188</v>
      </c>
      <c r="C179" s="9">
        <v>5075</v>
      </c>
      <c r="D179" s="11">
        <f t="shared" si="19"/>
        <v>4498.18</v>
      </c>
      <c r="E179" s="11">
        <f t="shared" si="20"/>
        <v>5346.21</v>
      </c>
      <c r="F179" s="11">
        <f t="shared" si="21"/>
        <v>3650.15</v>
      </c>
      <c r="G179" s="11">
        <f t="shared" si="23"/>
        <v>525</v>
      </c>
      <c r="H179" s="11">
        <f t="shared" si="24"/>
        <v>318.81</v>
      </c>
      <c r="I179" s="11">
        <f t="shared" si="22"/>
        <v>1041.8699999999999</v>
      </c>
    </row>
    <row r="180" spans="1:9" x14ac:dyDescent="0.25">
      <c r="A180" s="11" t="s">
        <v>10</v>
      </c>
      <c r="B180" s="11" t="s">
        <v>189</v>
      </c>
      <c r="C180" s="9">
        <v>4450</v>
      </c>
      <c r="D180" s="11">
        <f t="shared" si="19"/>
        <v>4498.18</v>
      </c>
      <c r="E180" s="11">
        <f t="shared" si="20"/>
        <v>5346.21</v>
      </c>
      <c r="F180" s="11">
        <f t="shared" si="21"/>
        <v>3650.15</v>
      </c>
      <c r="G180" s="11">
        <f t="shared" si="23"/>
        <v>625</v>
      </c>
      <c r="H180" s="11">
        <f t="shared" si="24"/>
        <v>318.81</v>
      </c>
      <c r="I180" s="11">
        <f t="shared" si="22"/>
        <v>1041.8699999999999</v>
      </c>
    </row>
    <row r="181" spans="1:9" x14ac:dyDescent="0.25">
      <c r="A181" s="11" t="s">
        <v>10</v>
      </c>
      <c r="B181" s="11" t="s">
        <v>190</v>
      </c>
      <c r="C181" s="9">
        <v>4215</v>
      </c>
      <c r="D181" s="11">
        <f t="shared" si="19"/>
        <v>4498.18</v>
      </c>
      <c r="E181" s="11">
        <f t="shared" si="20"/>
        <v>5346.21</v>
      </c>
      <c r="F181" s="11">
        <f t="shared" si="21"/>
        <v>3650.15</v>
      </c>
      <c r="G181" s="11">
        <f t="shared" si="23"/>
        <v>235</v>
      </c>
      <c r="H181" s="11">
        <f t="shared" si="24"/>
        <v>318.81</v>
      </c>
      <c r="I181" s="11">
        <f t="shared" si="22"/>
        <v>1041.8699999999999</v>
      </c>
    </row>
    <row r="182" spans="1:9" x14ac:dyDescent="0.25">
      <c r="A182" s="11" t="s">
        <v>10</v>
      </c>
      <c r="B182" s="11" t="s">
        <v>191</v>
      </c>
      <c r="C182" s="9">
        <v>4325</v>
      </c>
      <c r="D182" s="11">
        <f t="shared" si="19"/>
        <v>4498.18</v>
      </c>
      <c r="E182" s="11">
        <f t="shared" si="20"/>
        <v>5346.21</v>
      </c>
      <c r="F182" s="11">
        <f t="shared" si="21"/>
        <v>3650.15</v>
      </c>
      <c r="G182" s="11">
        <f t="shared" si="23"/>
        <v>110</v>
      </c>
      <c r="H182" s="11">
        <f t="shared" si="24"/>
        <v>318.81</v>
      </c>
      <c r="I182" s="11">
        <f t="shared" si="22"/>
        <v>1041.8699999999999</v>
      </c>
    </row>
    <row r="183" spans="1:9" x14ac:dyDescent="0.25">
      <c r="A183" s="11" t="s">
        <v>10</v>
      </c>
      <c r="B183" s="11" t="s">
        <v>192</v>
      </c>
      <c r="C183" s="9">
        <v>4665</v>
      </c>
      <c r="D183" s="11">
        <f t="shared" si="19"/>
        <v>4498.18</v>
      </c>
      <c r="E183" s="11">
        <f t="shared" si="20"/>
        <v>5346.21</v>
      </c>
      <c r="F183" s="11">
        <f t="shared" si="21"/>
        <v>3650.15</v>
      </c>
      <c r="G183" s="11">
        <f t="shared" si="23"/>
        <v>340</v>
      </c>
      <c r="H183" s="11">
        <f t="shared" si="24"/>
        <v>318.81</v>
      </c>
      <c r="I183" s="11">
        <f t="shared" si="22"/>
        <v>1041.8699999999999</v>
      </c>
    </row>
    <row r="184" spans="1:9" x14ac:dyDescent="0.25">
      <c r="A184" s="11" t="s">
        <v>10</v>
      </c>
      <c r="B184" s="11" t="s">
        <v>193</v>
      </c>
      <c r="C184" s="9">
        <v>4615</v>
      </c>
      <c r="D184" s="11">
        <f t="shared" si="19"/>
        <v>4498.18</v>
      </c>
      <c r="E184" s="11">
        <f t="shared" si="20"/>
        <v>5346.21</v>
      </c>
      <c r="F184" s="11">
        <f t="shared" si="21"/>
        <v>3650.15</v>
      </c>
      <c r="G184" s="11">
        <f t="shared" si="23"/>
        <v>50</v>
      </c>
      <c r="H184" s="11">
        <f t="shared" si="24"/>
        <v>318.81</v>
      </c>
      <c r="I184" s="11">
        <f t="shared" si="22"/>
        <v>1041.8699999999999</v>
      </c>
    </row>
    <row r="185" spans="1:9" x14ac:dyDescent="0.25">
      <c r="A185" s="11" t="s">
        <v>10</v>
      </c>
      <c r="B185" s="11" t="s">
        <v>194</v>
      </c>
      <c r="C185" s="9">
        <v>4615</v>
      </c>
      <c r="D185" s="11">
        <f t="shared" si="19"/>
        <v>4498.18</v>
      </c>
      <c r="E185" s="11">
        <f t="shared" si="20"/>
        <v>5346.21</v>
      </c>
      <c r="F185" s="11">
        <f t="shared" si="21"/>
        <v>3650.15</v>
      </c>
      <c r="G185" s="11">
        <f t="shared" si="23"/>
        <v>0</v>
      </c>
      <c r="H185" s="11">
        <f t="shared" si="24"/>
        <v>318.81</v>
      </c>
      <c r="I185" s="11">
        <f t="shared" si="22"/>
        <v>1041.8699999999999</v>
      </c>
    </row>
    <row r="186" spans="1:9" x14ac:dyDescent="0.25">
      <c r="A186" s="11" t="s">
        <v>10</v>
      </c>
      <c r="B186" s="11" t="s">
        <v>195</v>
      </c>
      <c r="C186" s="9">
        <v>4500</v>
      </c>
      <c r="D186" s="11">
        <f t="shared" si="19"/>
        <v>4498.18</v>
      </c>
      <c r="E186" s="11">
        <f t="shared" si="20"/>
        <v>5346.21</v>
      </c>
      <c r="F186" s="11">
        <f t="shared" si="21"/>
        <v>3650.15</v>
      </c>
      <c r="G186" s="11">
        <f t="shared" si="23"/>
        <v>115</v>
      </c>
      <c r="H186" s="11">
        <f t="shared" si="24"/>
        <v>318.81</v>
      </c>
      <c r="I186" s="11">
        <f t="shared" si="22"/>
        <v>1041.8699999999999</v>
      </c>
    </row>
    <row r="187" spans="1:9" x14ac:dyDescent="0.25">
      <c r="A187" s="11" t="s">
        <v>10</v>
      </c>
      <c r="B187" s="11" t="s">
        <v>196</v>
      </c>
      <c r="C187" s="9">
        <v>4765</v>
      </c>
      <c r="D187" s="11">
        <f t="shared" si="19"/>
        <v>4498.18</v>
      </c>
      <c r="E187" s="11">
        <f t="shared" si="20"/>
        <v>5346.21</v>
      </c>
      <c r="F187" s="11">
        <f t="shared" si="21"/>
        <v>3650.15</v>
      </c>
      <c r="G187" s="11">
        <f t="shared" si="23"/>
        <v>265</v>
      </c>
      <c r="H187" s="11">
        <f t="shared" si="24"/>
        <v>318.81</v>
      </c>
      <c r="I187" s="11">
        <f t="shared" si="22"/>
        <v>1041.8699999999999</v>
      </c>
    </row>
    <row r="188" spans="1:9" x14ac:dyDescent="0.25">
      <c r="A188" s="11" t="s">
        <v>10</v>
      </c>
      <c r="B188" s="11" t="s">
        <v>197</v>
      </c>
      <c r="C188" s="9">
        <v>4500</v>
      </c>
      <c r="D188" s="11">
        <f t="shared" si="19"/>
        <v>4498.18</v>
      </c>
      <c r="E188" s="11">
        <f t="shared" si="20"/>
        <v>5346.21</v>
      </c>
      <c r="F188" s="11">
        <f t="shared" si="21"/>
        <v>3650.15</v>
      </c>
      <c r="G188" s="11">
        <f t="shared" si="23"/>
        <v>265</v>
      </c>
      <c r="H188" s="11">
        <f t="shared" si="24"/>
        <v>318.81</v>
      </c>
      <c r="I188" s="11">
        <f t="shared" si="22"/>
        <v>1041.8699999999999</v>
      </c>
    </row>
    <row r="189" spans="1:9" x14ac:dyDescent="0.25">
      <c r="A189" s="11" t="s">
        <v>10</v>
      </c>
      <c r="B189" s="11" t="s">
        <v>198</v>
      </c>
      <c r="C189" s="9">
        <v>4500</v>
      </c>
      <c r="D189" s="11">
        <f t="shared" si="19"/>
        <v>4498.18</v>
      </c>
      <c r="E189" s="11">
        <f t="shared" si="20"/>
        <v>5346.21</v>
      </c>
      <c r="F189" s="11">
        <f t="shared" si="21"/>
        <v>3650.15</v>
      </c>
      <c r="G189" s="11">
        <f t="shared" si="23"/>
        <v>0</v>
      </c>
      <c r="H189" s="11">
        <f t="shared" si="24"/>
        <v>318.81</v>
      </c>
      <c r="I189" s="11">
        <f t="shared" si="22"/>
        <v>1041.8699999999999</v>
      </c>
    </row>
    <row r="190" spans="1:9" x14ac:dyDescent="0.25">
      <c r="A190" s="11" t="s">
        <v>10</v>
      </c>
      <c r="B190" s="11" t="s">
        <v>199</v>
      </c>
      <c r="C190" s="9">
        <v>4850</v>
      </c>
      <c r="D190" s="11">
        <f t="shared" si="19"/>
        <v>4498.18</v>
      </c>
      <c r="E190" s="11">
        <f t="shared" si="20"/>
        <v>5346.21</v>
      </c>
      <c r="F190" s="11">
        <f t="shared" si="21"/>
        <v>3650.15</v>
      </c>
      <c r="G190" s="11">
        <f t="shared" si="23"/>
        <v>350</v>
      </c>
      <c r="H190" s="11">
        <f t="shared" si="24"/>
        <v>318.81</v>
      </c>
      <c r="I190" s="11">
        <f t="shared" si="22"/>
        <v>1041.8699999999999</v>
      </c>
    </row>
    <row r="191" spans="1:9" x14ac:dyDescent="0.25">
      <c r="A191" s="11" t="s">
        <v>10</v>
      </c>
      <c r="B191" s="11" t="s">
        <v>200</v>
      </c>
      <c r="C191" s="9">
        <v>4930</v>
      </c>
      <c r="D191" s="11">
        <f t="shared" si="19"/>
        <v>4498.18</v>
      </c>
      <c r="E191" s="11">
        <f t="shared" si="20"/>
        <v>5346.21</v>
      </c>
      <c r="F191" s="11">
        <f t="shared" si="21"/>
        <v>3650.15</v>
      </c>
      <c r="G191" s="11">
        <f t="shared" si="23"/>
        <v>80</v>
      </c>
      <c r="H191" s="11">
        <f t="shared" si="24"/>
        <v>318.81</v>
      </c>
      <c r="I191" s="11">
        <f t="shared" si="22"/>
        <v>1041.8699999999999</v>
      </c>
    </row>
    <row r="192" spans="1:9" x14ac:dyDescent="0.25">
      <c r="A192" s="11" t="s">
        <v>10</v>
      </c>
      <c r="B192" s="11" t="s">
        <v>201</v>
      </c>
      <c r="C192" s="9">
        <v>4700</v>
      </c>
      <c r="D192" s="11">
        <f t="shared" si="19"/>
        <v>4498.18</v>
      </c>
      <c r="E192" s="11">
        <f t="shared" si="20"/>
        <v>5346.21</v>
      </c>
      <c r="F192" s="11">
        <f t="shared" si="21"/>
        <v>3650.15</v>
      </c>
      <c r="G192" s="11">
        <f t="shared" si="23"/>
        <v>230</v>
      </c>
      <c r="H192" s="11">
        <f t="shared" si="24"/>
        <v>318.81</v>
      </c>
      <c r="I192" s="11">
        <f t="shared" si="22"/>
        <v>1041.8699999999999</v>
      </c>
    </row>
    <row r="193" spans="1:9" x14ac:dyDescent="0.25">
      <c r="A193" s="11" t="s">
        <v>10</v>
      </c>
      <c r="B193" s="11" t="s">
        <v>202</v>
      </c>
      <c r="C193" s="9">
        <v>4890</v>
      </c>
      <c r="D193" s="11">
        <f t="shared" si="19"/>
        <v>4498.18</v>
      </c>
      <c r="E193" s="11">
        <f t="shared" si="20"/>
        <v>5346.21</v>
      </c>
      <c r="F193" s="11">
        <f t="shared" si="21"/>
        <v>3650.15</v>
      </c>
      <c r="G193" s="11">
        <f t="shared" si="23"/>
        <v>190</v>
      </c>
      <c r="H193" s="11">
        <f t="shared" si="24"/>
        <v>318.81</v>
      </c>
      <c r="I193" s="11">
        <f t="shared" si="22"/>
        <v>1041.8699999999999</v>
      </c>
    </row>
    <row r="194" spans="1:9" x14ac:dyDescent="0.25">
      <c r="A194" s="11" t="s">
        <v>10</v>
      </c>
      <c r="B194" s="11" t="s">
        <v>203</v>
      </c>
      <c r="C194" s="9">
        <v>4625</v>
      </c>
      <c r="D194" s="11">
        <f t="shared" ref="D194:D205" si="25">ROUND(AVERAGE($C$2:$C$205),2)</f>
        <v>4498.18</v>
      </c>
      <c r="E194" s="11">
        <f t="shared" ref="E194:E205" si="26">ROUND(D194+(2.66*H194),2)</f>
        <v>5346.21</v>
      </c>
      <c r="F194" s="11">
        <f t="shared" ref="F194:F205" si="27">ROUND(D194-(2.66*H194),2)</f>
        <v>3650.15</v>
      </c>
      <c r="G194" s="11">
        <f t="shared" si="23"/>
        <v>265</v>
      </c>
      <c r="H194" s="11">
        <f t="shared" si="24"/>
        <v>318.81</v>
      </c>
      <c r="I194" s="11">
        <f t="shared" ref="I194:I205" si="28">ROUND(3.268*H194,2)</f>
        <v>1041.8699999999999</v>
      </c>
    </row>
    <row r="195" spans="1:9" x14ac:dyDescent="0.25">
      <c r="A195" s="11" t="s">
        <v>10</v>
      </c>
      <c r="B195" s="11" t="s">
        <v>204</v>
      </c>
      <c r="C195" s="9">
        <v>4425</v>
      </c>
      <c r="D195" s="11">
        <f t="shared" si="25"/>
        <v>4498.18</v>
      </c>
      <c r="E195" s="11">
        <f t="shared" si="26"/>
        <v>5346.21</v>
      </c>
      <c r="F195" s="11">
        <f t="shared" si="27"/>
        <v>3650.15</v>
      </c>
      <c r="G195" s="11">
        <f t="shared" ref="G195:G205" si="29">ABS(C194-C195)</f>
        <v>200</v>
      </c>
      <c r="H195" s="11">
        <f t="shared" ref="H195:H205" si="30">ROUND(AVERAGE($G$3:$G$205),2)</f>
        <v>318.81</v>
      </c>
      <c r="I195" s="11">
        <f t="shared" si="28"/>
        <v>1041.8699999999999</v>
      </c>
    </row>
    <row r="196" spans="1:9" x14ac:dyDescent="0.25">
      <c r="A196" s="11" t="s">
        <v>10</v>
      </c>
      <c r="B196" s="11" t="s">
        <v>205</v>
      </c>
      <c r="C196" s="9">
        <v>4135</v>
      </c>
      <c r="D196" s="11">
        <f t="shared" si="25"/>
        <v>4498.18</v>
      </c>
      <c r="E196" s="11">
        <f t="shared" si="26"/>
        <v>5346.21</v>
      </c>
      <c r="F196" s="11">
        <f t="shared" si="27"/>
        <v>3650.15</v>
      </c>
      <c r="G196" s="11">
        <f t="shared" si="29"/>
        <v>290</v>
      </c>
      <c r="H196" s="11">
        <f t="shared" si="30"/>
        <v>318.81</v>
      </c>
      <c r="I196" s="11">
        <f t="shared" si="28"/>
        <v>1041.8699999999999</v>
      </c>
    </row>
    <row r="197" spans="1:9" x14ac:dyDescent="0.25">
      <c r="A197" s="11" t="s">
        <v>10</v>
      </c>
      <c r="B197" s="11" t="s">
        <v>206</v>
      </c>
      <c r="C197" s="9">
        <v>4190</v>
      </c>
      <c r="D197" s="11">
        <f t="shared" si="25"/>
        <v>4498.18</v>
      </c>
      <c r="E197" s="11">
        <f t="shared" si="26"/>
        <v>5346.21</v>
      </c>
      <c r="F197" s="11">
        <f t="shared" si="27"/>
        <v>3650.15</v>
      </c>
      <c r="G197" s="11">
        <f t="shared" si="29"/>
        <v>55</v>
      </c>
      <c r="H197" s="11">
        <f t="shared" si="30"/>
        <v>318.81</v>
      </c>
      <c r="I197" s="11">
        <f t="shared" si="28"/>
        <v>1041.8699999999999</v>
      </c>
    </row>
    <row r="198" spans="1:9" x14ac:dyDescent="0.25">
      <c r="A198" s="11" t="s">
        <v>10</v>
      </c>
      <c r="B198" s="11" t="s">
        <v>207</v>
      </c>
      <c r="C198" s="9">
        <v>4080</v>
      </c>
      <c r="D198" s="11">
        <f t="shared" si="25"/>
        <v>4498.18</v>
      </c>
      <c r="E198" s="11">
        <f t="shared" si="26"/>
        <v>5346.21</v>
      </c>
      <c r="F198" s="11">
        <f t="shared" si="27"/>
        <v>3650.15</v>
      </c>
      <c r="G198" s="11">
        <f t="shared" si="29"/>
        <v>110</v>
      </c>
      <c r="H198" s="11">
        <f t="shared" si="30"/>
        <v>318.81</v>
      </c>
      <c r="I198" s="11">
        <f t="shared" si="28"/>
        <v>1041.8699999999999</v>
      </c>
    </row>
    <row r="199" spans="1:9" x14ac:dyDescent="0.25">
      <c r="A199" s="11" t="s">
        <v>10</v>
      </c>
      <c r="B199" s="11" t="s">
        <v>208</v>
      </c>
      <c r="C199" s="9">
        <v>3690</v>
      </c>
      <c r="D199" s="11">
        <f t="shared" si="25"/>
        <v>4498.18</v>
      </c>
      <c r="E199" s="11">
        <f t="shared" si="26"/>
        <v>5346.21</v>
      </c>
      <c r="F199" s="11">
        <f t="shared" si="27"/>
        <v>3650.15</v>
      </c>
      <c r="G199" s="11">
        <f t="shared" si="29"/>
        <v>390</v>
      </c>
      <c r="H199" s="11">
        <f t="shared" si="30"/>
        <v>318.81</v>
      </c>
      <c r="I199" s="11">
        <f t="shared" si="28"/>
        <v>1041.8699999999999</v>
      </c>
    </row>
    <row r="200" spans="1:9" x14ac:dyDescent="0.25">
      <c r="A200" s="11" t="s">
        <v>10</v>
      </c>
      <c r="B200" s="11" t="s">
        <v>209</v>
      </c>
      <c r="C200" s="9">
        <v>5050</v>
      </c>
      <c r="D200" s="11">
        <f t="shared" si="25"/>
        <v>4498.18</v>
      </c>
      <c r="E200" s="11">
        <f t="shared" si="26"/>
        <v>5346.21</v>
      </c>
      <c r="F200" s="11">
        <f t="shared" si="27"/>
        <v>3650.15</v>
      </c>
      <c r="G200" s="11">
        <f t="shared" si="29"/>
        <v>1360</v>
      </c>
      <c r="H200" s="11">
        <f t="shared" si="30"/>
        <v>318.81</v>
      </c>
      <c r="I200" s="11">
        <f t="shared" si="28"/>
        <v>1041.8699999999999</v>
      </c>
    </row>
    <row r="201" spans="1:9" x14ac:dyDescent="0.25">
      <c r="A201" s="11" t="s">
        <v>10</v>
      </c>
      <c r="B201" s="11" t="s">
        <v>210</v>
      </c>
      <c r="C201" s="9">
        <v>4625</v>
      </c>
      <c r="D201" s="11">
        <f t="shared" si="25"/>
        <v>4498.18</v>
      </c>
      <c r="E201" s="11">
        <f t="shared" si="26"/>
        <v>5346.21</v>
      </c>
      <c r="F201" s="11">
        <f t="shared" si="27"/>
        <v>3650.15</v>
      </c>
      <c r="G201" s="11">
        <f t="shared" si="29"/>
        <v>425</v>
      </c>
      <c r="H201" s="11">
        <f t="shared" si="30"/>
        <v>318.81</v>
      </c>
      <c r="I201" s="11">
        <f t="shared" si="28"/>
        <v>1041.8699999999999</v>
      </c>
    </row>
    <row r="202" spans="1:9" x14ac:dyDescent="0.25">
      <c r="A202" s="11" t="s">
        <v>10</v>
      </c>
      <c r="B202" s="11" t="s">
        <v>211</v>
      </c>
      <c r="C202" s="9">
        <v>5150</v>
      </c>
      <c r="D202" s="11">
        <f t="shared" si="25"/>
        <v>4498.18</v>
      </c>
      <c r="E202" s="11">
        <f t="shared" si="26"/>
        <v>5346.21</v>
      </c>
      <c r="F202" s="11">
        <f t="shared" si="27"/>
        <v>3650.15</v>
      </c>
      <c r="G202" s="11">
        <f t="shared" si="29"/>
        <v>525</v>
      </c>
      <c r="H202" s="11">
        <f t="shared" si="30"/>
        <v>318.81</v>
      </c>
      <c r="I202" s="11">
        <f t="shared" si="28"/>
        <v>1041.8699999999999</v>
      </c>
    </row>
    <row r="203" spans="1:9" x14ac:dyDescent="0.25">
      <c r="A203" s="11" t="s">
        <v>10</v>
      </c>
      <c r="B203" s="11" t="s">
        <v>212</v>
      </c>
      <c r="C203" s="9">
        <v>5250</v>
      </c>
      <c r="D203" s="11">
        <f t="shared" si="25"/>
        <v>4498.18</v>
      </c>
      <c r="E203" s="11">
        <f t="shared" si="26"/>
        <v>5346.21</v>
      </c>
      <c r="F203" s="11">
        <f t="shared" si="27"/>
        <v>3650.15</v>
      </c>
      <c r="G203" s="11">
        <f t="shared" si="29"/>
        <v>100</v>
      </c>
      <c r="H203" s="11">
        <f t="shared" si="30"/>
        <v>318.81</v>
      </c>
      <c r="I203" s="11">
        <f t="shared" si="28"/>
        <v>1041.8699999999999</v>
      </c>
    </row>
    <row r="204" spans="1:9" x14ac:dyDescent="0.25">
      <c r="A204" s="11" t="s">
        <v>10</v>
      </c>
      <c r="B204" s="11" t="s">
        <v>213</v>
      </c>
      <c r="C204" s="9">
        <v>5000</v>
      </c>
      <c r="D204" s="11">
        <f t="shared" si="25"/>
        <v>4498.18</v>
      </c>
      <c r="E204" s="11">
        <f t="shared" si="26"/>
        <v>5346.21</v>
      </c>
      <c r="F204" s="11">
        <f t="shared" si="27"/>
        <v>3650.15</v>
      </c>
      <c r="G204" s="11">
        <f t="shared" si="29"/>
        <v>250</v>
      </c>
      <c r="H204" s="11">
        <f t="shared" si="30"/>
        <v>318.81</v>
      </c>
      <c r="I204" s="11">
        <f t="shared" si="28"/>
        <v>1041.8699999999999</v>
      </c>
    </row>
    <row r="205" spans="1:9" x14ac:dyDescent="0.25">
      <c r="A205" s="11" t="s">
        <v>10</v>
      </c>
      <c r="B205" s="11" t="s">
        <v>214</v>
      </c>
      <c r="C205" s="9">
        <v>5000</v>
      </c>
      <c r="D205" s="11">
        <f t="shared" si="25"/>
        <v>4498.18</v>
      </c>
      <c r="E205" s="11">
        <f t="shared" si="26"/>
        <v>5346.21</v>
      </c>
      <c r="F205" s="11">
        <f t="shared" si="27"/>
        <v>3650.15</v>
      </c>
      <c r="G205" s="11">
        <f t="shared" si="29"/>
        <v>0</v>
      </c>
      <c r="H205" s="11">
        <f t="shared" si="30"/>
        <v>318.81</v>
      </c>
      <c r="I205" s="11">
        <f t="shared" si="28"/>
        <v>1041.8699999999999</v>
      </c>
    </row>
  </sheetData>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270"/>
  <sheetViews>
    <sheetView showGridLines="0" workbookViewId="0">
      <selection activeCell="L9" sqref="L9"/>
    </sheetView>
  </sheetViews>
  <sheetFormatPr defaultColWidth="12.6640625" defaultRowHeight="15.75" customHeight="1" x14ac:dyDescent="0.25"/>
  <cols>
    <col min="1" max="2" width="8.88671875" bestFit="1" customWidth="1"/>
    <col min="3" max="3" width="8.33203125" bestFit="1" customWidth="1"/>
    <col min="4" max="4" width="12.77734375" bestFit="1" customWidth="1"/>
    <col min="5" max="5" width="5.5546875" bestFit="1" customWidth="1"/>
    <col min="6" max="6" width="8.88671875" bestFit="1" customWidth="1"/>
    <col min="7" max="7" width="17.109375" bestFit="1" customWidth="1"/>
    <col min="8" max="8" width="10.77734375" bestFit="1" customWidth="1"/>
    <col min="9" max="9" width="10.5546875" bestFit="1" customWidth="1"/>
    <col min="10" max="10" width="8.88671875" bestFit="1" customWidth="1"/>
    <col min="11" max="11" width="15.6640625" bestFit="1" customWidth="1"/>
    <col min="12" max="12" width="8.88671875" bestFit="1" customWidth="1"/>
    <col min="13" max="13" width="8.109375" bestFit="1" customWidth="1"/>
    <col min="14" max="14" width="6.21875" bestFit="1" customWidth="1"/>
  </cols>
  <sheetData>
    <row r="1" spans="1:14" ht="13.2" x14ac:dyDescent="0.25">
      <c r="A1" s="16" t="s">
        <v>1</v>
      </c>
      <c r="B1" s="16" t="s">
        <v>222</v>
      </c>
      <c r="C1" s="16" t="s">
        <v>2</v>
      </c>
      <c r="D1" s="7" t="s">
        <v>3</v>
      </c>
      <c r="E1" s="2"/>
      <c r="F1" s="17" t="s">
        <v>1</v>
      </c>
      <c r="G1" s="18" t="s">
        <v>223</v>
      </c>
      <c r="H1" s="18" t="s">
        <v>215</v>
      </c>
      <c r="I1" s="16" t="s">
        <v>224</v>
      </c>
      <c r="J1" s="16" t="s">
        <v>225</v>
      </c>
      <c r="K1" s="4"/>
      <c r="L1" s="4"/>
      <c r="M1" s="4"/>
      <c r="N1" s="4"/>
    </row>
    <row r="2" spans="1:14" ht="13.2" x14ac:dyDescent="0.25">
      <c r="A2" s="1" t="s">
        <v>10</v>
      </c>
      <c r="B2" s="1" t="s">
        <v>239</v>
      </c>
      <c r="C2">
        <v>1</v>
      </c>
      <c r="D2">
        <v>5045</v>
      </c>
      <c r="E2" s="2"/>
      <c r="F2" s="4" t="s">
        <v>10</v>
      </c>
      <c r="G2">
        <v>4</v>
      </c>
      <c r="H2">
        <v>1</v>
      </c>
      <c r="I2">
        <v>4430</v>
      </c>
      <c r="J2">
        <v>1070</v>
      </c>
      <c r="K2" s="4"/>
      <c r="L2" s="4"/>
      <c r="M2" s="8"/>
      <c r="N2" s="5"/>
    </row>
    <row r="3" spans="1:14" ht="13.2" x14ac:dyDescent="0.25">
      <c r="A3" s="1" t="s">
        <v>10</v>
      </c>
      <c r="B3" s="1" t="s">
        <v>239</v>
      </c>
      <c r="C3">
        <v>2</v>
      </c>
      <c r="D3">
        <v>4350</v>
      </c>
      <c r="E3" s="2"/>
      <c r="F3" s="4" t="s">
        <v>10</v>
      </c>
      <c r="G3">
        <v>4</v>
      </c>
      <c r="H3">
        <v>2</v>
      </c>
      <c r="I3">
        <v>4372.5</v>
      </c>
      <c r="J3">
        <v>200</v>
      </c>
      <c r="K3" s="4"/>
      <c r="L3" s="4"/>
      <c r="M3" s="8"/>
      <c r="N3" s="4"/>
    </row>
    <row r="4" spans="1:14" ht="13.2" x14ac:dyDescent="0.25">
      <c r="A4" s="1" t="s">
        <v>10</v>
      </c>
      <c r="B4" s="1" t="s">
        <v>239</v>
      </c>
      <c r="C4">
        <v>3</v>
      </c>
      <c r="D4">
        <v>4350</v>
      </c>
      <c r="E4" s="2"/>
      <c r="F4" s="4" t="s">
        <v>10</v>
      </c>
      <c r="G4">
        <v>4</v>
      </c>
      <c r="H4">
        <v>3</v>
      </c>
      <c r="I4">
        <v>3827.5</v>
      </c>
      <c r="J4">
        <v>335</v>
      </c>
      <c r="K4" s="4"/>
      <c r="L4" s="4"/>
      <c r="M4" s="8"/>
      <c r="N4" s="4"/>
    </row>
    <row r="5" spans="1:14" ht="13.2" x14ac:dyDescent="0.25">
      <c r="A5" s="1" t="s">
        <v>10</v>
      </c>
      <c r="B5" s="1" t="s">
        <v>239</v>
      </c>
      <c r="C5">
        <v>4</v>
      </c>
      <c r="D5">
        <v>3975</v>
      </c>
      <c r="E5" s="2"/>
      <c r="F5" s="4" t="s">
        <v>10</v>
      </c>
      <c r="G5">
        <v>4</v>
      </c>
      <c r="H5">
        <v>4</v>
      </c>
      <c r="I5">
        <v>3912</v>
      </c>
      <c r="J5">
        <v>1900</v>
      </c>
      <c r="K5" s="4"/>
      <c r="L5" s="4"/>
      <c r="M5" s="8"/>
      <c r="N5" s="5"/>
    </row>
    <row r="6" spans="1:14" ht="13.2" x14ac:dyDescent="0.25">
      <c r="A6" s="1" t="s">
        <v>10</v>
      </c>
      <c r="B6" s="1" t="s">
        <v>239</v>
      </c>
      <c r="C6">
        <v>5</v>
      </c>
      <c r="D6">
        <v>4290</v>
      </c>
      <c r="E6" s="2"/>
      <c r="F6" s="4" t="s">
        <v>10</v>
      </c>
      <c r="G6">
        <v>4</v>
      </c>
      <c r="H6">
        <v>5</v>
      </c>
      <c r="I6">
        <v>5071.3</v>
      </c>
      <c r="J6">
        <v>815</v>
      </c>
      <c r="K6" s="4"/>
      <c r="L6" s="4"/>
      <c r="M6" s="8"/>
      <c r="N6" s="4"/>
    </row>
    <row r="7" spans="1:14" ht="13.2" x14ac:dyDescent="0.25">
      <c r="A7" s="1" t="s">
        <v>10</v>
      </c>
      <c r="B7" s="1" t="s">
        <v>239</v>
      </c>
      <c r="C7">
        <v>6</v>
      </c>
      <c r="D7">
        <v>4430</v>
      </c>
      <c r="E7" s="2"/>
      <c r="F7" s="4" t="s">
        <v>10</v>
      </c>
      <c r="G7">
        <v>4</v>
      </c>
      <c r="H7">
        <v>6</v>
      </c>
      <c r="I7">
        <v>4682.5</v>
      </c>
      <c r="J7">
        <v>245</v>
      </c>
      <c r="K7" s="4"/>
      <c r="L7" s="4"/>
      <c r="M7" s="8"/>
      <c r="N7" s="4"/>
    </row>
    <row r="8" spans="1:14" ht="13.2" x14ac:dyDescent="0.25">
      <c r="A8" s="1" t="s">
        <v>10</v>
      </c>
      <c r="B8" s="1" t="s">
        <v>239</v>
      </c>
      <c r="C8">
        <v>7</v>
      </c>
      <c r="D8">
        <v>4485</v>
      </c>
      <c r="E8" s="2"/>
      <c r="F8" s="4" t="s">
        <v>10</v>
      </c>
      <c r="G8">
        <v>4</v>
      </c>
      <c r="H8">
        <v>7</v>
      </c>
      <c r="I8">
        <v>4557.5</v>
      </c>
      <c r="J8">
        <v>1125</v>
      </c>
      <c r="K8" s="4"/>
      <c r="L8" s="4"/>
      <c r="M8" s="8"/>
      <c r="N8" s="5"/>
    </row>
    <row r="9" spans="1:14" ht="13.2" x14ac:dyDescent="0.25">
      <c r="A9" s="1" t="s">
        <v>10</v>
      </c>
      <c r="B9" s="1" t="s">
        <v>239</v>
      </c>
      <c r="C9">
        <v>8</v>
      </c>
      <c r="D9">
        <v>4285</v>
      </c>
      <c r="E9" s="2"/>
      <c r="F9" s="4" t="s">
        <v>10</v>
      </c>
      <c r="G9">
        <v>4</v>
      </c>
      <c r="H9">
        <v>8</v>
      </c>
      <c r="I9">
        <v>4725</v>
      </c>
      <c r="J9">
        <v>255</v>
      </c>
      <c r="K9" s="4"/>
      <c r="L9" s="4"/>
      <c r="M9" s="8"/>
      <c r="N9" s="4"/>
    </row>
    <row r="10" spans="1:14" ht="13.2" x14ac:dyDescent="0.25">
      <c r="A10" s="1" t="s">
        <v>10</v>
      </c>
      <c r="B10" s="1" t="s">
        <v>239</v>
      </c>
      <c r="C10">
        <v>9</v>
      </c>
      <c r="D10">
        <v>3980</v>
      </c>
      <c r="E10" s="2"/>
      <c r="F10" s="4" t="s">
        <v>10</v>
      </c>
      <c r="G10">
        <v>4</v>
      </c>
      <c r="H10">
        <v>9</v>
      </c>
      <c r="I10">
        <v>4733.8</v>
      </c>
      <c r="J10">
        <v>245</v>
      </c>
      <c r="K10" s="4"/>
      <c r="L10" s="4"/>
      <c r="M10" s="8"/>
      <c r="N10" s="4"/>
    </row>
    <row r="11" spans="1:14" ht="13.2" x14ac:dyDescent="0.25">
      <c r="A11" s="1" t="s">
        <v>10</v>
      </c>
      <c r="B11" s="1" t="s">
        <v>239</v>
      </c>
      <c r="C11">
        <v>10</v>
      </c>
      <c r="D11">
        <v>3925</v>
      </c>
      <c r="E11" s="2"/>
      <c r="F11" s="4" t="s">
        <v>10</v>
      </c>
      <c r="G11">
        <v>4</v>
      </c>
      <c r="H11">
        <v>10</v>
      </c>
      <c r="I11">
        <v>4372.5</v>
      </c>
      <c r="J11">
        <v>680</v>
      </c>
      <c r="K11" s="4"/>
      <c r="L11" s="4"/>
      <c r="M11" s="8"/>
      <c r="N11" s="4"/>
    </row>
    <row r="12" spans="1:14" ht="13.2" x14ac:dyDescent="0.25">
      <c r="A12" s="1" t="s">
        <v>10</v>
      </c>
      <c r="B12" s="1" t="s">
        <v>239</v>
      </c>
      <c r="C12">
        <v>11</v>
      </c>
      <c r="D12">
        <v>3645</v>
      </c>
      <c r="E12" s="2"/>
      <c r="F12" s="4" t="s">
        <v>10</v>
      </c>
      <c r="G12">
        <v>4</v>
      </c>
      <c r="H12">
        <v>11</v>
      </c>
      <c r="I12">
        <v>4943.8</v>
      </c>
      <c r="J12">
        <v>1410</v>
      </c>
      <c r="K12" s="4"/>
      <c r="L12" s="4"/>
      <c r="M12" s="8"/>
      <c r="N12" s="5"/>
    </row>
    <row r="13" spans="1:14" ht="13.2" x14ac:dyDescent="0.25">
      <c r="A13" s="1" t="s">
        <v>10</v>
      </c>
      <c r="B13" s="1" t="s">
        <v>239</v>
      </c>
      <c r="C13">
        <v>12</v>
      </c>
      <c r="D13">
        <v>3760</v>
      </c>
      <c r="E13" s="2"/>
      <c r="F13" s="4" t="s">
        <v>10</v>
      </c>
      <c r="G13">
        <v>4</v>
      </c>
      <c r="H13">
        <v>12</v>
      </c>
      <c r="I13">
        <v>4722.5</v>
      </c>
      <c r="J13">
        <v>745</v>
      </c>
      <c r="K13" s="4"/>
      <c r="L13" s="4"/>
      <c r="M13" s="8"/>
      <c r="N13" s="4"/>
    </row>
    <row r="14" spans="1:14" ht="13.2" x14ac:dyDescent="0.25">
      <c r="A14" s="1" t="s">
        <v>10</v>
      </c>
      <c r="B14" s="1" t="s">
        <v>239</v>
      </c>
      <c r="C14">
        <v>13</v>
      </c>
      <c r="D14">
        <v>3300</v>
      </c>
      <c r="E14" s="2"/>
      <c r="F14" s="4" t="s">
        <v>10</v>
      </c>
      <c r="G14">
        <v>4</v>
      </c>
      <c r="H14">
        <v>13</v>
      </c>
      <c r="I14">
        <v>4278.8</v>
      </c>
      <c r="J14">
        <v>800</v>
      </c>
      <c r="K14" s="4"/>
      <c r="L14" s="4"/>
      <c r="M14" s="8"/>
      <c r="N14" s="4"/>
    </row>
    <row r="15" spans="1:14" ht="13.2" x14ac:dyDescent="0.25">
      <c r="A15" s="1" t="s">
        <v>10</v>
      </c>
      <c r="B15" s="1" t="s">
        <v>239</v>
      </c>
      <c r="C15">
        <v>14</v>
      </c>
      <c r="D15">
        <v>3685</v>
      </c>
      <c r="E15" s="2"/>
      <c r="F15" s="4" t="s">
        <v>10</v>
      </c>
      <c r="G15">
        <v>4</v>
      </c>
      <c r="H15">
        <v>14</v>
      </c>
      <c r="I15">
        <v>4242.5</v>
      </c>
      <c r="J15">
        <v>205</v>
      </c>
      <c r="K15" s="4"/>
      <c r="L15" s="4"/>
      <c r="M15" s="8"/>
      <c r="N15" s="4"/>
    </row>
    <row r="16" spans="1:14" ht="13.2" x14ac:dyDescent="0.25">
      <c r="A16" s="1" t="s">
        <v>10</v>
      </c>
      <c r="B16" s="1" t="s">
        <v>239</v>
      </c>
      <c r="C16">
        <v>15</v>
      </c>
      <c r="D16">
        <v>3463</v>
      </c>
      <c r="E16" s="2"/>
      <c r="F16" s="4" t="s">
        <v>10</v>
      </c>
      <c r="G16">
        <v>4</v>
      </c>
      <c r="H16">
        <v>15</v>
      </c>
      <c r="I16">
        <v>4007.5</v>
      </c>
      <c r="J16">
        <v>1695</v>
      </c>
      <c r="K16" s="4"/>
      <c r="L16" s="4"/>
      <c r="M16" s="8"/>
      <c r="N16" s="5"/>
    </row>
    <row r="17" spans="1:14" ht="13.2" x14ac:dyDescent="0.25">
      <c r="A17" s="1" t="s">
        <v>10</v>
      </c>
      <c r="B17" s="1" t="s">
        <v>239</v>
      </c>
      <c r="C17">
        <v>16</v>
      </c>
      <c r="D17">
        <v>5200</v>
      </c>
      <c r="E17" s="2"/>
      <c r="F17" s="4" t="s">
        <v>10</v>
      </c>
      <c r="G17">
        <v>4</v>
      </c>
      <c r="H17">
        <v>16</v>
      </c>
      <c r="I17">
        <v>4006.3</v>
      </c>
      <c r="J17">
        <v>1455</v>
      </c>
      <c r="K17" s="4"/>
      <c r="L17" s="4"/>
      <c r="M17" s="8"/>
      <c r="N17" s="5"/>
    </row>
    <row r="18" spans="1:14" ht="13.2" x14ac:dyDescent="0.25">
      <c r="A18" s="1" t="s">
        <v>10</v>
      </c>
      <c r="B18" s="1" t="s">
        <v>239</v>
      </c>
      <c r="C18">
        <v>17</v>
      </c>
      <c r="D18">
        <v>5100</v>
      </c>
      <c r="E18" s="2"/>
      <c r="F18" s="4" t="s">
        <v>10</v>
      </c>
      <c r="G18">
        <v>4</v>
      </c>
      <c r="H18">
        <v>17</v>
      </c>
      <c r="I18">
        <v>4606.3</v>
      </c>
      <c r="J18">
        <v>910</v>
      </c>
      <c r="K18" s="4"/>
      <c r="L18" s="4"/>
      <c r="M18" s="8"/>
      <c r="N18" s="4"/>
    </row>
    <row r="19" spans="1:14" ht="13.2" x14ac:dyDescent="0.25">
      <c r="A19" s="1" t="s">
        <v>10</v>
      </c>
      <c r="B19" s="1" t="s">
        <v>239</v>
      </c>
      <c r="C19">
        <v>18</v>
      </c>
      <c r="D19">
        <v>4635</v>
      </c>
      <c r="E19" s="2"/>
      <c r="F19" s="4" t="s">
        <v>10</v>
      </c>
      <c r="G19">
        <v>4</v>
      </c>
      <c r="H19">
        <v>18</v>
      </c>
      <c r="I19">
        <v>4647.5</v>
      </c>
      <c r="J19">
        <v>665</v>
      </c>
      <c r="K19" s="4"/>
      <c r="L19" s="4"/>
      <c r="M19" s="8"/>
      <c r="N19" s="4"/>
    </row>
    <row r="20" spans="1:14" ht="13.2" x14ac:dyDescent="0.25">
      <c r="A20" s="1" t="s">
        <v>10</v>
      </c>
      <c r="B20" s="1" t="s">
        <v>239</v>
      </c>
      <c r="C20">
        <v>19</v>
      </c>
      <c r="D20">
        <v>5100</v>
      </c>
      <c r="E20" s="2"/>
      <c r="F20" s="4" t="s">
        <v>10</v>
      </c>
      <c r="G20">
        <v>4</v>
      </c>
      <c r="H20">
        <v>19</v>
      </c>
      <c r="I20">
        <v>4441.3</v>
      </c>
      <c r="J20">
        <v>785</v>
      </c>
      <c r="K20" s="4"/>
      <c r="L20" s="4"/>
      <c r="M20" s="8"/>
      <c r="N20" s="4"/>
    </row>
    <row r="21" spans="1:14" ht="13.2" x14ac:dyDescent="0.25">
      <c r="A21" s="1" t="s">
        <v>10</v>
      </c>
      <c r="B21" s="1" t="s">
        <v>239</v>
      </c>
      <c r="C21">
        <v>20</v>
      </c>
      <c r="D21">
        <v>5450</v>
      </c>
      <c r="E21" s="2"/>
      <c r="F21" s="4" t="s">
        <v>10</v>
      </c>
      <c r="G21">
        <v>4</v>
      </c>
      <c r="H21">
        <v>20</v>
      </c>
      <c r="I21">
        <v>4566.3</v>
      </c>
      <c r="J21">
        <v>520</v>
      </c>
      <c r="K21" s="4"/>
      <c r="L21" s="4"/>
      <c r="M21" s="8"/>
      <c r="N21" s="4"/>
    </row>
    <row r="22" spans="1:14" ht="13.2" x14ac:dyDescent="0.25">
      <c r="A22" s="1" t="s">
        <v>10</v>
      </c>
      <c r="B22" s="1" t="s">
        <v>239</v>
      </c>
      <c r="C22">
        <v>21</v>
      </c>
      <c r="D22">
        <v>4635</v>
      </c>
      <c r="E22" s="2"/>
      <c r="F22" s="4" t="s">
        <v>10</v>
      </c>
      <c r="G22">
        <v>4</v>
      </c>
      <c r="H22">
        <v>21</v>
      </c>
      <c r="I22">
        <v>4548.8</v>
      </c>
      <c r="J22">
        <v>605</v>
      </c>
      <c r="K22" s="4"/>
      <c r="L22" s="4"/>
      <c r="M22" s="8"/>
      <c r="N22" s="4"/>
    </row>
    <row r="23" spans="1:14" ht="13.2" x14ac:dyDescent="0.25">
      <c r="A23" s="1" t="s">
        <v>10</v>
      </c>
      <c r="B23" s="1" t="s">
        <v>239</v>
      </c>
      <c r="C23">
        <v>22</v>
      </c>
      <c r="D23">
        <v>4720</v>
      </c>
      <c r="E23" s="2"/>
      <c r="F23" s="4" t="s">
        <v>10</v>
      </c>
      <c r="G23">
        <v>4</v>
      </c>
      <c r="H23">
        <v>22</v>
      </c>
      <c r="I23">
        <v>3846.3</v>
      </c>
      <c r="J23">
        <v>445</v>
      </c>
      <c r="K23" s="4"/>
      <c r="L23" s="4"/>
      <c r="M23" s="8"/>
      <c r="N23" s="4"/>
    </row>
    <row r="24" spans="1:14" ht="13.2" x14ac:dyDescent="0.25">
      <c r="A24" s="1" t="s">
        <v>10</v>
      </c>
      <c r="B24" s="1" t="s">
        <v>239</v>
      </c>
      <c r="C24">
        <v>23</v>
      </c>
      <c r="D24">
        <v>4810</v>
      </c>
      <c r="E24" s="2"/>
      <c r="F24" s="4" t="s">
        <v>10</v>
      </c>
      <c r="G24">
        <v>4</v>
      </c>
      <c r="H24">
        <v>23</v>
      </c>
      <c r="I24">
        <v>4572.5</v>
      </c>
      <c r="J24">
        <v>1000</v>
      </c>
      <c r="K24" s="4"/>
      <c r="L24" s="4"/>
      <c r="M24" s="8"/>
      <c r="N24" s="5"/>
    </row>
    <row r="25" spans="1:14" ht="13.2" x14ac:dyDescent="0.25">
      <c r="A25" s="1" t="s">
        <v>10</v>
      </c>
      <c r="B25" s="1" t="s">
        <v>239</v>
      </c>
      <c r="C25">
        <v>24</v>
      </c>
      <c r="D25">
        <v>4565</v>
      </c>
      <c r="E25" s="2"/>
      <c r="F25" s="4" t="s">
        <v>10</v>
      </c>
      <c r="G25">
        <v>4</v>
      </c>
      <c r="H25">
        <v>24</v>
      </c>
      <c r="I25">
        <v>4470</v>
      </c>
      <c r="J25">
        <v>390</v>
      </c>
      <c r="K25" s="4"/>
      <c r="L25" s="4"/>
      <c r="M25" s="8"/>
      <c r="N25" s="4"/>
    </row>
    <row r="26" spans="1:14" ht="13.2" x14ac:dyDescent="0.25">
      <c r="A26" s="1" t="s">
        <v>10</v>
      </c>
      <c r="B26" s="1" t="s">
        <v>239</v>
      </c>
      <c r="C26">
        <v>25</v>
      </c>
      <c r="D26">
        <v>4410</v>
      </c>
      <c r="E26" s="2"/>
      <c r="F26" s="4" t="s">
        <v>10</v>
      </c>
      <c r="G26">
        <v>4</v>
      </c>
      <c r="H26">
        <v>25</v>
      </c>
      <c r="I26">
        <v>4676.3</v>
      </c>
      <c r="J26">
        <v>570</v>
      </c>
      <c r="K26" s="4"/>
      <c r="L26" s="4"/>
      <c r="M26" s="8"/>
      <c r="N26" s="4"/>
    </row>
    <row r="27" spans="1:14" ht="13.2" x14ac:dyDescent="0.25">
      <c r="A27" s="1" t="s">
        <v>10</v>
      </c>
      <c r="B27" s="1" t="s">
        <v>239</v>
      </c>
      <c r="C27">
        <v>26</v>
      </c>
      <c r="D27">
        <v>4065</v>
      </c>
      <c r="E27" s="2"/>
      <c r="F27" s="4" t="s">
        <v>10</v>
      </c>
      <c r="G27">
        <v>4</v>
      </c>
      <c r="H27">
        <v>26</v>
      </c>
      <c r="I27">
        <v>4710</v>
      </c>
      <c r="J27">
        <v>280</v>
      </c>
      <c r="K27" s="4"/>
      <c r="L27" s="4"/>
      <c r="M27" s="8"/>
      <c r="N27" s="4"/>
    </row>
    <row r="28" spans="1:14" ht="13.2" x14ac:dyDescent="0.25">
      <c r="A28" s="1" t="s">
        <v>10</v>
      </c>
      <c r="B28" s="1" t="s">
        <v>239</v>
      </c>
      <c r="C28">
        <v>27</v>
      </c>
      <c r="D28">
        <v>4565</v>
      </c>
      <c r="E28" s="2"/>
      <c r="F28" s="4" t="s">
        <v>10</v>
      </c>
      <c r="G28">
        <v>4</v>
      </c>
      <c r="H28">
        <v>27</v>
      </c>
      <c r="I28">
        <v>4366.3</v>
      </c>
      <c r="J28">
        <v>730</v>
      </c>
      <c r="K28" s="4"/>
      <c r="L28" s="4"/>
      <c r="M28" s="8"/>
      <c r="N28" s="4"/>
    </row>
    <row r="29" spans="1:14" ht="13.2" x14ac:dyDescent="0.25">
      <c r="A29" s="1" t="s">
        <v>10</v>
      </c>
      <c r="B29" s="1" t="s">
        <v>239</v>
      </c>
      <c r="C29">
        <v>28</v>
      </c>
      <c r="D29">
        <v>5190</v>
      </c>
      <c r="E29" s="2"/>
      <c r="F29" s="4" t="s">
        <v>10</v>
      </c>
      <c r="G29">
        <v>4</v>
      </c>
      <c r="H29">
        <v>28</v>
      </c>
      <c r="I29">
        <v>4222.5</v>
      </c>
      <c r="J29">
        <v>700</v>
      </c>
      <c r="K29" s="4"/>
      <c r="L29" s="4"/>
      <c r="M29" s="8"/>
      <c r="N29" s="4"/>
    </row>
    <row r="30" spans="1:14" ht="13.2" x14ac:dyDescent="0.25">
      <c r="A30" s="1" t="s">
        <v>10</v>
      </c>
      <c r="B30" s="1" t="s">
        <v>239</v>
      </c>
      <c r="C30">
        <v>29</v>
      </c>
      <c r="D30">
        <v>4725</v>
      </c>
      <c r="E30" s="2"/>
      <c r="F30" s="4" t="s">
        <v>10</v>
      </c>
      <c r="G30">
        <v>4</v>
      </c>
      <c r="H30">
        <v>29</v>
      </c>
      <c r="I30">
        <v>4367.5</v>
      </c>
      <c r="J30">
        <v>635</v>
      </c>
      <c r="K30" s="4"/>
      <c r="L30" s="4"/>
      <c r="M30" s="8"/>
      <c r="N30" s="4"/>
    </row>
    <row r="31" spans="1:14" ht="13.2" x14ac:dyDescent="0.25">
      <c r="A31" s="1" t="s">
        <v>10</v>
      </c>
      <c r="B31" s="1" t="s">
        <v>239</v>
      </c>
      <c r="C31">
        <v>30</v>
      </c>
      <c r="D31">
        <v>4640</v>
      </c>
      <c r="E31" s="2"/>
      <c r="F31" s="4" t="s">
        <v>10</v>
      </c>
      <c r="G31">
        <v>4</v>
      </c>
      <c r="H31">
        <v>30</v>
      </c>
      <c r="I31">
        <v>4495</v>
      </c>
      <c r="J31">
        <v>390</v>
      </c>
      <c r="K31" s="4"/>
      <c r="L31" s="4"/>
      <c r="M31" s="8"/>
      <c r="N31" s="4"/>
    </row>
    <row r="32" spans="1:14" ht="13.2" x14ac:dyDescent="0.25">
      <c r="A32" s="1" t="s">
        <v>10</v>
      </c>
      <c r="B32" s="1" t="s">
        <v>239</v>
      </c>
      <c r="C32">
        <v>31</v>
      </c>
      <c r="D32">
        <v>4640</v>
      </c>
      <c r="E32" s="2"/>
      <c r="F32" s="4" t="s">
        <v>10</v>
      </c>
      <c r="G32">
        <v>4</v>
      </c>
      <c r="H32">
        <v>31</v>
      </c>
      <c r="I32">
        <v>3550</v>
      </c>
      <c r="J32">
        <v>1115</v>
      </c>
      <c r="K32" s="4"/>
      <c r="L32" s="4"/>
      <c r="M32" s="8"/>
      <c r="N32" s="5"/>
    </row>
    <row r="33" spans="1:14" ht="13.2" x14ac:dyDescent="0.25">
      <c r="A33" s="1" t="s">
        <v>10</v>
      </c>
      <c r="B33" s="1" t="s">
        <v>239</v>
      </c>
      <c r="C33">
        <v>32</v>
      </c>
      <c r="D33">
        <v>4895</v>
      </c>
      <c r="E33" s="2"/>
      <c r="F33" s="4" t="s">
        <v>10</v>
      </c>
      <c r="G33">
        <v>4</v>
      </c>
      <c r="H33">
        <v>32</v>
      </c>
      <c r="I33">
        <v>4498.8</v>
      </c>
      <c r="J33">
        <v>540</v>
      </c>
      <c r="K33" s="4"/>
      <c r="L33" s="4"/>
      <c r="M33" s="8"/>
      <c r="N33" s="4"/>
    </row>
    <row r="34" spans="1:14" ht="13.2" x14ac:dyDescent="0.25">
      <c r="A34" s="1" t="s">
        <v>10</v>
      </c>
      <c r="B34" s="1" t="s">
        <v>239</v>
      </c>
      <c r="C34">
        <v>33</v>
      </c>
      <c r="D34">
        <v>4790</v>
      </c>
      <c r="E34" s="2"/>
      <c r="F34" s="4" t="s">
        <v>10</v>
      </c>
      <c r="G34">
        <v>4</v>
      </c>
      <c r="H34">
        <v>33</v>
      </c>
      <c r="I34">
        <v>4476.3</v>
      </c>
      <c r="J34">
        <v>655</v>
      </c>
      <c r="K34" s="4"/>
      <c r="L34" s="4"/>
      <c r="M34" s="8"/>
      <c r="N34" s="4"/>
    </row>
    <row r="35" spans="1:14" ht="13.2" x14ac:dyDescent="0.25">
      <c r="A35" s="1" t="s">
        <v>10</v>
      </c>
      <c r="B35" s="1" t="s">
        <v>239</v>
      </c>
      <c r="C35">
        <v>34</v>
      </c>
      <c r="D35">
        <v>4845</v>
      </c>
      <c r="E35" s="2"/>
      <c r="F35" s="4" t="s">
        <v>10</v>
      </c>
      <c r="G35">
        <v>4</v>
      </c>
      <c r="H35">
        <v>34</v>
      </c>
      <c r="I35">
        <v>4528.8</v>
      </c>
      <c r="J35">
        <v>725</v>
      </c>
      <c r="K35" s="4"/>
      <c r="L35" s="4"/>
      <c r="M35" s="8"/>
      <c r="N35" s="4"/>
    </row>
    <row r="36" spans="1:14" ht="13.2" x14ac:dyDescent="0.25">
      <c r="A36" s="1" t="s">
        <v>10</v>
      </c>
      <c r="B36" s="1" t="s">
        <v>239</v>
      </c>
      <c r="C36">
        <v>35</v>
      </c>
      <c r="D36">
        <v>4700</v>
      </c>
      <c r="E36" s="2"/>
      <c r="F36" s="4" t="s">
        <v>10</v>
      </c>
      <c r="G36">
        <v>4</v>
      </c>
      <c r="H36">
        <v>35</v>
      </c>
      <c r="I36">
        <v>4550</v>
      </c>
      <c r="J36">
        <v>400</v>
      </c>
      <c r="K36" s="4"/>
      <c r="L36" s="4"/>
      <c r="M36" s="8"/>
      <c r="N36" s="4"/>
    </row>
    <row r="37" spans="1:14" ht="13.2" x14ac:dyDescent="0.25">
      <c r="A37" s="1" t="s">
        <v>10</v>
      </c>
      <c r="B37" s="1" t="s">
        <v>239</v>
      </c>
      <c r="C37">
        <v>36</v>
      </c>
      <c r="D37">
        <v>4600</v>
      </c>
      <c r="E37" s="2"/>
      <c r="F37" s="4" t="s">
        <v>10</v>
      </c>
      <c r="G37">
        <v>4</v>
      </c>
      <c r="H37">
        <v>36</v>
      </c>
      <c r="I37">
        <v>3701.3</v>
      </c>
      <c r="J37">
        <v>265</v>
      </c>
      <c r="K37" s="4"/>
      <c r="L37" s="4"/>
      <c r="M37" s="8"/>
      <c r="N37" s="4"/>
    </row>
    <row r="38" spans="1:14" ht="13.2" x14ac:dyDescent="0.25">
      <c r="A38" s="1" t="s">
        <v>10</v>
      </c>
      <c r="B38" s="1" t="s">
        <v>239</v>
      </c>
      <c r="C38">
        <v>37</v>
      </c>
      <c r="D38">
        <v>4110</v>
      </c>
      <c r="E38" s="2"/>
      <c r="F38" s="4" t="s">
        <v>10</v>
      </c>
      <c r="G38">
        <v>4</v>
      </c>
      <c r="H38">
        <v>37</v>
      </c>
      <c r="I38">
        <v>4030</v>
      </c>
      <c r="J38">
        <v>675</v>
      </c>
      <c r="K38" s="4"/>
      <c r="L38" s="4"/>
      <c r="M38" s="8"/>
      <c r="N38" s="4"/>
    </row>
    <row r="39" spans="1:14" ht="13.2" x14ac:dyDescent="0.25">
      <c r="A39" s="1" t="s">
        <v>10</v>
      </c>
      <c r="B39" s="1" t="s">
        <v>239</v>
      </c>
      <c r="C39">
        <v>38</v>
      </c>
      <c r="D39">
        <v>4410</v>
      </c>
      <c r="E39" s="2"/>
      <c r="F39" s="4" t="s">
        <v>10</v>
      </c>
      <c r="G39">
        <v>4</v>
      </c>
      <c r="H39">
        <v>38</v>
      </c>
      <c r="I39">
        <v>4781.3</v>
      </c>
      <c r="J39">
        <v>500</v>
      </c>
      <c r="K39" s="4"/>
      <c r="L39" s="4"/>
      <c r="M39" s="8"/>
      <c r="N39" s="4"/>
    </row>
    <row r="40" spans="1:14" ht="13.2" x14ac:dyDescent="0.25">
      <c r="A40" s="1" t="s">
        <v>10</v>
      </c>
      <c r="B40" s="1" t="s">
        <v>239</v>
      </c>
      <c r="C40">
        <v>39</v>
      </c>
      <c r="D40">
        <v>4180</v>
      </c>
      <c r="E40" s="2"/>
      <c r="F40" s="4" t="s">
        <v>10</v>
      </c>
      <c r="G40">
        <v>4</v>
      </c>
      <c r="H40">
        <v>39</v>
      </c>
      <c r="I40">
        <v>4797.5</v>
      </c>
      <c r="J40">
        <v>650</v>
      </c>
      <c r="K40" s="4"/>
      <c r="L40" s="4"/>
      <c r="M40" s="8"/>
      <c r="N40" s="4"/>
    </row>
    <row r="41" spans="1:14" ht="13.2" x14ac:dyDescent="0.25">
      <c r="A41" s="1" t="s">
        <v>10</v>
      </c>
      <c r="B41" s="1" t="s">
        <v>239</v>
      </c>
      <c r="C41">
        <v>40</v>
      </c>
      <c r="D41">
        <v>4790</v>
      </c>
      <c r="E41" s="2"/>
      <c r="F41" s="4" t="s">
        <v>10</v>
      </c>
      <c r="G41">
        <v>4</v>
      </c>
      <c r="H41">
        <v>40</v>
      </c>
      <c r="I41">
        <v>4887.5</v>
      </c>
      <c r="J41">
        <v>300</v>
      </c>
      <c r="K41" s="4"/>
      <c r="L41" s="4"/>
      <c r="M41" s="8"/>
      <c r="N41" s="4"/>
    </row>
    <row r="42" spans="1:14" ht="13.2" x14ac:dyDescent="0.25">
      <c r="A42" s="1" t="s">
        <v>10</v>
      </c>
      <c r="B42" s="1" t="s">
        <v>239</v>
      </c>
      <c r="C42">
        <v>41</v>
      </c>
      <c r="D42">
        <v>4790</v>
      </c>
      <c r="E42" s="2"/>
      <c r="F42" s="4" t="s">
        <v>10</v>
      </c>
      <c r="G42">
        <v>4</v>
      </c>
      <c r="H42">
        <v>41</v>
      </c>
      <c r="I42">
        <v>4760</v>
      </c>
      <c r="J42">
        <v>500</v>
      </c>
      <c r="K42" s="4"/>
      <c r="L42" s="4"/>
      <c r="M42" s="8"/>
      <c r="N42" s="4"/>
    </row>
    <row r="43" spans="1:14" ht="13.2" x14ac:dyDescent="0.25">
      <c r="A43" s="1" t="s">
        <v>10</v>
      </c>
      <c r="B43" s="1" t="s">
        <v>239</v>
      </c>
      <c r="C43">
        <v>42</v>
      </c>
      <c r="D43">
        <v>4340</v>
      </c>
      <c r="E43" s="2"/>
      <c r="F43" s="4" t="s">
        <v>10</v>
      </c>
      <c r="G43">
        <v>4</v>
      </c>
      <c r="H43">
        <v>42</v>
      </c>
      <c r="I43">
        <v>4853.8</v>
      </c>
      <c r="J43">
        <v>505</v>
      </c>
      <c r="K43" s="4"/>
      <c r="L43" s="4"/>
      <c r="M43" s="8"/>
      <c r="N43" s="4"/>
    </row>
    <row r="44" spans="1:14" ht="13.2" x14ac:dyDescent="0.25">
      <c r="A44" s="1" t="s">
        <v>10</v>
      </c>
      <c r="B44" s="1" t="s">
        <v>239</v>
      </c>
      <c r="C44">
        <v>43</v>
      </c>
      <c r="D44">
        <v>4895</v>
      </c>
      <c r="E44" s="2"/>
      <c r="F44" s="4" t="s">
        <v>10</v>
      </c>
      <c r="G44">
        <v>4</v>
      </c>
      <c r="H44">
        <v>43</v>
      </c>
      <c r="I44">
        <v>4925</v>
      </c>
      <c r="J44">
        <v>300</v>
      </c>
      <c r="K44" s="4"/>
      <c r="L44" s="4"/>
      <c r="M44" s="8"/>
      <c r="N44" s="4"/>
    </row>
    <row r="45" spans="1:14" ht="13.2" x14ac:dyDescent="0.25">
      <c r="A45" s="1" t="s">
        <v>10</v>
      </c>
      <c r="B45" s="1" t="s">
        <v>239</v>
      </c>
      <c r="C45">
        <v>44</v>
      </c>
      <c r="D45">
        <v>5750</v>
      </c>
      <c r="E45" s="2"/>
      <c r="F45" s="4" t="s">
        <v>10</v>
      </c>
      <c r="G45">
        <v>4</v>
      </c>
      <c r="H45">
        <v>44</v>
      </c>
      <c r="I45">
        <v>5041.3</v>
      </c>
      <c r="J45">
        <v>335</v>
      </c>
      <c r="K45" s="4"/>
      <c r="L45" s="4"/>
      <c r="M45" s="8"/>
      <c r="N45" s="4"/>
    </row>
    <row r="46" spans="1:14" ht="13.2" x14ac:dyDescent="0.25">
      <c r="A46" s="1" t="s">
        <v>10</v>
      </c>
      <c r="B46" s="1" t="s">
        <v>239</v>
      </c>
      <c r="C46">
        <v>45</v>
      </c>
      <c r="D46">
        <v>4740</v>
      </c>
      <c r="E46" s="2"/>
      <c r="F46" s="4" t="s">
        <v>10</v>
      </c>
      <c r="G46">
        <v>4</v>
      </c>
      <c r="H46">
        <v>45</v>
      </c>
      <c r="I46">
        <v>4835</v>
      </c>
      <c r="J46">
        <v>1385</v>
      </c>
      <c r="K46" s="4"/>
      <c r="L46" s="4"/>
      <c r="M46" s="8"/>
      <c r="N46" s="5"/>
    </row>
    <row r="47" spans="1:14" ht="13.2" x14ac:dyDescent="0.25">
      <c r="A47" s="1" t="s">
        <v>10</v>
      </c>
      <c r="B47" s="1" t="s">
        <v>239</v>
      </c>
      <c r="C47">
        <v>46</v>
      </c>
      <c r="D47">
        <v>5000</v>
      </c>
      <c r="E47" s="2"/>
      <c r="F47" s="4" t="s">
        <v>10</v>
      </c>
      <c r="G47">
        <v>4</v>
      </c>
      <c r="H47">
        <v>46</v>
      </c>
      <c r="I47">
        <v>4555</v>
      </c>
      <c r="J47">
        <v>340</v>
      </c>
      <c r="K47" s="4"/>
      <c r="L47" s="4"/>
      <c r="M47" s="8"/>
      <c r="N47" s="4"/>
    </row>
    <row r="48" spans="1:14" ht="13.2" x14ac:dyDescent="0.25">
      <c r="A48" s="1" t="s">
        <v>10</v>
      </c>
      <c r="B48" s="1" t="s">
        <v>239</v>
      </c>
      <c r="C48">
        <v>47</v>
      </c>
      <c r="D48">
        <v>4895</v>
      </c>
      <c r="E48" s="2"/>
      <c r="F48" s="4" t="s">
        <v>10</v>
      </c>
      <c r="G48">
        <v>4</v>
      </c>
      <c r="H48">
        <v>47</v>
      </c>
      <c r="I48">
        <v>4566.3</v>
      </c>
      <c r="J48">
        <v>265</v>
      </c>
      <c r="K48" s="4"/>
      <c r="L48" s="4"/>
      <c r="M48" s="8"/>
      <c r="N48" s="4"/>
    </row>
    <row r="49" spans="1:14" ht="13.2" x14ac:dyDescent="0.25">
      <c r="A49" s="1" t="s">
        <v>10</v>
      </c>
      <c r="B49" s="1" t="s">
        <v>239</v>
      </c>
      <c r="C49">
        <v>48</v>
      </c>
      <c r="D49">
        <v>4255</v>
      </c>
      <c r="E49" s="2"/>
      <c r="F49" s="4" t="s">
        <v>10</v>
      </c>
      <c r="G49">
        <v>4</v>
      </c>
      <c r="H49">
        <v>48</v>
      </c>
      <c r="I49">
        <v>4842.5</v>
      </c>
      <c r="J49">
        <v>230</v>
      </c>
      <c r="K49" s="4"/>
      <c r="L49" s="4"/>
      <c r="M49" s="8"/>
      <c r="N49" s="4"/>
    </row>
    <row r="50" spans="1:14" ht="13.2" x14ac:dyDescent="0.25">
      <c r="A50" s="1" t="s">
        <v>10</v>
      </c>
      <c r="B50" s="1" t="s">
        <v>239</v>
      </c>
      <c r="C50">
        <v>49</v>
      </c>
      <c r="D50">
        <v>4170</v>
      </c>
      <c r="E50" s="2"/>
      <c r="F50" s="4" t="s">
        <v>10</v>
      </c>
      <c r="G50">
        <v>4</v>
      </c>
      <c r="H50">
        <v>49</v>
      </c>
      <c r="I50">
        <v>4343.8</v>
      </c>
      <c r="J50">
        <v>490</v>
      </c>
      <c r="K50" s="4"/>
      <c r="L50" s="4"/>
      <c r="M50" s="8"/>
      <c r="N50" s="4"/>
    </row>
    <row r="51" spans="1:14" ht="13.2" x14ac:dyDescent="0.25">
      <c r="A51" s="1" t="s">
        <v>10</v>
      </c>
      <c r="B51" s="1" t="s">
        <v>239</v>
      </c>
      <c r="C51">
        <v>50</v>
      </c>
      <c r="D51">
        <v>3850</v>
      </c>
      <c r="E51" s="2"/>
      <c r="F51" s="4" t="s">
        <v>10</v>
      </c>
      <c r="G51">
        <v>4</v>
      </c>
      <c r="H51">
        <v>50</v>
      </c>
      <c r="I51">
        <v>4361.3</v>
      </c>
      <c r="J51">
        <v>1360</v>
      </c>
      <c r="K51" s="4"/>
      <c r="L51" s="4"/>
      <c r="M51" s="8"/>
      <c r="N51" s="5"/>
    </row>
    <row r="52" spans="1:14" ht="13.2" x14ac:dyDescent="0.25">
      <c r="A52" s="1" t="s">
        <v>10</v>
      </c>
      <c r="B52" s="1" t="s">
        <v>239</v>
      </c>
      <c r="C52">
        <v>51</v>
      </c>
      <c r="D52">
        <v>4445</v>
      </c>
      <c r="E52" s="2"/>
      <c r="F52" s="4" t="s">
        <v>10</v>
      </c>
      <c r="G52">
        <v>4</v>
      </c>
      <c r="H52">
        <v>51</v>
      </c>
      <c r="I52">
        <v>5100</v>
      </c>
      <c r="J52">
        <v>250</v>
      </c>
      <c r="K52" s="4"/>
      <c r="L52" s="4"/>
      <c r="M52" s="8"/>
      <c r="N52" s="4"/>
    </row>
    <row r="53" spans="1:14" ht="13.2" x14ac:dyDescent="0.25">
      <c r="A53" s="1" t="s">
        <v>10</v>
      </c>
      <c r="B53" s="1" t="s">
        <v>239</v>
      </c>
      <c r="C53">
        <v>52</v>
      </c>
      <c r="D53">
        <v>4650</v>
      </c>
      <c r="E53" s="2"/>
      <c r="F53" s="4" t="s">
        <v>240</v>
      </c>
      <c r="G53">
        <v>4</v>
      </c>
      <c r="H53">
        <v>1</v>
      </c>
      <c r="I53">
        <v>4446.3</v>
      </c>
      <c r="J53">
        <v>240</v>
      </c>
      <c r="K53" s="4"/>
      <c r="L53" s="4"/>
      <c r="M53" s="8"/>
      <c r="N53" s="4"/>
    </row>
    <row r="54" spans="1:14" ht="13.2" x14ac:dyDescent="0.25">
      <c r="A54" s="1" t="s">
        <v>10</v>
      </c>
      <c r="B54" s="1" t="s">
        <v>239</v>
      </c>
      <c r="C54">
        <v>53</v>
      </c>
      <c r="D54">
        <v>4170</v>
      </c>
      <c r="E54" s="2"/>
      <c r="F54" s="4" t="s">
        <v>240</v>
      </c>
      <c r="G54">
        <v>4</v>
      </c>
      <c r="H54">
        <v>2</v>
      </c>
      <c r="I54">
        <v>4383.8</v>
      </c>
      <c r="J54">
        <v>310</v>
      </c>
      <c r="K54" s="4"/>
      <c r="L54" s="4"/>
      <c r="M54" s="8"/>
      <c r="N54" s="4"/>
    </row>
    <row r="55" spans="1:14" ht="13.2" x14ac:dyDescent="0.25">
      <c r="A55" s="1" t="s">
        <v>10</v>
      </c>
      <c r="B55" s="1" t="s">
        <v>239</v>
      </c>
      <c r="C55">
        <v>54</v>
      </c>
      <c r="D55">
        <v>4255</v>
      </c>
      <c r="E55" s="2"/>
      <c r="F55" s="4" t="s">
        <v>240</v>
      </c>
      <c r="G55">
        <v>4</v>
      </c>
      <c r="H55">
        <v>3</v>
      </c>
      <c r="I55">
        <v>4251.3</v>
      </c>
      <c r="J55">
        <v>500</v>
      </c>
      <c r="K55" s="4"/>
      <c r="L55" s="4"/>
      <c r="M55" s="8"/>
      <c r="N55" s="4"/>
    </row>
    <row r="56" spans="1:14" ht="13.2" x14ac:dyDescent="0.25">
      <c r="A56" s="1" t="s">
        <v>10</v>
      </c>
      <c r="B56" s="1" t="s">
        <v>239</v>
      </c>
      <c r="C56">
        <v>55</v>
      </c>
      <c r="D56">
        <v>4170</v>
      </c>
      <c r="E56" s="2"/>
      <c r="F56" s="4" t="s">
        <v>240</v>
      </c>
      <c r="G56">
        <v>4</v>
      </c>
      <c r="H56">
        <v>4</v>
      </c>
      <c r="I56">
        <v>4490</v>
      </c>
      <c r="J56">
        <v>650</v>
      </c>
      <c r="K56" s="4"/>
      <c r="L56" s="4"/>
      <c r="M56" s="8"/>
      <c r="N56" s="4"/>
    </row>
    <row r="57" spans="1:14" ht="13.2" x14ac:dyDescent="0.25">
      <c r="A57" s="1" t="s">
        <v>10</v>
      </c>
      <c r="B57" s="1" t="s">
        <v>239</v>
      </c>
      <c r="C57">
        <v>56</v>
      </c>
      <c r="D57">
        <v>4375</v>
      </c>
      <c r="E57" s="2"/>
      <c r="F57" s="4" t="s">
        <v>240</v>
      </c>
      <c r="G57">
        <v>4</v>
      </c>
      <c r="H57">
        <v>5</v>
      </c>
      <c r="I57">
        <v>4425</v>
      </c>
      <c r="J57">
        <v>340</v>
      </c>
      <c r="K57" s="4"/>
      <c r="L57" s="4"/>
      <c r="M57" s="8"/>
      <c r="N57" s="4"/>
    </row>
    <row r="58" spans="1:14" ht="13.2" x14ac:dyDescent="0.25">
      <c r="A58" s="1" t="s">
        <v>10</v>
      </c>
      <c r="B58" s="1" t="s">
        <v>239</v>
      </c>
      <c r="C58">
        <v>57</v>
      </c>
      <c r="D58">
        <v>4175</v>
      </c>
      <c r="E58" s="2"/>
      <c r="F58" s="4" t="s">
        <v>240</v>
      </c>
      <c r="G58">
        <v>4</v>
      </c>
      <c r="H58">
        <v>6</v>
      </c>
      <c r="I58">
        <v>4640</v>
      </c>
      <c r="J58">
        <v>390</v>
      </c>
      <c r="K58" s="4"/>
      <c r="L58" s="4"/>
      <c r="M58" s="8"/>
      <c r="N58" s="4"/>
    </row>
    <row r="59" spans="1:14" ht="13.2" x14ac:dyDescent="0.25">
      <c r="A59" s="1" t="s">
        <v>10</v>
      </c>
      <c r="B59" s="1" t="s">
        <v>239</v>
      </c>
      <c r="C59">
        <v>58</v>
      </c>
      <c r="D59">
        <v>4550</v>
      </c>
      <c r="E59" s="2"/>
      <c r="F59" s="4" t="s">
        <v>240</v>
      </c>
      <c r="G59">
        <v>4</v>
      </c>
      <c r="H59">
        <v>7</v>
      </c>
      <c r="I59">
        <v>4280</v>
      </c>
      <c r="J59">
        <v>500</v>
      </c>
      <c r="K59" s="4"/>
      <c r="L59" s="4"/>
      <c r="M59" s="8"/>
      <c r="N59" s="4"/>
    </row>
    <row r="60" spans="1:14" ht="13.2" x14ac:dyDescent="0.25">
      <c r="A60" s="1" t="s">
        <v>10</v>
      </c>
      <c r="B60" s="1" t="s">
        <v>239</v>
      </c>
      <c r="C60">
        <v>59</v>
      </c>
      <c r="D60">
        <v>4450</v>
      </c>
      <c r="E60" s="2"/>
      <c r="F60" s="4" t="s">
        <v>240</v>
      </c>
      <c r="G60">
        <v>4</v>
      </c>
      <c r="H60">
        <v>8</v>
      </c>
      <c r="I60">
        <v>4430</v>
      </c>
      <c r="J60">
        <v>370</v>
      </c>
      <c r="K60" s="4"/>
      <c r="L60" s="4"/>
      <c r="M60" s="8"/>
      <c r="N60" s="4"/>
    </row>
    <row r="61" spans="1:14" ht="13.2" x14ac:dyDescent="0.25">
      <c r="A61" s="1" t="s">
        <v>10</v>
      </c>
      <c r="B61" s="1" t="s">
        <v>239</v>
      </c>
      <c r="C61">
        <v>60</v>
      </c>
      <c r="D61">
        <v>2855</v>
      </c>
      <c r="E61" s="2"/>
      <c r="F61" s="4" t="s">
        <v>240</v>
      </c>
      <c r="G61">
        <v>4</v>
      </c>
      <c r="H61">
        <v>9</v>
      </c>
      <c r="I61">
        <v>4240</v>
      </c>
      <c r="J61">
        <v>200</v>
      </c>
      <c r="K61" s="4"/>
      <c r="L61" s="4"/>
      <c r="M61" s="8"/>
      <c r="N61" s="4"/>
    </row>
    <row r="62" spans="1:14" ht="13.2" x14ac:dyDescent="0.25">
      <c r="A62" s="1" t="s">
        <v>10</v>
      </c>
      <c r="B62" s="1" t="s">
        <v>239</v>
      </c>
      <c r="C62">
        <v>61</v>
      </c>
      <c r="D62">
        <v>2920</v>
      </c>
      <c r="E62" s="2"/>
      <c r="F62" s="4" t="s">
        <v>240</v>
      </c>
      <c r="G62">
        <v>4</v>
      </c>
      <c r="H62">
        <v>10</v>
      </c>
      <c r="I62">
        <v>4486.3</v>
      </c>
      <c r="J62">
        <v>420</v>
      </c>
      <c r="K62" s="4"/>
      <c r="L62" s="4"/>
      <c r="M62" s="8"/>
      <c r="N62" s="4"/>
    </row>
    <row r="63" spans="1:14" ht="13.2" x14ac:dyDescent="0.25">
      <c r="A63" s="1" t="s">
        <v>10</v>
      </c>
      <c r="B63" s="1" t="s">
        <v>239</v>
      </c>
      <c r="C63">
        <v>62</v>
      </c>
      <c r="D63">
        <v>4375</v>
      </c>
      <c r="E63" s="2"/>
      <c r="F63" s="4" t="s">
        <v>240</v>
      </c>
      <c r="G63">
        <v>4</v>
      </c>
      <c r="H63">
        <v>11</v>
      </c>
      <c r="I63">
        <v>4430</v>
      </c>
      <c r="J63">
        <v>250</v>
      </c>
      <c r="K63" s="4"/>
      <c r="L63" s="4"/>
      <c r="M63" s="8"/>
      <c r="N63" s="4"/>
    </row>
    <row r="64" spans="1:14" ht="13.2" x14ac:dyDescent="0.25">
      <c r="A64" s="1" t="s">
        <v>10</v>
      </c>
      <c r="B64" s="1" t="s">
        <v>239</v>
      </c>
      <c r="C64">
        <v>63</v>
      </c>
      <c r="D64">
        <v>4375</v>
      </c>
      <c r="E64" s="2"/>
      <c r="F64" s="4" t="s">
        <v>240</v>
      </c>
      <c r="G64">
        <v>4</v>
      </c>
      <c r="H64">
        <v>12</v>
      </c>
      <c r="I64">
        <v>4377.5</v>
      </c>
      <c r="J64">
        <v>380</v>
      </c>
      <c r="K64" s="4"/>
      <c r="L64" s="4"/>
      <c r="M64" s="8"/>
      <c r="N64" s="4"/>
    </row>
    <row r="65" spans="1:14" ht="13.2" x14ac:dyDescent="0.25">
      <c r="A65" s="1" t="s">
        <v>10</v>
      </c>
      <c r="B65" s="1" t="s">
        <v>239</v>
      </c>
      <c r="C65">
        <v>64</v>
      </c>
      <c r="D65">
        <v>4355</v>
      </c>
      <c r="E65" s="2"/>
      <c r="F65" s="4" t="s">
        <v>240</v>
      </c>
      <c r="G65">
        <v>4</v>
      </c>
      <c r="H65">
        <v>13</v>
      </c>
      <c r="I65">
        <v>4313.8</v>
      </c>
      <c r="J65">
        <v>130</v>
      </c>
      <c r="K65" s="4"/>
      <c r="L65" s="4"/>
      <c r="M65" s="8"/>
      <c r="N65" s="4"/>
    </row>
    <row r="66" spans="1:14" ht="13.2" x14ac:dyDescent="0.25">
      <c r="A66" s="1" t="s">
        <v>10</v>
      </c>
      <c r="B66" s="1" t="s">
        <v>239</v>
      </c>
      <c r="C66">
        <v>65</v>
      </c>
      <c r="D66">
        <v>4090</v>
      </c>
      <c r="E66" s="2"/>
      <c r="F66" s="4" t="s">
        <v>240</v>
      </c>
      <c r="G66">
        <v>4</v>
      </c>
      <c r="H66">
        <v>14</v>
      </c>
      <c r="I66">
        <v>4350</v>
      </c>
      <c r="J66">
        <v>250</v>
      </c>
      <c r="K66" s="4"/>
      <c r="L66" s="4"/>
      <c r="M66" s="8"/>
      <c r="N66" s="4"/>
    </row>
    <row r="67" spans="1:14" ht="13.2" x14ac:dyDescent="0.25">
      <c r="A67" s="1" t="s">
        <v>10</v>
      </c>
      <c r="B67" s="1" t="s">
        <v>239</v>
      </c>
      <c r="C67">
        <v>66</v>
      </c>
      <c r="D67">
        <v>5000</v>
      </c>
      <c r="E67" s="2"/>
      <c r="F67" s="4" t="s">
        <v>240</v>
      </c>
      <c r="G67">
        <v>4</v>
      </c>
      <c r="H67">
        <v>15</v>
      </c>
      <c r="I67">
        <v>4576.3</v>
      </c>
      <c r="J67">
        <v>250</v>
      </c>
      <c r="K67" s="4"/>
      <c r="L67" s="4"/>
      <c r="M67" s="8"/>
      <c r="N67" s="4"/>
    </row>
    <row r="68" spans="1:14" ht="13.2" x14ac:dyDescent="0.25">
      <c r="A68" s="1" t="s">
        <v>10</v>
      </c>
      <c r="B68" s="1" t="s">
        <v>239</v>
      </c>
      <c r="C68">
        <v>67</v>
      </c>
      <c r="D68">
        <v>4335</v>
      </c>
      <c r="E68" s="2"/>
      <c r="F68" s="4" t="s">
        <v>240</v>
      </c>
      <c r="G68">
        <v>4</v>
      </c>
      <c r="H68">
        <v>16</v>
      </c>
      <c r="I68">
        <v>4550</v>
      </c>
      <c r="J68">
        <v>640</v>
      </c>
      <c r="K68" s="4"/>
      <c r="L68" s="4"/>
      <c r="M68" s="8"/>
      <c r="N68" s="4"/>
    </row>
    <row r="69" spans="1:14" ht="13.2" x14ac:dyDescent="0.25">
      <c r="A69" s="1" t="s">
        <v>10</v>
      </c>
      <c r="B69" s="1" t="s">
        <v>239</v>
      </c>
      <c r="C69">
        <v>68</v>
      </c>
      <c r="D69">
        <v>5000</v>
      </c>
      <c r="E69" s="2"/>
      <c r="F69" s="2"/>
      <c r="G69" s="1"/>
      <c r="H69" s="1"/>
      <c r="I69" s="1"/>
      <c r="J69" s="1"/>
      <c r="K69" s="1"/>
      <c r="L69" s="1"/>
      <c r="M69" s="1"/>
      <c r="N69" s="1"/>
    </row>
    <row r="70" spans="1:14" ht="13.2" x14ac:dyDescent="0.25">
      <c r="A70" s="1" t="s">
        <v>10</v>
      </c>
      <c r="B70" s="1" t="s">
        <v>239</v>
      </c>
      <c r="C70">
        <v>69</v>
      </c>
      <c r="D70">
        <v>4640</v>
      </c>
      <c r="E70" s="2"/>
      <c r="F70" s="2"/>
      <c r="G70" s="1"/>
      <c r="H70" s="1"/>
      <c r="I70" s="1"/>
      <c r="J70" s="1"/>
      <c r="K70" s="1"/>
      <c r="L70" s="1"/>
      <c r="M70" s="1"/>
      <c r="N70" s="1"/>
    </row>
    <row r="71" spans="1:14" ht="13.2" x14ac:dyDescent="0.25">
      <c r="A71" s="1" t="s">
        <v>10</v>
      </c>
      <c r="B71" s="1" t="s">
        <v>239</v>
      </c>
      <c r="C71">
        <v>70</v>
      </c>
      <c r="D71">
        <v>4335</v>
      </c>
      <c r="E71" s="2"/>
      <c r="F71" s="2"/>
      <c r="G71" s="1"/>
      <c r="H71" s="1"/>
      <c r="I71" s="1"/>
      <c r="J71" s="1"/>
      <c r="K71" s="1"/>
      <c r="L71" s="1"/>
      <c r="M71" s="1"/>
      <c r="N71" s="1"/>
    </row>
    <row r="72" spans="1:14" ht="13.2" x14ac:dyDescent="0.25">
      <c r="A72" s="1" t="s">
        <v>10</v>
      </c>
      <c r="B72" s="1" t="s">
        <v>239</v>
      </c>
      <c r="C72">
        <v>71</v>
      </c>
      <c r="D72">
        <v>5000</v>
      </c>
      <c r="E72" s="2"/>
      <c r="F72" s="2"/>
      <c r="G72" s="1"/>
      <c r="H72" s="1"/>
      <c r="I72" s="1"/>
      <c r="J72" s="1"/>
      <c r="K72" s="1"/>
      <c r="L72" s="1"/>
      <c r="M72" s="1"/>
      <c r="N72" s="1"/>
    </row>
    <row r="73" spans="1:14" ht="13.2" x14ac:dyDescent="0.25">
      <c r="A73" s="1" t="s">
        <v>10</v>
      </c>
      <c r="B73" s="1" t="s">
        <v>239</v>
      </c>
      <c r="C73">
        <v>72</v>
      </c>
      <c r="D73">
        <v>4615</v>
      </c>
      <c r="E73" s="2"/>
      <c r="F73" s="2"/>
      <c r="G73" s="1"/>
      <c r="H73" s="1"/>
      <c r="I73" s="1"/>
      <c r="J73" s="1"/>
      <c r="K73" s="1"/>
      <c r="L73" s="1"/>
      <c r="M73" s="1"/>
      <c r="N73" s="1"/>
    </row>
    <row r="74" spans="1:14" ht="13.2" x14ac:dyDescent="0.25">
      <c r="A74" s="1" t="s">
        <v>10</v>
      </c>
      <c r="B74" s="1" t="s">
        <v>239</v>
      </c>
      <c r="C74">
        <v>73</v>
      </c>
      <c r="D74">
        <v>4215</v>
      </c>
      <c r="E74" s="2"/>
      <c r="F74" s="2"/>
      <c r="G74" s="1"/>
      <c r="H74" s="1"/>
      <c r="I74" s="1"/>
      <c r="J74" s="1"/>
      <c r="K74" s="1"/>
      <c r="L74" s="1"/>
      <c r="M74" s="1"/>
      <c r="N74" s="1"/>
    </row>
    <row r="75" spans="1:14" ht="13.2" x14ac:dyDescent="0.25">
      <c r="A75" s="1" t="s">
        <v>10</v>
      </c>
      <c r="B75" s="1" t="s">
        <v>239</v>
      </c>
      <c r="C75">
        <v>74</v>
      </c>
      <c r="D75">
        <v>4275</v>
      </c>
      <c r="E75" s="2"/>
      <c r="F75" s="2"/>
      <c r="G75" s="1"/>
      <c r="H75" s="1"/>
      <c r="I75" s="1"/>
      <c r="J75" s="1"/>
      <c r="K75" s="1"/>
      <c r="L75" s="1"/>
      <c r="M75" s="1"/>
      <c r="N75" s="1"/>
    </row>
    <row r="76" spans="1:14" ht="13.2" x14ac:dyDescent="0.25">
      <c r="A76" s="1" t="s">
        <v>10</v>
      </c>
      <c r="B76" s="1" t="s">
        <v>239</v>
      </c>
      <c r="C76">
        <v>75</v>
      </c>
      <c r="D76">
        <v>4275</v>
      </c>
      <c r="E76" s="2"/>
      <c r="F76" s="2"/>
      <c r="G76" s="1"/>
      <c r="H76" s="1"/>
      <c r="I76" s="1"/>
      <c r="J76" s="1"/>
      <c r="K76" s="1"/>
      <c r="L76" s="1"/>
      <c r="M76" s="1"/>
      <c r="N76" s="1"/>
    </row>
    <row r="77" spans="1:14" ht="13.2" x14ac:dyDescent="0.25">
      <c r="A77" s="1" t="s">
        <v>10</v>
      </c>
      <c r="B77" s="1" t="s">
        <v>239</v>
      </c>
      <c r="C77">
        <v>76</v>
      </c>
      <c r="D77">
        <v>5000</v>
      </c>
      <c r="E77" s="2"/>
      <c r="F77" s="2"/>
      <c r="G77" s="1"/>
      <c r="H77" s="1"/>
      <c r="I77" s="1"/>
      <c r="J77" s="1"/>
      <c r="K77" s="1"/>
      <c r="L77" s="1"/>
      <c r="M77" s="1"/>
      <c r="N77" s="1"/>
    </row>
    <row r="78" spans="1:14" ht="13.2" x14ac:dyDescent="0.25">
      <c r="A78" s="1" t="s">
        <v>10</v>
      </c>
      <c r="B78" s="1" t="s">
        <v>239</v>
      </c>
      <c r="C78">
        <v>77</v>
      </c>
      <c r="D78">
        <v>4615</v>
      </c>
      <c r="E78" s="2"/>
      <c r="F78" s="2"/>
      <c r="G78" s="1"/>
      <c r="H78" s="1"/>
      <c r="I78" s="1"/>
      <c r="J78" s="1"/>
      <c r="K78" s="1"/>
      <c r="L78" s="1"/>
      <c r="M78" s="1"/>
      <c r="N78" s="1"/>
    </row>
    <row r="79" spans="1:14" ht="13.2" x14ac:dyDescent="0.25">
      <c r="A79" s="1" t="s">
        <v>10</v>
      </c>
      <c r="B79" s="1" t="s">
        <v>239</v>
      </c>
      <c r="C79">
        <v>78</v>
      </c>
      <c r="D79">
        <v>4735</v>
      </c>
      <c r="E79" s="2"/>
      <c r="F79" s="2"/>
      <c r="G79" s="1"/>
      <c r="H79" s="1"/>
      <c r="I79" s="1"/>
      <c r="J79" s="1"/>
      <c r="K79" s="1"/>
      <c r="L79" s="1"/>
      <c r="M79" s="1"/>
      <c r="N79" s="1"/>
    </row>
    <row r="80" spans="1:14" ht="13.2" x14ac:dyDescent="0.25">
      <c r="A80" s="1" t="s">
        <v>10</v>
      </c>
      <c r="B80" s="1" t="s">
        <v>239</v>
      </c>
      <c r="C80">
        <v>79</v>
      </c>
      <c r="D80">
        <v>4215</v>
      </c>
      <c r="E80" s="2"/>
      <c r="F80" s="2"/>
      <c r="G80" s="1"/>
      <c r="H80" s="1"/>
      <c r="I80" s="1"/>
      <c r="J80" s="1"/>
      <c r="K80" s="1"/>
      <c r="L80" s="1"/>
      <c r="M80" s="1"/>
      <c r="N80" s="1"/>
    </row>
    <row r="81" spans="1:14" ht="13.2" x14ac:dyDescent="0.25">
      <c r="A81" s="1" t="s">
        <v>10</v>
      </c>
      <c r="B81" s="1" t="s">
        <v>239</v>
      </c>
      <c r="C81">
        <v>80</v>
      </c>
      <c r="D81">
        <v>4700</v>
      </c>
      <c r="E81" s="2"/>
      <c r="F81" s="2"/>
      <c r="G81" s="1"/>
      <c r="H81" s="1"/>
      <c r="I81" s="1"/>
      <c r="J81" s="1"/>
      <c r="K81" s="1"/>
      <c r="L81" s="1"/>
      <c r="M81" s="1"/>
      <c r="N81" s="1"/>
    </row>
    <row r="82" spans="1:14" ht="13.2" x14ac:dyDescent="0.25">
      <c r="A82" s="1" t="s">
        <v>10</v>
      </c>
      <c r="B82" s="1" t="s">
        <v>239</v>
      </c>
      <c r="C82">
        <v>81</v>
      </c>
      <c r="D82">
        <v>4700</v>
      </c>
      <c r="E82" s="2"/>
      <c r="F82" s="2"/>
      <c r="G82" s="1"/>
      <c r="H82" s="1"/>
      <c r="I82" s="1"/>
      <c r="J82" s="1"/>
      <c r="K82" s="1"/>
      <c r="L82" s="1"/>
      <c r="M82" s="1"/>
      <c r="N82" s="1"/>
    </row>
    <row r="83" spans="1:14" ht="13.2" x14ac:dyDescent="0.25">
      <c r="A83" s="1" t="s">
        <v>10</v>
      </c>
      <c r="B83" s="1" t="s">
        <v>239</v>
      </c>
      <c r="C83">
        <v>82</v>
      </c>
      <c r="D83">
        <v>4700</v>
      </c>
      <c r="E83" s="2"/>
      <c r="F83" s="2"/>
      <c r="G83" s="1"/>
      <c r="H83" s="1"/>
      <c r="I83" s="1"/>
      <c r="J83" s="1"/>
      <c r="K83" s="1"/>
      <c r="L83" s="1"/>
      <c r="M83" s="1"/>
      <c r="N83" s="1"/>
    </row>
    <row r="84" spans="1:14" ht="13.2" x14ac:dyDescent="0.25">
      <c r="A84" s="1" t="s">
        <v>10</v>
      </c>
      <c r="B84" s="1" t="s">
        <v>239</v>
      </c>
      <c r="C84">
        <v>83</v>
      </c>
      <c r="D84">
        <v>4700</v>
      </c>
      <c r="E84" s="2"/>
      <c r="F84" s="2"/>
      <c r="G84" s="1"/>
      <c r="H84" s="1"/>
      <c r="I84" s="1"/>
      <c r="J84" s="1"/>
      <c r="K84" s="1"/>
      <c r="L84" s="1"/>
      <c r="M84" s="1"/>
      <c r="N84" s="1"/>
    </row>
    <row r="85" spans="1:14" ht="13.2" x14ac:dyDescent="0.25">
      <c r="A85" s="1" t="s">
        <v>10</v>
      </c>
      <c r="B85" s="1" t="s">
        <v>239</v>
      </c>
      <c r="C85">
        <v>84</v>
      </c>
      <c r="D85">
        <v>4095</v>
      </c>
      <c r="E85" s="2"/>
      <c r="F85" s="2"/>
      <c r="G85" s="1"/>
      <c r="H85" s="1"/>
      <c r="I85" s="1"/>
      <c r="J85" s="1"/>
      <c r="K85" s="1"/>
      <c r="L85" s="1"/>
      <c r="M85" s="1"/>
      <c r="N85" s="1"/>
    </row>
    <row r="86" spans="1:14" ht="13.2" x14ac:dyDescent="0.25">
      <c r="A86" s="1" t="s">
        <v>10</v>
      </c>
      <c r="B86" s="1" t="s">
        <v>239</v>
      </c>
      <c r="C86">
        <v>85</v>
      </c>
      <c r="D86">
        <v>4095</v>
      </c>
      <c r="E86" s="2"/>
      <c r="F86" s="2"/>
      <c r="G86" s="1"/>
      <c r="H86" s="1"/>
      <c r="I86" s="1"/>
      <c r="J86" s="1"/>
      <c r="K86" s="1"/>
      <c r="L86" s="1"/>
      <c r="M86" s="1"/>
      <c r="N86" s="1"/>
    </row>
    <row r="87" spans="1:14" ht="13.2" x14ac:dyDescent="0.25">
      <c r="A87" s="1" t="s">
        <v>10</v>
      </c>
      <c r="B87" s="1" t="s">
        <v>239</v>
      </c>
      <c r="C87">
        <v>86</v>
      </c>
      <c r="D87">
        <v>3940</v>
      </c>
      <c r="E87" s="2"/>
      <c r="F87" s="2"/>
      <c r="G87" s="1"/>
      <c r="H87" s="1"/>
      <c r="I87" s="1"/>
      <c r="J87" s="1"/>
      <c r="K87" s="1"/>
      <c r="L87" s="1"/>
      <c r="M87" s="1"/>
      <c r="N87" s="1"/>
    </row>
    <row r="88" spans="1:14" ht="13.2" x14ac:dyDescent="0.25">
      <c r="A88" s="1" t="s">
        <v>10</v>
      </c>
      <c r="B88" s="1" t="s">
        <v>239</v>
      </c>
      <c r="C88">
        <v>87</v>
      </c>
      <c r="D88">
        <v>3700</v>
      </c>
      <c r="E88" s="2"/>
      <c r="F88" s="2"/>
      <c r="G88" s="1"/>
      <c r="H88" s="1"/>
      <c r="I88" s="1"/>
      <c r="J88" s="1"/>
      <c r="K88" s="1"/>
      <c r="L88" s="1"/>
      <c r="M88" s="1"/>
      <c r="N88" s="1"/>
    </row>
    <row r="89" spans="1:14" ht="13.2" x14ac:dyDescent="0.25">
      <c r="A89" s="1" t="s">
        <v>10</v>
      </c>
      <c r="B89" s="1" t="s">
        <v>239</v>
      </c>
      <c r="C89">
        <v>88</v>
      </c>
      <c r="D89">
        <v>3650</v>
      </c>
      <c r="E89" s="2"/>
      <c r="F89" s="2"/>
      <c r="G89" s="1"/>
      <c r="H89" s="1"/>
      <c r="I89" s="1"/>
      <c r="J89" s="1"/>
      <c r="K89" s="1"/>
      <c r="L89" s="1"/>
      <c r="M89" s="1"/>
      <c r="N89" s="1"/>
    </row>
    <row r="90" spans="1:14" ht="13.2" x14ac:dyDescent="0.25">
      <c r="A90" s="1" t="s">
        <v>10</v>
      </c>
      <c r="B90" s="1" t="s">
        <v>239</v>
      </c>
      <c r="C90">
        <v>89</v>
      </c>
      <c r="D90">
        <v>4445</v>
      </c>
      <c r="E90" s="2"/>
      <c r="F90" s="2"/>
      <c r="G90" s="1"/>
      <c r="H90" s="1"/>
      <c r="I90" s="1"/>
      <c r="J90" s="1"/>
      <c r="K90" s="1"/>
      <c r="L90" s="1"/>
      <c r="M90" s="1"/>
      <c r="N90" s="1"/>
    </row>
    <row r="91" spans="1:14" ht="13.2" x14ac:dyDescent="0.25">
      <c r="A91" s="1" t="s">
        <v>10</v>
      </c>
      <c r="B91" s="1" t="s">
        <v>239</v>
      </c>
      <c r="C91">
        <v>90</v>
      </c>
      <c r="D91">
        <v>4000</v>
      </c>
      <c r="E91" s="2"/>
      <c r="F91" s="2"/>
      <c r="G91" s="1"/>
      <c r="H91" s="1"/>
      <c r="I91" s="1"/>
      <c r="J91" s="1"/>
      <c r="K91" s="1"/>
      <c r="L91" s="1"/>
      <c r="M91" s="1"/>
      <c r="N91" s="1"/>
    </row>
    <row r="92" spans="1:14" ht="13.2" x14ac:dyDescent="0.25">
      <c r="A92" s="1" t="s">
        <v>10</v>
      </c>
      <c r="B92" s="1" t="s">
        <v>239</v>
      </c>
      <c r="C92">
        <v>91</v>
      </c>
      <c r="D92">
        <v>4845</v>
      </c>
      <c r="E92" s="2"/>
      <c r="F92" s="2"/>
      <c r="G92" s="1"/>
      <c r="H92" s="1"/>
      <c r="I92" s="1"/>
      <c r="J92" s="1"/>
      <c r="K92" s="1"/>
      <c r="L92" s="1"/>
      <c r="M92" s="1"/>
      <c r="N92" s="1"/>
    </row>
    <row r="93" spans="1:14" ht="13.2" x14ac:dyDescent="0.25">
      <c r="A93" s="1" t="s">
        <v>10</v>
      </c>
      <c r="B93" s="1" t="s">
        <v>239</v>
      </c>
      <c r="C93">
        <v>92</v>
      </c>
      <c r="D93">
        <v>5000</v>
      </c>
      <c r="E93" s="2"/>
      <c r="F93" s="2"/>
      <c r="G93" s="1"/>
      <c r="H93" s="1"/>
      <c r="I93" s="1"/>
      <c r="J93" s="1"/>
      <c r="K93" s="1"/>
      <c r="L93" s="1"/>
      <c r="M93" s="1"/>
      <c r="N93" s="1"/>
    </row>
    <row r="94" spans="1:14" ht="13.2" x14ac:dyDescent="0.25">
      <c r="A94" s="1" t="s">
        <v>10</v>
      </c>
      <c r="B94" s="1" t="s">
        <v>239</v>
      </c>
      <c r="C94">
        <v>93</v>
      </c>
      <c r="D94">
        <v>4560</v>
      </c>
      <c r="E94" s="2"/>
      <c r="F94" s="2"/>
      <c r="G94" s="1"/>
      <c r="H94" s="1"/>
      <c r="I94" s="1"/>
      <c r="J94" s="1"/>
      <c r="K94" s="1"/>
      <c r="L94" s="1"/>
      <c r="M94" s="1"/>
      <c r="N94" s="1"/>
    </row>
    <row r="95" spans="1:14" ht="13.2" x14ac:dyDescent="0.25">
      <c r="A95" s="1" t="s">
        <v>10</v>
      </c>
      <c r="B95" s="1" t="s">
        <v>239</v>
      </c>
      <c r="C95">
        <v>94</v>
      </c>
      <c r="D95">
        <v>4700</v>
      </c>
      <c r="E95" s="2"/>
      <c r="F95" s="2"/>
      <c r="G95" s="1"/>
      <c r="H95" s="1"/>
      <c r="I95" s="1"/>
      <c r="J95" s="1"/>
      <c r="K95" s="1"/>
      <c r="L95" s="1"/>
      <c r="M95" s="1"/>
      <c r="N95" s="1"/>
    </row>
    <row r="96" spans="1:14" ht="13.2" x14ac:dyDescent="0.25">
      <c r="A96" s="1" t="s">
        <v>10</v>
      </c>
      <c r="B96" s="1" t="s">
        <v>239</v>
      </c>
      <c r="C96">
        <v>95</v>
      </c>
      <c r="D96">
        <v>4310</v>
      </c>
      <c r="E96" s="2"/>
      <c r="F96" s="2"/>
      <c r="G96" s="1"/>
      <c r="H96" s="1"/>
      <c r="I96" s="1"/>
      <c r="J96" s="1"/>
      <c r="K96" s="1"/>
      <c r="L96" s="1"/>
      <c r="M96" s="1"/>
      <c r="N96" s="1"/>
    </row>
    <row r="97" spans="1:14" ht="13.2" x14ac:dyDescent="0.25">
      <c r="A97" s="1" t="s">
        <v>10</v>
      </c>
      <c r="B97" s="1" t="s">
        <v>239</v>
      </c>
      <c r="C97">
        <v>96</v>
      </c>
      <c r="D97">
        <v>4310</v>
      </c>
      <c r="E97" s="2"/>
      <c r="F97" s="2"/>
      <c r="G97" s="1"/>
      <c r="H97" s="1"/>
      <c r="I97" s="1"/>
      <c r="J97" s="1"/>
      <c r="K97" s="1"/>
      <c r="L97" s="1"/>
      <c r="M97" s="1"/>
      <c r="N97" s="1"/>
    </row>
    <row r="98" spans="1:14" ht="13.2" x14ac:dyDescent="0.25">
      <c r="A98" s="1" t="s">
        <v>10</v>
      </c>
      <c r="B98" s="1" t="s">
        <v>239</v>
      </c>
      <c r="C98">
        <v>97</v>
      </c>
      <c r="D98">
        <v>5000</v>
      </c>
      <c r="E98" s="2"/>
      <c r="F98" s="2"/>
      <c r="G98" s="1"/>
      <c r="H98" s="1"/>
      <c r="I98" s="1"/>
      <c r="J98" s="1"/>
      <c r="K98" s="1"/>
      <c r="L98" s="1"/>
      <c r="M98" s="1"/>
      <c r="N98" s="1"/>
    </row>
    <row r="99" spans="1:14" ht="13.2" x14ac:dyDescent="0.25">
      <c r="A99" s="1" t="s">
        <v>10</v>
      </c>
      <c r="B99" s="1" t="s">
        <v>239</v>
      </c>
      <c r="C99">
        <v>98</v>
      </c>
      <c r="D99">
        <v>4575</v>
      </c>
      <c r="E99" s="2"/>
      <c r="F99" s="2"/>
      <c r="G99" s="1"/>
      <c r="H99" s="1"/>
      <c r="I99" s="1"/>
      <c r="J99" s="1"/>
      <c r="K99" s="1"/>
      <c r="L99" s="1"/>
      <c r="M99" s="1"/>
      <c r="N99" s="1"/>
    </row>
    <row r="100" spans="1:14" ht="13.2" x14ac:dyDescent="0.25">
      <c r="A100" s="1" t="s">
        <v>10</v>
      </c>
      <c r="B100" s="1" t="s">
        <v>239</v>
      </c>
      <c r="C100">
        <v>99</v>
      </c>
      <c r="D100">
        <v>4700</v>
      </c>
      <c r="E100" s="2"/>
      <c r="F100" s="2"/>
      <c r="G100" s="1"/>
      <c r="H100" s="1"/>
      <c r="I100" s="1"/>
      <c r="J100" s="1"/>
      <c r="K100" s="1"/>
      <c r="L100" s="1"/>
      <c r="M100" s="1"/>
      <c r="N100" s="1"/>
    </row>
    <row r="101" spans="1:14" ht="13.2" x14ac:dyDescent="0.25">
      <c r="A101" s="1" t="s">
        <v>10</v>
      </c>
      <c r="B101" s="1" t="s">
        <v>239</v>
      </c>
      <c r="C101">
        <v>100</v>
      </c>
      <c r="D101">
        <v>4430</v>
      </c>
      <c r="E101" s="2"/>
      <c r="F101" s="2"/>
      <c r="G101" s="1"/>
      <c r="H101" s="1"/>
      <c r="I101" s="1"/>
      <c r="J101" s="1"/>
      <c r="K101" s="1"/>
      <c r="L101" s="1"/>
      <c r="M101" s="1"/>
      <c r="N101" s="1"/>
    </row>
    <row r="102" spans="1:14" ht="13.2" x14ac:dyDescent="0.25">
      <c r="A102" s="1" t="s">
        <v>10</v>
      </c>
      <c r="B102" s="1" t="s">
        <v>239</v>
      </c>
      <c r="C102">
        <v>101</v>
      </c>
      <c r="D102">
        <v>4850</v>
      </c>
      <c r="E102" s="2"/>
      <c r="F102" s="2"/>
      <c r="G102" s="1"/>
      <c r="H102" s="1"/>
      <c r="I102" s="1"/>
      <c r="J102" s="1"/>
      <c r="K102" s="1"/>
      <c r="L102" s="1"/>
      <c r="M102" s="1"/>
      <c r="N102" s="1"/>
    </row>
    <row r="103" spans="1:14" ht="13.2" x14ac:dyDescent="0.25">
      <c r="A103" s="1" t="s">
        <v>10</v>
      </c>
      <c r="B103" s="1" t="s">
        <v>239</v>
      </c>
      <c r="C103">
        <v>102</v>
      </c>
      <c r="D103">
        <v>4850</v>
      </c>
      <c r="E103" s="2"/>
      <c r="F103" s="2"/>
      <c r="G103" s="1"/>
      <c r="H103" s="1"/>
      <c r="I103" s="1"/>
      <c r="J103" s="1"/>
      <c r="K103" s="1"/>
      <c r="L103" s="1"/>
      <c r="M103" s="1"/>
      <c r="N103" s="1"/>
    </row>
    <row r="104" spans="1:14" ht="13.2" x14ac:dyDescent="0.25">
      <c r="A104" s="1" t="s">
        <v>10</v>
      </c>
      <c r="B104" s="1" t="s">
        <v>239</v>
      </c>
      <c r="C104">
        <v>103</v>
      </c>
      <c r="D104">
        <v>4570</v>
      </c>
      <c r="E104" s="2"/>
      <c r="F104" s="2"/>
      <c r="G104" s="1"/>
      <c r="H104" s="1"/>
      <c r="I104" s="1"/>
      <c r="J104" s="1"/>
      <c r="K104" s="1"/>
      <c r="L104" s="1"/>
      <c r="M104" s="1"/>
      <c r="N104" s="1"/>
    </row>
    <row r="105" spans="1:14" ht="13.2" x14ac:dyDescent="0.25">
      <c r="A105" s="1" t="s">
        <v>10</v>
      </c>
      <c r="B105" s="1" t="s">
        <v>239</v>
      </c>
      <c r="C105">
        <v>104</v>
      </c>
      <c r="D105">
        <v>4570</v>
      </c>
      <c r="E105" s="2"/>
      <c r="F105" s="2"/>
      <c r="G105" s="1"/>
      <c r="H105" s="1"/>
      <c r="I105" s="1"/>
      <c r="J105" s="1"/>
      <c r="K105" s="1"/>
      <c r="L105" s="1"/>
      <c r="M105" s="1"/>
      <c r="N105" s="1"/>
    </row>
    <row r="106" spans="1:14" ht="13.2" x14ac:dyDescent="0.25">
      <c r="A106" s="1" t="s">
        <v>10</v>
      </c>
      <c r="B106" s="1" t="s">
        <v>239</v>
      </c>
      <c r="C106">
        <v>105</v>
      </c>
      <c r="D106">
        <v>4855</v>
      </c>
      <c r="E106" s="2"/>
      <c r="F106" s="2"/>
      <c r="G106" s="1"/>
      <c r="H106" s="1"/>
      <c r="I106" s="1"/>
      <c r="J106" s="1"/>
      <c r="K106" s="1"/>
      <c r="L106" s="1"/>
      <c r="M106" s="1"/>
      <c r="N106" s="1"/>
    </row>
    <row r="107" spans="1:14" ht="13.2" x14ac:dyDescent="0.25">
      <c r="A107" s="1" t="s">
        <v>10</v>
      </c>
      <c r="B107" s="1" t="s">
        <v>239</v>
      </c>
      <c r="C107">
        <v>106</v>
      </c>
      <c r="D107">
        <v>4160</v>
      </c>
      <c r="E107" s="2"/>
      <c r="F107" s="2"/>
      <c r="G107" s="1"/>
      <c r="H107" s="1"/>
      <c r="I107" s="1"/>
      <c r="J107" s="1"/>
      <c r="K107" s="1"/>
      <c r="L107" s="1"/>
      <c r="M107" s="1"/>
      <c r="N107" s="1"/>
    </row>
    <row r="108" spans="1:14" ht="13.2" x14ac:dyDescent="0.25">
      <c r="A108" s="1" t="s">
        <v>10</v>
      </c>
      <c r="B108" s="1" t="s">
        <v>239</v>
      </c>
      <c r="C108">
        <v>107</v>
      </c>
      <c r="D108">
        <v>4325</v>
      </c>
      <c r="E108" s="2"/>
      <c r="F108" s="2"/>
      <c r="G108" s="1"/>
      <c r="H108" s="1"/>
      <c r="I108" s="1"/>
      <c r="J108" s="1"/>
      <c r="K108" s="1"/>
      <c r="L108" s="1"/>
      <c r="M108" s="1"/>
      <c r="N108" s="1"/>
    </row>
    <row r="109" spans="1:14" ht="13.2" x14ac:dyDescent="0.25">
      <c r="A109" s="1" t="s">
        <v>10</v>
      </c>
      <c r="B109" s="1" t="s">
        <v>239</v>
      </c>
      <c r="C109">
        <v>108</v>
      </c>
      <c r="D109">
        <v>4125</v>
      </c>
      <c r="E109" s="2"/>
      <c r="F109" s="2"/>
      <c r="G109" s="1"/>
      <c r="H109" s="1"/>
      <c r="I109" s="1"/>
      <c r="J109" s="1"/>
      <c r="K109" s="1"/>
      <c r="L109" s="1"/>
      <c r="M109" s="1"/>
      <c r="N109" s="1"/>
    </row>
    <row r="110" spans="1:14" ht="13.2" x14ac:dyDescent="0.25">
      <c r="A110" s="1" t="s">
        <v>10</v>
      </c>
      <c r="B110" s="1" t="s">
        <v>239</v>
      </c>
      <c r="C110">
        <v>109</v>
      </c>
      <c r="D110">
        <v>4100</v>
      </c>
      <c r="E110" s="2"/>
      <c r="F110" s="2"/>
      <c r="G110" s="1"/>
      <c r="H110" s="1"/>
      <c r="I110" s="1"/>
      <c r="J110" s="1"/>
      <c r="K110" s="1"/>
      <c r="L110" s="1"/>
      <c r="M110" s="1"/>
      <c r="N110" s="1"/>
    </row>
    <row r="111" spans="1:14" ht="13.2" x14ac:dyDescent="0.25">
      <c r="A111" s="1" t="s">
        <v>10</v>
      </c>
      <c r="B111" s="1" t="s">
        <v>239</v>
      </c>
      <c r="C111">
        <v>110</v>
      </c>
      <c r="D111">
        <v>4340</v>
      </c>
      <c r="E111" s="2"/>
      <c r="F111" s="2"/>
      <c r="G111" s="1"/>
      <c r="H111" s="1"/>
      <c r="I111" s="1"/>
      <c r="J111" s="1"/>
      <c r="K111" s="1"/>
      <c r="L111" s="1"/>
      <c r="M111" s="1"/>
      <c r="N111" s="1"/>
    </row>
    <row r="112" spans="1:14" ht="13.2" x14ac:dyDescent="0.25">
      <c r="A112" s="1" t="s">
        <v>10</v>
      </c>
      <c r="B112" s="1" t="s">
        <v>239</v>
      </c>
      <c r="C112">
        <v>111</v>
      </c>
      <c r="D112">
        <v>4575</v>
      </c>
      <c r="E112" s="2"/>
      <c r="F112" s="2"/>
      <c r="G112" s="1"/>
      <c r="H112" s="1"/>
      <c r="I112" s="1"/>
      <c r="J112" s="1"/>
      <c r="K112" s="1"/>
      <c r="L112" s="1"/>
      <c r="M112" s="1"/>
      <c r="N112" s="1"/>
    </row>
    <row r="113" spans="1:14" ht="13.2" x14ac:dyDescent="0.25">
      <c r="A113" s="1" t="s">
        <v>10</v>
      </c>
      <c r="B113" s="1" t="s">
        <v>239</v>
      </c>
      <c r="C113">
        <v>112</v>
      </c>
      <c r="D113">
        <v>3875</v>
      </c>
      <c r="E113" s="2"/>
      <c r="F113" s="2"/>
      <c r="G113" s="1"/>
      <c r="H113" s="1"/>
      <c r="I113" s="1"/>
      <c r="J113" s="1"/>
      <c r="K113" s="1"/>
      <c r="L113" s="1"/>
      <c r="M113" s="1"/>
      <c r="N113" s="1"/>
    </row>
    <row r="114" spans="1:14" ht="13.2" x14ac:dyDescent="0.25">
      <c r="A114" s="1" t="s">
        <v>10</v>
      </c>
      <c r="B114" s="1" t="s">
        <v>239</v>
      </c>
      <c r="C114">
        <v>113</v>
      </c>
      <c r="D114">
        <v>4050</v>
      </c>
      <c r="E114" s="2"/>
      <c r="F114" s="2"/>
      <c r="G114" s="1"/>
      <c r="H114" s="1"/>
      <c r="I114" s="1"/>
      <c r="J114" s="1"/>
      <c r="K114" s="1"/>
      <c r="L114" s="1"/>
      <c r="M114" s="1"/>
      <c r="N114" s="1"/>
    </row>
    <row r="115" spans="1:14" ht="13.2" x14ac:dyDescent="0.25">
      <c r="A115" s="1" t="s">
        <v>10</v>
      </c>
      <c r="B115" s="1" t="s">
        <v>239</v>
      </c>
      <c r="C115">
        <v>114</v>
      </c>
      <c r="D115">
        <v>4050</v>
      </c>
      <c r="E115" s="2"/>
      <c r="F115" s="2"/>
      <c r="G115" s="1"/>
      <c r="H115" s="1"/>
      <c r="I115" s="1"/>
      <c r="J115" s="1"/>
      <c r="K115" s="1"/>
      <c r="L115" s="1"/>
      <c r="M115" s="1"/>
      <c r="N115" s="1"/>
    </row>
    <row r="116" spans="1:14" ht="13.2" x14ac:dyDescent="0.25">
      <c r="A116" s="1" t="s">
        <v>10</v>
      </c>
      <c r="B116" s="1" t="s">
        <v>239</v>
      </c>
      <c r="C116">
        <v>115</v>
      </c>
      <c r="D116">
        <v>4685</v>
      </c>
      <c r="E116" s="2"/>
      <c r="F116" s="2"/>
      <c r="G116" s="1"/>
      <c r="H116" s="1"/>
      <c r="I116" s="1"/>
      <c r="J116" s="1"/>
      <c r="K116" s="1"/>
      <c r="L116" s="1"/>
      <c r="M116" s="1"/>
      <c r="N116" s="1"/>
    </row>
    <row r="117" spans="1:14" ht="13.2" x14ac:dyDescent="0.25">
      <c r="A117" s="1" t="s">
        <v>10</v>
      </c>
      <c r="B117" s="1" t="s">
        <v>239</v>
      </c>
      <c r="C117">
        <v>116</v>
      </c>
      <c r="D117">
        <v>4685</v>
      </c>
      <c r="E117" s="2"/>
      <c r="F117" s="2"/>
      <c r="G117" s="1"/>
      <c r="H117" s="1"/>
      <c r="I117" s="1"/>
      <c r="J117" s="1"/>
      <c r="K117" s="1"/>
      <c r="L117" s="1"/>
      <c r="M117" s="1"/>
      <c r="N117" s="1"/>
    </row>
    <row r="118" spans="1:14" ht="13.2" x14ac:dyDescent="0.25">
      <c r="A118" s="1" t="s">
        <v>10</v>
      </c>
      <c r="B118" s="1" t="s">
        <v>239</v>
      </c>
      <c r="C118">
        <v>117</v>
      </c>
      <c r="D118">
        <v>4430</v>
      </c>
      <c r="E118" s="2"/>
      <c r="F118" s="2"/>
      <c r="G118" s="1"/>
      <c r="H118" s="1"/>
      <c r="I118" s="1"/>
      <c r="J118" s="1"/>
      <c r="K118" s="1"/>
      <c r="L118" s="1"/>
      <c r="M118" s="1"/>
      <c r="N118" s="1"/>
    </row>
    <row r="119" spans="1:14" ht="13.2" x14ac:dyDescent="0.25">
      <c r="A119" s="1" t="s">
        <v>10</v>
      </c>
      <c r="B119" s="1" t="s">
        <v>239</v>
      </c>
      <c r="C119">
        <v>118</v>
      </c>
      <c r="D119">
        <v>4300</v>
      </c>
      <c r="E119" s="2"/>
      <c r="F119" s="2"/>
      <c r="G119" s="1"/>
      <c r="H119" s="1"/>
      <c r="I119" s="1"/>
      <c r="J119" s="1"/>
      <c r="K119" s="1"/>
      <c r="L119" s="1"/>
      <c r="M119" s="1"/>
      <c r="N119" s="1"/>
    </row>
    <row r="120" spans="1:14" ht="13.2" x14ac:dyDescent="0.25">
      <c r="A120" s="1" t="s">
        <v>10</v>
      </c>
      <c r="B120" s="1" t="s">
        <v>239</v>
      </c>
      <c r="C120">
        <v>119</v>
      </c>
      <c r="D120">
        <v>4690</v>
      </c>
      <c r="E120" s="2"/>
      <c r="F120" s="2"/>
      <c r="G120" s="1"/>
      <c r="H120" s="1"/>
      <c r="I120" s="1"/>
      <c r="J120" s="1"/>
      <c r="K120" s="1"/>
      <c r="L120" s="1"/>
      <c r="M120" s="1"/>
      <c r="N120" s="1"/>
    </row>
    <row r="121" spans="1:14" ht="13.2" x14ac:dyDescent="0.25">
      <c r="A121" s="1" t="s">
        <v>10</v>
      </c>
      <c r="B121" s="1" t="s">
        <v>239</v>
      </c>
      <c r="C121">
        <v>120</v>
      </c>
      <c r="D121">
        <v>4560</v>
      </c>
      <c r="E121" s="2"/>
      <c r="F121" s="2"/>
      <c r="G121" s="1"/>
      <c r="H121" s="1"/>
      <c r="I121" s="1"/>
      <c r="J121" s="1"/>
      <c r="K121" s="1"/>
      <c r="L121" s="1"/>
      <c r="M121" s="1"/>
      <c r="N121" s="1"/>
    </row>
    <row r="122" spans="1:14" ht="13.2" x14ac:dyDescent="0.25">
      <c r="A122" s="1" t="s">
        <v>10</v>
      </c>
      <c r="B122" s="1" t="s">
        <v>239</v>
      </c>
      <c r="C122">
        <v>121</v>
      </c>
      <c r="D122">
        <v>3075</v>
      </c>
      <c r="E122" s="2"/>
      <c r="F122" s="2"/>
      <c r="G122" s="1"/>
      <c r="H122" s="1"/>
      <c r="I122" s="1"/>
      <c r="J122" s="1"/>
      <c r="K122" s="1"/>
      <c r="L122" s="1"/>
      <c r="M122" s="1"/>
      <c r="N122" s="1"/>
    </row>
    <row r="123" spans="1:14" ht="13.2" x14ac:dyDescent="0.25">
      <c r="A123" s="1" t="s">
        <v>10</v>
      </c>
      <c r="B123" s="1" t="s">
        <v>239</v>
      </c>
      <c r="C123">
        <v>122</v>
      </c>
      <c r="D123">
        <v>2965</v>
      </c>
      <c r="E123" s="2"/>
      <c r="F123" s="2"/>
      <c r="G123" s="1"/>
      <c r="H123" s="1"/>
      <c r="I123" s="1"/>
      <c r="J123" s="1"/>
      <c r="K123" s="1"/>
      <c r="L123" s="1"/>
      <c r="M123" s="1"/>
      <c r="N123" s="1"/>
    </row>
    <row r="124" spans="1:14" ht="13.2" x14ac:dyDescent="0.25">
      <c r="A124" s="1" t="s">
        <v>10</v>
      </c>
      <c r="B124" s="1" t="s">
        <v>239</v>
      </c>
      <c r="C124">
        <v>123</v>
      </c>
      <c r="D124">
        <v>4080</v>
      </c>
      <c r="E124" s="2"/>
      <c r="F124" s="2"/>
      <c r="G124" s="1"/>
      <c r="H124" s="1"/>
      <c r="I124" s="1"/>
      <c r="J124" s="1"/>
      <c r="K124" s="1"/>
      <c r="L124" s="1"/>
      <c r="M124" s="1"/>
      <c r="N124" s="1"/>
    </row>
    <row r="125" spans="1:14" ht="13.2" x14ac:dyDescent="0.25">
      <c r="A125" s="1" t="s">
        <v>10</v>
      </c>
      <c r="B125" s="1" t="s">
        <v>239</v>
      </c>
      <c r="C125">
        <v>124</v>
      </c>
      <c r="D125">
        <v>4080</v>
      </c>
      <c r="E125" s="2"/>
      <c r="F125" s="2"/>
      <c r="G125" s="1"/>
      <c r="H125" s="1"/>
      <c r="I125" s="1"/>
      <c r="J125" s="1"/>
      <c r="K125" s="1"/>
      <c r="L125" s="1"/>
      <c r="M125" s="1"/>
      <c r="N125" s="1"/>
    </row>
    <row r="126" spans="1:14" ht="13.2" x14ac:dyDescent="0.25">
      <c r="A126" s="1" t="s">
        <v>10</v>
      </c>
      <c r="B126" s="1" t="s">
        <v>239</v>
      </c>
      <c r="C126">
        <v>125</v>
      </c>
      <c r="D126">
        <v>4425</v>
      </c>
      <c r="E126" s="2"/>
      <c r="F126" s="2"/>
      <c r="G126" s="1"/>
      <c r="H126" s="1"/>
      <c r="I126" s="1"/>
      <c r="J126" s="1"/>
      <c r="K126" s="1"/>
      <c r="L126" s="1"/>
      <c r="M126" s="1"/>
      <c r="N126" s="1"/>
    </row>
    <row r="127" spans="1:14" ht="13.2" x14ac:dyDescent="0.25">
      <c r="A127" s="1" t="s">
        <v>10</v>
      </c>
      <c r="B127" s="1" t="s">
        <v>239</v>
      </c>
      <c r="C127">
        <v>126</v>
      </c>
      <c r="D127">
        <v>4300</v>
      </c>
      <c r="E127" s="2"/>
      <c r="F127" s="2"/>
      <c r="G127" s="1"/>
      <c r="H127" s="1"/>
      <c r="I127" s="1"/>
      <c r="J127" s="1"/>
      <c r="K127" s="1"/>
      <c r="L127" s="1"/>
      <c r="M127" s="1"/>
      <c r="N127" s="1"/>
    </row>
    <row r="128" spans="1:14" ht="13.2" x14ac:dyDescent="0.25">
      <c r="A128" s="1" t="s">
        <v>10</v>
      </c>
      <c r="B128" s="1" t="s">
        <v>239</v>
      </c>
      <c r="C128">
        <v>127</v>
      </c>
      <c r="D128">
        <v>4430</v>
      </c>
      <c r="E128" s="2"/>
      <c r="F128" s="2"/>
      <c r="G128" s="1"/>
      <c r="H128" s="1"/>
      <c r="I128" s="1"/>
      <c r="J128" s="1"/>
      <c r="K128" s="1"/>
      <c r="L128" s="1"/>
      <c r="M128" s="1"/>
      <c r="N128" s="1"/>
    </row>
    <row r="129" spans="1:14" ht="13.2" x14ac:dyDescent="0.25">
      <c r="A129" s="1" t="s">
        <v>10</v>
      </c>
      <c r="B129" s="1" t="s">
        <v>239</v>
      </c>
      <c r="C129">
        <v>128</v>
      </c>
      <c r="D129">
        <v>4840</v>
      </c>
      <c r="E129" s="2"/>
      <c r="F129" s="2"/>
      <c r="G129" s="1"/>
      <c r="H129" s="1"/>
      <c r="I129" s="1"/>
      <c r="J129" s="1"/>
      <c r="K129" s="1"/>
      <c r="L129" s="1"/>
      <c r="M129" s="1"/>
      <c r="N129" s="1"/>
    </row>
    <row r="130" spans="1:14" ht="13.2" x14ac:dyDescent="0.25">
      <c r="A130" s="1" t="s">
        <v>10</v>
      </c>
      <c r="B130" s="1" t="s">
        <v>239</v>
      </c>
      <c r="C130">
        <v>129</v>
      </c>
      <c r="D130">
        <v>4840</v>
      </c>
      <c r="E130" s="2"/>
      <c r="F130" s="2"/>
      <c r="G130" s="1"/>
      <c r="H130" s="1"/>
      <c r="I130" s="1"/>
      <c r="J130" s="1"/>
      <c r="K130" s="1"/>
      <c r="L130" s="1"/>
      <c r="M130" s="1"/>
      <c r="N130" s="1"/>
    </row>
    <row r="131" spans="1:14" ht="13.2" x14ac:dyDescent="0.25">
      <c r="A131" s="1" t="s">
        <v>10</v>
      </c>
      <c r="B131" s="1" t="s">
        <v>239</v>
      </c>
      <c r="C131">
        <v>130</v>
      </c>
      <c r="D131">
        <v>4310</v>
      </c>
      <c r="E131" s="2"/>
      <c r="F131" s="2"/>
      <c r="G131" s="1"/>
      <c r="H131" s="1"/>
      <c r="I131" s="1"/>
      <c r="J131" s="1"/>
      <c r="K131" s="1"/>
      <c r="L131" s="1"/>
      <c r="M131" s="1"/>
      <c r="N131" s="1"/>
    </row>
    <row r="132" spans="1:14" ht="13.2" x14ac:dyDescent="0.25">
      <c r="A132" s="1" t="s">
        <v>10</v>
      </c>
      <c r="B132" s="1" t="s">
        <v>239</v>
      </c>
      <c r="C132">
        <v>131</v>
      </c>
      <c r="D132">
        <v>4185</v>
      </c>
      <c r="E132" s="2"/>
      <c r="F132" s="2"/>
      <c r="G132" s="1"/>
      <c r="H132" s="1"/>
      <c r="I132" s="1"/>
      <c r="J132" s="1"/>
      <c r="K132" s="1"/>
      <c r="L132" s="1"/>
      <c r="M132" s="1"/>
      <c r="N132" s="1"/>
    </row>
    <row r="133" spans="1:14" ht="13.2" x14ac:dyDescent="0.25">
      <c r="A133" s="1" t="s">
        <v>10</v>
      </c>
      <c r="B133" s="1" t="s">
        <v>239</v>
      </c>
      <c r="C133">
        <v>132</v>
      </c>
      <c r="D133">
        <v>4570</v>
      </c>
      <c r="E133" s="2"/>
      <c r="F133" s="2"/>
      <c r="G133" s="1"/>
      <c r="H133" s="1"/>
      <c r="I133" s="1"/>
      <c r="J133" s="1"/>
      <c r="K133" s="1"/>
      <c r="L133" s="1"/>
      <c r="M133" s="1"/>
      <c r="N133" s="1"/>
    </row>
    <row r="134" spans="1:14" ht="13.2" x14ac:dyDescent="0.25">
      <c r="A134" s="1" t="s">
        <v>10</v>
      </c>
      <c r="B134" s="1" t="s">
        <v>239</v>
      </c>
      <c r="C134">
        <v>133</v>
      </c>
      <c r="D134">
        <v>4700</v>
      </c>
      <c r="E134" s="2"/>
      <c r="F134" s="2"/>
      <c r="G134" s="1"/>
      <c r="H134" s="1"/>
      <c r="I134" s="1"/>
      <c r="J134" s="1"/>
      <c r="K134" s="1"/>
      <c r="L134" s="1"/>
      <c r="M134" s="1"/>
      <c r="N134" s="1"/>
    </row>
    <row r="135" spans="1:14" ht="13.2" x14ac:dyDescent="0.25">
      <c r="A135" s="1" t="s">
        <v>10</v>
      </c>
      <c r="B135" s="1" t="s">
        <v>239</v>
      </c>
      <c r="C135">
        <v>134</v>
      </c>
      <c r="D135">
        <v>4440</v>
      </c>
      <c r="E135" s="2"/>
      <c r="F135" s="2"/>
      <c r="G135" s="1"/>
      <c r="H135" s="1"/>
      <c r="I135" s="1"/>
      <c r="J135" s="1"/>
      <c r="K135" s="1"/>
      <c r="L135" s="1"/>
      <c r="M135" s="1"/>
      <c r="N135" s="1"/>
    </row>
    <row r="136" spans="1:14" ht="13.2" x14ac:dyDescent="0.25">
      <c r="A136" s="1" t="s">
        <v>10</v>
      </c>
      <c r="B136" s="1" t="s">
        <v>239</v>
      </c>
      <c r="C136">
        <v>135</v>
      </c>
      <c r="D136">
        <v>4850</v>
      </c>
      <c r="E136" s="2"/>
      <c r="F136" s="2"/>
      <c r="G136" s="1"/>
      <c r="H136" s="1"/>
      <c r="I136" s="1"/>
      <c r="J136" s="1"/>
      <c r="K136" s="1"/>
      <c r="L136" s="1"/>
      <c r="M136" s="1"/>
      <c r="N136" s="1"/>
    </row>
    <row r="137" spans="1:14" ht="13.2" x14ac:dyDescent="0.25">
      <c r="A137" s="1" t="s">
        <v>10</v>
      </c>
      <c r="B137" s="1" t="s">
        <v>239</v>
      </c>
      <c r="C137">
        <v>136</v>
      </c>
      <c r="D137">
        <v>4125</v>
      </c>
      <c r="E137" s="2"/>
      <c r="F137" s="2"/>
      <c r="G137" s="1"/>
      <c r="H137" s="1"/>
      <c r="I137" s="1"/>
      <c r="J137" s="1"/>
      <c r="K137" s="1"/>
      <c r="L137" s="1"/>
      <c r="M137" s="1"/>
      <c r="N137" s="1"/>
    </row>
    <row r="138" spans="1:14" ht="13.2" x14ac:dyDescent="0.25">
      <c r="A138" s="1" t="s">
        <v>10</v>
      </c>
      <c r="B138" s="1" t="s">
        <v>239</v>
      </c>
      <c r="C138">
        <v>137</v>
      </c>
      <c r="D138">
        <v>4450</v>
      </c>
      <c r="E138" s="2"/>
      <c r="F138" s="2"/>
      <c r="G138" s="1"/>
      <c r="H138" s="1"/>
      <c r="I138" s="1"/>
      <c r="J138" s="1"/>
      <c r="K138" s="1"/>
      <c r="L138" s="1"/>
      <c r="M138" s="1"/>
      <c r="N138" s="1"/>
    </row>
    <row r="139" spans="1:14" ht="13.2" x14ac:dyDescent="0.25">
      <c r="A139" s="1" t="s">
        <v>10</v>
      </c>
      <c r="B139" s="1" t="s">
        <v>239</v>
      </c>
      <c r="C139">
        <v>138</v>
      </c>
      <c r="D139">
        <v>4450</v>
      </c>
      <c r="E139" s="2"/>
      <c r="F139" s="2"/>
      <c r="G139" s="1"/>
      <c r="H139" s="1"/>
      <c r="I139" s="1"/>
      <c r="J139" s="1"/>
      <c r="K139" s="1"/>
      <c r="L139" s="1"/>
      <c r="M139" s="1"/>
      <c r="N139" s="1"/>
    </row>
    <row r="140" spans="1:14" ht="13.2" x14ac:dyDescent="0.25">
      <c r="A140" s="1" t="s">
        <v>10</v>
      </c>
      <c r="B140" s="1" t="s">
        <v>239</v>
      </c>
      <c r="C140">
        <v>139</v>
      </c>
      <c r="D140">
        <v>4850</v>
      </c>
      <c r="E140" s="2"/>
      <c r="F140" s="2"/>
      <c r="G140" s="1"/>
      <c r="H140" s="1"/>
      <c r="I140" s="1"/>
      <c r="J140" s="1"/>
      <c r="K140" s="1"/>
      <c r="L140" s="1"/>
      <c r="M140" s="1"/>
      <c r="N140" s="1"/>
    </row>
    <row r="141" spans="1:14" ht="13.2" x14ac:dyDescent="0.25">
      <c r="A141" s="1" t="s">
        <v>10</v>
      </c>
      <c r="B141" s="1" t="s">
        <v>239</v>
      </c>
      <c r="C141">
        <v>140</v>
      </c>
      <c r="D141">
        <v>4450</v>
      </c>
      <c r="E141" s="2"/>
      <c r="F141" s="2"/>
      <c r="G141" s="1"/>
      <c r="H141" s="1"/>
      <c r="I141" s="1"/>
      <c r="J141" s="1"/>
      <c r="K141" s="1"/>
      <c r="L141" s="1"/>
      <c r="M141" s="1"/>
      <c r="N141" s="1"/>
    </row>
    <row r="142" spans="1:14" ht="13.2" x14ac:dyDescent="0.25">
      <c r="A142" s="1" t="s">
        <v>10</v>
      </c>
      <c r="B142" s="1" t="s">
        <v>239</v>
      </c>
      <c r="C142">
        <v>141</v>
      </c>
      <c r="D142">
        <v>3635</v>
      </c>
      <c r="E142" s="2"/>
      <c r="F142" s="2"/>
      <c r="G142" s="1"/>
      <c r="H142" s="1"/>
      <c r="I142" s="1"/>
      <c r="J142" s="1"/>
      <c r="K142" s="1"/>
      <c r="L142" s="1"/>
      <c r="M142" s="1"/>
      <c r="N142" s="1"/>
    </row>
    <row r="143" spans="1:14" ht="13.2" x14ac:dyDescent="0.25">
      <c r="A143" s="1" t="s">
        <v>10</v>
      </c>
      <c r="B143" s="1" t="s">
        <v>239</v>
      </c>
      <c r="C143">
        <v>142</v>
      </c>
      <c r="D143">
        <v>3635</v>
      </c>
      <c r="E143" s="2"/>
      <c r="F143" s="2"/>
      <c r="G143" s="1"/>
      <c r="H143" s="1"/>
      <c r="I143" s="1"/>
      <c r="J143" s="1"/>
      <c r="K143" s="1"/>
      <c r="L143" s="1"/>
      <c r="M143" s="1"/>
      <c r="N143" s="1"/>
    </row>
    <row r="144" spans="1:14" ht="13.2" x14ac:dyDescent="0.25">
      <c r="A144" s="1" t="s">
        <v>10</v>
      </c>
      <c r="B144" s="1" t="s">
        <v>239</v>
      </c>
      <c r="C144">
        <v>143</v>
      </c>
      <c r="D144">
        <v>3635</v>
      </c>
      <c r="E144" s="2"/>
      <c r="F144" s="2"/>
      <c r="G144" s="1"/>
      <c r="H144" s="1"/>
      <c r="I144" s="1"/>
      <c r="J144" s="1"/>
      <c r="K144" s="1"/>
      <c r="L144" s="1"/>
      <c r="M144" s="1"/>
      <c r="N144" s="1"/>
    </row>
    <row r="145" spans="1:14" ht="13.2" x14ac:dyDescent="0.25">
      <c r="A145" s="1" t="s">
        <v>10</v>
      </c>
      <c r="B145" s="1" t="s">
        <v>239</v>
      </c>
      <c r="C145">
        <v>144</v>
      </c>
      <c r="D145">
        <v>3900</v>
      </c>
      <c r="E145" s="2"/>
      <c r="F145" s="2"/>
      <c r="G145" s="1"/>
      <c r="H145" s="1"/>
      <c r="I145" s="1"/>
      <c r="J145" s="1"/>
      <c r="K145" s="1"/>
      <c r="L145" s="1"/>
      <c r="M145" s="1"/>
      <c r="N145" s="1"/>
    </row>
    <row r="146" spans="1:14" ht="13.2" x14ac:dyDescent="0.25">
      <c r="A146" s="1" t="s">
        <v>10</v>
      </c>
      <c r="B146" s="1" t="s">
        <v>239</v>
      </c>
      <c r="C146">
        <v>145</v>
      </c>
      <c r="D146">
        <v>4340</v>
      </c>
      <c r="E146" s="2"/>
      <c r="F146" s="2"/>
      <c r="G146" s="1"/>
      <c r="H146" s="1"/>
      <c r="I146" s="1"/>
      <c r="J146" s="1"/>
      <c r="K146" s="1"/>
      <c r="L146" s="1"/>
      <c r="M146" s="1"/>
      <c r="N146" s="1"/>
    </row>
    <row r="147" spans="1:14" ht="13.2" x14ac:dyDescent="0.25">
      <c r="A147" s="1" t="s">
        <v>10</v>
      </c>
      <c r="B147" s="1" t="s">
        <v>239</v>
      </c>
      <c r="C147">
        <v>146</v>
      </c>
      <c r="D147">
        <v>4340</v>
      </c>
      <c r="E147" s="2"/>
      <c r="F147" s="2"/>
      <c r="G147" s="1"/>
      <c r="H147" s="1"/>
      <c r="I147" s="1"/>
      <c r="J147" s="1"/>
      <c r="K147" s="1"/>
      <c r="L147" s="1"/>
      <c r="M147" s="1"/>
      <c r="N147" s="1"/>
    </row>
    <row r="148" spans="1:14" ht="13.2" x14ac:dyDescent="0.25">
      <c r="A148" s="1" t="s">
        <v>10</v>
      </c>
      <c r="B148" s="1" t="s">
        <v>239</v>
      </c>
      <c r="C148">
        <v>147</v>
      </c>
      <c r="D148">
        <v>3665</v>
      </c>
      <c r="E148" s="2"/>
      <c r="F148" s="2"/>
      <c r="G148" s="1"/>
      <c r="H148" s="1"/>
      <c r="I148" s="1"/>
      <c r="J148" s="1"/>
      <c r="K148" s="1"/>
      <c r="L148" s="1"/>
      <c r="M148" s="1"/>
      <c r="N148" s="1"/>
    </row>
    <row r="149" spans="1:14" ht="13.2" x14ac:dyDescent="0.25">
      <c r="A149" s="1" t="s">
        <v>10</v>
      </c>
      <c r="B149" s="1" t="s">
        <v>239</v>
      </c>
      <c r="C149">
        <v>148</v>
      </c>
      <c r="D149">
        <v>3775</v>
      </c>
      <c r="E149" s="2"/>
      <c r="F149" s="2"/>
      <c r="G149" s="1"/>
      <c r="H149" s="1"/>
      <c r="I149" s="1"/>
      <c r="J149" s="1"/>
      <c r="K149" s="1"/>
      <c r="L149" s="1"/>
      <c r="M149" s="1"/>
      <c r="N149" s="1"/>
    </row>
    <row r="150" spans="1:14" ht="13.2" x14ac:dyDescent="0.25">
      <c r="A150" s="1" t="s">
        <v>10</v>
      </c>
      <c r="B150" s="1" t="s">
        <v>239</v>
      </c>
      <c r="C150">
        <v>149</v>
      </c>
      <c r="D150">
        <v>5000</v>
      </c>
      <c r="E150" s="2"/>
      <c r="F150" s="2"/>
      <c r="G150" s="1"/>
      <c r="H150" s="1"/>
      <c r="I150" s="1"/>
      <c r="J150" s="1"/>
      <c r="K150" s="1"/>
      <c r="L150" s="1"/>
      <c r="M150" s="1"/>
      <c r="N150" s="1"/>
    </row>
    <row r="151" spans="1:14" ht="13.2" x14ac:dyDescent="0.25">
      <c r="A151" s="1" t="s">
        <v>10</v>
      </c>
      <c r="B151" s="1" t="s">
        <v>239</v>
      </c>
      <c r="C151">
        <v>150</v>
      </c>
      <c r="D151">
        <v>4850</v>
      </c>
      <c r="E151" s="2"/>
      <c r="F151" s="2"/>
      <c r="G151" s="1"/>
      <c r="H151" s="1"/>
      <c r="I151" s="1"/>
      <c r="J151" s="1"/>
      <c r="K151" s="1"/>
      <c r="L151" s="1"/>
      <c r="M151" s="1"/>
      <c r="N151" s="1"/>
    </row>
    <row r="152" spans="1:14" ht="13.2" x14ac:dyDescent="0.25">
      <c r="A152" s="1" t="s">
        <v>10</v>
      </c>
      <c r="B152" s="1" t="s">
        <v>239</v>
      </c>
      <c r="C152">
        <v>151</v>
      </c>
      <c r="D152">
        <v>4775</v>
      </c>
      <c r="E152" s="2"/>
      <c r="F152" s="2"/>
      <c r="G152" s="1"/>
      <c r="H152" s="1"/>
      <c r="I152" s="1"/>
      <c r="J152" s="1"/>
      <c r="K152" s="1"/>
      <c r="L152" s="1"/>
      <c r="M152" s="1"/>
      <c r="N152" s="1"/>
    </row>
    <row r="153" spans="1:14" ht="13.2" x14ac:dyDescent="0.25">
      <c r="A153" s="1" t="s">
        <v>10</v>
      </c>
      <c r="B153" s="1" t="s">
        <v>239</v>
      </c>
      <c r="C153">
        <v>152</v>
      </c>
      <c r="D153">
        <v>4500</v>
      </c>
      <c r="E153" s="2"/>
      <c r="F153" s="2"/>
      <c r="G153" s="1"/>
      <c r="H153" s="1"/>
      <c r="I153" s="1"/>
      <c r="J153" s="1"/>
      <c r="K153" s="1"/>
      <c r="L153" s="1"/>
      <c r="M153" s="1"/>
      <c r="N153" s="1"/>
    </row>
    <row r="154" spans="1:14" ht="13.2" x14ac:dyDescent="0.25">
      <c r="A154" s="1" t="s">
        <v>10</v>
      </c>
      <c r="B154" s="1" t="s">
        <v>239</v>
      </c>
      <c r="C154">
        <v>153</v>
      </c>
      <c r="D154">
        <v>4770</v>
      </c>
      <c r="E154" s="2"/>
      <c r="F154" s="2"/>
      <c r="G154" s="1"/>
      <c r="H154" s="1"/>
      <c r="I154" s="1"/>
      <c r="J154" s="1"/>
      <c r="K154" s="1"/>
      <c r="L154" s="1"/>
      <c r="M154" s="1"/>
      <c r="N154" s="1"/>
    </row>
    <row r="155" spans="1:14" ht="13.2" x14ac:dyDescent="0.25">
      <c r="A155" s="1" t="s">
        <v>10</v>
      </c>
      <c r="B155" s="1" t="s">
        <v>239</v>
      </c>
      <c r="C155">
        <v>154</v>
      </c>
      <c r="D155">
        <v>4500</v>
      </c>
      <c r="E155" s="2"/>
      <c r="F155" s="2"/>
      <c r="G155" s="1"/>
      <c r="H155" s="1"/>
      <c r="I155" s="1"/>
      <c r="J155" s="1"/>
      <c r="K155" s="1"/>
      <c r="L155" s="1"/>
      <c r="M155" s="1"/>
      <c r="N155" s="1"/>
    </row>
    <row r="156" spans="1:14" ht="13.2" x14ac:dyDescent="0.25">
      <c r="A156" s="1" t="s">
        <v>10</v>
      </c>
      <c r="B156" s="1" t="s">
        <v>239</v>
      </c>
      <c r="C156">
        <v>155</v>
      </c>
      <c r="D156">
        <v>4770</v>
      </c>
      <c r="E156" s="2"/>
      <c r="F156" s="2"/>
      <c r="G156" s="1"/>
      <c r="H156" s="1"/>
      <c r="I156" s="1"/>
      <c r="J156" s="1"/>
      <c r="K156" s="1"/>
      <c r="L156" s="1"/>
      <c r="M156" s="1"/>
      <c r="N156" s="1"/>
    </row>
    <row r="157" spans="1:14" ht="13.2" x14ac:dyDescent="0.25">
      <c r="A157" s="1" t="s">
        <v>10</v>
      </c>
      <c r="B157" s="1" t="s">
        <v>239</v>
      </c>
      <c r="C157">
        <v>156</v>
      </c>
      <c r="D157">
        <v>5150</v>
      </c>
      <c r="E157" s="2"/>
      <c r="F157" s="2"/>
      <c r="G157" s="1"/>
      <c r="H157" s="1"/>
      <c r="I157" s="1"/>
      <c r="J157" s="1"/>
      <c r="K157" s="1"/>
      <c r="L157" s="1"/>
      <c r="M157" s="1"/>
      <c r="N157" s="1"/>
    </row>
    <row r="158" spans="1:14" ht="13.2" x14ac:dyDescent="0.25">
      <c r="A158" s="1" t="s">
        <v>10</v>
      </c>
      <c r="B158" s="1" t="s">
        <v>239</v>
      </c>
      <c r="C158">
        <v>157</v>
      </c>
      <c r="D158">
        <v>4850</v>
      </c>
      <c r="E158" s="2"/>
      <c r="F158" s="2"/>
      <c r="G158" s="1"/>
      <c r="H158" s="1"/>
      <c r="I158" s="1"/>
      <c r="J158" s="1"/>
      <c r="K158" s="1"/>
      <c r="L158" s="1"/>
      <c r="M158" s="1"/>
      <c r="N158" s="1"/>
    </row>
    <row r="159" spans="1:14" ht="13.2" x14ac:dyDescent="0.25">
      <c r="A159" s="1" t="s">
        <v>10</v>
      </c>
      <c r="B159" s="1" t="s">
        <v>239</v>
      </c>
      <c r="C159">
        <v>158</v>
      </c>
      <c r="D159">
        <v>4700</v>
      </c>
      <c r="E159" s="2"/>
      <c r="F159" s="2"/>
      <c r="G159" s="1"/>
      <c r="H159" s="1"/>
      <c r="I159" s="1"/>
      <c r="J159" s="1"/>
      <c r="K159" s="1"/>
      <c r="L159" s="1"/>
      <c r="M159" s="1"/>
      <c r="N159" s="1"/>
    </row>
    <row r="160" spans="1:14" ht="13.2" x14ac:dyDescent="0.25">
      <c r="A160" s="1" t="s">
        <v>10</v>
      </c>
      <c r="B160" s="1" t="s">
        <v>239</v>
      </c>
      <c r="C160">
        <v>159</v>
      </c>
      <c r="D160">
        <v>5000</v>
      </c>
      <c r="E160" s="2"/>
      <c r="F160" s="2"/>
      <c r="G160" s="1"/>
      <c r="H160" s="1"/>
      <c r="I160" s="1"/>
      <c r="J160" s="1"/>
      <c r="K160" s="1"/>
      <c r="L160" s="1"/>
      <c r="M160" s="1"/>
      <c r="N160" s="1"/>
    </row>
    <row r="161" spans="1:14" ht="13.2" x14ac:dyDescent="0.25">
      <c r="A161" s="1" t="s">
        <v>10</v>
      </c>
      <c r="B161" s="1" t="s">
        <v>239</v>
      </c>
      <c r="C161">
        <v>160</v>
      </c>
      <c r="D161">
        <v>5000</v>
      </c>
      <c r="E161" s="2"/>
      <c r="F161" s="2"/>
      <c r="G161" s="1"/>
      <c r="H161" s="1"/>
      <c r="I161" s="1"/>
      <c r="J161" s="1"/>
      <c r="K161" s="1"/>
      <c r="L161" s="1"/>
      <c r="M161" s="1"/>
      <c r="N161" s="1"/>
    </row>
    <row r="162" spans="1:14" ht="13.2" x14ac:dyDescent="0.25">
      <c r="A162" s="1" t="s">
        <v>10</v>
      </c>
      <c r="B162" s="1" t="s">
        <v>239</v>
      </c>
      <c r="C162">
        <v>161</v>
      </c>
      <c r="D162">
        <v>5000</v>
      </c>
      <c r="E162" s="2"/>
      <c r="F162" s="2"/>
      <c r="G162" s="1"/>
      <c r="H162" s="1"/>
      <c r="I162" s="1"/>
      <c r="J162" s="1"/>
      <c r="K162" s="1"/>
      <c r="L162" s="1"/>
      <c r="M162" s="1"/>
      <c r="N162" s="1"/>
    </row>
    <row r="163" spans="1:14" ht="13.2" x14ac:dyDescent="0.25">
      <c r="A163" s="1" t="s">
        <v>10</v>
      </c>
      <c r="B163" s="1" t="s">
        <v>239</v>
      </c>
      <c r="C163">
        <v>162</v>
      </c>
      <c r="D163">
        <v>4700</v>
      </c>
      <c r="E163" s="2"/>
      <c r="F163" s="2"/>
      <c r="G163" s="1"/>
      <c r="H163" s="1"/>
      <c r="I163" s="1"/>
      <c r="J163" s="1"/>
      <c r="K163" s="1"/>
      <c r="L163" s="1"/>
      <c r="M163" s="1"/>
      <c r="N163" s="1"/>
    </row>
    <row r="164" spans="1:14" ht="13.2" x14ac:dyDescent="0.25">
      <c r="A164" s="1" t="s">
        <v>10</v>
      </c>
      <c r="B164" s="1" t="s">
        <v>239</v>
      </c>
      <c r="C164">
        <v>163</v>
      </c>
      <c r="D164">
        <v>4500</v>
      </c>
      <c r="E164" s="2"/>
      <c r="F164" s="2"/>
      <c r="G164" s="1"/>
      <c r="H164" s="1"/>
      <c r="I164" s="1"/>
      <c r="J164" s="1"/>
      <c r="K164" s="1"/>
      <c r="L164" s="1"/>
      <c r="M164" s="1"/>
      <c r="N164" s="1"/>
    </row>
    <row r="165" spans="1:14" ht="13.2" x14ac:dyDescent="0.25">
      <c r="A165" s="1" t="s">
        <v>10</v>
      </c>
      <c r="B165" s="1" t="s">
        <v>239</v>
      </c>
      <c r="C165">
        <v>164</v>
      </c>
      <c r="D165">
        <v>4840</v>
      </c>
      <c r="E165" s="2"/>
      <c r="F165" s="2"/>
      <c r="G165" s="1"/>
      <c r="H165" s="1"/>
      <c r="I165" s="1"/>
      <c r="J165" s="1"/>
      <c r="K165" s="1"/>
      <c r="L165" s="1"/>
      <c r="M165" s="1"/>
      <c r="N165" s="1"/>
    </row>
    <row r="166" spans="1:14" ht="13.2" x14ac:dyDescent="0.25">
      <c r="A166" s="1" t="s">
        <v>10</v>
      </c>
      <c r="B166" s="1" t="s">
        <v>239</v>
      </c>
      <c r="C166">
        <v>165</v>
      </c>
      <c r="D166">
        <v>5075</v>
      </c>
      <c r="E166" s="2"/>
      <c r="F166" s="2"/>
      <c r="G166" s="1"/>
      <c r="H166" s="1"/>
      <c r="I166" s="1"/>
      <c r="J166" s="1"/>
      <c r="K166" s="1"/>
      <c r="L166" s="1"/>
      <c r="M166" s="1"/>
      <c r="N166" s="1"/>
    </row>
    <row r="167" spans="1:14" ht="13.2" x14ac:dyDescent="0.25">
      <c r="A167" s="1" t="s">
        <v>10</v>
      </c>
      <c r="B167" s="1" t="s">
        <v>239</v>
      </c>
      <c r="C167">
        <v>166</v>
      </c>
      <c r="D167">
        <v>5000</v>
      </c>
      <c r="E167" s="2"/>
      <c r="F167" s="2"/>
      <c r="G167" s="1"/>
      <c r="H167" s="1"/>
      <c r="I167" s="1"/>
      <c r="J167" s="1"/>
      <c r="K167" s="1"/>
      <c r="L167" s="1"/>
      <c r="M167" s="1"/>
      <c r="N167" s="1"/>
    </row>
    <row r="168" spans="1:14" ht="13.2" x14ac:dyDescent="0.25">
      <c r="A168" s="1" t="s">
        <v>10</v>
      </c>
      <c r="B168" s="1" t="s">
        <v>239</v>
      </c>
      <c r="C168">
        <v>167</v>
      </c>
      <c r="D168">
        <v>4770</v>
      </c>
      <c r="E168" s="2"/>
      <c r="F168" s="2"/>
      <c r="G168" s="1"/>
      <c r="H168" s="1"/>
      <c r="I168" s="1"/>
      <c r="J168" s="1"/>
      <c r="K168" s="1"/>
      <c r="L168" s="1"/>
      <c r="M168" s="1"/>
      <c r="N168" s="1"/>
    </row>
    <row r="169" spans="1:14" ht="13.2" x14ac:dyDescent="0.25">
      <c r="A169" s="1" t="s">
        <v>10</v>
      </c>
      <c r="B169" s="1" t="s">
        <v>239</v>
      </c>
      <c r="C169">
        <v>168</v>
      </c>
      <c r="D169">
        <v>4570</v>
      </c>
      <c r="E169" s="2"/>
      <c r="F169" s="2"/>
      <c r="G169" s="1"/>
      <c r="H169" s="1"/>
      <c r="I169" s="1"/>
      <c r="J169" s="1"/>
      <c r="K169" s="1"/>
      <c r="L169" s="1"/>
      <c r="M169" s="1"/>
      <c r="N169" s="1"/>
    </row>
    <row r="170" spans="1:14" ht="13.2" x14ac:dyDescent="0.25">
      <c r="A170" s="1" t="s">
        <v>10</v>
      </c>
      <c r="B170" s="1" t="s">
        <v>239</v>
      </c>
      <c r="C170">
        <v>169</v>
      </c>
      <c r="D170">
        <v>4925</v>
      </c>
      <c r="E170" s="2"/>
      <c r="F170" s="2"/>
      <c r="G170" s="1"/>
      <c r="H170" s="1"/>
      <c r="I170" s="1"/>
      <c r="J170" s="1"/>
      <c r="K170" s="1"/>
      <c r="L170" s="1"/>
      <c r="M170" s="1"/>
      <c r="N170" s="1"/>
    </row>
    <row r="171" spans="1:14" ht="13.2" x14ac:dyDescent="0.25">
      <c r="A171" s="1" t="s">
        <v>10</v>
      </c>
      <c r="B171" s="1" t="s">
        <v>239</v>
      </c>
      <c r="C171">
        <v>170</v>
      </c>
      <c r="D171">
        <v>4775</v>
      </c>
      <c r="E171" s="2"/>
      <c r="F171" s="2"/>
      <c r="G171" s="1"/>
      <c r="H171" s="1"/>
      <c r="I171" s="1"/>
      <c r="J171" s="1"/>
      <c r="K171" s="1"/>
      <c r="L171" s="1"/>
      <c r="M171" s="1"/>
      <c r="N171" s="1"/>
    </row>
    <row r="172" spans="1:14" ht="13.2" x14ac:dyDescent="0.25">
      <c r="A172" s="1" t="s">
        <v>10</v>
      </c>
      <c r="B172" s="1" t="s">
        <v>239</v>
      </c>
      <c r="C172">
        <v>171</v>
      </c>
      <c r="D172">
        <v>5075</v>
      </c>
      <c r="E172" s="2"/>
      <c r="F172" s="2"/>
      <c r="G172" s="1"/>
      <c r="H172" s="1"/>
      <c r="I172" s="1"/>
      <c r="J172" s="1"/>
      <c r="K172" s="1"/>
      <c r="L172" s="1"/>
      <c r="M172" s="1"/>
      <c r="N172" s="1"/>
    </row>
    <row r="173" spans="1:14" ht="13.2" x14ac:dyDescent="0.25">
      <c r="A173" s="1" t="s">
        <v>10</v>
      </c>
      <c r="B173" s="1" t="s">
        <v>239</v>
      </c>
      <c r="C173">
        <v>172</v>
      </c>
      <c r="D173">
        <v>4925</v>
      </c>
      <c r="E173" s="2"/>
      <c r="F173" s="2"/>
      <c r="G173" s="1"/>
      <c r="H173" s="1"/>
      <c r="I173" s="1"/>
      <c r="J173" s="1"/>
      <c r="K173" s="1"/>
      <c r="L173" s="1"/>
      <c r="M173" s="1"/>
      <c r="N173" s="1"/>
    </row>
    <row r="174" spans="1:14" ht="13.2" x14ac:dyDescent="0.25">
      <c r="A174" s="1" t="s">
        <v>10</v>
      </c>
      <c r="B174" s="1" t="s">
        <v>239</v>
      </c>
      <c r="C174">
        <v>173</v>
      </c>
      <c r="D174">
        <v>5075</v>
      </c>
      <c r="E174" s="2"/>
      <c r="F174" s="2"/>
      <c r="G174" s="1"/>
      <c r="H174" s="1"/>
      <c r="I174" s="1"/>
      <c r="J174" s="1"/>
      <c r="K174" s="1"/>
      <c r="L174" s="1"/>
      <c r="M174" s="1"/>
      <c r="N174" s="1"/>
    </row>
    <row r="175" spans="1:14" ht="13.2" x14ac:dyDescent="0.25">
      <c r="A175" s="1" t="s">
        <v>10</v>
      </c>
      <c r="B175" s="1" t="s">
        <v>239</v>
      </c>
      <c r="C175">
        <v>174</v>
      </c>
      <c r="D175">
        <v>4925</v>
      </c>
      <c r="E175" s="2"/>
      <c r="F175" s="2"/>
      <c r="G175" s="1"/>
      <c r="H175" s="1"/>
      <c r="I175" s="1"/>
      <c r="J175" s="1"/>
      <c r="K175" s="1"/>
      <c r="L175" s="1"/>
      <c r="M175" s="1"/>
      <c r="N175" s="1"/>
    </row>
    <row r="176" spans="1:14" ht="13.2" x14ac:dyDescent="0.25">
      <c r="A176" s="1" t="s">
        <v>10</v>
      </c>
      <c r="B176" s="1" t="s">
        <v>239</v>
      </c>
      <c r="C176">
        <v>175</v>
      </c>
      <c r="D176">
        <v>5250</v>
      </c>
      <c r="E176" s="2"/>
      <c r="F176" s="2"/>
      <c r="G176" s="1"/>
      <c r="H176" s="1"/>
      <c r="I176" s="1"/>
      <c r="J176" s="1"/>
      <c r="K176" s="1"/>
      <c r="L176" s="1"/>
      <c r="M176" s="1"/>
      <c r="N176" s="1"/>
    </row>
    <row r="177" spans="1:14" ht="13.2" x14ac:dyDescent="0.25">
      <c r="A177" s="1" t="s">
        <v>10</v>
      </c>
      <c r="B177" s="1" t="s">
        <v>239</v>
      </c>
      <c r="C177">
        <v>176</v>
      </c>
      <c r="D177">
        <v>4915</v>
      </c>
      <c r="E177" s="2"/>
      <c r="F177" s="2"/>
      <c r="G177" s="1"/>
      <c r="H177" s="1"/>
      <c r="I177" s="1"/>
      <c r="J177" s="1"/>
      <c r="K177" s="1"/>
      <c r="L177" s="1"/>
      <c r="M177" s="1"/>
      <c r="N177" s="1"/>
    </row>
    <row r="178" spans="1:14" ht="13.2" x14ac:dyDescent="0.25">
      <c r="A178" s="1" t="s">
        <v>10</v>
      </c>
      <c r="B178" s="1" t="s">
        <v>239</v>
      </c>
      <c r="C178">
        <v>177</v>
      </c>
      <c r="D178">
        <v>5600</v>
      </c>
      <c r="E178" s="2"/>
      <c r="F178" s="2"/>
      <c r="G178" s="1"/>
      <c r="H178" s="1"/>
      <c r="I178" s="1"/>
      <c r="J178" s="1"/>
      <c r="K178" s="1"/>
      <c r="L178" s="1"/>
      <c r="M178" s="1"/>
      <c r="N178" s="1"/>
    </row>
    <row r="179" spans="1:14" ht="13.2" x14ac:dyDescent="0.25">
      <c r="A179" s="1" t="s">
        <v>10</v>
      </c>
      <c r="B179" s="1" t="s">
        <v>239</v>
      </c>
      <c r="C179">
        <v>178</v>
      </c>
      <c r="D179">
        <v>5075</v>
      </c>
      <c r="E179" s="2"/>
      <c r="F179" s="2"/>
      <c r="G179" s="1"/>
      <c r="H179" s="1"/>
      <c r="I179" s="1"/>
      <c r="J179" s="1"/>
      <c r="K179" s="1"/>
      <c r="L179" s="1"/>
      <c r="M179" s="1"/>
      <c r="N179" s="1"/>
    </row>
    <row r="180" spans="1:14" ht="13.2" x14ac:dyDescent="0.25">
      <c r="A180" s="1" t="s">
        <v>10</v>
      </c>
      <c r="B180" s="1" t="s">
        <v>239</v>
      </c>
      <c r="C180">
        <v>179</v>
      </c>
      <c r="D180">
        <v>4450</v>
      </c>
      <c r="E180" s="2"/>
      <c r="F180" s="2"/>
      <c r="G180" s="1"/>
      <c r="H180" s="1"/>
      <c r="I180" s="1"/>
      <c r="J180" s="1"/>
      <c r="K180" s="1"/>
      <c r="L180" s="1"/>
      <c r="M180" s="1"/>
      <c r="N180" s="1"/>
    </row>
    <row r="181" spans="1:14" ht="13.2" x14ac:dyDescent="0.25">
      <c r="A181" s="1" t="s">
        <v>10</v>
      </c>
      <c r="B181" s="1" t="s">
        <v>239</v>
      </c>
      <c r="C181">
        <v>180</v>
      </c>
      <c r="D181">
        <v>4215</v>
      </c>
      <c r="E181" s="2"/>
      <c r="F181" s="2"/>
      <c r="G181" s="1"/>
      <c r="H181" s="1"/>
      <c r="I181" s="1"/>
      <c r="J181" s="1"/>
      <c r="K181" s="1"/>
      <c r="L181" s="1"/>
      <c r="M181" s="1"/>
      <c r="N181" s="1"/>
    </row>
    <row r="182" spans="1:14" ht="13.2" x14ac:dyDescent="0.25">
      <c r="A182" s="1" t="s">
        <v>10</v>
      </c>
      <c r="B182" s="1" t="s">
        <v>239</v>
      </c>
      <c r="C182">
        <v>181</v>
      </c>
      <c r="D182">
        <v>4325</v>
      </c>
      <c r="E182" s="2"/>
      <c r="F182" s="2"/>
      <c r="G182" s="1"/>
      <c r="H182" s="1"/>
      <c r="I182" s="1"/>
      <c r="J182" s="1"/>
      <c r="K182" s="1"/>
      <c r="L182" s="1"/>
      <c r="M182" s="1"/>
      <c r="N182" s="1"/>
    </row>
    <row r="183" spans="1:14" ht="13.2" x14ac:dyDescent="0.25">
      <c r="A183" s="1" t="s">
        <v>10</v>
      </c>
      <c r="B183" s="1" t="s">
        <v>239</v>
      </c>
      <c r="C183">
        <v>182</v>
      </c>
      <c r="D183">
        <v>4665</v>
      </c>
      <c r="E183" s="2"/>
      <c r="F183" s="2"/>
      <c r="G183" s="1"/>
      <c r="H183" s="1"/>
      <c r="I183" s="1"/>
      <c r="J183" s="1"/>
      <c r="K183" s="1"/>
      <c r="L183" s="1"/>
      <c r="M183" s="1"/>
      <c r="N183" s="1"/>
    </row>
    <row r="184" spans="1:14" ht="13.2" x14ac:dyDescent="0.25">
      <c r="A184" s="1" t="s">
        <v>10</v>
      </c>
      <c r="B184" s="1" t="s">
        <v>239</v>
      </c>
      <c r="C184">
        <v>183</v>
      </c>
      <c r="D184">
        <v>4615</v>
      </c>
      <c r="E184" s="2"/>
      <c r="F184" s="2"/>
      <c r="G184" s="1"/>
      <c r="H184" s="1"/>
      <c r="I184" s="1"/>
      <c r="J184" s="1"/>
      <c r="K184" s="1"/>
      <c r="L184" s="1"/>
      <c r="M184" s="1"/>
      <c r="N184" s="1"/>
    </row>
    <row r="185" spans="1:14" ht="13.2" x14ac:dyDescent="0.25">
      <c r="A185" s="1" t="s">
        <v>10</v>
      </c>
      <c r="B185" s="1" t="s">
        <v>239</v>
      </c>
      <c r="C185">
        <v>184</v>
      </c>
      <c r="D185">
        <v>4615</v>
      </c>
      <c r="E185" s="2"/>
      <c r="F185" s="2"/>
      <c r="G185" s="1"/>
      <c r="H185" s="1"/>
      <c r="I185" s="1"/>
      <c r="J185" s="1"/>
      <c r="K185" s="1"/>
      <c r="L185" s="1"/>
      <c r="M185" s="1"/>
      <c r="N185" s="1"/>
    </row>
    <row r="186" spans="1:14" ht="13.2" x14ac:dyDescent="0.25">
      <c r="A186" s="1" t="s">
        <v>10</v>
      </c>
      <c r="B186" s="1" t="s">
        <v>239</v>
      </c>
      <c r="C186">
        <v>185</v>
      </c>
      <c r="D186">
        <v>4500</v>
      </c>
      <c r="E186" s="2"/>
      <c r="F186" s="2"/>
      <c r="G186" s="1"/>
      <c r="H186" s="1"/>
      <c r="I186" s="1"/>
      <c r="J186" s="1"/>
      <c r="K186" s="1"/>
      <c r="L186" s="1"/>
      <c r="M186" s="1"/>
      <c r="N186" s="1"/>
    </row>
    <row r="187" spans="1:14" ht="13.2" x14ac:dyDescent="0.25">
      <c r="A187" s="1" t="s">
        <v>10</v>
      </c>
      <c r="B187" s="1" t="s">
        <v>239</v>
      </c>
      <c r="C187">
        <v>186</v>
      </c>
      <c r="D187">
        <v>4765</v>
      </c>
      <c r="E187" s="2"/>
      <c r="F187" s="2"/>
      <c r="G187" s="1"/>
      <c r="H187" s="1"/>
      <c r="I187" s="1"/>
      <c r="J187" s="1"/>
      <c r="K187" s="1"/>
      <c r="L187" s="1"/>
      <c r="M187" s="1"/>
      <c r="N187" s="1"/>
    </row>
    <row r="188" spans="1:14" ht="13.2" x14ac:dyDescent="0.25">
      <c r="A188" s="1" t="s">
        <v>10</v>
      </c>
      <c r="B188" s="1" t="s">
        <v>239</v>
      </c>
      <c r="C188">
        <v>187</v>
      </c>
      <c r="D188">
        <v>4500</v>
      </c>
      <c r="E188" s="2"/>
      <c r="F188" s="2"/>
      <c r="G188" s="1"/>
      <c r="H188" s="1"/>
      <c r="I188" s="1"/>
      <c r="J188" s="1"/>
      <c r="K188" s="1"/>
      <c r="L188" s="1"/>
      <c r="M188" s="1"/>
      <c r="N188" s="1"/>
    </row>
    <row r="189" spans="1:14" ht="13.2" x14ac:dyDescent="0.25">
      <c r="A189" s="1" t="s">
        <v>10</v>
      </c>
      <c r="B189" s="1" t="s">
        <v>239</v>
      </c>
      <c r="C189">
        <v>188</v>
      </c>
      <c r="D189">
        <v>4500</v>
      </c>
      <c r="E189" s="2"/>
      <c r="F189" s="2"/>
      <c r="G189" s="1"/>
      <c r="H189" s="1"/>
      <c r="I189" s="1"/>
      <c r="J189" s="1"/>
      <c r="K189" s="1"/>
      <c r="L189" s="1"/>
      <c r="M189" s="1"/>
      <c r="N189" s="1"/>
    </row>
    <row r="190" spans="1:14" ht="13.2" x14ac:dyDescent="0.25">
      <c r="A190" s="1" t="s">
        <v>10</v>
      </c>
      <c r="B190" s="1" t="s">
        <v>239</v>
      </c>
      <c r="C190">
        <v>189</v>
      </c>
      <c r="D190">
        <v>4850</v>
      </c>
      <c r="E190" s="2"/>
      <c r="F190" s="2"/>
      <c r="G190" s="1"/>
      <c r="H190" s="1"/>
      <c r="I190" s="1"/>
      <c r="J190" s="1"/>
      <c r="K190" s="1"/>
      <c r="L190" s="1"/>
      <c r="M190" s="1"/>
      <c r="N190" s="1"/>
    </row>
    <row r="191" spans="1:14" ht="13.2" x14ac:dyDescent="0.25">
      <c r="A191" s="1" t="s">
        <v>10</v>
      </c>
      <c r="B191" s="1" t="s">
        <v>239</v>
      </c>
      <c r="C191">
        <v>190</v>
      </c>
      <c r="D191">
        <v>4930</v>
      </c>
      <c r="E191" s="2"/>
      <c r="F191" s="2"/>
      <c r="G191" s="1"/>
      <c r="H191" s="1"/>
      <c r="I191" s="1"/>
      <c r="J191" s="1"/>
      <c r="K191" s="1"/>
      <c r="L191" s="1"/>
      <c r="M191" s="1"/>
      <c r="N191" s="1"/>
    </row>
    <row r="192" spans="1:14" ht="13.2" x14ac:dyDescent="0.25">
      <c r="A192" s="1" t="s">
        <v>10</v>
      </c>
      <c r="B192" s="1" t="s">
        <v>239</v>
      </c>
      <c r="C192">
        <v>191</v>
      </c>
      <c r="D192">
        <v>4700</v>
      </c>
      <c r="E192" s="2"/>
      <c r="F192" s="2"/>
      <c r="G192" s="1"/>
      <c r="H192" s="1"/>
      <c r="I192" s="1"/>
      <c r="J192" s="1"/>
      <c r="K192" s="1"/>
      <c r="L192" s="1"/>
      <c r="M192" s="1"/>
      <c r="N192" s="1"/>
    </row>
    <row r="193" spans="1:14" ht="13.2" x14ac:dyDescent="0.25">
      <c r="A193" s="1" t="s">
        <v>10</v>
      </c>
      <c r="B193" s="1" t="s">
        <v>239</v>
      </c>
      <c r="C193">
        <v>192</v>
      </c>
      <c r="D193">
        <v>4890</v>
      </c>
      <c r="E193" s="2"/>
      <c r="F193" s="2"/>
      <c r="G193" s="1"/>
      <c r="H193" s="1"/>
      <c r="I193" s="1"/>
      <c r="J193" s="1"/>
      <c r="K193" s="1"/>
      <c r="L193" s="1"/>
      <c r="M193" s="1"/>
      <c r="N193" s="1"/>
    </row>
    <row r="194" spans="1:14" ht="13.2" x14ac:dyDescent="0.25">
      <c r="A194" s="1" t="s">
        <v>10</v>
      </c>
      <c r="B194" s="1" t="s">
        <v>239</v>
      </c>
      <c r="C194">
        <v>193</v>
      </c>
      <c r="D194">
        <v>4625</v>
      </c>
      <c r="E194" s="2"/>
      <c r="F194" s="2"/>
      <c r="G194" s="1"/>
      <c r="H194" s="1"/>
      <c r="I194" s="1"/>
      <c r="J194" s="1"/>
      <c r="K194" s="1"/>
      <c r="L194" s="1"/>
      <c r="M194" s="1"/>
      <c r="N194" s="1"/>
    </row>
    <row r="195" spans="1:14" ht="13.2" x14ac:dyDescent="0.25">
      <c r="A195" s="1" t="s">
        <v>10</v>
      </c>
      <c r="B195" s="1" t="s">
        <v>239</v>
      </c>
      <c r="C195">
        <v>194</v>
      </c>
      <c r="D195">
        <v>4425</v>
      </c>
      <c r="E195" s="2"/>
      <c r="F195" s="2"/>
      <c r="G195" s="1"/>
      <c r="H195" s="1"/>
      <c r="I195" s="1"/>
      <c r="J195" s="1"/>
      <c r="K195" s="1"/>
      <c r="L195" s="1"/>
      <c r="M195" s="1"/>
      <c r="N195" s="1"/>
    </row>
    <row r="196" spans="1:14" ht="13.2" x14ac:dyDescent="0.25">
      <c r="A196" s="1" t="s">
        <v>10</v>
      </c>
      <c r="B196" s="1" t="s">
        <v>239</v>
      </c>
      <c r="C196">
        <v>195</v>
      </c>
      <c r="D196">
        <v>4135</v>
      </c>
      <c r="E196" s="2"/>
      <c r="F196" s="2"/>
      <c r="G196" s="1"/>
      <c r="H196" s="1"/>
      <c r="I196" s="1"/>
      <c r="J196" s="1"/>
      <c r="K196" s="1"/>
      <c r="L196" s="1"/>
      <c r="M196" s="1"/>
      <c r="N196" s="1"/>
    </row>
    <row r="197" spans="1:14" ht="13.2" x14ac:dyDescent="0.25">
      <c r="A197" s="1" t="s">
        <v>10</v>
      </c>
      <c r="B197" s="1" t="s">
        <v>239</v>
      </c>
      <c r="C197">
        <v>196</v>
      </c>
      <c r="D197">
        <v>4190</v>
      </c>
      <c r="E197" s="2"/>
      <c r="F197" s="2"/>
      <c r="G197" s="1"/>
      <c r="H197" s="1"/>
      <c r="I197" s="1"/>
      <c r="J197" s="1"/>
      <c r="K197" s="1"/>
      <c r="L197" s="1"/>
      <c r="M197" s="1"/>
      <c r="N197" s="1"/>
    </row>
    <row r="198" spans="1:14" ht="13.2" x14ac:dyDescent="0.25">
      <c r="A198" s="1" t="s">
        <v>10</v>
      </c>
      <c r="B198" s="1" t="s">
        <v>239</v>
      </c>
      <c r="C198">
        <v>197</v>
      </c>
      <c r="D198">
        <v>4080</v>
      </c>
      <c r="E198" s="2"/>
      <c r="F198" s="2"/>
      <c r="G198" s="1"/>
      <c r="H198" s="1"/>
      <c r="I198" s="1"/>
      <c r="J198" s="1"/>
      <c r="K198" s="1"/>
      <c r="L198" s="1"/>
      <c r="M198" s="1"/>
      <c r="N198" s="1"/>
    </row>
    <row r="199" spans="1:14" ht="13.2" x14ac:dyDescent="0.25">
      <c r="A199" s="1" t="s">
        <v>10</v>
      </c>
      <c r="B199" s="1" t="s">
        <v>239</v>
      </c>
      <c r="C199">
        <v>198</v>
      </c>
      <c r="D199">
        <v>3690</v>
      </c>
      <c r="E199" s="2"/>
      <c r="F199" s="2"/>
      <c r="G199" s="1"/>
      <c r="H199" s="1"/>
      <c r="I199" s="1"/>
      <c r="J199" s="1"/>
      <c r="K199" s="1"/>
      <c r="L199" s="1"/>
      <c r="M199" s="1"/>
      <c r="N199" s="1"/>
    </row>
    <row r="200" spans="1:14" ht="13.2" x14ac:dyDescent="0.25">
      <c r="A200" s="1" t="s">
        <v>10</v>
      </c>
      <c r="B200" s="1" t="s">
        <v>239</v>
      </c>
      <c r="C200">
        <v>199</v>
      </c>
      <c r="D200">
        <v>5050</v>
      </c>
      <c r="E200" s="2"/>
      <c r="F200" s="2"/>
      <c r="G200" s="1"/>
      <c r="H200" s="1"/>
      <c r="I200" s="1"/>
      <c r="J200" s="1"/>
      <c r="K200" s="1"/>
      <c r="L200" s="1"/>
      <c r="M200" s="1"/>
      <c r="N200" s="1"/>
    </row>
    <row r="201" spans="1:14" ht="13.2" x14ac:dyDescent="0.25">
      <c r="A201" s="1" t="s">
        <v>10</v>
      </c>
      <c r="B201" s="1" t="s">
        <v>239</v>
      </c>
      <c r="C201">
        <v>200</v>
      </c>
      <c r="D201">
        <v>4625</v>
      </c>
      <c r="E201" s="2"/>
      <c r="F201" s="2"/>
      <c r="G201" s="1"/>
      <c r="H201" s="1"/>
      <c r="I201" s="1"/>
      <c r="J201" s="1"/>
      <c r="K201" s="1"/>
      <c r="L201" s="1"/>
      <c r="M201" s="1"/>
      <c r="N201" s="1"/>
    </row>
    <row r="202" spans="1:14" ht="13.2" x14ac:dyDescent="0.25">
      <c r="A202" s="1" t="s">
        <v>10</v>
      </c>
      <c r="B202" s="1" t="s">
        <v>239</v>
      </c>
      <c r="C202">
        <v>201</v>
      </c>
      <c r="D202">
        <v>5150</v>
      </c>
      <c r="E202" s="2"/>
      <c r="F202" s="2"/>
      <c r="G202" s="1"/>
      <c r="H202" s="1"/>
      <c r="I202" s="1"/>
      <c r="J202" s="1"/>
      <c r="K202" s="1"/>
      <c r="L202" s="1"/>
      <c r="M202" s="1"/>
      <c r="N202" s="1"/>
    </row>
    <row r="203" spans="1:14" ht="13.2" x14ac:dyDescent="0.25">
      <c r="A203" s="1" t="s">
        <v>10</v>
      </c>
      <c r="B203" s="1" t="s">
        <v>239</v>
      </c>
      <c r="C203">
        <v>202</v>
      </c>
      <c r="D203">
        <v>5250</v>
      </c>
      <c r="E203" s="2"/>
      <c r="F203" s="2"/>
      <c r="G203" s="1"/>
      <c r="H203" s="1"/>
      <c r="I203" s="1"/>
      <c r="J203" s="1"/>
      <c r="K203" s="1"/>
      <c r="L203" s="1"/>
      <c r="M203" s="1"/>
      <c r="N203" s="1"/>
    </row>
    <row r="204" spans="1:14" ht="13.2" x14ac:dyDescent="0.25">
      <c r="A204" s="1" t="s">
        <v>10</v>
      </c>
      <c r="B204" s="1" t="s">
        <v>239</v>
      </c>
      <c r="C204">
        <v>203</v>
      </c>
      <c r="D204">
        <v>5000</v>
      </c>
      <c r="E204" s="2"/>
      <c r="F204" s="2"/>
      <c r="G204" s="1"/>
      <c r="H204" s="1"/>
      <c r="I204" s="1"/>
      <c r="J204" s="1"/>
      <c r="K204" s="1"/>
      <c r="L204" s="1"/>
      <c r="M204" s="1"/>
      <c r="N204" s="1"/>
    </row>
    <row r="205" spans="1:14" ht="13.2" x14ac:dyDescent="0.25">
      <c r="A205" s="1" t="s">
        <v>10</v>
      </c>
      <c r="B205" s="1" t="s">
        <v>239</v>
      </c>
      <c r="C205">
        <v>204</v>
      </c>
      <c r="D205">
        <v>5000</v>
      </c>
      <c r="E205" s="2"/>
      <c r="F205" s="2"/>
      <c r="G205" s="1"/>
      <c r="H205" s="1"/>
      <c r="I205" s="1"/>
      <c r="J205" s="1"/>
      <c r="K205" s="1"/>
      <c r="L205" s="1"/>
      <c r="M205" s="1"/>
      <c r="N205" s="1"/>
    </row>
    <row r="206" spans="1:14" ht="13.2" x14ac:dyDescent="0.25">
      <c r="A206" t="s">
        <v>240</v>
      </c>
      <c r="B206" t="s">
        <v>239</v>
      </c>
      <c r="C206">
        <v>1</v>
      </c>
      <c r="D206">
        <v>4400</v>
      </c>
    </row>
    <row r="207" spans="1:14" ht="13.2" x14ac:dyDescent="0.25">
      <c r="A207" t="s">
        <v>240</v>
      </c>
      <c r="B207" t="s">
        <v>239</v>
      </c>
      <c r="C207">
        <v>2</v>
      </c>
      <c r="D207">
        <v>4565</v>
      </c>
    </row>
    <row r="208" spans="1:14" ht="13.2" x14ac:dyDescent="0.25">
      <c r="A208" t="s">
        <v>240</v>
      </c>
      <c r="B208" t="s">
        <v>239</v>
      </c>
      <c r="C208">
        <v>3</v>
      </c>
      <c r="D208">
        <v>4495</v>
      </c>
    </row>
    <row r="209" spans="1:4" ht="13.2" x14ac:dyDescent="0.25">
      <c r="A209" t="s">
        <v>240</v>
      </c>
      <c r="B209" t="s">
        <v>239</v>
      </c>
      <c r="C209">
        <v>4</v>
      </c>
      <c r="D209">
        <v>4325</v>
      </c>
    </row>
    <row r="210" spans="1:4" ht="13.2" x14ac:dyDescent="0.25">
      <c r="A210" t="s">
        <v>240</v>
      </c>
      <c r="B210" t="s">
        <v>239</v>
      </c>
      <c r="C210">
        <v>5</v>
      </c>
      <c r="D210">
        <v>4385</v>
      </c>
    </row>
    <row r="211" spans="1:4" ht="13.2" x14ac:dyDescent="0.25">
      <c r="A211" t="s">
        <v>240</v>
      </c>
      <c r="B211" t="s">
        <v>239</v>
      </c>
      <c r="C211">
        <v>6</v>
      </c>
      <c r="D211">
        <v>4545</v>
      </c>
    </row>
    <row r="212" spans="1:4" ht="13.2" x14ac:dyDescent="0.25">
      <c r="A212" t="s">
        <v>240</v>
      </c>
      <c r="B212" t="s">
        <v>239</v>
      </c>
      <c r="C212">
        <v>7</v>
      </c>
      <c r="D212">
        <v>4235</v>
      </c>
    </row>
    <row r="213" spans="1:4" ht="13.2" x14ac:dyDescent="0.25">
      <c r="A213" t="s">
        <v>240</v>
      </c>
      <c r="B213" t="s">
        <v>239</v>
      </c>
      <c r="C213">
        <v>8</v>
      </c>
      <c r="D213">
        <v>4370</v>
      </c>
    </row>
    <row r="214" spans="1:4" ht="13.2" x14ac:dyDescent="0.25">
      <c r="A214" t="s">
        <v>240</v>
      </c>
      <c r="B214" t="s">
        <v>239</v>
      </c>
      <c r="C214">
        <v>9</v>
      </c>
      <c r="D214">
        <v>4340</v>
      </c>
    </row>
    <row r="215" spans="1:4" ht="13.2" x14ac:dyDescent="0.25">
      <c r="A215" t="s">
        <v>240</v>
      </c>
      <c r="B215" t="s">
        <v>239</v>
      </c>
      <c r="C215">
        <v>10</v>
      </c>
      <c r="D215">
        <v>4500</v>
      </c>
    </row>
    <row r="216" spans="1:4" ht="13.2" x14ac:dyDescent="0.25">
      <c r="A216" t="s">
        <v>240</v>
      </c>
      <c r="B216" t="s">
        <v>239</v>
      </c>
      <c r="C216">
        <v>11</v>
      </c>
      <c r="D216">
        <v>4165</v>
      </c>
    </row>
    <row r="217" spans="1:4" ht="13.2" x14ac:dyDescent="0.25">
      <c r="A217" t="s">
        <v>240</v>
      </c>
      <c r="B217" t="s">
        <v>239</v>
      </c>
      <c r="C217">
        <v>12</v>
      </c>
      <c r="D217">
        <v>4000</v>
      </c>
    </row>
    <row r="218" spans="1:4" ht="13.2" x14ac:dyDescent="0.25">
      <c r="A218" t="s">
        <v>240</v>
      </c>
      <c r="B218" t="s">
        <v>239</v>
      </c>
      <c r="C218">
        <v>13</v>
      </c>
      <c r="D218">
        <v>4125</v>
      </c>
    </row>
    <row r="219" spans="1:4" ht="13.2" x14ac:dyDescent="0.25">
      <c r="A219" t="s">
        <v>240</v>
      </c>
      <c r="B219" t="s">
        <v>239</v>
      </c>
      <c r="C219">
        <v>14</v>
      </c>
      <c r="D219">
        <v>4445</v>
      </c>
    </row>
    <row r="220" spans="1:4" ht="13.2" x14ac:dyDescent="0.25">
      <c r="A220" t="s">
        <v>240</v>
      </c>
      <c r="B220" t="s">
        <v>239</v>
      </c>
      <c r="C220">
        <v>15</v>
      </c>
      <c r="D220">
        <v>4775</v>
      </c>
    </row>
    <row r="221" spans="1:4" ht="13.2" x14ac:dyDescent="0.25">
      <c r="A221" t="s">
        <v>240</v>
      </c>
      <c r="B221" t="s">
        <v>239</v>
      </c>
      <c r="C221">
        <v>16</v>
      </c>
      <c r="D221">
        <v>4615</v>
      </c>
    </row>
    <row r="222" spans="1:4" ht="13.2" x14ac:dyDescent="0.25">
      <c r="A222" t="s">
        <v>240</v>
      </c>
      <c r="B222" t="s">
        <v>239</v>
      </c>
      <c r="C222">
        <v>17</v>
      </c>
      <c r="D222">
        <v>4465</v>
      </c>
    </row>
    <row r="223" spans="1:4" ht="13.2" x14ac:dyDescent="0.25">
      <c r="A223" t="s">
        <v>240</v>
      </c>
      <c r="B223" t="s">
        <v>239</v>
      </c>
      <c r="C223">
        <v>18</v>
      </c>
      <c r="D223">
        <v>4375</v>
      </c>
    </row>
    <row r="224" spans="1:4" ht="13.2" x14ac:dyDescent="0.25">
      <c r="A224" t="s">
        <v>240</v>
      </c>
      <c r="B224" t="s">
        <v>239</v>
      </c>
      <c r="C224">
        <v>19</v>
      </c>
      <c r="D224">
        <v>4600</v>
      </c>
    </row>
    <row r="225" spans="1:4" ht="13.2" x14ac:dyDescent="0.25">
      <c r="A225" t="s">
        <v>240</v>
      </c>
      <c r="B225" t="s">
        <v>239</v>
      </c>
      <c r="C225">
        <v>20</v>
      </c>
      <c r="D225">
        <v>4260</v>
      </c>
    </row>
    <row r="226" spans="1:4" ht="13.2" x14ac:dyDescent="0.25">
      <c r="A226" t="s">
        <v>240</v>
      </c>
      <c r="B226" t="s">
        <v>239</v>
      </c>
      <c r="C226">
        <v>21</v>
      </c>
      <c r="D226">
        <v>4675</v>
      </c>
    </row>
    <row r="227" spans="1:4" ht="13.2" x14ac:dyDescent="0.25">
      <c r="A227" t="s">
        <v>240</v>
      </c>
      <c r="B227" t="s">
        <v>239</v>
      </c>
      <c r="C227">
        <v>22</v>
      </c>
      <c r="D227">
        <v>4800</v>
      </c>
    </row>
    <row r="228" spans="1:4" ht="13.2" x14ac:dyDescent="0.25">
      <c r="A228" t="s">
        <v>240</v>
      </c>
      <c r="B228" t="s">
        <v>239</v>
      </c>
      <c r="C228">
        <v>23</v>
      </c>
      <c r="D228">
        <v>4410</v>
      </c>
    </row>
    <row r="229" spans="1:4" ht="13.2" x14ac:dyDescent="0.25">
      <c r="A229" t="s">
        <v>240</v>
      </c>
      <c r="B229" t="s">
        <v>239</v>
      </c>
      <c r="C229">
        <v>24</v>
      </c>
      <c r="D229">
        <v>4675</v>
      </c>
    </row>
    <row r="230" spans="1:4" ht="13.2" x14ac:dyDescent="0.25">
      <c r="A230" t="s">
        <v>240</v>
      </c>
      <c r="B230" t="s">
        <v>239</v>
      </c>
      <c r="C230">
        <v>25</v>
      </c>
      <c r="D230">
        <v>4260</v>
      </c>
    </row>
    <row r="231" spans="1:4" ht="13.2" x14ac:dyDescent="0.25">
      <c r="A231" t="s">
        <v>240</v>
      </c>
      <c r="B231" t="s">
        <v>239</v>
      </c>
      <c r="C231">
        <v>26</v>
      </c>
      <c r="D231">
        <v>4000</v>
      </c>
    </row>
    <row r="232" spans="1:4" ht="13.2" x14ac:dyDescent="0.25">
      <c r="A232" t="s">
        <v>240</v>
      </c>
      <c r="B232" t="s">
        <v>239</v>
      </c>
      <c r="C232">
        <v>27</v>
      </c>
      <c r="D232">
        <v>4360</v>
      </c>
    </row>
    <row r="233" spans="1:4" ht="13.2" x14ac:dyDescent="0.25">
      <c r="A233" t="s">
        <v>240</v>
      </c>
      <c r="B233" t="s">
        <v>239</v>
      </c>
      <c r="C233">
        <v>28</v>
      </c>
      <c r="D233">
        <v>4500</v>
      </c>
    </row>
    <row r="234" spans="1:4" ht="13.2" x14ac:dyDescent="0.25">
      <c r="A234" t="s">
        <v>240</v>
      </c>
      <c r="B234" t="s">
        <v>239</v>
      </c>
      <c r="C234">
        <v>29</v>
      </c>
      <c r="D234">
        <v>4460</v>
      </c>
    </row>
    <row r="235" spans="1:4" ht="13.2" x14ac:dyDescent="0.25">
      <c r="A235" t="s">
        <v>240</v>
      </c>
      <c r="B235" t="s">
        <v>239</v>
      </c>
      <c r="C235">
        <v>30</v>
      </c>
      <c r="D235">
        <v>4360</v>
      </c>
    </row>
    <row r="236" spans="1:4" ht="13.2" x14ac:dyDescent="0.25">
      <c r="A236" t="s">
        <v>240</v>
      </c>
      <c r="B236" t="s">
        <v>239</v>
      </c>
      <c r="C236">
        <v>31</v>
      </c>
      <c r="D236">
        <v>4265</v>
      </c>
    </row>
    <row r="237" spans="1:4" ht="13.2" x14ac:dyDescent="0.25">
      <c r="A237" t="s">
        <v>240</v>
      </c>
      <c r="B237" t="s">
        <v>239</v>
      </c>
      <c r="C237">
        <v>32</v>
      </c>
      <c r="D237">
        <v>4635</v>
      </c>
    </row>
    <row r="238" spans="1:4" ht="13.2" x14ac:dyDescent="0.25">
      <c r="A238" t="s">
        <v>240</v>
      </c>
      <c r="B238" t="s">
        <v>239</v>
      </c>
      <c r="C238">
        <v>33</v>
      </c>
      <c r="D238">
        <v>4240</v>
      </c>
    </row>
    <row r="239" spans="1:4" ht="13.2" x14ac:dyDescent="0.25">
      <c r="A239" t="s">
        <v>240</v>
      </c>
      <c r="B239" t="s">
        <v>239</v>
      </c>
      <c r="C239">
        <v>34</v>
      </c>
      <c r="D239">
        <v>4350</v>
      </c>
    </row>
    <row r="240" spans="1:4" ht="13.2" x14ac:dyDescent="0.25">
      <c r="A240" t="s">
        <v>240</v>
      </c>
      <c r="B240" t="s">
        <v>239</v>
      </c>
      <c r="C240">
        <v>35</v>
      </c>
      <c r="D240">
        <v>4220</v>
      </c>
    </row>
    <row r="241" spans="1:4" ht="13.2" x14ac:dyDescent="0.25">
      <c r="A241" t="s">
        <v>240</v>
      </c>
      <c r="B241" t="s">
        <v>239</v>
      </c>
      <c r="C241">
        <v>36</v>
      </c>
      <c r="D241">
        <v>4150</v>
      </c>
    </row>
    <row r="242" spans="1:4" ht="13.2" x14ac:dyDescent="0.25">
      <c r="A242" t="s">
        <v>240</v>
      </c>
      <c r="B242" t="s">
        <v>239</v>
      </c>
      <c r="C242">
        <v>37</v>
      </c>
      <c r="D242">
        <v>4520</v>
      </c>
    </row>
    <row r="243" spans="1:4" ht="13.2" x14ac:dyDescent="0.25">
      <c r="A243" t="s">
        <v>240</v>
      </c>
      <c r="B243" t="s">
        <v>239</v>
      </c>
      <c r="C243">
        <v>38</v>
      </c>
      <c r="D243">
        <v>4545</v>
      </c>
    </row>
    <row r="244" spans="1:4" ht="13.2" x14ac:dyDescent="0.25">
      <c r="A244" t="s">
        <v>240</v>
      </c>
      <c r="B244" t="s">
        <v>239</v>
      </c>
      <c r="C244">
        <v>39</v>
      </c>
      <c r="D244">
        <v>4650</v>
      </c>
    </row>
    <row r="245" spans="1:4" ht="13.2" x14ac:dyDescent="0.25">
      <c r="A245" t="s">
        <v>240</v>
      </c>
      <c r="B245" t="s">
        <v>239</v>
      </c>
      <c r="C245">
        <v>40</v>
      </c>
      <c r="D245">
        <v>4230</v>
      </c>
    </row>
    <row r="246" spans="1:4" ht="13.2" x14ac:dyDescent="0.25">
      <c r="A246" t="s">
        <v>240</v>
      </c>
      <c r="B246" t="s">
        <v>239</v>
      </c>
      <c r="C246">
        <v>41</v>
      </c>
      <c r="D246">
        <v>4320</v>
      </c>
    </row>
    <row r="247" spans="1:4" ht="13.2" x14ac:dyDescent="0.25">
      <c r="A247" t="s">
        <v>240</v>
      </c>
      <c r="B247" t="s">
        <v>239</v>
      </c>
      <c r="C247">
        <v>42</v>
      </c>
      <c r="D247">
        <v>4570</v>
      </c>
    </row>
    <row r="248" spans="1:4" ht="13.2" x14ac:dyDescent="0.25">
      <c r="A248" t="s">
        <v>240</v>
      </c>
      <c r="B248" t="s">
        <v>239</v>
      </c>
      <c r="C248">
        <v>43</v>
      </c>
      <c r="D248">
        <v>4380</v>
      </c>
    </row>
    <row r="249" spans="1:4" ht="13.2" x14ac:dyDescent="0.25">
      <c r="A249" t="s">
        <v>240</v>
      </c>
      <c r="B249" t="s">
        <v>239</v>
      </c>
      <c r="C249">
        <v>44</v>
      </c>
      <c r="D249">
        <v>4450</v>
      </c>
    </row>
    <row r="250" spans="1:4" ht="13.2" x14ac:dyDescent="0.25">
      <c r="A250" t="s">
        <v>240</v>
      </c>
      <c r="B250" t="s">
        <v>239</v>
      </c>
      <c r="C250">
        <v>45</v>
      </c>
      <c r="D250">
        <v>4340</v>
      </c>
    </row>
    <row r="251" spans="1:4" ht="13.2" x14ac:dyDescent="0.25">
      <c r="A251" t="s">
        <v>240</v>
      </c>
      <c r="B251" t="s">
        <v>239</v>
      </c>
      <c r="C251">
        <v>46</v>
      </c>
      <c r="D251">
        <v>4350</v>
      </c>
    </row>
    <row r="252" spans="1:4" ht="13.2" x14ac:dyDescent="0.25">
      <c r="A252" t="s">
        <v>240</v>
      </c>
      <c r="B252" t="s">
        <v>239</v>
      </c>
      <c r="C252">
        <v>47</v>
      </c>
      <c r="D252">
        <v>4660</v>
      </c>
    </row>
    <row r="253" spans="1:4" ht="13.2" x14ac:dyDescent="0.25">
      <c r="A253" t="s">
        <v>240</v>
      </c>
      <c r="B253" t="s">
        <v>239</v>
      </c>
      <c r="C253">
        <v>48</v>
      </c>
      <c r="D253">
        <v>4220</v>
      </c>
    </row>
    <row r="254" spans="1:4" ht="13.2" x14ac:dyDescent="0.25">
      <c r="A254" t="s">
        <v>240</v>
      </c>
      <c r="B254" t="s">
        <v>239</v>
      </c>
      <c r="C254">
        <v>49</v>
      </c>
      <c r="D254">
        <v>4310</v>
      </c>
    </row>
    <row r="255" spans="1:4" ht="13.2" x14ac:dyDescent="0.25">
      <c r="A255" t="s">
        <v>240</v>
      </c>
      <c r="B255" t="s">
        <v>239</v>
      </c>
      <c r="C255">
        <v>50</v>
      </c>
      <c r="D255">
        <v>4250</v>
      </c>
    </row>
    <row r="256" spans="1:4" ht="13.2" x14ac:dyDescent="0.25">
      <c r="A256" t="s">
        <v>240</v>
      </c>
      <c r="B256" t="s">
        <v>239</v>
      </c>
      <c r="C256">
        <v>51</v>
      </c>
      <c r="D256">
        <v>4315</v>
      </c>
    </row>
    <row r="257" spans="1:4" ht="13.2" x14ac:dyDescent="0.25">
      <c r="A257" t="s">
        <v>240</v>
      </c>
      <c r="B257" t="s">
        <v>239</v>
      </c>
      <c r="C257">
        <v>52</v>
      </c>
      <c r="D257">
        <v>4380</v>
      </c>
    </row>
    <row r="258" spans="1:4" ht="13.2" x14ac:dyDescent="0.25">
      <c r="A258" t="s">
        <v>240</v>
      </c>
      <c r="B258" t="s">
        <v>239</v>
      </c>
      <c r="C258">
        <v>53</v>
      </c>
      <c r="D258">
        <v>4490</v>
      </c>
    </row>
    <row r="259" spans="1:4" ht="13.2" x14ac:dyDescent="0.25">
      <c r="A259" t="s">
        <v>240</v>
      </c>
      <c r="B259" t="s">
        <v>239</v>
      </c>
      <c r="C259">
        <v>54</v>
      </c>
      <c r="D259">
        <v>4240</v>
      </c>
    </row>
    <row r="260" spans="1:4" ht="13.2" x14ac:dyDescent="0.25">
      <c r="A260" t="s">
        <v>240</v>
      </c>
      <c r="B260" t="s">
        <v>239</v>
      </c>
      <c r="C260">
        <v>55</v>
      </c>
      <c r="D260">
        <v>4350</v>
      </c>
    </row>
    <row r="261" spans="1:4" ht="13.2" x14ac:dyDescent="0.25">
      <c r="A261" t="s">
        <v>240</v>
      </c>
      <c r="B261" t="s">
        <v>239</v>
      </c>
      <c r="C261">
        <v>56</v>
      </c>
      <c r="D261">
        <v>4320</v>
      </c>
    </row>
    <row r="262" spans="1:4" ht="13.2" x14ac:dyDescent="0.25">
      <c r="A262" t="s">
        <v>240</v>
      </c>
      <c r="B262" t="s">
        <v>239</v>
      </c>
      <c r="C262">
        <v>57</v>
      </c>
      <c r="D262">
        <v>4475</v>
      </c>
    </row>
    <row r="263" spans="1:4" ht="13.2" x14ac:dyDescent="0.25">
      <c r="A263" t="s">
        <v>240</v>
      </c>
      <c r="B263" t="s">
        <v>239</v>
      </c>
      <c r="C263">
        <v>58</v>
      </c>
      <c r="D263">
        <v>4725</v>
      </c>
    </row>
    <row r="264" spans="1:4" ht="13.2" x14ac:dyDescent="0.25">
      <c r="A264" t="s">
        <v>240</v>
      </c>
      <c r="B264" t="s">
        <v>239</v>
      </c>
      <c r="C264">
        <v>59</v>
      </c>
      <c r="D264">
        <v>4540</v>
      </c>
    </row>
    <row r="265" spans="1:4" ht="13.2" x14ac:dyDescent="0.25">
      <c r="A265" t="s">
        <v>240</v>
      </c>
      <c r="B265" t="s">
        <v>239</v>
      </c>
      <c r="C265">
        <v>60</v>
      </c>
      <c r="D265">
        <v>4565</v>
      </c>
    </row>
    <row r="266" spans="1:4" ht="13.2" x14ac:dyDescent="0.25">
      <c r="A266" t="s">
        <v>240</v>
      </c>
      <c r="B266" t="s">
        <v>239</v>
      </c>
      <c r="C266">
        <v>61</v>
      </c>
      <c r="D266">
        <v>4210</v>
      </c>
    </row>
    <row r="267" spans="1:4" ht="13.2" x14ac:dyDescent="0.25">
      <c r="A267" t="s">
        <v>240</v>
      </c>
      <c r="B267" t="s">
        <v>239</v>
      </c>
      <c r="C267">
        <v>62</v>
      </c>
      <c r="D267">
        <v>4540</v>
      </c>
    </row>
    <row r="268" spans="1:4" ht="13.2" x14ac:dyDescent="0.25">
      <c r="A268" t="s">
        <v>240</v>
      </c>
      <c r="B268" t="s">
        <v>239</v>
      </c>
      <c r="C268">
        <v>63</v>
      </c>
      <c r="D268">
        <v>4600</v>
      </c>
    </row>
    <row r="269" spans="1:4" ht="13.2" x14ac:dyDescent="0.25">
      <c r="A269" t="s">
        <v>241</v>
      </c>
      <c r="B269" t="s">
        <v>241</v>
      </c>
    </row>
    <row r="270" spans="1:4" ht="13.2" x14ac:dyDescent="0.25">
      <c r="A270" t="s">
        <v>240</v>
      </c>
      <c r="B270" t="s">
        <v>239</v>
      </c>
      <c r="C270">
        <v>64</v>
      </c>
      <c r="D270">
        <v>4850</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975AEE-16BA-4E5C-B04F-893813550A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Fig 11.1. XmR chart</vt:lpstr>
      <vt:lpstr>Fig 11.2. Average and Range</vt:lpstr>
      <vt:lpstr>Fig 11.3. X &amp; Ave. charts</vt:lpstr>
      <vt:lpstr>Fig 11.4. mR &amp; Range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2026-05-07T16:30:26Z</dcterms:modified>
</cp:coreProperties>
</file>