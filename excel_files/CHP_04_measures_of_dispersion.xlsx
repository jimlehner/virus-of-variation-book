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9E920F62-72AB-409C-983A-E8DAB3766CE1}" xr6:coauthVersionLast="47" xr6:coauthVersionMax="47" xr10:uidLastSave="{00000000-0000-0000-0000-000000000000}"/>
  <bookViews>
    <workbookView xWindow="7125" yWindow="-12690" windowWidth="21600" windowHeight="11235" xr2:uid="{00000000-000D-0000-FFFF-FFFF00000000}"/>
  </bookViews>
  <sheets>
    <sheet name="Overview" sheetId="1" r:id="rId1"/>
    <sheet name="Table 4.2. Mean of rates" sheetId="2" r:id="rId2"/>
    <sheet name="Table 4.3. Min, Max, Range" sheetId="3" r:id="rId3"/>
    <sheet name="Table 4.4. Standard Deviation" sheetId="4" r:id="rId4"/>
    <sheet name="Table 4.5. mRs for students &amp; d" sheetId="5" r:id="rId5"/>
    <sheet name="Table 4.6. mRs for both" sheetId="6" r:id="rId6"/>
    <sheet name="Table 4.7. Means and medians" sheetId="7" r:id="rId7"/>
    <sheet name="Table 4.8. Measures of dispersi" sheetId="8" r:id="rId8"/>
    <sheet name="Data" sheetId="9" r:id="rId9"/>
  </sheets>
  <definedNames>
    <definedName name="ExternalData_1" localSheetId="8" hidden="1">Data!$A$1:$D$12</definedName>
    <definedName name="ExternalData_1" localSheetId="1" hidden="1">'Table 4.2. Mean of rates'!$A$1:$D$15</definedName>
    <definedName name="ExternalData_1" localSheetId="5" hidden="1">'Table 4.6. mRs for both'!$A$1:$E$15</definedName>
    <definedName name="ExternalData_2" localSheetId="8" hidden="1">Data!$G$1:$J$12</definedName>
    <definedName name="ExternalData_2" localSheetId="2" hidden="1">'Table 4.3. Min, Max, Range'!$A$1:$D$15</definedName>
    <definedName name="ExternalData_2" localSheetId="3" hidden="1">'Table 4.4. Standard Deviation'!$A$1:$D$13</definedName>
    <definedName name="ExternalData_2" localSheetId="4" hidden="1">'Table 4.5. mRs for students &amp; d'!$A$1:$D$15</definedName>
    <definedName name="ExternalData_3" localSheetId="6" hidden="1">'Table 4.7. Means and medians'!$A$1:$D$14</definedName>
    <definedName name="ExternalData_3" localSheetId="7" hidden="1">'Table 4.8. Measures of dispersi'!$A$1:$E$17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8" l="1"/>
  <c r="E16" i="8"/>
  <c r="E15" i="8"/>
  <c r="C15" i="8"/>
  <c r="C17" i="8"/>
  <c r="F3" i="8"/>
  <c r="E17" i="8" s="1"/>
  <c r="F4" i="8"/>
  <c r="F5" i="8"/>
  <c r="F6" i="8"/>
  <c r="F7" i="8"/>
  <c r="F8" i="8"/>
  <c r="F9" i="8"/>
  <c r="F10" i="8"/>
  <c r="F11" i="8"/>
  <c r="F12" i="8"/>
  <c r="D3" i="8"/>
  <c r="D4" i="8"/>
  <c r="D5" i="8"/>
  <c r="D6" i="8"/>
  <c r="D7" i="8"/>
  <c r="D8" i="8"/>
  <c r="D9" i="8"/>
  <c r="D10" i="8"/>
  <c r="D11" i="8"/>
  <c r="D12" i="8"/>
  <c r="D14" i="7"/>
  <c r="C14" i="7"/>
  <c r="D13" i="7"/>
  <c r="C13" i="7"/>
  <c r="D4" i="6"/>
  <c r="D5" i="6"/>
  <c r="D6" i="6"/>
  <c r="D7" i="6"/>
  <c r="D8" i="6"/>
  <c r="D9" i="6"/>
  <c r="D10" i="6"/>
  <c r="D11" i="6"/>
  <c r="D12" i="6"/>
  <c r="D3" i="6"/>
  <c r="D15" i="6" s="1"/>
  <c r="F3" i="6"/>
  <c r="F15" i="6" s="1"/>
  <c r="F4" i="6"/>
  <c r="F5" i="6"/>
  <c r="F6" i="6"/>
  <c r="F7" i="6"/>
  <c r="F8" i="6"/>
  <c r="F9" i="6"/>
  <c r="F10" i="6"/>
  <c r="F11" i="6"/>
  <c r="F12" i="6"/>
  <c r="E15" i="5"/>
  <c r="E3" i="5"/>
  <c r="E4" i="5"/>
  <c r="E5" i="5"/>
  <c r="E6" i="5"/>
  <c r="E7" i="5"/>
  <c r="E8" i="5"/>
  <c r="E9" i="5"/>
  <c r="E10" i="5"/>
  <c r="E11" i="5"/>
  <c r="E12" i="5"/>
  <c r="D13" i="4"/>
  <c r="C13" i="4"/>
  <c r="D13" i="3"/>
  <c r="D14" i="3"/>
  <c r="D15" i="3" s="1"/>
  <c r="C13" i="3"/>
  <c r="C14" i="3"/>
  <c r="C15" i="3" s="1"/>
  <c r="D13" i="2"/>
  <c r="D14" i="2"/>
  <c r="C14" i="2"/>
  <c r="C13" i="2"/>
  <c r="D15" i="2"/>
  <c r="C15" i="2"/>
  <c r="F14" i="6" l="1"/>
  <c r="F13" i="6"/>
  <c r="D13" i="6"/>
  <c r="D14" i="6"/>
  <c r="E14" i="5"/>
  <c r="E1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CDA3E7-C0E6-4074-93D7-25E60B747C5E}" keepAlive="1" name="Query - vienna-general-death-to-birth-rates-by-clinic" description="Connection to the 'vienna-general-death-to-birth-rates-by-clinic' query in the workbook." type="5" refreshedVersion="8" background="1" saveData="1">
    <dbPr connection="Provider=Microsoft.Mashup.OleDb.1;Data Source=$Workbook$;Location=vienna-general-death-to-birth-rates-by-clinic;Extended Properties=&quot;&quot;" command="SELECT * FROM [vienna-general-death-to-birth-rates-by-clinic]"/>
  </connection>
  <connection id="2" xr16:uid="{5545D72B-C379-484F-8D94-85F6A72A788A}" keepAlive="1" name="Query - vienna-general-death-to-birth-rates-by-clinic (2)" description="Connection to the 'vienna-general-death-to-birth-rates-by-clinic (2)' query in the workbook." type="5" refreshedVersion="8" background="1" saveData="1">
    <dbPr connection="Provider=Microsoft.Mashup.OleDb.1;Data Source=$Workbook$;Location=&quot;vienna-general-death-to-birth-rates-by-clinic (2)&quot;;Extended Properties=&quot;&quot;" command="SELECT * FROM [vienna-general-death-to-birth-rates-by-clinic (2)]"/>
  </connection>
  <connection id="3" xr16:uid="{426E0FC3-B7A2-4166-BFE6-71794FDBBCEB}" keepAlive="1" name="Query - vienna-general-death-to-birth-rates-by-clinic (3)" description="Connection to the 'vienna-general-death-to-birth-rates-by-clinic (3)' query in the workbook." type="5" refreshedVersion="8" background="1" saveData="1">
    <dbPr connection="Provider=Microsoft.Mashup.OleDb.1;Data Source=$Workbook$;Location=&quot;vienna-general-death-to-birth-rates-by-clinic (3)&quot;;Extended Properties=&quot;&quot;" command="SELECT * FROM [vienna-general-death-to-birth-rates-by-clinic (3)]"/>
  </connection>
  <connection id="4" xr16:uid="{11F4ED59-C6E5-4EFE-8351-2D1CE6BC3D84}" keepAlive="1" name="Query - vienna-general-death-to-birth-rates-by-clinic (4)" description="Connection to the 'vienna-general-death-to-birth-rates-by-clinic (4)' query in the workbook." type="5" refreshedVersion="8" background="1" saveData="1">
    <dbPr connection="Provider=Microsoft.Mashup.OleDb.1;Data Source=$Workbook$;Location=&quot;vienna-general-death-to-birth-rates-by-clinic (4)&quot;;Extended Properties=&quot;&quot;" command="SELECT * FROM [vienna-general-death-to-birth-rates-by-clinic (4)]"/>
  </connection>
  <connection id="5" xr16:uid="{11AAF52C-0596-49A3-8AB4-20CA605E9AC7}" keepAlive="1" name="Query - vienna-general-death-to-birth-rates-by-clinic (5)" description="Connection to the 'vienna-general-death-to-birth-rates-by-clinic (5)' query in the workbook." type="5" refreshedVersion="8" background="1" saveData="1">
    <dbPr connection="Provider=Microsoft.Mashup.OleDb.1;Data Source=$Workbook$;Location=&quot;vienna-general-death-to-birth-rates-by-clinic (5)&quot;;Extended Properties=&quot;&quot;" command="SELECT * FROM [vienna-general-death-to-birth-rates-by-clinic (5)]"/>
  </connection>
  <connection id="6" xr16:uid="{B490C61A-9EA6-4566-A92D-E9920E6A6165}" keepAlive="1" name="Query - vienna-general-death-to-birth-rates-by-clinic (6)" description="Connection to the 'vienna-general-death-to-birth-rates-by-clinic (6)' query in the workbook." type="5" refreshedVersion="8" background="1" saveData="1">
    <dbPr connection="Provider=Microsoft.Mashup.OleDb.1;Data Source=$Workbook$;Location=&quot;vienna-general-death-to-birth-rates-by-clinic (6)&quot;;Extended Properties=&quot;&quot;" command="SELECT * FROM [vienna-general-death-to-birth-rates-by-clinic (6)]"/>
  </connection>
  <connection id="7" xr16:uid="{55C5052D-1C70-47B9-A527-D125F8E9FEBC}" keepAlive="1" name="Query - vienna-general-death-to-birth-rates-by-clinic (7)" description="Connection to the 'vienna-general-death-to-birth-rates-by-clinic (7)' query in the workbook." type="5" refreshedVersion="8" background="1" saveData="1">
    <dbPr connection="Provider=Microsoft.Mashup.OleDb.1;Data Source=$Workbook$;Location=&quot;vienna-general-death-to-birth-rates-by-clinic (7)&quot;;Extended Properties=&quot;&quot;" command="SELECT * FROM [vienna-general-death-to-birth-rates-by-clinic (7)]"/>
  </connection>
  <connection id="8" xr16:uid="{3881DB1B-251A-4CD4-9B13-6C4988E0C152}" keepAlive="1" name="Query - vienna-general-death-to-birth-rates-by-clinic (8)" description="Connection to the 'vienna-general-death-to-birth-rates-by-clinic (8)' query in the workbook." type="5" refreshedVersion="8" background="1" saveData="1">
    <dbPr connection="Provider=Microsoft.Mashup.OleDb.1;Data Source=$Workbook$;Location=&quot;vienna-general-death-to-birth-rates-by-clinic (8)&quot;;Extended Properties=&quot;&quot;" command="SELECT * FROM [vienna-general-death-to-birth-rates-by-clinic (8)]"/>
  </connection>
  <connection id="9" xr16:uid="{2CA44B92-BEC6-4F2A-AA01-2317C3922515}" keepAlive="1" name="Query - vienna-general-death-to-birth-rates-by-clinic (9)" description="Connection to the 'vienna-general-death-to-birth-rates-by-clinic (9)' query in the workbook." type="5" refreshedVersion="8" background="1" saveData="1">
    <dbPr connection="Provider=Microsoft.Mashup.OleDb.1;Data Source=$Workbook$;Location=&quot;vienna-general-death-to-birth-rates-by-clinic (9)&quot;;Extended Properties=&quot;&quot;" command="SELECT * FROM [vienna-general-death-to-birth-rates-by-clinic (9)]"/>
  </connection>
</connections>
</file>

<file path=xl/sharedStrings.xml><?xml version="1.0" encoding="utf-8"?>
<sst xmlns="http://schemas.openxmlformats.org/spreadsheetml/2006/main" count="211" uniqueCount="34">
  <si>
    <t>Chapter 4. Measures of Dispersion</t>
  </si>
  <si>
    <t>Year</t>
  </si>
  <si>
    <t>Students &amp; Doctors</t>
  </si>
  <si>
    <t>Midwives</t>
  </si>
  <si>
    <t>Sum</t>
  </si>
  <si>
    <t>Count (n)</t>
  </si>
  <si>
    <t>Mean</t>
  </si>
  <si>
    <t>Max</t>
  </si>
  <si>
    <t>Min</t>
  </si>
  <si>
    <t>Range</t>
  </si>
  <si>
    <t>s</t>
  </si>
  <si>
    <t>Rate</t>
  </si>
  <si>
    <t>mR</t>
  </si>
  <si>
    <t>Ave. mR</t>
  </si>
  <si>
    <t>Median</t>
  </si>
  <si>
    <t>Statistic</t>
  </si>
  <si>
    <t>R</t>
  </si>
  <si>
    <t>Table</t>
  </si>
  <si>
    <r>
      <rPr>
        <sz val="12"/>
        <color rgb="FF000000"/>
        <rFont val="Montserrat"/>
      </rPr>
      <t>This file serves as a resource for building some of the tables in Chapter 4 of The Virus of Variation using Microsoft Excel or Google Sheets.
The calculations included here are:
Table 4.2. Mean of rates
Table 4.3. Min, max, and range of rates
Table 4.4. Standard deviation of rates
Table 4.5. mRs for students and doctors
Table 4.6. mRs for both clinics
Table 4.7. Mean and medians for clinics
Table 4.8. Measures of dispersion for clinics
Each table has its own tab. The data used in the tables can be found in the Data tab.
For additional details regarding each of the tables, see Chapter 4 of The Virus of Variation.
(</t>
    </r>
    <r>
      <rPr>
        <b/>
        <sz val="12"/>
        <color rgb="FF000000"/>
        <rFont val="Montserrat"/>
      </rPr>
      <t>BrokenQuality.com/book</t>
    </r>
    <r>
      <rPr>
        <sz val="12"/>
        <color rgb="FF000000"/>
        <rFont val="Montserrat"/>
      </rPr>
      <t xml:space="preserve">).
If you are familiar with Python (or would like to learn), the Python code used to generate the figures in The Virus of Variation can be found at:
</t>
    </r>
    <r>
      <rPr>
        <b/>
        <sz val="12"/>
        <color rgb="FF000000"/>
        <rFont val="Montserrat"/>
      </rPr>
      <t>github.com/jimlehner/the-virus-of-variation</t>
    </r>
    <r>
      <rPr>
        <sz val="12"/>
        <color rgb="FF000000"/>
        <rFont val="Montserrat"/>
      </rPr>
      <t xml:space="preserve">
If you have question or feedback email us at:
</t>
    </r>
    <r>
      <rPr>
        <b/>
        <sz val="12"/>
        <color rgb="FF000000"/>
        <rFont val="Montserrat"/>
      </rPr>
      <t xml:space="preserve">James.Lehner@gmail.com </t>
    </r>
    <r>
      <rPr>
        <sz val="12"/>
        <color rgb="FF000000"/>
        <rFont val="Montserrat"/>
      </rPr>
      <t>or</t>
    </r>
    <r>
      <rPr>
        <b/>
        <sz val="12"/>
        <color rgb="FF000000"/>
        <rFont val="Montserrat"/>
      </rPr>
      <t xml:space="preserve"> QualityIsBroken@gmail.com</t>
    </r>
    <r>
      <rPr>
        <sz val="12"/>
        <color rgb="FF000000"/>
        <rFont val="Montserrat"/>
      </rPr>
      <t>.</t>
    </r>
  </si>
  <si>
    <t>Link to book:</t>
  </si>
  <si>
    <t>https://www.brokenquality.com/book</t>
  </si>
  <si>
    <t>Link to GitHub:</t>
  </si>
  <si>
    <t>https://github.com/jimlehner/virus-of-variation-book</t>
  </si>
  <si>
    <t>Contact:</t>
  </si>
  <si>
    <t>James.Lehner@gmail.com</t>
  </si>
  <si>
    <t>QualityIsBroken@gmail.com</t>
  </si>
  <si>
    <t>Hospital</t>
  </si>
  <si>
    <t>Vienna General Hospital</t>
  </si>
  <si>
    <t>Employee</t>
  </si>
  <si>
    <t>4.2, 4.3, 4.4, 4.6, 4.7, &amp; 4.8</t>
  </si>
  <si>
    <t>mR2</t>
  </si>
  <si>
    <t>Raw GitHub Data URLs:</t>
  </si>
  <si>
    <t>https://raw.githubusercontent.com/jimlehner/virus-of-variation-book/refs/heads/main/data/vienna-general-death-to-birth-rates-by-clinic.csv</t>
  </si>
  <si>
    <t>Table 4.2, 4.3, 4.4, 4.5, 4.6, 4.7, 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</si>
</sst>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11">
    <font>
      <sz val="10"/>
      <color rgb="FF000000"/>
      <name val="Arial"/>
      <scheme val="minor"/>
    </font>
    <font>
      <b/>
      <sz val="16"/>
      <color rgb="FFD72323"/>
      <name val="Montserrat"/>
    </font>
    <font>
      <sz val="10"/>
      <color theme="1"/>
      <name val="Arial"/>
      <family val="2"/>
    </font>
    <font>
      <sz val="9"/>
      <color rgb="FF1F2328"/>
      <name val="Arial"/>
      <family val="2"/>
    </font>
    <font>
      <sz val="9"/>
      <color rgb="FF1F2328"/>
      <name val="-apple-system"/>
    </font>
    <font>
      <sz val="9"/>
      <color theme="1"/>
      <name val="Arial"/>
      <family val="2"/>
      <scheme val="minor"/>
    </font>
    <font>
      <u/>
      <sz val="10"/>
      <color theme="10"/>
      <name val="Arial"/>
      <family val="2"/>
      <scheme val="minor"/>
    </font>
    <font>
      <sz val="10"/>
      <color rgb="FF000000"/>
      <name val="Arial"/>
      <family val="2"/>
      <scheme val="minor"/>
    </font>
    <font>
      <sz val="12"/>
      <color rgb="FF000000"/>
      <name val="Montserrat"/>
    </font>
    <font>
      <b/>
      <sz val="12"/>
      <color rgb="FF000000"/>
      <name val="Montserrat"/>
    </font>
    <font>
      <b/>
      <sz val="10"/>
      <color rgb="FF000000"/>
      <name val="Arial"/>
      <family val="2"/>
      <scheme val="minor"/>
    </font>
  </fonts>
  <fills count="5">
    <fill>
      <patternFill patternType="none"/>
    </fill>
    <fill>
      <patternFill patternType="gray125"/>
    </fill>
    <fill>
      <patternFill patternType="solid">
        <fgColor rgb="FF3688A4"/>
        <bgColor indexed="64"/>
      </patternFill>
    </fill>
    <fill>
      <patternFill patternType="solid">
        <fgColor rgb="FFE8F3F7"/>
        <bgColor indexed="64"/>
      </patternFill>
    </fill>
    <fill>
      <patternFill patternType="solid">
        <fgColor rgb="FFFFFFFF"/>
        <bgColor indexed="64"/>
      </patternFill>
    </fill>
  </fills>
  <borders count="18">
    <border>
      <left/>
      <right/>
      <top/>
      <bottom/>
      <diagonal/>
    </border>
    <border>
      <left style="thin">
        <color rgb="FFD1D9E0"/>
      </left>
      <right/>
      <top/>
      <bottom/>
      <diagonal/>
    </border>
    <border>
      <left style="thin">
        <color rgb="FFD1D9E0"/>
      </left>
      <right/>
      <top style="thin">
        <color rgb="FFD1D9E0"/>
      </top>
      <bottom/>
      <diagonal/>
    </border>
    <border>
      <left style="thin">
        <color rgb="FF8BB4C5"/>
      </left>
      <right style="thin">
        <color rgb="FFC8DDE6"/>
      </right>
      <top style="thin">
        <color rgb="FF8BB4C5"/>
      </top>
      <bottom style="thin">
        <color rgb="FF8BB4C5"/>
      </bottom>
      <diagonal/>
    </border>
    <border>
      <left style="thin">
        <color rgb="FFC8DDE6"/>
      </left>
      <right style="thin">
        <color rgb="FF8BB4C5"/>
      </right>
      <top style="thin">
        <color rgb="FF8BB4C5"/>
      </top>
      <bottom style="thin">
        <color rgb="FF8BB4C5"/>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C8DDE6"/>
      </left>
      <right style="thin">
        <color rgb="FFC8DDE6"/>
      </right>
      <top style="thin">
        <color rgb="FF8BB4C5"/>
      </top>
      <bottom style="thin">
        <color rgb="FF8BB4C5"/>
      </bottom>
      <diagonal/>
    </border>
    <border>
      <left style="thin">
        <color rgb="FFC8DDE6"/>
      </left>
      <right/>
      <top style="thin">
        <color rgb="FF8BB4C5"/>
      </top>
      <bottom style="thin">
        <color rgb="FF8BB4C5"/>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6" fillId="0" borderId="0" applyNumberFormat="0" applyFill="0" applyBorder="0" applyAlignment="0" applyProtection="0"/>
    <xf numFmtId="0" fontId="7" fillId="0" borderId="0"/>
  </cellStyleXfs>
  <cellXfs count="53">
    <xf numFmtId="0" fontId="0" fillId="0" borderId="0" xfId="0"/>
    <xf numFmtId="0" fontId="2" fillId="0" borderId="0" xfId="0" applyFont="1"/>
    <xf numFmtId="49" fontId="4" fillId="0" borderId="2"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right"/>
    </xf>
    <xf numFmtId="0" fontId="5" fillId="0" borderId="0" xfId="0" applyFont="1"/>
    <xf numFmtId="0" fontId="3" fillId="0" borderId="0" xfId="0" applyFont="1" applyAlignment="1">
      <alignment horizontal="right"/>
    </xf>
    <xf numFmtId="165" fontId="3" fillId="0" borderId="1" xfId="0" applyNumberFormat="1" applyFont="1" applyBorder="1" applyAlignment="1">
      <alignment horizontal="right"/>
    </xf>
    <xf numFmtId="164" fontId="3" fillId="0" borderId="0" xfId="0" applyNumberFormat="1" applyFont="1"/>
    <xf numFmtId="0" fontId="0" fillId="2" borderId="3" xfId="0" applyFill="1" applyBorder="1"/>
    <xf numFmtId="0" fontId="0" fillId="2" borderId="13" xfId="0" applyFill="1" applyBorder="1"/>
    <xf numFmtId="0" fontId="0" fillId="2" borderId="4" xfId="0" applyFill="1" applyBorder="1"/>
    <xf numFmtId="0" fontId="0" fillId="3" borderId="13" xfId="0" applyFill="1" applyBorder="1"/>
    <xf numFmtId="0" fontId="0" fillId="3" borderId="4" xfId="0" applyFill="1" applyBorder="1"/>
    <xf numFmtId="0" fontId="0" fillId="4" borderId="13" xfId="0" applyFill="1" applyBorder="1"/>
    <xf numFmtId="0" fontId="0" fillId="4" borderId="4" xfId="0" applyFill="1" applyBorder="1"/>
    <xf numFmtId="0" fontId="7" fillId="0" borderId="0" xfId="0" applyFont="1"/>
    <xf numFmtId="0" fontId="7" fillId="0" borderId="0" xfId="0" applyFont="1" applyAlignment="1">
      <alignment horizontal="right"/>
    </xf>
    <xf numFmtId="0" fontId="0" fillId="3" borderId="3" xfId="0" applyFill="1" applyBorder="1"/>
    <xf numFmtId="0" fontId="0" fillId="4" borderId="3" xfId="0" applyFill="1" applyBorder="1"/>
    <xf numFmtId="0" fontId="7" fillId="4" borderId="13" xfId="0" applyFont="1" applyFill="1" applyBorder="1" applyAlignment="1">
      <alignment horizontal="right"/>
    </xf>
    <xf numFmtId="0" fontId="7" fillId="3" borderId="13" xfId="0" applyFont="1" applyFill="1" applyBorder="1" applyAlignment="1">
      <alignment horizontal="right"/>
    </xf>
    <xf numFmtId="0" fontId="3" fillId="0" borderId="0" xfId="0" applyFont="1"/>
    <xf numFmtId="2" fontId="0" fillId="0" borderId="0" xfId="0" applyNumberFormat="1"/>
    <xf numFmtId="0" fontId="0" fillId="3" borderId="14" xfId="0" applyFill="1" applyBorder="1"/>
    <xf numFmtId="0" fontId="0" fillId="4" borderId="14" xfId="0" applyFill="1" applyBorder="1"/>
    <xf numFmtId="0" fontId="7" fillId="2" borderId="14" xfId="0" applyFont="1" applyFill="1" applyBorder="1"/>
    <xf numFmtId="0" fontId="10" fillId="0" borderId="0" xfId="0" applyFont="1"/>
    <xf numFmtId="0" fontId="10" fillId="0" borderId="10" xfId="0" applyFont="1" applyBorder="1" applyAlignment="1">
      <alignment wrapText="1"/>
    </xf>
    <xf numFmtId="0" fontId="8" fillId="0" borderId="5" xfId="0" applyFont="1"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0" fillId="0" borderId="5" xfId="0" applyFont="1" applyBorder="1" applyAlignment="1">
      <alignment horizontal="center"/>
    </xf>
    <xf numFmtId="0" fontId="10" fillId="0" borderId="6" xfId="0" applyFont="1" applyBorder="1" applyAlignment="1">
      <alignment horizontal="center"/>
    </xf>
    <xf numFmtId="0" fontId="10" fillId="0" borderId="7" xfId="0" applyFont="1" applyBorder="1" applyAlignment="1">
      <alignment horizontal="center"/>
    </xf>
    <xf numFmtId="0" fontId="6" fillId="0" borderId="8" xfId="1" applyBorder="1" applyAlignment="1">
      <alignment horizontal="center"/>
    </xf>
    <xf numFmtId="0" fontId="6" fillId="0" borderId="0" xfId="1" applyBorder="1" applyAlignment="1">
      <alignment horizontal="center"/>
    </xf>
    <xf numFmtId="0" fontId="6" fillId="0" borderId="9" xfId="1" applyBorder="1" applyAlignment="1">
      <alignment horizontal="center"/>
    </xf>
    <xf numFmtId="0" fontId="10" fillId="0" borderId="8" xfId="0" applyFont="1" applyBorder="1" applyAlignment="1">
      <alignment horizontal="center"/>
    </xf>
    <xf numFmtId="0" fontId="10" fillId="0" borderId="0" xfId="0" applyFont="1" applyAlignment="1">
      <alignment horizontal="center"/>
    </xf>
    <xf numFmtId="0" fontId="10" fillId="0" borderId="9" xfId="0" applyFont="1" applyBorder="1" applyAlignment="1">
      <alignment horizontal="center"/>
    </xf>
    <xf numFmtId="0" fontId="0" fillId="0" borderId="11" xfId="0" applyBorder="1" applyAlignment="1">
      <alignment horizontal="left" vertical="center"/>
    </xf>
    <xf numFmtId="0" fontId="0" fillId="0" borderId="12" xfId="0" applyBorder="1" applyAlignment="1">
      <alignment horizontal="left" vertical="center"/>
    </xf>
    <xf numFmtId="0" fontId="0" fillId="0" borderId="0" xfId="0" applyAlignment="1">
      <alignment horizontal="left"/>
    </xf>
    <xf numFmtId="0" fontId="1" fillId="0" borderId="15" xfId="0" applyFont="1" applyBorder="1" applyAlignment="1">
      <alignment horizontal="center"/>
    </xf>
    <xf numFmtId="0" fontId="0" fillId="0" borderId="16" xfId="0" applyBorder="1"/>
    <xf numFmtId="0" fontId="0" fillId="0" borderId="17" xfId="0" applyBorder="1"/>
  </cellXfs>
  <cellStyles count="3">
    <cellStyle name="Hyperlink" xfId="1" builtinId="8"/>
    <cellStyle name="Normal" xfId="0" builtinId="0"/>
    <cellStyle name="Normal 2" xfId="2" xr:uid="{9FA56826-4FDF-4427-AB16-D07367F58E30}"/>
  </cellStyles>
  <dxfs count="29">
    <dxf>
      <font>
        <b val="0"/>
        <i val="0"/>
        <strike val="0"/>
        <condense val="0"/>
        <extend val="0"/>
        <outline val="0"/>
        <shadow val="0"/>
        <u val="none"/>
        <vertAlign val="baseline"/>
        <sz val="9"/>
        <color rgb="FF1F2328"/>
        <name val="Arial"/>
        <family val="2"/>
        <scheme val="none"/>
      </font>
    </dxf>
    <dxf>
      <font>
        <b val="0"/>
        <i val="0"/>
        <strike val="0"/>
        <condense val="0"/>
        <extend val="0"/>
        <outline val="0"/>
        <shadow val="0"/>
        <u val="none"/>
        <vertAlign val="baseline"/>
        <sz val="9"/>
        <color rgb="FF1F2328"/>
        <name val="Arial"/>
        <family val="2"/>
        <scheme val="none"/>
      </font>
      <numFmt numFmtId="164" formatCode="#,##0.0"/>
    </dxf>
    <dxf>
      <font>
        <b val="0"/>
        <i val="0"/>
        <strike val="0"/>
        <condense val="0"/>
        <extend val="0"/>
        <outline val="0"/>
        <shadow val="0"/>
        <u val="none"/>
        <vertAlign val="baseline"/>
        <sz val="9"/>
        <color rgb="FF1F2328"/>
        <name val="Arial"/>
        <family val="2"/>
        <scheme val="none"/>
      </font>
      <numFmt numFmtId="164" formatCode="#,##0.0"/>
    </dxf>
    <dxf>
      <font>
        <b val="0"/>
        <i val="0"/>
        <strike val="0"/>
        <condense val="0"/>
        <extend val="0"/>
        <outline val="0"/>
        <shadow val="0"/>
        <u val="none"/>
        <vertAlign val="baseline"/>
        <sz val="9"/>
        <color rgb="FF1F2328"/>
        <name val="Arial"/>
        <family val="2"/>
        <scheme val="none"/>
      </font>
      <numFmt numFmtId="0" formatCode="General"/>
    </dxf>
    <dxf>
      <font>
        <b val="0"/>
        <i val="0"/>
        <strike val="0"/>
        <condense val="0"/>
        <extend val="0"/>
        <outline val="0"/>
        <shadow val="0"/>
        <u val="none"/>
        <vertAlign val="baseline"/>
        <sz val="9"/>
        <color rgb="FF1F2328"/>
        <name val="Arial"/>
        <family val="2"/>
        <scheme val="none"/>
      </font>
      <numFmt numFmtId="0" formatCode="General"/>
    </dxf>
    <dxf>
      <font>
        <b val="0"/>
        <i val="0"/>
        <strike val="0"/>
        <condense val="0"/>
        <extend val="0"/>
        <outline val="0"/>
        <shadow val="0"/>
        <u val="none"/>
        <vertAlign val="baseline"/>
        <sz val="9"/>
        <color rgb="FF1F2328"/>
        <name val="Arial"/>
        <family val="2"/>
        <scheme val="none"/>
      </font>
    </dxf>
    <dxf>
      <font>
        <b val="0"/>
        <i val="0"/>
        <strike val="0"/>
        <condense val="0"/>
        <extend val="0"/>
        <outline val="0"/>
        <shadow val="0"/>
        <u val="none"/>
        <vertAlign val="baseline"/>
        <sz val="9"/>
        <color rgb="FF1F2328"/>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rgb="FF1F2328"/>
        <name val="Arial"/>
        <family val="2"/>
        <scheme val="none"/>
      </font>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9"/>
        <color rgb="FF1F2328"/>
        <name val="Arial"/>
        <family val="2"/>
        <scheme val="none"/>
      </font>
      <numFmt numFmtId="0" formatCode="General"/>
    </dxf>
    <dxf>
      <font>
        <b val="0"/>
        <i val="0"/>
        <strike val="0"/>
        <condense val="0"/>
        <extend val="0"/>
        <outline val="0"/>
        <shadow val="0"/>
        <u val="none"/>
        <vertAlign val="baseline"/>
        <sz val="9"/>
        <color rgb="FF1F2328"/>
        <name val="Arial"/>
        <family val="2"/>
        <scheme val="none"/>
      </font>
      <numFmt numFmtId="164" formatCode="#,##0.0"/>
    </dxf>
    <dxf>
      <font>
        <b val="0"/>
        <i val="0"/>
        <strike val="0"/>
        <condense val="0"/>
        <extend val="0"/>
        <outline val="0"/>
        <shadow val="0"/>
        <u val="none"/>
        <vertAlign val="baseline"/>
        <sz val="9"/>
        <color rgb="FF1F2328"/>
        <name val="Arial"/>
        <family val="2"/>
        <scheme val="none"/>
      </font>
      <numFmt numFmtId="164" formatCode="#,##0.0"/>
    </dxf>
    <dxf>
      <font>
        <b val="0"/>
        <i val="0"/>
        <strike val="0"/>
        <condense val="0"/>
        <extend val="0"/>
        <outline val="0"/>
        <shadow val="0"/>
        <u val="none"/>
        <vertAlign val="baseline"/>
        <sz val="9"/>
        <color rgb="FF1F2328"/>
        <name val="Arial"/>
        <family val="2"/>
        <scheme val="none"/>
      </font>
      <numFmt numFmtId="0" formatCode="General"/>
    </dxf>
    <dxf>
      <font>
        <b val="0"/>
        <i val="0"/>
        <strike val="0"/>
        <condense val="0"/>
        <extend val="0"/>
        <outline val="0"/>
        <shadow val="0"/>
        <u val="none"/>
        <vertAlign val="baseline"/>
        <sz val="9"/>
        <color rgb="FF1F2328"/>
        <name val="Arial"/>
        <family val="2"/>
        <scheme val="none"/>
      </font>
      <numFmt numFmtId="0" formatCode="General"/>
    </dxf>
    <dxf>
      <font>
        <b val="0"/>
        <i val="0"/>
        <strike val="0"/>
        <condense val="0"/>
        <extend val="0"/>
        <outline val="0"/>
        <shadow val="0"/>
        <u val="none"/>
        <vertAlign val="baseline"/>
        <sz val="9"/>
        <color rgb="FF1F2328"/>
        <name val="Arial"/>
        <family val="2"/>
        <scheme val="none"/>
      </font>
    </dxf>
    <dxf>
      <font>
        <b val="0"/>
        <i val="0"/>
        <strike val="0"/>
        <condense val="0"/>
        <extend val="0"/>
        <outline val="0"/>
        <shadow val="0"/>
        <u val="none"/>
        <vertAlign val="baseline"/>
        <sz val="9"/>
        <color rgb="FF1F2328"/>
        <name val="Arial"/>
        <family val="2"/>
        <scheme val="none"/>
      </font>
      <alignment horizontal="left" vertical="bottom" textRotation="0" wrapText="0" indent="0" justifyLastLine="0" shrinkToFit="0" readingOrder="0"/>
    </dxf>
    <dxf>
      <numFmt numFmtId="0" formatCode="General"/>
    </dxf>
    <dxf>
      <numFmt numFmtId="0" formatCode="General"/>
    </dxf>
    <dxf>
      <numFmt numFmtId="0" formatCode="General"/>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B50033E0-3AFC-4186-9938-1DCCD2316B76}">
      <tableStyleElement type="wholeTable" dxfId="28"/>
      <tableStyleElement type="headerRow" dxfId="27"/>
      <tableStyleElement type="firstRowStripe" dxfId="26"/>
      <tableStyleElement type="secondRowStripe"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88900</xdr:rowOff>
    </xdr:to>
    <xdr:pic>
      <xdr:nvPicPr>
        <xdr:cNvPr id="3" name="image1.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xfrm>
          <a:off x="6273800" y="196850"/>
          <a:ext cx="2683933" cy="4025900"/>
        </a:xfrm>
        <a:prstGeom prst="rect">
          <a:avLst/>
        </a:prstGeom>
        <a:noFill/>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377B896-B466-449C-952C-6E9984AF1A4F}" autoFormatId="16" applyNumberFormats="0" applyBorderFormats="0" applyFontFormats="0" applyPatternFormats="0" applyAlignmentFormats="0" applyWidthHeightFormats="0">
  <queryTableRefresh nextId="6">
    <queryTableFields count="4">
      <queryTableField id="1" name="Hospital" tableColumnId="1"/>
      <queryTableField id="2" name="Year" tableColumnId="2"/>
      <queryTableField id="3" name="Students &amp; Doctors" tableColumnId="3"/>
      <queryTableField id="4" name="Midwives"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223B4815-3417-443D-A414-2A0008E7E848}" autoFormatId="16" applyNumberFormats="0" applyBorderFormats="0" applyFontFormats="0" applyPatternFormats="0" applyAlignmentFormats="0" applyWidthHeightFormats="0">
  <queryTableRefresh nextId="6">
    <queryTableFields count="4">
      <queryTableField id="1" name="Hospital" tableColumnId="1"/>
      <queryTableField id="2" name="Year" tableColumnId="2"/>
      <queryTableField id="3" name="Students &amp; Doctors" tableColumnId="3"/>
      <queryTableField id="4" name="Midwives"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223497C1-186A-4C54-9900-64EAFF4376D1}" autoFormatId="16" applyNumberFormats="0" applyBorderFormats="0" applyFontFormats="0" applyPatternFormats="0" applyAlignmentFormats="0" applyWidthHeightFormats="0">
  <queryTableRefresh nextId="6">
    <queryTableFields count="4">
      <queryTableField id="1" name="Hospital" tableColumnId="1"/>
      <queryTableField id="2" name="Year" tableColumnId="2"/>
      <queryTableField id="3" name="Students &amp; Doctors" tableColumnId="3"/>
      <queryTableField id="4" name="Midwives"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6" xr16:uid="{F5497C79-0A6F-42F6-AE29-10A7FC539683}" autoFormatId="16" applyNumberFormats="0" applyBorderFormats="0" applyFontFormats="0" applyPatternFormats="0" applyAlignmentFormats="0" applyWidthHeightFormats="0">
  <queryTableRefresh nextId="7" unboundColumnsRight="1">
    <queryTableFields count="5">
      <queryTableField id="1" name="Hospital" tableColumnId="1"/>
      <queryTableField id="2" name="Employee" tableColumnId="2"/>
      <queryTableField id="3" name="Year" tableColumnId="3"/>
      <queryTableField id="4" name="Rate" tableColumnId="4"/>
      <queryTableField id="6" dataBound="0"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7" xr16:uid="{E9869120-FB85-4B9F-89F6-F3E099003C4A}" autoFormatId="16" applyNumberFormats="0" applyBorderFormats="0" applyFontFormats="0" applyPatternFormats="0" applyAlignmentFormats="0" applyWidthHeightFormats="0">
  <queryTableRefresh nextId="8" unboundColumnsRight="1">
    <queryTableFields count="6">
      <queryTableField id="1" name="Hospital" tableColumnId="1"/>
      <queryTableField id="2" name="Year" tableColumnId="2"/>
      <queryTableField id="3" name="Students &amp; Doctors" tableColumnId="3"/>
      <queryTableField id="6" dataBound="0" tableColumnId="6"/>
      <queryTableField id="4" name="Midwives" tableColumnId="4"/>
      <queryTableField id="7" dataBound="0"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8" xr16:uid="{D4B8CE83-3D2C-4AC3-B707-853C4113CA70}" autoFormatId="16" applyNumberFormats="0" applyBorderFormats="0" applyFontFormats="0" applyPatternFormats="0" applyAlignmentFormats="0" applyWidthHeightFormats="0">
  <queryTableRefresh nextId="6">
    <queryTableFields count="4">
      <queryTableField id="1" name="Hospital" tableColumnId="1"/>
      <queryTableField id="2" name="Year" tableColumnId="2"/>
      <queryTableField id="3" name="Students &amp; Doctors" tableColumnId="3"/>
      <queryTableField id="4" name="Midwives"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9" xr16:uid="{5473396C-E570-4A78-BC60-21C7360C0646}" autoFormatId="16" applyNumberFormats="0" applyBorderFormats="0" applyFontFormats="0" applyPatternFormats="0" applyAlignmentFormats="0" applyWidthHeightFormats="0">
  <queryTableRefresh nextId="8" unboundColumnsRight="1">
    <queryTableFields count="6">
      <queryTableField id="1" name="Hospital" tableColumnId="1"/>
      <queryTableField id="2" name="Year" tableColumnId="2"/>
      <queryTableField id="3" name="Students &amp; Doctors" tableColumnId="3"/>
      <queryTableField id="6" dataBound="0" tableColumnId="6"/>
      <queryTableField id="4" name="Midwives" tableColumnId="4"/>
      <queryTableField id="7" dataBound="0" tableColumnId="7"/>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 xr16:uid="{FA68923F-F338-4118-AF60-7DF76CF7BF4F}" autoFormatId="16" applyNumberFormats="0" applyBorderFormats="0" applyFontFormats="0" applyPatternFormats="0" applyAlignmentFormats="0" applyWidthHeightFormats="0">
  <queryTableRefresh nextId="6" unboundColumnsRight="1">
    <queryTableFields count="5">
      <queryTableField id="1" name="Hospital" tableColumnId="1"/>
      <queryTableField id="2" name="Year" tableColumnId="2"/>
      <queryTableField id="3" name="Students &amp; Doctors" tableColumnId="3"/>
      <queryTableField id="4" name="Midwives" tableColumnId="4"/>
      <queryTableField id="5" dataBound="0" tableColumnId="5"/>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5" xr16:uid="{EB736E1E-B5D4-4276-B475-E7E7454B3F95}" autoFormatId="16" applyNumberFormats="0" applyBorderFormats="0" applyFontFormats="0" applyPatternFormats="0" applyAlignmentFormats="0" applyWidthHeightFormats="0">
  <queryTableRefresh nextId="6" unboundColumnsRight="1">
    <queryTableFields count="5">
      <queryTableField id="1" name="Hospital" tableColumnId="1"/>
      <queryTableField id="2" name="Employee" tableColumnId="2"/>
      <queryTableField id="3" name="Year" tableColumnId="3"/>
      <queryTableField id="4" name="Rate" tableColumnId="4"/>
      <queryTableField id="5" dataBound="0"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891C16-D981-417F-BC33-B527C42B617A}" name="vienna_general_death_to_birth_rates_by_clinic4" displayName="vienna_general_death_to_birth_rates_by_clinic4" ref="A1:D15" tableType="queryTable" totalsRowShown="0">
  <autoFilter ref="A1:D15" xr:uid="{7A891C16-D981-417F-BC33-B527C42B617A}"/>
  <tableColumns count="4">
    <tableColumn id="1" xr3:uid="{3FFA3F3A-A346-4EE6-AABA-378198D0DCF2}" uniqueName="1" name="Hospital" queryTableFieldId="1" dataDxfId="24"/>
    <tableColumn id="2" xr3:uid="{CF1DA034-97FC-487A-ABE6-1999964F9B1B}" uniqueName="2" name="Year" queryTableFieldId="2"/>
    <tableColumn id="3" xr3:uid="{FEE29AD2-526B-41B4-9D38-F3ACC3ABDE57}" uniqueName="3" name="Students &amp; Doctors" queryTableFieldId="3"/>
    <tableColumn id="4" xr3:uid="{BF4F2F5F-5E62-435D-8241-C726E4CB9CDB}" uniqueName="4" name="Midwives" queryTableFieldId="4"/>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E32803E-FB3C-44EF-90F6-DC514B1B07AA}" name="vienna_general_death_to_birth_rates_by_clinic46" displayName="vienna_general_death_to_birth_rates_by_clinic46" ref="A1:D15" tableType="queryTable" totalsRowShown="0">
  <autoFilter ref="A1:D15" xr:uid="{4E32803E-FB3C-44EF-90F6-DC514B1B07AA}"/>
  <tableColumns count="4">
    <tableColumn id="1" xr3:uid="{C0897EF2-7FD5-4564-B5EE-183A65B37183}" uniqueName="1" name="Hospital" queryTableFieldId="1" dataDxfId="23"/>
    <tableColumn id="2" xr3:uid="{099BEE2A-E3E5-4727-8418-01F53A106E6F}" uniqueName="2" name="Year" queryTableFieldId="2"/>
    <tableColumn id="3" xr3:uid="{A3B31B65-5038-41A0-ADBB-2F5194D6A6EB}" uniqueName="3" name="Students &amp; Doctors" queryTableFieldId="3"/>
    <tableColumn id="4" xr3:uid="{FE553FA6-AE5C-4B17-925D-003A1810CE14}" uniqueName="4" name="Midwives" queryTableFieldId="4"/>
  </tableColumns>
  <tableStyleInfo name="The Virus of Variatio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AB446E4-C8F7-456A-B26B-001A571F2B83}" name="vienna_general_death_to_birth_rates_by_clinic411" displayName="vienna_general_death_to_birth_rates_by_clinic411" ref="A1:D13" tableType="queryTable" totalsRowShown="0">
  <autoFilter ref="A1:D13" xr:uid="{DAB446E4-C8F7-456A-B26B-001A571F2B83}"/>
  <tableColumns count="4">
    <tableColumn id="1" xr3:uid="{46AEDD62-50BC-41B9-9A90-7B86DB1978E5}" uniqueName="1" name="Hospital" queryTableFieldId="1" dataDxfId="22"/>
    <tableColumn id="2" xr3:uid="{13802939-E7F3-498D-B2E0-287EC55A244A}" uniqueName="2" name="Year" queryTableFieldId="2"/>
    <tableColumn id="3" xr3:uid="{83E3B177-BBE7-4D41-8CFC-05DFE99DC121}" uniqueName="3" name="Students &amp; Doctors" queryTableFieldId="3"/>
    <tableColumn id="4" xr3:uid="{BDF5378D-B0D0-4CC3-832F-8E31C54FFFB5}" uniqueName="4" name="Midwives" queryTableFieldId="4"/>
  </tableColumns>
  <tableStyleInfo name="The Virus of Variatio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C09DA3-25DE-4F5A-94B6-E7163405F79A}" name="vienna_general_death_to_birth_rates_by_clinic__513" displayName="vienna_general_death_to_birth_rates_by_clinic__513" ref="A1:E15" tableType="queryTable" totalsRowShown="0" headerRowDxfId="21" dataDxfId="20">
  <autoFilter ref="A1:E15" xr:uid="{C2C09DA3-25DE-4F5A-94B6-E7163405F79A}"/>
  <tableColumns count="5">
    <tableColumn id="1" xr3:uid="{17A75165-C038-4373-9477-82FB353CD9CD}" uniqueName="1" name="Hospital" queryTableFieldId="1" dataDxfId="19"/>
    <tableColumn id="2" xr3:uid="{21017251-66D5-4644-9A65-BD4F351E8B31}" uniqueName="2" name="Employee" queryTableFieldId="2" dataDxfId="18"/>
    <tableColumn id="3" xr3:uid="{D821C905-B9B5-4410-B46D-3962964AB088}" uniqueName="3" name="Year" queryTableFieldId="3" dataDxfId="17"/>
    <tableColumn id="4" xr3:uid="{CCAF6C80-716F-44FD-BD42-D725D929039D}" uniqueName="4" name="Rate" queryTableFieldId="4" dataDxfId="16"/>
    <tableColumn id="6" xr3:uid="{B21F93DA-55C6-44EA-9804-42BA87A2DA77}" uniqueName="6" name="mR" queryTableFieldId="6" dataDxfId="15">
      <calculatedColumnFormula>ROUND(ABS(D1-vienna_general_death_to_birth_rates_by_clinic__513[[#This Row],[Rate]]),1)</calculatedColumnFormula>
    </tableColumn>
  </tableColumns>
  <tableStyleInfo name="The Virus of Variatio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C1410C3-D631-4CC1-B1FB-BDD99AF3B367}" name="vienna_general_death_to_birth_rates_by_clinic414" displayName="vienna_general_death_to_birth_rates_by_clinic414" ref="A1:F15" tableType="queryTable" totalsRowShown="0">
  <autoFilter ref="A1:F15" xr:uid="{CC1410C3-D631-4CC1-B1FB-BDD99AF3B367}"/>
  <tableColumns count="6">
    <tableColumn id="1" xr3:uid="{A594EA57-4303-4863-BAD0-B98C107EDBC8}" uniqueName="1" name="Hospital" queryTableFieldId="1" dataDxfId="14"/>
    <tableColumn id="2" xr3:uid="{37AAA095-8269-441D-8A64-E965FE63BC8E}" uniqueName="2" name="Year" queryTableFieldId="2"/>
    <tableColumn id="3" xr3:uid="{61381819-E566-4448-B64A-E8D8A0BB9120}" uniqueName="3" name="Students &amp; Doctors" queryTableFieldId="3"/>
    <tableColumn id="6" xr3:uid="{2DA7C628-496E-4F8F-84AA-0A10D81C3D24}" uniqueName="6" name="mR" queryTableFieldId="6"/>
    <tableColumn id="4" xr3:uid="{A5BA0530-AAA0-41F6-B8EF-BC539F5DB3EE}" uniqueName="4" name="Midwives" queryTableFieldId="4"/>
    <tableColumn id="7" xr3:uid="{B5BF3F4B-8CB7-45D6-8982-293F499C7B74}" uniqueName="7" name="mR2" queryTableFieldId="7" dataDxfId="13">
      <calculatedColumnFormula>ABS(E1-vienna_general_death_to_birth_rates_by_clinic414[[#This Row],[Midwives]])</calculatedColumnFormula>
    </tableColumn>
  </tableColumns>
  <tableStyleInfo name="The Virus of Variation"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297901B-24C5-4D68-A577-CB74DE273693}" name="vienna_general_death_to_birth_rates_by_clinic41117" displayName="vienna_general_death_to_birth_rates_by_clinic41117" ref="A1:D14" tableType="queryTable" totalsRowShown="0">
  <autoFilter ref="A1:D14" xr:uid="{4297901B-24C5-4D68-A577-CB74DE273693}"/>
  <tableColumns count="4">
    <tableColumn id="1" xr3:uid="{6397E289-BFA0-40F9-8E0E-9D515A449B25}" uniqueName="1" name="Hospital" queryTableFieldId="1" dataDxfId="12"/>
    <tableColumn id="2" xr3:uid="{E8F4C5EB-A188-4ED9-A181-A3AF9B1EFF8B}" uniqueName="2" name="Year" queryTableFieldId="2"/>
    <tableColumn id="3" xr3:uid="{D3FEEC05-4A12-40B7-BDC8-5F410D8DC9A9}" uniqueName="3" name="Students &amp; Doctors" queryTableFieldId="3"/>
    <tableColumn id="4" xr3:uid="{121C0753-64EE-4F70-9E89-C9B6F012D443}" uniqueName="4" name="Midwives" queryTableFieldId="4"/>
  </tableColumns>
  <tableStyleInfo name="The Virus of Variation"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8B70A66-2854-420D-B660-A690AF151621}" name="vienna_general_death_to_birth_rates_by_clinic4111718" displayName="vienna_general_death_to_birth_rates_by_clinic4111718" ref="A1:F17" tableType="queryTable" totalsRowShown="0">
  <autoFilter ref="A1:F17" xr:uid="{B8B70A66-2854-420D-B660-A690AF151621}"/>
  <tableColumns count="6">
    <tableColumn id="1" xr3:uid="{8DC34BD6-194E-4874-A9CB-1776E34342D4}" uniqueName="1" name="Hospital" queryTableFieldId="1" dataDxfId="11"/>
    <tableColumn id="2" xr3:uid="{2253F62A-E9EC-4AEE-BE91-17AD0B566874}" uniqueName="2" name="Year" queryTableFieldId="2"/>
    <tableColumn id="3" xr3:uid="{38E030A7-5C60-43CA-B27A-A30B84E07BE0}" uniqueName="3" name="Students &amp; Doctors" queryTableFieldId="3"/>
    <tableColumn id="6" xr3:uid="{7EB743CC-BBD3-494F-B234-365F9AD10228}" uniqueName="6" name="mR" queryTableFieldId="6" dataDxfId="10">
      <calculatedColumnFormula>ABS(C1-vienna_general_death_to_birth_rates_by_clinic4111718[[#This Row],[Students &amp; Doctors]])</calculatedColumnFormula>
    </tableColumn>
    <tableColumn id="4" xr3:uid="{0D30E8B6-54A3-459C-ADC6-1382B43C5D33}" uniqueName="4" name="Midwives" queryTableFieldId="4"/>
    <tableColumn id="7" xr3:uid="{16A55E95-7A56-425D-95C8-E61E0AF4BF81}" uniqueName="7" name="mR2" queryTableFieldId="7" dataDxfId="9">
      <calculatedColumnFormula>ABS(E1-vienna_general_death_to_birth_rates_by_clinic4111718[[#This Row],[Midwives]])</calculatedColumnFormula>
    </tableColumn>
  </tableColumns>
  <tableStyleInfo name="The Virus of Variation"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3746F8-6587-4D0D-86AF-4105B027D3CD}" name="vienna_general_death_to_birth_rates_by_clinic" displayName="vienna_general_death_to_birth_rates_by_clinic" ref="A1:E12" tableType="queryTable" totalsRowShown="0">
  <autoFilter ref="A1:E12" xr:uid="{3C3746F8-6587-4D0D-86AF-4105B027D3CD}"/>
  <tableColumns count="5">
    <tableColumn id="1" xr3:uid="{7FFA5FCB-7149-4A35-A3EA-9D8376A3D1CE}" uniqueName="1" name="Hospital" queryTableFieldId="1" dataDxfId="8"/>
    <tableColumn id="2" xr3:uid="{68C470D9-B090-4232-86D5-30290B090ECF}" uniqueName="2" name="Year" queryTableFieldId="2"/>
    <tableColumn id="3" xr3:uid="{A38BB088-F5B0-4D23-B21F-CA953BF065E4}" uniqueName="3" name="Students &amp; Doctors" queryTableFieldId="3"/>
    <tableColumn id="4" xr3:uid="{DD8270F3-9E60-4CBF-9AB1-D1494FE55634}" uniqueName="4" name="Midwives" queryTableFieldId="4"/>
    <tableColumn id="5" xr3:uid="{B68F2DA1-DC1F-4BA0-9745-09F0C42A1D02}" uniqueName="5" name="Table" queryTableFieldId="5" dataDxfId="7"/>
  </tableColumns>
  <tableStyleInfo name="The Virus of Variation"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DDAB58A-E364-4331-9E6F-90CE767D9354}" name="vienna_general_death_to_birth_rates_by_clinic__5" displayName="vienna_general_death_to_birth_rates_by_clinic__5" ref="G1:K12" tableType="queryTable" totalsRowShown="0" headerRowDxfId="6" dataDxfId="5">
  <autoFilter ref="G1:K12" xr:uid="{6DDAB58A-E364-4331-9E6F-90CE767D9354}"/>
  <tableColumns count="5">
    <tableColumn id="1" xr3:uid="{81344C28-8CB4-4C77-9247-2595E4A5F942}" uniqueName="1" name="Hospital" queryTableFieldId="1" dataDxfId="4"/>
    <tableColumn id="2" xr3:uid="{97961A19-73DF-4EB7-AA3B-67BA4E66FBE2}" uniqueName="2" name="Employee" queryTableFieldId="2" dataDxfId="3"/>
    <tableColumn id="3" xr3:uid="{B1F6447A-8F48-4A49-A6B5-593463C21E3C}" uniqueName="3" name="Year" queryTableFieldId="3" dataDxfId="2"/>
    <tableColumn id="4" xr3:uid="{0E0CF8A7-133C-40C0-992D-90DA87DFD3E8}" uniqueName="4" name="Rate" queryTableFieldId="4" dataDxfId="1"/>
    <tableColumn id="5" xr3:uid="{2C83DA18-E4B5-402A-AA64-A62AA402C332}" uniqueName="5" name="Table" queryTableFieldId="5" dataDxfId="0"/>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42"/>
  <sheetViews>
    <sheetView showGridLines="0" tabSelected="1" workbookViewId="0">
      <selection sqref="A1:G1"/>
    </sheetView>
  </sheetViews>
  <sheetFormatPr defaultColWidth="12.6640625" defaultRowHeight="15.75" customHeight="1"/>
  <cols>
    <col min="8" max="8" width="1.33203125" customWidth="1"/>
    <col min="13" max="13" width="1.33203125" customWidth="1"/>
  </cols>
  <sheetData>
    <row r="1" spans="1:12" ht="24.6">
      <c r="A1" s="50" t="s">
        <v>0</v>
      </c>
      <c r="B1" s="51"/>
      <c r="C1" s="51"/>
      <c r="D1" s="51"/>
      <c r="E1" s="51"/>
      <c r="F1" s="51"/>
      <c r="G1" s="52"/>
      <c r="H1" s="1"/>
      <c r="I1" s="1"/>
      <c r="J1" s="1"/>
      <c r="K1" s="1"/>
      <c r="L1" s="1"/>
    </row>
    <row r="2" spans="1:12" ht="15.75" customHeight="1">
      <c r="A2" s="29" t="s">
        <v>18</v>
      </c>
      <c r="B2" s="30"/>
      <c r="C2" s="30"/>
      <c r="D2" s="30"/>
      <c r="E2" s="30"/>
      <c r="F2" s="30"/>
      <c r="G2" s="31"/>
      <c r="H2" s="1"/>
      <c r="I2" s="1"/>
    </row>
    <row r="3" spans="1:12" ht="15.75" customHeight="1">
      <c r="A3" s="32"/>
      <c r="B3" s="33"/>
      <c r="C3" s="33"/>
      <c r="D3" s="33"/>
      <c r="E3" s="33"/>
      <c r="F3" s="33"/>
      <c r="G3" s="34"/>
      <c r="H3" s="1"/>
    </row>
    <row r="4" spans="1:12" ht="15.75" customHeight="1">
      <c r="A4" s="32"/>
      <c r="B4" s="33"/>
      <c r="C4" s="33"/>
      <c r="D4" s="33"/>
      <c r="E4" s="33"/>
      <c r="F4" s="33"/>
      <c r="G4" s="34"/>
      <c r="H4" s="1"/>
    </row>
    <row r="5" spans="1:12" ht="15.75" customHeight="1">
      <c r="A5" s="32"/>
      <c r="B5" s="33"/>
      <c r="C5" s="33"/>
      <c r="D5" s="33"/>
      <c r="E5" s="33"/>
      <c r="F5" s="33"/>
      <c r="G5" s="34"/>
      <c r="H5" s="1"/>
    </row>
    <row r="6" spans="1:12" ht="15.75" customHeight="1">
      <c r="A6" s="32"/>
      <c r="B6" s="33"/>
      <c r="C6" s="33"/>
      <c r="D6" s="33"/>
      <c r="E6" s="33"/>
      <c r="F6" s="33"/>
      <c r="G6" s="34"/>
      <c r="H6" s="1"/>
    </row>
    <row r="7" spans="1:12" ht="15.75" customHeight="1">
      <c r="A7" s="32"/>
      <c r="B7" s="33"/>
      <c r="C7" s="33"/>
      <c r="D7" s="33"/>
      <c r="E7" s="33"/>
      <c r="F7" s="33"/>
      <c r="G7" s="34"/>
      <c r="H7" s="1"/>
    </row>
    <row r="8" spans="1:12" ht="15.75" customHeight="1">
      <c r="A8" s="32"/>
      <c r="B8" s="33"/>
      <c r="C8" s="33"/>
      <c r="D8" s="33"/>
      <c r="E8" s="33"/>
      <c r="F8" s="33"/>
      <c r="G8" s="34"/>
      <c r="H8" s="1"/>
    </row>
    <row r="9" spans="1:12" ht="15.75" customHeight="1">
      <c r="A9" s="32"/>
      <c r="B9" s="33"/>
      <c r="C9" s="33"/>
      <c r="D9" s="33"/>
      <c r="E9" s="33"/>
      <c r="F9" s="33"/>
      <c r="G9" s="34"/>
      <c r="H9" s="1"/>
    </row>
    <row r="10" spans="1:12" ht="15.75" customHeight="1">
      <c r="A10" s="32"/>
      <c r="B10" s="33"/>
      <c r="C10" s="33"/>
      <c r="D10" s="33"/>
      <c r="E10" s="33"/>
      <c r="F10" s="33"/>
      <c r="G10" s="34"/>
      <c r="H10" s="1"/>
    </row>
    <row r="11" spans="1:12" ht="15.75" customHeight="1">
      <c r="A11" s="32"/>
      <c r="B11" s="33"/>
      <c r="C11" s="33"/>
      <c r="D11" s="33"/>
      <c r="E11" s="33"/>
      <c r="F11" s="33"/>
      <c r="G11" s="34"/>
      <c r="H11" s="1"/>
    </row>
    <row r="12" spans="1:12" ht="15.75" customHeight="1">
      <c r="A12" s="32"/>
      <c r="B12" s="33"/>
      <c r="C12" s="33"/>
      <c r="D12" s="33"/>
      <c r="E12" s="33"/>
      <c r="F12" s="33"/>
      <c r="G12" s="34"/>
      <c r="H12" s="1"/>
    </row>
    <row r="13" spans="1:12" ht="15.75" customHeight="1">
      <c r="A13" s="32"/>
      <c r="B13" s="33"/>
      <c r="C13" s="33"/>
      <c r="D13" s="33"/>
      <c r="E13" s="33"/>
      <c r="F13" s="33"/>
      <c r="G13" s="34"/>
      <c r="H13" s="1"/>
    </row>
    <row r="14" spans="1:12" ht="15.75" customHeight="1">
      <c r="A14" s="32"/>
      <c r="B14" s="33"/>
      <c r="C14" s="33"/>
      <c r="D14" s="33"/>
      <c r="E14" s="33"/>
      <c r="F14" s="33"/>
      <c r="G14" s="34"/>
      <c r="H14" s="1"/>
    </row>
    <row r="15" spans="1:12" ht="15.75" customHeight="1">
      <c r="A15" s="32"/>
      <c r="B15" s="33"/>
      <c r="C15" s="33"/>
      <c r="D15" s="33"/>
      <c r="E15" s="33"/>
      <c r="F15" s="33"/>
      <c r="G15" s="34"/>
      <c r="H15" s="1"/>
    </row>
    <row r="16" spans="1:12" ht="15.75" customHeight="1">
      <c r="A16" s="32"/>
      <c r="B16" s="33"/>
      <c r="C16" s="33"/>
      <c r="D16" s="33"/>
      <c r="E16" s="33"/>
      <c r="F16" s="33"/>
      <c r="G16" s="34"/>
      <c r="H16" s="1"/>
    </row>
    <row r="17" spans="1:8" ht="15.75" customHeight="1">
      <c r="A17" s="32"/>
      <c r="B17" s="33"/>
      <c r="C17" s="33"/>
      <c r="D17" s="33"/>
      <c r="E17" s="33"/>
      <c r="F17" s="33"/>
      <c r="G17" s="34"/>
      <c r="H17" s="1"/>
    </row>
    <row r="18" spans="1:8" ht="15.75" customHeight="1">
      <c r="A18" s="32"/>
      <c r="B18" s="33"/>
      <c r="C18" s="33"/>
      <c r="D18" s="33"/>
      <c r="E18" s="33"/>
      <c r="F18" s="33"/>
      <c r="G18" s="34"/>
      <c r="H18" s="1"/>
    </row>
    <row r="19" spans="1:8" ht="15.75" customHeight="1">
      <c r="A19" s="32"/>
      <c r="B19" s="33"/>
      <c r="C19" s="33"/>
      <c r="D19" s="33"/>
      <c r="E19" s="33"/>
      <c r="F19" s="33"/>
      <c r="G19" s="34"/>
      <c r="H19" s="1"/>
    </row>
    <row r="20" spans="1:8" ht="15.75" customHeight="1">
      <c r="A20" s="32"/>
      <c r="B20" s="33"/>
      <c r="C20" s="33"/>
      <c r="D20" s="33"/>
      <c r="E20" s="33"/>
      <c r="F20" s="33"/>
      <c r="G20" s="34"/>
      <c r="H20" s="1"/>
    </row>
    <row r="21" spans="1:8" ht="15.75" customHeight="1">
      <c r="A21" s="32"/>
      <c r="B21" s="33"/>
      <c r="C21" s="33"/>
      <c r="D21" s="33"/>
      <c r="E21" s="33"/>
      <c r="F21" s="33"/>
      <c r="G21" s="34"/>
      <c r="H21" s="1"/>
    </row>
    <row r="22" spans="1:8" ht="15.75" customHeight="1">
      <c r="A22" s="32"/>
      <c r="B22" s="33"/>
      <c r="C22" s="33"/>
      <c r="D22" s="33"/>
      <c r="E22" s="33"/>
      <c r="F22" s="33"/>
      <c r="G22" s="34"/>
      <c r="H22" s="1"/>
    </row>
    <row r="23" spans="1:8" ht="15.75" customHeight="1">
      <c r="A23" s="32"/>
      <c r="B23" s="33"/>
      <c r="C23" s="33"/>
      <c r="D23" s="33"/>
      <c r="E23" s="33"/>
      <c r="F23" s="33"/>
      <c r="G23" s="34"/>
      <c r="H23" s="1"/>
    </row>
    <row r="24" spans="1:8" ht="15.75" customHeight="1">
      <c r="A24" s="32"/>
      <c r="B24" s="33"/>
      <c r="C24" s="33"/>
      <c r="D24" s="33"/>
      <c r="E24" s="33"/>
      <c r="F24" s="33"/>
      <c r="G24" s="34"/>
      <c r="H24" s="1"/>
    </row>
    <row r="25" spans="1:8" ht="15.75" customHeight="1">
      <c r="A25" s="32"/>
      <c r="B25" s="33"/>
      <c r="C25" s="33"/>
      <c r="D25" s="33"/>
      <c r="E25" s="33"/>
      <c r="F25" s="33"/>
      <c r="G25" s="34"/>
      <c r="H25" s="1"/>
    </row>
    <row r="26" spans="1:8" ht="15.75" customHeight="1">
      <c r="A26" s="32"/>
      <c r="B26" s="33"/>
      <c r="C26" s="33"/>
      <c r="D26" s="33"/>
      <c r="E26" s="33"/>
      <c r="F26" s="33"/>
      <c r="G26" s="34"/>
      <c r="H26" s="1"/>
    </row>
    <row r="27" spans="1:8" ht="13.2" customHeight="1">
      <c r="A27" s="32"/>
      <c r="B27" s="33"/>
      <c r="C27" s="33"/>
      <c r="D27" s="33"/>
      <c r="E27" s="33"/>
      <c r="F27" s="33"/>
      <c r="G27" s="34"/>
      <c r="H27" s="1"/>
    </row>
    <row r="28" spans="1:8" ht="15.75" customHeight="1">
      <c r="A28" s="32"/>
      <c r="B28" s="33"/>
      <c r="C28" s="33"/>
      <c r="D28" s="33"/>
      <c r="E28" s="33"/>
      <c r="F28" s="33"/>
      <c r="G28" s="34"/>
    </row>
    <row r="29" spans="1:8" ht="15.75" customHeight="1">
      <c r="A29" s="32"/>
      <c r="B29" s="33"/>
      <c r="C29" s="33"/>
      <c r="D29" s="33"/>
      <c r="E29" s="33"/>
      <c r="F29" s="33"/>
      <c r="G29" s="34"/>
    </row>
    <row r="30" spans="1:8" ht="15.75" customHeight="1">
      <c r="A30" s="32"/>
      <c r="B30" s="33"/>
      <c r="C30" s="33"/>
      <c r="D30" s="33"/>
      <c r="E30" s="33"/>
      <c r="F30" s="33"/>
      <c r="G30" s="34"/>
    </row>
    <row r="31" spans="1:8" ht="15.75" customHeight="1">
      <c r="A31" s="32"/>
      <c r="B31" s="33"/>
      <c r="C31" s="33"/>
      <c r="D31" s="33"/>
      <c r="E31" s="33"/>
      <c r="F31" s="33"/>
      <c r="G31" s="34"/>
    </row>
    <row r="32" spans="1:8" ht="15.75" customHeight="1">
      <c r="A32" s="35"/>
      <c r="B32" s="36"/>
      <c r="C32" s="36"/>
      <c r="D32" s="36"/>
      <c r="E32" s="36"/>
      <c r="F32" s="36"/>
      <c r="G32" s="37"/>
    </row>
    <row r="33" spans="1:7" ht="15.75" customHeight="1">
      <c r="A33" s="38" t="s">
        <v>19</v>
      </c>
      <c r="B33" s="39"/>
      <c r="C33" s="39"/>
      <c r="D33" s="39"/>
      <c r="E33" s="39"/>
      <c r="F33" s="39"/>
      <c r="G33" s="40"/>
    </row>
    <row r="34" spans="1:7" ht="15.75" customHeight="1">
      <c r="A34" s="41" t="s">
        <v>20</v>
      </c>
      <c r="B34" s="42"/>
      <c r="C34" s="42"/>
      <c r="D34" s="42"/>
      <c r="E34" s="42"/>
      <c r="F34" s="42"/>
      <c r="G34" s="43"/>
    </row>
    <row r="35" spans="1:7" ht="15.75" customHeight="1">
      <c r="A35" s="44" t="s">
        <v>21</v>
      </c>
      <c r="B35" s="45"/>
      <c r="C35" s="45"/>
      <c r="D35" s="45"/>
      <c r="E35" s="45"/>
      <c r="F35" s="45"/>
      <c r="G35" s="46"/>
    </row>
    <row r="36" spans="1:7" ht="15.75" customHeight="1">
      <c r="A36" s="41" t="s">
        <v>22</v>
      </c>
      <c r="B36" s="42"/>
      <c r="C36" s="42"/>
      <c r="D36" s="42"/>
      <c r="E36" s="42"/>
      <c r="F36" s="42"/>
      <c r="G36" s="43"/>
    </row>
    <row r="37" spans="1:7" ht="15.75" customHeight="1">
      <c r="A37" s="44" t="s">
        <v>23</v>
      </c>
      <c r="B37" s="45"/>
      <c r="C37" s="45"/>
      <c r="D37" s="45"/>
      <c r="E37" s="45"/>
      <c r="F37" s="45"/>
      <c r="G37" s="46"/>
    </row>
    <row r="38" spans="1:7" ht="15.75" customHeight="1">
      <c r="A38" s="41" t="s">
        <v>24</v>
      </c>
      <c r="B38" s="42"/>
      <c r="C38" s="42"/>
      <c r="D38" s="42"/>
      <c r="E38" s="42"/>
      <c r="F38" s="42"/>
      <c r="G38" s="43"/>
    </row>
    <row r="39" spans="1:7" ht="15.75" customHeight="1">
      <c r="A39" s="41" t="s">
        <v>25</v>
      </c>
      <c r="B39" s="42"/>
      <c r="C39" s="42"/>
      <c r="D39" s="42"/>
      <c r="E39" s="42"/>
      <c r="F39" s="42"/>
      <c r="G39" s="43"/>
    </row>
    <row r="40" spans="1:7" ht="15.75" customHeight="1">
      <c r="A40" s="38" t="s">
        <v>31</v>
      </c>
      <c r="B40" s="39"/>
      <c r="C40" s="39"/>
      <c r="D40" s="39"/>
      <c r="E40" s="39"/>
      <c r="F40" s="39"/>
      <c r="G40" s="40"/>
    </row>
    <row r="41" spans="1:7" ht="39.6">
      <c r="A41" s="28" t="s">
        <v>33</v>
      </c>
      <c r="B41" s="47" t="s">
        <v>32</v>
      </c>
      <c r="C41" s="47"/>
      <c r="D41" s="47"/>
      <c r="E41" s="47"/>
      <c r="F41" s="47"/>
      <c r="G41" s="48"/>
    </row>
    <row r="42" spans="1:7" ht="15.75" customHeight="1">
      <c r="A42" s="27"/>
      <c r="B42" s="49"/>
      <c r="C42" s="49"/>
      <c r="D42" s="49"/>
      <c r="E42" s="49"/>
      <c r="F42" s="49"/>
      <c r="G42" s="49"/>
    </row>
  </sheetData>
  <mergeCells count="12">
    <mergeCell ref="A40:G40"/>
    <mergeCell ref="B41:G41"/>
    <mergeCell ref="B42:G42"/>
    <mergeCell ref="A36:G36"/>
    <mergeCell ref="A37:G37"/>
    <mergeCell ref="A38:G38"/>
    <mergeCell ref="A39:G39"/>
    <mergeCell ref="A1:G1"/>
    <mergeCell ref="A2:G32"/>
    <mergeCell ref="A33:G33"/>
    <mergeCell ref="A34:G34"/>
    <mergeCell ref="A35:G35"/>
  </mergeCells>
  <hyperlinks>
    <hyperlink ref="A36" r:id="rId1" xr:uid="{5157200B-7EF6-4C54-A390-FCC2A80A8910}"/>
    <hyperlink ref="A34" r:id="rId2" xr:uid="{493087EF-F7D5-4456-9C04-68369427ED9F}"/>
    <hyperlink ref="A38" r:id="rId3" xr:uid="{06091233-1C14-4955-8842-399F7B4948AB}"/>
    <hyperlink ref="A39" r:id="rId4" xr:uid="{515BB8F2-368C-4DA7-A857-9B55DDC6D07D}"/>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6"/>
  <sheetViews>
    <sheetView workbookViewId="0">
      <selection activeCell="D15" sqref="A1:D15"/>
    </sheetView>
  </sheetViews>
  <sheetFormatPr defaultColWidth="12.6640625" defaultRowHeight="15.75" customHeight="1"/>
  <cols>
    <col min="1" max="1" width="20.77734375" bestFit="1" customWidth="1"/>
  </cols>
  <sheetData>
    <row r="1" spans="1:4" ht="15.75" customHeight="1">
      <c r="A1" t="s">
        <v>26</v>
      </c>
      <c r="B1" t="s">
        <v>1</v>
      </c>
      <c r="C1" t="s">
        <v>2</v>
      </c>
      <c r="D1" t="s">
        <v>3</v>
      </c>
    </row>
    <row r="2" spans="1:4" ht="15.75" customHeight="1">
      <c r="A2" t="s">
        <v>27</v>
      </c>
      <c r="B2">
        <v>1844</v>
      </c>
      <c r="C2">
        <v>8.1999999999999993</v>
      </c>
      <c r="D2">
        <v>2.2999999999999998</v>
      </c>
    </row>
    <row r="3" spans="1:4" ht="15.75" customHeight="1">
      <c r="A3" t="s">
        <v>27</v>
      </c>
      <c r="B3">
        <v>1845</v>
      </c>
      <c r="C3">
        <v>6.9</v>
      </c>
      <c r="D3">
        <v>2</v>
      </c>
    </row>
    <row r="4" spans="1:4" ht="15.75" customHeight="1">
      <c r="A4" t="s">
        <v>27</v>
      </c>
      <c r="B4">
        <v>1846</v>
      </c>
      <c r="C4">
        <v>11.4</v>
      </c>
      <c r="D4">
        <v>2.8</v>
      </c>
    </row>
    <row r="5" spans="1:4" ht="15.75" customHeight="1">
      <c r="A5" t="s">
        <v>27</v>
      </c>
      <c r="B5">
        <v>1847</v>
      </c>
      <c r="C5">
        <v>5</v>
      </c>
      <c r="D5">
        <v>1</v>
      </c>
    </row>
    <row r="6" spans="1:4" ht="15.75" customHeight="1">
      <c r="A6" t="s">
        <v>27</v>
      </c>
      <c r="B6">
        <v>1848</v>
      </c>
      <c r="C6">
        <v>1.3</v>
      </c>
      <c r="D6">
        <v>1.3</v>
      </c>
    </row>
    <row r="7" spans="1:4" ht="15.75" customHeight="1">
      <c r="A7" t="s">
        <v>27</v>
      </c>
      <c r="B7">
        <v>1849</v>
      </c>
      <c r="C7">
        <v>2.7</v>
      </c>
      <c r="D7">
        <v>2.6</v>
      </c>
    </row>
    <row r="8" spans="1:4" ht="15.75" customHeight="1">
      <c r="A8" t="s">
        <v>27</v>
      </c>
      <c r="B8">
        <v>1850</v>
      </c>
      <c r="C8">
        <v>2</v>
      </c>
      <c r="D8">
        <v>1.7</v>
      </c>
    </row>
    <row r="9" spans="1:4" ht="15.75" customHeight="1">
      <c r="A9" t="s">
        <v>27</v>
      </c>
      <c r="B9">
        <v>1851</v>
      </c>
      <c r="C9">
        <v>1.8</v>
      </c>
      <c r="D9">
        <v>3.6</v>
      </c>
    </row>
    <row r="10" spans="1:4" ht="15.75" customHeight="1">
      <c r="A10" t="s">
        <v>27</v>
      </c>
      <c r="B10">
        <v>1852</v>
      </c>
      <c r="C10">
        <v>4</v>
      </c>
      <c r="D10">
        <v>5.7</v>
      </c>
    </row>
    <row r="11" spans="1:4" ht="15.75" customHeight="1">
      <c r="A11" t="s">
        <v>27</v>
      </c>
      <c r="B11">
        <v>1853</v>
      </c>
      <c r="C11">
        <v>2.2000000000000002</v>
      </c>
      <c r="D11">
        <v>1.9</v>
      </c>
    </row>
    <row r="12" spans="1:4" ht="15.75" customHeight="1">
      <c r="A12" t="s">
        <v>27</v>
      </c>
      <c r="B12">
        <v>1854</v>
      </c>
      <c r="C12">
        <v>9.1</v>
      </c>
      <c r="D12">
        <v>6.2</v>
      </c>
    </row>
    <row r="13" spans="1:4" ht="15.75" customHeight="1">
      <c r="B13" s="17" t="s">
        <v>4</v>
      </c>
      <c r="C13">
        <f>SUM(C2:C12)</f>
        <v>54.6</v>
      </c>
      <c r="D13">
        <f>SUM(D2:D12)</f>
        <v>31.099999999999998</v>
      </c>
    </row>
    <row r="14" spans="1:4" ht="15.75" customHeight="1">
      <c r="B14" s="17" t="s">
        <v>5</v>
      </c>
      <c r="C14">
        <f>COUNT(C2:C12)</f>
        <v>11</v>
      </c>
      <c r="D14">
        <f>COUNT(D2:D12)</f>
        <v>11</v>
      </c>
    </row>
    <row r="15" spans="1:4" ht="15.75" customHeight="1">
      <c r="B15" s="17" t="s">
        <v>6</v>
      </c>
      <c r="C15">
        <f>ROUND(AVERAGE(C2:C12),1)</f>
        <v>5</v>
      </c>
      <c r="D15">
        <f>ROUND(AVERAGE(D2:D12),1)</f>
        <v>2.8</v>
      </c>
    </row>
    <row r="16" spans="1:4" ht="15.75" customHeight="1">
      <c r="A16"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6"/>
  <sheetViews>
    <sheetView workbookViewId="0">
      <selection activeCell="G17" sqref="G17"/>
    </sheetView>
  </sheetViews>
  <sheetFormatPr defaultColWidth="12.6640625" defaultRowHeight="15.75" customHeight="1"/>
  <cols>
    <col min="1" max="1" width="20.77734375" bestFit="1" customWidth="1"/>
    <col min="3" max="3" width="19.33203125" bestFit="1" customWidth="1"/>
    <col min="4" max="4" width="10.44140625" bestFit="1" customWidth="1"/>
  </cols>
  <sheetData>
    <row r="1" spans="1:4" ht="15.75" customHeight="1">
      <c r="A1" s="9" t="s">
        <v>26</v>
      </c>
      <c r="B1" s="10" t="s">
        <v>1</v>
      </c>
      <c r="C1" s="10" t="s">
        <v>2</v>
      </c>
      <c r="D1" s="11" t="s">
        <v>3</v>
      </c>
    </row>
    <row r="2" spans="1:4" ht="15.75" customHeight="1">
      <c r="A2" s="18" t="s">
        <v>27</v>
      </c>
      <c r="B2" s="12">
        <v>1844</v>
      </c>
      <c r="C2" s="12">
        <v>8.1999999999999993</v>
      </c>
      <c r="D2" s="13">
        <v>2.2999999999999998</v>
      </c>
    </row>
    <row r="3" spans="1:4" ht="15.75" customHeight="1">
      <c r="A3" s="19" t="s">
        <v>27</v>
      </c>
      <c r="B3" s="14">
        <v>1845</v>
      </c>
      <c r="C3" s="14">
        <v>6.9</v>
      </c>
      <c r="D3" s="15">
        <v>2</v>
      </c>
    </row>
    <row r="4" spans="1:4" ht="15.75" customHeight="1">
      <c r="A4" s="18" t="s">
        <v>27</v>
      </c>
      <c r="B4" s="12">
        <v>1846</v>
      </c>
      <c r="C4" s="12">
        <v>11.4</v>
      </c>
      <c r="D4" s="13">
        <v>2.8</v>
      </c>
    </row>
    <row r="5" spans="1:4" ht="15.75" customHeight="1">
      <c r="A5" s="19" t="s">
        <v>27</v>
      </c>
      <c r="B5" s="14">
        <v>1847</v>
      </c>
      <c r="C5" s="14">
        <v>5</v>
      </c>
      <c r="D5" s="15">
        <v>1</v>
      </c>
    </row>
    <row r="6" spans="1:4" ht="15.75" customHeight="1">
      <c r="A6" s="18" t="s">
        <v>27</v>
      </c>
      <c r="B6" s="12">
        <v>1848</v>
      </c>
      <c r="C6" s="12">
        <v>1.3</v>
      </c>
      <c r="D6" s="13">
        <v>1.3</v>
      </c>
    </row>
    <row r="7" spans="1:4" ht="15.75" customHeight="1">
      <c r="A7" s="19" t="s">
        <v>27</v>
      </c>
      <c r="B7" s="14">
        <v>1849</v>
      </c>
      <c r="C7" s="14">
        <v>2.7</v>
      </c>
      <c r="D7" s="15">
        <v>2.6</v>
      </c>
    </row>
    <row r="8" spans="1:4" ht="15.75" customHeight="1">
      <c r="A8" s="18" t="s">
        <v>27</v>
      </c>
      <c r="B8" s="12">
        <v>1850</v>
      </c>
      <c r="C8" s="12">
        <v>2</v>
      </c>
      <c r="D8" s="13">
        <v>1.7</v>
      </c>
    </row>
    <row r="9" spans="1:4" ht="15.75" customHeight="1">
      <c r="A9" s="19" t="s">
        <v>27</v>
      </c>
      <c r="B9" s="14">
        <v>1851</v>
      </c>
      <c r="C9" s="14">
        <v>1.8</v>
      </c>
      <c r="D9" s="15">
        <v>3.6</v>
      </c>
    </row>
    <row r="10" spans="1:4" ht="15.75" customHeight="1">
      <c r="A10" s="18" t="s">
        <v>27</v>
      </c>
      <c r="B10" s="12">
        <v>1852</v>
      </c>
      <c r="C10" s="12">
        <v>4</v>
      </c>
      <c r="D10" s="13">
        <v>5.7</v>
      </c>
    </row>
    <row r="11" spans="1:4" ht="15.75" customHeight="1">
      <c r="A11" s="19" t="s">
        <v>27</v>
      </c>
      <c r="B11" s="14">
        <v>1853</v>
      </c>
      <c r="C11" s="14">
        <v>2.2000000000000002</v>
      </c>
      <c r="D11" s="15">
        <v>1.9</v>
      </c>
    </row>
    <row r="12" spans="1:4" ht="15.75" customHeight="1">
      <c r="A12" s="18" t="s">
        <v>27</v>
      </c>
      <c r="B12" s="12">
        <v>1854</v>
      </c>
      <c r="C12" s="12">
        <v>9.1</v>
      </c>
      <c r="D12" s="13">
        <v>6.2</v>
      </c>
    </row>
    <row r="13" spans="1:4" ht="15.75" customHeight="1">
      <c r="A13" s="19"/>
      <c r="B13" s="20" t="s">
        <v>8</v>
      </c>
      <c r="C13" s="14">
        <f>MIN(C2:C12)</f>
        <v>1.3</v>
      </c>
      <c r="D13" s="14">
        <f>MIN(D2:D12)</f>
        <v>1</v>
      </c>
    </row>
    <row r="14" spans="1:4" ht="15.75" customHeight="1">
      <c r="A14" s="18"/>
      <c r="B14" s="21" t="s">
        <v>7</v>
      </c>
      <c r="C14" s="12">
        <f>MAX(C2:C12)</f>
        <v>11.4</v>
      </c>
      <c r="D14" s="12">
        <f>MAX(D2:D12)</f>
        <v>6.2</v>
      </c>
    </row>
    <row r="15" spans="1:4" ht="15.75" customHeight="1">
      <c r="A15" s="19"/>
      <c r="B15" s="20" t="s">
        <v>9</v>
      </c>
      <c r="C15" s="14">
        <f>C14-C13</f>
        <v>10.1</v>
      </c>
      <c r="D15" s="14">
        <f>D14-D13</f>
        <v>5.2</v>
      </c>
    </row>
    <row r="16" spans="1:4" ht="15.75" customHeight="1">
      <c r="A16" s="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3"/>
  <sheetViews>
    <sheetView workbookViewId="0">
      <selection sqref="A1:D13"/>
    </sheetView>
  </sheetViews>
  <sheetFormatPr defaultColWidth="12.6640625" defaultRowHeight="15.75" customHeight="1"/>
  <cols>
    <col min="1" max="1" width="20.77734375" bestFit="1" customWidth="1"/>
    <col min="2" max="2" width="7.109375" bestFit="1" customWidth="1"/>
    <col min="3" max="3" width="19.33203125" bestFit="1" customWidth="1"/>
    <col min="4" max="4" width="10.44140625" bestFit="1" customWidth="1"/>
  </cols>
  <sheetData>
    <row r="1" spans="1:4" ht="15.75" customHeight="1">
      <c r="A1" s="9" t="s">
        <v>26</v>
      </c>
      <c r="B1" s="10" t="s">
        <v>1</v>
      </c>
      <c r="C1" s="10" t="s">
        <v>2</v>
      </c>
      <c r="D1" s="11" t="s">
        <v>3</v>
      </c>
    </row>
    <row r="2" spans="1:4" ht="15.75" customHeight="1">
      <c r="A2" s="18" t="s">
        <v>27</v>
      </c>
      <c r="B2" s="12">
        <v>1844</v>
      </c>
      <c r="C2" s="12">
        <v>8.1999999999999993</v>
      </c>
      <c r="D2" s="13">
        <v>2.2999999999999998</v>
      </c>
    </row>
    <row r="3" spans="1:4" ht="15.75" customHeight="1">
      <c r="A3" s="19" t="s">
        <v>27</v>
      </c>
      <c r="B3" s="14">
        <v>1845</v>
      </c>
      <c r="C3" s="14">
        <v>6.9</v>
      </c>
      <c r="D3" s="15">
        <v>2</v>
      </c>
    </row>
    <row r="4" spans="1:4" ht="15.75" customHeight="1">
      <c r="A4" s="18" t="s">
        <v>27</v>
      </c>
      <c r="B4" s="12">
        <v>1846</v>
      </c>
      <c r="C4" s="12">
        <v>11.4</v>
      </c>
      <c r="D4" s="13">
        <v>2.8</v>
      </c>
    </row>
    <row r="5" spans="1:4" ht="15.75" customHeight="1">
      <c r="A5" s="19" t="s">
        <v>27</v>
      </c>
      <c r="B5" s="14">
        <v>1847</v>
      </c>
      <c r="C5" s="14">
        <v>5</v>
      </c>
      <c r="D5" s="15">
        <v>1</v>
      </c>
    </row>
    <row r="6" spans="1:4" ht="15.75" customHeight="1">
      <c r="A6" s="18" t="s">
        <v>27</v>
      </c>
      <c r="B6" s="12">
        <v>1848</v>
      </c>
      <c r="C6" s="12">
        <v>1.3</v>
      </c>
      <c r="D6" s="13">
        <v>1.3</v>
      </c>
    </row>
    <row r="7" spans="1:4" ht="15.75" customHeight="1">
      <c r="A7" s="19" t="s">
        <v>27</v>
      </c>
      <c r="B7" s="14">
        <v>1849</v>
      </c>
      <c r="C7" s="14">
        <v>2.7</v>
      </c>
      <c r="D7" s="15">
        <v>2.6</v>
      </c>
    </row>
    <row r="8" spans="1:4" ht="15.75" customHeight="1">
      <c r="A8" s="18" t="s">
        <v>27</v>
      </c>
      <c r="B8" s="12">
        <v>1850</v>
      </c>
      <c r="C8" s="12">
        <v>2</v>
      </c>
      <c r="D8" s="13">
        <v>1.7</v>
      </c>
    </row>
    <row r="9" spans="1:4" ht="15.75" customHeight="1">
      <c r="A9" s="19" t="s">
        <v>27</v>
      </c>
      <c r="B9" s="14">
        <v>1851</v>
      </c>
      <c r="C9" s="14">
        <v>1.8</v>
      </c>
      <c r="D9" s="15">
        <v>3.6</v>
      </c>
    </row>
    <row r="10" spans="1:4" ht="15.75" customHeight="1">
      <c r="A10" s="18" t="s">
        <v>27</v>
      </c>
      <c r="B10" s="12">
        <v>1852</v>
      </c>
      <c r="C10" s="12">
        <v>4</v>
      </c>
      <c r="D10" s="13">
        <v>5.7</v>
      </c>
    </row>
    <row r="11" spans="1:4" ht="15.75" customHeight="1">
      <c r="A11" s="19" t="s">
        <v>27</v>
      </c>
      <c r="B11" s="14">
        <v>1853</v>
      </c>
      <c r="C11" s="14">
        <v>2.2000000000000002</v>
      </c>
      <c r="D11" s="15">
        <v>1.9</v>
      </c>
    </row>
    <row r="12" spans="1:4" ht="15.75" customHeight="1">
      <c r="A12" s="18" t="s">
        <v>27</v>
      </c>
      <c r="B12" s="12">
        <v>1854</v>
      </c>
      <c r="C12" s="12">
        <v>9.1</v>
      </c>
      <c r="D12" s="13">
        <v>6.2</v>
      </c>
    </row>
    <row r="13" spans="1:4" ht="15.75" customHeight="1">
      <c r="A13" s="19"/>
      <c r="B13" s="20" t="s">
        <v>10</v>
      </c>
      <c r="C13" s="14">
        <f>ROUND(STDEVA(C2:C12),1)</f>
        <v>3.4</v>
      </c>
      <c r="D13" s="14">
        <f>ROUND(STDEVA(D2:D12),1)</f>
        <v>1.7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5"/>
  <sheetViews>
    <sheetView workbookViewId="0">
      <selection activeCell="J19" sqref="J19"/>
    </sheetView>
  </sheetViews>
  <sheetFormatPr defaultColWidth="12.6640625" defaultRowHeight="15.75" customHeight="1"/>
  <cols>
    <col min="2" max="2" width="15.77734375" bestFit="1" customWidth="1"/>
  </cols>
  <sheetData>
    <row r="1" spans="1:5" ht="15.75" customHeight="1">
      <c r="A1" s="3" t="s">
        <v>26</v>
      </c>
      <c r="B1" s="3" t="s">
        <v>28</v>
      </c>
      <c r="C1" s="3" t="s">
        <v>1</v>
      </c>
      <c r="D1" s="3" t="s">
        <v>11</v>
      </c>
      <c r="E1" s="3" t="s">
        <v>12</v>
      </c>
    </row>
    <row r="2" spans="1:5" ht="15.75" customHeight="1">
      <c r="A2" s="22" t="s">
        <v>27</v>
      </c>
      <c r="B2" s="22" t="s">
        <v>2</v>
      </c>
      <c r="C2">
        <v>1844</v>
      </c>
      <c r="D2">
        <v>8.1999999999999993</v>
      </c>
      <c r="E2" s="22"/>
    </row>
    <row r="3" spans="1:5" ht="15.75" customHeight="1">
      <c r="A3" s="22" t="s">
        <v>27</v>
      </c>
      <c r="B3" s="22" t="s">
        <v>2</v>
      </c>
      <c r="C3">
        <v>1845</v>
      </c>
      <c r="D3">
        <v>6.9</v>
      </c>
      <c r="E3" s="22">
        <f>ROUND(ABS(D2-vienna_general_death_to_birth_rates_by_clinic__513[[#This Row],[Rate]]),1)</f>
        <v>1.3</v>
      </c>
    </row>
    <row r="4" spans="1:5" ht="15.75" customHeight="1">
      <c r="A4" s="22" t="s">
        <v>27</v>
      </c>
      <c r="B4" s="22" t="s">
        <v>2</v>
      </c>
      <c r="C4">
        <v>1846</v>
      </c>
      <c r="D4">
        <v>11.4</v>
      </c>
      <c r="E4" s="22">
        <f>ROUND(ABS(D3-vienna_general_death_to_birth_rates_by_clinic__513[[#This Row],[Rate]]),1)</f>
        <v>4.5</v>
      </c>
    </row>
    <row r="5" spans="1:5" ht="15.75" customHeight="1">
      <c r="A5" s="22" t="s">
        <v>27</v>
      </c>
      <c r="B5" s="22" t="s">
        <v>2</v>
      </c>
      <c r="C5">
        <v>1847</v>
      </c>
      <c r="D5">
        <v>5</v>
      </c>
      <c r="E5" s="22">
        <f>ROUND(ABS(D4-vienna_general_death_to_birth_rates_by_clinic__513[[#This Row],[Rate]]),1)</f>
        <v>6.4</v>
      </c>
    </row>
    <row r="6" spans="1:5" ht="15.75" customHeight="1">
      <c r="A6" s="22" t="s">
        <v>27</v>
      </c>
      <c r="B6" s="22" t="s">
        <v>2</v>
      </c>
      <c r="C6">
        <v>1848</v>
      </c>
      <c r="D6">
        <v>1.3</v>
      </c>
      <c r="E6" s="22">
        <f>ROUND(ABS(D5-vienna_general_death_to_birth_rates_by_clinic__513[[#This Row],[Rate]]),1)</f>
        <v>3.7</v>
      </c>
    </row>
    <row r="7" spans="1:5" ht="15.75" customHeight="1">
      <c r="A7" s="22" t="s">
        <v>27</v>
      </c>
      <c r="B7" s="22" t="s">
        <v>2</v>
      </c>
      <c r="C7">
        <v>1849</v>
      </c>
      <c r="D7">
        <v>2.7</v>
      </c>
      <c r="E7" s="22">
        <f>ROUND(ABS(D6-vienna_general_death_to_birth_rates_by_clinic__513[[#This Row],[Rate]]),1)</f>
        <v>1.4</v>
      </c>
    </row>
    <row r="8" spans="1:5" ht="15.75" customHeight="1">
      <c r="A8" s="22" t="s">
        <v>27</v>
      </c>
      <c r="B8" s="22" t="s">
        <v>2</v>
      </c>
      <c r="C8">
        <v>1850</v>
      </c>
      <c r="D8">
        <v>2</v>
      </c>
      <c r="E8" s="22">
        <f>ROUND(ABS(D7-vienna_general_death_to_birth_rates_by_clinic__513[[#This Row],[Rate]]),1)</f>
        <v>0.7</v>
      </c>
    </row>
    <row r="9" spans="1:5" ht="15.75" customHeight="1">
      <c r="A9" s="22" t="s">
        <v>27</v>
      </c>
      <c r="B9" s="22" t="s">
        <v>2</v>
      </c>
      <c r="C9">
        <v>1851</v>
      </c>
      <c r="D9">
        <v>1.8</v>
      </c>
      <c r="E9" s="22">
        <f>ROUND(ABS(D8-vienna_general_death_to_birth_rates_by_clinic__513[[#This Row],[Rate]]),1)</f>
        <v>0.2</v>
      </c>
    </row>
    <row r="10" spans="1:5" ht="15.75" customHeight="1">
      <c r="A10" s="22" t="s">
        <v>27</v>
      </c>
      <c r="B10" s="22" t="s">
        <v>2</v>
      </c>
      <c r="C10">
        <v>1852</v>
      </c>
      <c r="D10">
        <v>4</v>
      </c>
      <c r="E10" s="22">
        <f>ROUND(ABS(D9-vienna_general_death_to_birth_rates_by_clinic__513[[#This Row],[Rate]]),1)</f>
        <v>2.2000000000000002</v>
      </c>
    </row>
    <row r="11" spans="1:5" ht="15.75" customHeight="1">
      <c r="A11" s="22" t="s">
        <v>27</v>
      </c>
      <c r="B11" s="22" t="s">
        <v>2</v>
      </c>
      <c r="C11">
        <v>1853</v>
      </c>
      <c r="D11">
        <v>2.2000000000000002</v>
      </c>
      <c r="E11" s="22">
        <f>ROUND(ABS(D10-vienna_general_death_to_birth_rates_by_clinic__513[[#This Row],[Rate]]),1)</f>
        <v>1.8</v>
      </c>
    </row>
    <row r="12" spans="1:5" ht="15.75" customHeight="1">
      <c r="A12" s="22" t="s">
        <v>27</v>
      </c>
      <c r="B12" s="22" t="s">
        <v>2</v>
      </c>
      <c r="C12">
        <v>1854</v>
      </c>
      <c r="D12">
        <v>9.1</v>
      </c>
      <c r="E12" s="22">
        <f>ROUND(ABS(D11-vienna_general_death_to_birth_rates_by_clinic__513[[#This Row],[Rate]]),1)</f>
        <v>6.9</v>
      </c>
    </row>
    <row r="13" spans="1:5" ht="15.75" customHeight="1">
      <c r="A13" s="22"/>
      <c r="B13" s="22"/>
      <c r="C13" s="7"/>
      <c r="D13" s="7" t="s">
        <v>4</v>
      </c>
      <c r="E13" s="22">
        <f>SUM(E3:E12)</f>
        <v>29.099999999999994</v>
      </c>
    </row>
    <row r="14" spans="1:5" ht="15.75" customHeight="1">
      <c r="A14" s="22"/>
      <c r="B14" s="22"/>
      <c r="C14" s="4"/>
      <c r="D14" s="4" t="s">
        <v>5</v>
      </c>
      <c r="E14" s="22">
        <f>COUNT(E3:E12)</f>
        <v>10</v>
      </c>
    </row>
    <row r="15" spans="1:5" ht="15.75" customHeight="1">
      <c r="A15" s="22"/>
      <c r="B15" s="22"/>
      <c r="C15" s="4"/>
      <c r="D15" s="4" t="s">
        <v>13</v>
      </c>
      <c r="E15" s="22">
        <f>ROUND(AVERAGE(E3:E12),1)</f>
        <v>2.9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5"/>
  <sheetViews>
    <sheetView workbookViewId="0">
      <selection activeCell="M11" sqref="M11"/>
    </sheetView>
  </sheetViews>
  <sheetFormatPr defaultColWidth="12.6640625" defaultRowHeight="15.75" customHeight="1"/>
  <cols>
    <col min="1" max="1" width="20.77734375" bestFit="1" customWidth="1"/>
  </cols>
  <sheetData>
    <row r="1" spans="1:6" ht="15.75" customHeight="1">
      <c r="A1" t="s">
        <v>26</v>
      </c>
      <c r="B1" t="s">
        <v>1</v>
      </c>
      <c r="C1" t="s">
        <v>2</v>
      </c>
      <c r="D1" s="16" t="s">
        <v>12</v>
      </c>
      <c r="E1" t="s">
        <v>3</v>
      </c>
      <c r="F1" s="16" t="s">
        <v>30</v>
      </c>
    </row>
    <row r="2" spans="1:6" ht="15.75" customHeight="1">
      <c r="A2" t="s">
        <v>27</v>
      </c>
      <c r="B2">
        <v>1844</v>
      </c>
      <c r="C2">
        <v>8.1999999999999993</v>
      </c>
      <c r="E2">
        <v>2.2999999999999998</v>
      </c>
    </row>
    <row r="3" spans="1:6" ht="15.75" customHeight="1">
      <c r="A3" t="s">
        <v>27</v>
      </c>
      <c r="B3">
        <v>1845</v>
      </c>
      <c r="C3">
        <v>6.9</v>
      </c>
      <c r="D3">
        <f>ABS(C2-vienna_general_death_to_birth_rates_by_clinic414[[#This Row],[Students &amp; Doctors]])</f>
        <v>1.2999999999999989</v>
      </c>
      <c r="E3">
        <v>2</v>
      </c>
      <c r="F3">
        <f>ABS(E2-vienna_general_death_to_birth_rates_by_clinic414[[#This Row],[Midwives]])</f>
        <v>0.29999999999999982</v>
      </c>
    </row>
    <row r="4" spans="1:6" ht="15.75" customHeight="1">
      <c r="A4" t="s">
        <v>27</v>
      </c>
      <c r="B4">
        <v>1846</v>
      </c>
      <c r="C4">
        <v>11.4</v>
      </c>
      <c r="D4">
        <f>ABS(C3-vienna_general_death_to_birth_rates_by_clinic414[[#This Row],[Students &amp; Doctors]])</f>
        <v>4.5</v>
      </c>
      <c r="E4">
        <v>2.8</v>
      </c>
      <c r="F4">
        <f>ABS(E3-vienna_general_death_to_birth_rates_by_clinic414[[#This Row],[Midwives]])</f>
        <v>0.79999999999999982</v>
      </c>
    </row>
    <row r="5" spans="1:6" ht="15.75" customHeight="1">
      <c r="A5" t="s">
        <v>27</v>
      </c>
      <c r="B5">
        <v>1847</v>
      </c>
      <c r="C5">
        <v>5</v>
      </c>
      <c r="D5">
        <f>ABS(C4-vienna_general_death_to_birth_rates_by_clinic414[[#This Row],[Students &amp; Doctors]])</f>
        <v>6.4</v>
      </c>
      <c r="E5">
        <v>1</v>
      </c>
      <c r="F5">
        <f>ABS(E4-vienna_general_death_to_birth_rates_by_clinic414[[#This Row],[Midwives]])</f>
        <v>1.7999999999999998</v>
      </c>
    </row>
    <row r="6" spans="1:6" ht="15.75" customHeight="1">
      <c r="A6" t="s">
        <v>27</v>
      </c>
      <c r="B6">
        <v>1848</v>
      </c>
      <c r="C6">
        <v>1.3</v>
      </c>
      <c r="D6">
        <f>ABS(C5-vienna_general_death_to_birth_rates_by_clinic414[[#This Row],[Students &amp; Doctors]])</f>
        <v>3.7</v>
      </c>
      <c r="E6">
        <v>1.3</v>
      </c>
      <c r="F6">
        <f>ABS(E5-vienna_general_death_to_birth_rates_by_clinic414[[#This Row],[Midwives]])</f>
        <v>0.30000000000000004</v>
      </c>
    </row>
    <row r="7" spans="1:6" ht="15.75" customHeight="1">
      <c r="A7" t="s">
        <v>27</v>
      </c>
      <c r="B7">
        <v>1849</v>
      </c>
      <c r="C7">
        <v>2.7</v>
      </c>
      <c r="D7">
        <f>ABS(C6-vienna_general_death_to_birth_rates_by_clinic414[[#This Row],[Students &amp; Doctors]])</f>
        <v>1.4000000000000001</v>
      </c>
      <c r="E7">
        <v>2.6</v>
      </c>
      <c r="F7">
        <f>ABS(E6-vienna_general_death_to_birth_rates_by_clinic414[[#This Row],[Midwives]])</f>
        <v>1.3</v>
      </c>
    </row>
    <row r="8" spans="1:6" ht="15.75" customHeight="1">
      <c r="A8" t="s">
        <v>27</v>
      </c>
      <c r="B8">
        <v>1850</v>
      </c>
      <c r="C8">
        <v>2</v>
      </c>
      <c r="D8">
        <f>ABS(C7-vienna_general_death_to_birth_rates_by_clinic414[[#This Row],[Students &amp; Doctors]])</f>
        <v>0.70000000000000018</v>
      </c>
      <c r="E8">
        <v>1.7</v>
      </c>
      <c r="F8">
        <f>ABS(E7-vienna_general_death_to_birth_rates_by_clinic414[[#This Row],[Midwives]])</f>
        <v>0.90000000000000013</v>
      </c>
    </row>
    <row r="9" spans="1:6" ht="15.75" customHeight="1">
      <c r="A9" t="s">
        <v>27</v>
      </c>
      <c r="B9">
        <v>1851</v>
      </c>
      <c r="C9">
        <v>1.8</v>
      </c>
      <c r="D9">
        <f>ABS(C8-vienna_general_death_to_birth_rates_by_clinic414[[#This Row],[Students &amp; Doctors]])</f>
        <v>0.19999999999999996</v>
      </c>
      <c r="E9">
        <v>3.6</v>
      </c>
      <c r="F9">
        <f>ABS(E8-vienna_general_death_to_birth_rates_by_clinic414[[#This Row],[Midwives]])</f>
        <v>1.9000000000000001</v>
      </c>
    </row>
    <row r="10" spans="1:6" ht="15.75" customHeight="1">
      <c r="A10" t="s">
        <v>27</v>
      </c>
      <c r="B10">
        <v>1852</v>
      </c>
      <c r="C10">
        <v>4</v>
      </c>
      <c r="D10">
        <f>ABS(C9-vienna_general_death_to_birth_rates_by_clinic414[[#This Row],[Students &amp; Doctors]])</f>
        <v>2.2000000000000002</v>
      </c>
      <c r="E10">
        <v>5.7</v>
      </c>
      <c r="F10">
        <f>ABS(E9-vienna_general_death_to_birth_rates_by_clinic414[[#This Row],[Midwives]])</f>
        <v>2.1</v>
      </c>
    </row>
    <row r="11" spans="1:6" ht="15.75" customHeight="1">
      <c r="A11" t="s">
        <v>27</v>
      </c>
      <c r="B11">
        <v>1853</v>
      </c>
      <c r="C11">
        <v>2.2000000000000002</v>
      </c>
      <c r="D11">
        <f>ABS(C10-vienna_general_death_to_birth_rates_by_clinic414[[#This Row],[Students &amp; Doctors]])</f>
        <v>1.7999999999999998</v>
      </c>
      <c r="E11">
        <v>1.9</v>
      </c>
      <c r="F11">
        <f>ABS(E10-vienna_general_death_to_birth_rates_by_clinic414[[#This Row],[Midwives]])</f>
        <v>3.8000000000000003</v>
      </c>
    </row>
    <row r="12" spans="1:6" ht="15.75" customHeight="1">
      <c r="A12" t="s">
        <v>27</v>
      </c>
      <c r="B12">
        <v>1854</v>
      </c>
      <c r="C12">
        <v>9.1</v>
      </c>
      <c r="D12">
        <f>ABS(C11-vienna_general_death_to_birth_rates_by_clinic414[[#This Row],[Students &amp; Doctors]])</f>
        <v>6.8999999999999995</v>
      </c>
      <c r="E12">
        <v>6.2</v>
      </c>
      <c r="F12">
        <f>ABS(E11-vienna_general_death_to_birth_rates_by_clinic414[[#This Row],[Midwives]])</f>
        <v>4.3000000000000007</v>
      </c>
    </row>
    <row r="13" spans="1:6" ht="15.75" customHeight="1">
      <c r="B13" s="17"/>
      <c r="C13" s="17" t="s">
        <v>4</v>
      </c>
      <c r="D13">
        <f t="shared" ref="D13:F13" si="0">SUM(D2:D12)</f>
        <v>29.099999999999994</v>
      </c>
      <c r="E13" s="17" t="s">
        <v>4</v>
      </c>
      <c r="F13">
        <f t="shared" si="0"/>
        <v>17.5</v>
      </c>
    </row>
    <row r="14" spans="1:6" ht="15.75" customHeight="1">
      <c r="B14" s="17"/>
      <c r="C14" s="17" t="s">
        <v>5</v>
      </c>
      <c r="D14">
        <f t="shared" ref="D14:F14" si="1">COUNT(D2:D12)</f>
        <v>10</v>
      </c>
      <c r="E14" s="17" t="s">
        <v>5</v>
      </c>
      <c r="F14">
        <f t="shared" si="1"/>
        <v>10</v>
      </c>
    </row>
    <row r="15" spans="1:6" ht="15.75" customHeight="1">
      <c r="B15" s="17"/>
      <c r="C15" s="17" t="s">
        <v>6</v>
      </c>
      <c r="D15">
        <f>ROUND(AVERAGE(D2:D12),2)</f>
        <v>2.91</v>
      </c>
      <c r="E15" s="17" t="s">
        <v>6</v>
      </c>
      <c r="F15" s="23">
        <f>ROUND(AVERAGE(F2:F12),2)</f>
        <v>1.75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14"/>
  <sheetViews>
    <sheetView workbookViewId="0">
      <selection activeCell="D14" sqref="A1:D14"/>
    </sheetView>
  </sheetViews>
  <sheetFormatPr defaultColWidth="12.6640625" defaultRowHeight="15.75" customHeight="1"/>
  <cols>
    <col min="1" max="1" width="20.77734375" customWidth="1"/>
    <col min="3" max="3" width="19.33203125" bestFit="1" customWidth="1"/>
  </cols>
  <sheetData>
    <row r="1" spans="1:4" ht="15.75" customHeight="1">
      <c r="A1" s="9" t="s">
        <v>26</v>
      </c>
      <c r="B1" s="10" t="s">
        <v>1</v>
      </c>
      <c r="C1" s="10" t="s">
        <v>2</v>
      </c>
      <c r="D1" s="11" t="s">
        <v>3</v>
      </c>
    </row>
    <row r="2" spans="1:4" ht="15.75" customHeight="1">
      <c r="A2" s="18" t="s">
        <v>27</v>
      </c>
      <c r="B2" s="12">
        <v>1844</v>
      </c>
      <c r="C2" s="12">
        <v>8.1999999999999993</v>
      </c>
      <c r="D2" s="13">
        <v>2.2999999999999998</v>
      </c>
    </row>
    <row r="3" spans="1:4" ht="15.75" customHeight="1">
      <c r="A3" s="19" t="s">
        <v>27</v>
      </c>
      <c r="B3" s="14">
        <v>1845</v>
      </c>
      <c r="C3" s="14">
        <v>6.9</v>
      </c>
      <c r="D3" s="15">
        <v>2</v>
      </c>
    </row>
    <row r="4" spans="1:4" ht="15.75" customHeight="1">
      <c r="A4" s="18" t="s">
        <v>27</v>
      </c>
      <c r="B4" s="12">
        <v>1846</v>
      </c>
      <c r="C4" s="12">
        <v>11.4</v>
      </c>
      <c r="D4" s="13">
        <v>2.8</v>
      </c>
    </row>
    <row r="5" spans="1:4" ht="15.75" customHeight="1">
      <c r="A5" s="19" t="s">
        <v>27</v>
      </c>
      <c r="B5" s="14">
        <v>1847</v>
      </c>
      <c r="C5" s="14">
        <v>5</v>
      </c>
      <c r="D5" s="15">
        <v>1</v>
      </c>
    </row>
    <row r="6" spans="1:4" ht="15.75" customHeight="1">
      <c r="A6" s="18" t="s">
        <v>27</v>
      </c>
      <c r="B6" s="12">
        <v>1848</v>
      </c>
      <c r="C6" s="12">
        <v>1.3</v>
      </c>
      <c r="D6" s="13">
        <v>1.3</v>
      </c>
    </row>
    <row r="7" spans="1:4" ht="15.75" customHeight="1">
      <c r="A7" s="19" t="s">
        <v>27</v>
      </c>
      <c r="B7" s="14">
        <v>1849</v>
      </c>
      <c r="C7" s="14">
        <v>2.7</v>
      </c>
      <c r="D7" s="15">
        <v>2.6</v>
      </c>
    </row>
    <row r="8" spans="1:4" ht="15.75" customHeight="1">
      <c r="A8" s="18" t="s">
        <v>27</v>
      </c>
      <c r="B8" s="12">
        <v>1850</v>
      </c>
      <c r="C8" s="12">
        <v>2</v>
      </c>
      <c r="D8" s="13">
        <v>1.7</v>
      </c>
    </row>
    <row r="9" spans="1:4" ht="15.75" customHeight="1">
      <c r="A9" s="19" t="s">
        <v>27</v>
      </c>
      <c r="B9" s="14">
        <v>1851</v>
      </c>
      <c r="C9" s="14">
        <v>1.8</v>
      </c>
      <c r="D9" s="15">
        <v>3.6</v>
      </c>
    </row>
    <row r="10" spans="1:4" ht="15.75" customHeight="1">
      <c r="A10" s="18" t="s">
        <v>27</v>
      </c>
      <c r="B10" s="12">
        <v>1852</v>
      </c>
      <c r="C10" s="12">
        <v>4</v>
      </c>
      <c r="D10" s="13">
        <v>5.7</v>
      </c>
    </row>
    <row r="11" spans="1:4" ht="15.75" customHeight="1">
      <c r="A11" s="19" t="s">
        <v>27</v>
      </c>
      <c r="B11" s="14">
        <v>1853</v>
      </c>
      <c r="C11" s="14">
        <v>2.2000000000000002</v>
      </c>
      <c r="D11" s="15">
        <v>1.9</v>
      </c>
    </row>
    <row r="12" spans="1:4" ht="15.75" customHeight="1">
      <c r="A12" s="18" t="s">
        <v>27</v>
      </c>
      <c r="B12" s="12">
        <v>1854</v>
      </c>
      <c r="C12" s="12">
        <v>9.1</v>
      </c>
      <c r="D12" s="13">
        <v>6.2</v>
      </c>
    </row>
    <row r="13" spans="1:4" ht="15.75" customHeight="1">
      <c r="A13" s="19"/>
      <c r="B13" s="20" t="s">
        <v>6</v>
      </c>
      <c r="C13" s="14">
        <f>ROUND(AVERAGE(C2:C12),1)</f>
        <v>5</v>
      </c>
      <c r="D13" s="14">
        <f>ROUND(AVERAGE(D2:D12),1)</f>
        <v>2.8</v>
      </c>
    </row>
    <row r="14" spans="1:4" ht="15.75" customHeight="1">
      <c r="B14" s="17" t="s">
        <v>14</v>
      </c>
      <c r="C14">
        <f>ROUND(MEDIAN(C2:C12),1)</f>
        <v>4</v>
      </c>
      <c r="D14">
        <f>ROUND(MEDIAN(D2:D12),1)</f>
        <v>2.2999999999999998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17"/>
  <sheetViews>
    <sheetView workbookViewId="0">
      <selection activeCell="I20" sqref="I20"/>
    </sheetView>
  </sheetViews>
  <sheetFormatPr defaultColWidth="12.6640625" defaultRowHeight="15.75" customHeight="1"/>
  <cols>
    <col min="1" max="1" width="20.77734375" bestFit="1" customWidth="1"/>
    <col min="3" max="3" width="19.33203125" bestFit="1" customWidth="1"/>
    <col min="4" max="4" width="6" bestFit="1" customWidth="1"/>
    <col min="6" max="6" width="6.88671875" bestFit="1" customWidth="1"/>
  </cols>
  <sheetData>
    <row r="1" spans="1:6" ht="15.75" customHeight="1">
      <c r="A1" s="9" t="s">
        <v>26</v>
      </c>
      <c r="B1" s="10" t="s">
        <v>1</v>
      </c>
      <c r="C1" s="10" t="s">
        <v>2</v>
      </c>
      <c r="D1" s="26" t="s">
        <v>12</v>
      </c>
      <c r="E1" s="11" t="s">
        <v>3</v>
      </c>
      <c r="F1" s="16" t="s">
        <v>30</v>
      </c>
    </row>
    <row r="2" spans="1:6" ht="15.75" customHeight="1">
      <c r="A2" s="18" t="s">
        <v>27</v>
      </c>
      <c r="B2" s="12">
        <v>1844</v>
      </c>
      <c r="C2" s="12">
        <v>8.1999999999999993</v>
      </c>
      <c r="D2" s="24"/>
      <c r="E2" s="13">
        <v>2.2999999999999998</v>
      </c>
    </row>
    <row r="3" spans="1:6" ht="15.75" customHeight="1">
      <c r="A3" s="19" t="s">
        <v>27</v>
      </c>
      <c r="B3" s="14">
        <v>1845</v>
      </c>
      <c r="C3" s="14">
        <v>6.9</v>
      </c>
      <c r="D3" s="25">
        <f>ABS(C2-vienna_general_death_to_birth_rates_by_clinic4111718[[#This Row],[Students &amp; Doctors]])</f>
        <v>1.2999999999999989</v>
      </c>
      <c r="E3" s="15">
        <v>2</v>
      </c>
      <c r="F3">
        <f>ABS(E2-vienna_general_death_to_birth_rates_by_clinic4111718[[#This Row],[Midwives]])</f>
        <v>0.29999999999999982</v>
      </c>
    </row>
    <row r="4" spans="1:6" ht="15.75" customHeight="1">
      <c r="A4" s="18" t="s">
        <v>27</v>
      </c>
      <c r="B4" s="12">
        <v>1846</v>
      </c>
      <c r="C4" s="12">
        <v>11.4</v>
      </c>
      <c r="D4" s="24">
        <f>ABS(C3-vienna_general_death_to_birth_rates_by_clinic4111718[[#This Row],[Students &amp; Doctors]])</f>
        <v>4.5</v>
      </c>
      <c r="E4" s="13">
        <v>2.8</v>
      </c>
      <c r="F4">
        <f>ABS(E3-vienna_general_death_to_birth_rates_by_clinic4111718[[#This Row],[Midwives]])</f>
        <v>0.79999999999999982</v>
      </c>
    </row>
    <row r="5" spans="1:6" ht="15.75" customHeight="1">
      <c r="A5" s="19" t="s">
        <v>27</v>
      </c>
      <c r="B5" s="14">
        <v>1847</v>
      </c>
      <c r="C5" s="14">
        <v>5</v>
      </c>
      <c r="D5" s="25">
        <f>ABS(C4-vienna_general_death_to_birth_rates_by_clinic4111718[[#This Row],[Students &amp; Doctors]])</f>
        <v>6.4</v>
      </c>
      <c r="E5" s="15">
        <v>1</v>
      </c>
      <c r="F5">
        <f>ABS(E4-vienna_general_death_to_birth_rates_by_clinic4111718[[#This Row],[Midwives]])</f>
        <v>1.7999999999999998</v>
      </c>
    </row>
    <row r="6" spans="1:6" ht="15.75" customHeight="1">
      <c r="A6" s="18" t="s">
        <v>27</v>
      </c>
      <c r="B6" s="12">
        <v>1848</v>
      </c>
      <c r="C6" s="12">
        <v>1.3</v>
      </c>
      <c r="D6" s="24">
        <f>ABS(C5-vienna_general_death_to_birth_rates_by_clinic4111718[[#This Row],[Students &amp; Doctors]])</f>
        <v>3.7</v>
      </c>
      <c r="E6" s="13">
        <v>1.3</v>
      </c>
      <c r="F6">
        <f>ABS(E5-vienna_general_death_to_birth_rates_by_clinic4111718[[#This Row],[Midwives]])</f>
        <v>0.30000000000000004</v>
      </c>
    </row>
    <row r="7" spans="1:6" ht="15.75" customHeight="1">
      <c r="A7" s="19" t="s">
        <v>27</v>
      </c>
      <c r="B7" s="14">
        <v>1849</v>
      </c>
      <c r="C7" s="14">
        <v>2.7</v>
      </c>
      <c r="D7" s="25">
        <f>ABS(C6-vienna_general_death_to_birth_rates_by_clinic4111718[[#This Row],[Students &amp; Doctors]])</f>
        <v>1.4000000000000001</v>
      </c>
      <c r="E7" s="15">
        <v>2.6</v>
      </c>
      <c r="F7">
        <f>ABS(E6-vienna_general_death_to_birth_rates_by_clinic4111718[[#This Row],[Midwives]])</f>
        <v>1.3</v>
      </c>
    </row>
    <row r="8" spans="1:6" ht="15.75" customHeight="1">
      <c r="A8" s="18" t="s">
        <v>27</v>
      </c>
      <c r="B8" s="12">
        <v>1850</v>
      </c>
      <c r="C8" s="12">
        <v>2</v>
      </c>
      <c r="D8" s="24">
        <f>ABS(C7-vienna_general_death_to_birth_rates_by_clinic4111718[[#This Row],[Students &amp; Doctors]])</f>
        <v>0.70000000000000018</v>
      </c>
      <c r="E8" s="13">
        <v>1.7</v>
      </c>
      <c r="F8">
        <f>ABS(E7-vienna_general_death_to_birth_rates_by_clinic4111718[[#This Row],[Midwives]])</f>
        <v>0.90000000000000013</v>
      </c>
    </row>
    <row r="9" spans="1:6" ht="15.75" customHeight="1">
      <c r="A9" s="19" t="s">
        <v>27</v>
      </c>
      <c r="B9" s="14">
        <v>1851</v>
      </c>
      <c r="C9" s="14">
        <v>1.8</v>
      </c>
      <c r="D9" s="25">
        <f>ABS(C8-vienna_general_death_to_birth_rates_by_clinic4111718[[#This Row],[Students &amp; Doctors]])</f>
        <v>0.19999999999999996</v>
      </c>
      <c r="E9" s="15">
        <v>3.6</v>
      </c>
      <c r="F9">
        <f>ABS(E8-vienna_general_death_to_birth_rates_by_clinic4111718[[#This Row],[Midwives]])</f>
        <v>1.9000000000000001</v>
      </c>
    </row>
    <row r="10" spans="1:6" ht="15.75" customHeight="1">
      <c r="A10" s="18" t="s">
        <v>27</v>
      </c>
      <c r="B10" s="12">
        <v>1852</v>
      </c>
      <c r="C10" s="12">
        <v>4</v>
      </c>
      <c r="D10" s="24">
        <f>ABS(C9-vienna_general_death_to_birth_rates_by_clinic4111718[[#This Row],[Students &amp; Doctors]])</f>
        <v>2.2000000000000002</v>
      </c>
      <c r="E10" s="13">
        <v>5.7</v>
      </c>
      <c r="F10">
        <f>ABS(E9-vienna_general_death_to_birth_rates_by_clinic4111718[[#This Row],[Midwives]])</f>
        <v>2.1</v>
      </c>
    </row>
    <row r="11" spans="1:6" ht="15.75" customHeight="1">
      <c r="A11" s="19" t="s">
        <v>27</v>
      </c>
      <c r="B11" s="14">
        <v>1853</v>
      </c>
      <c r="C11" s="14">
        <v>2.2000000000000002</v>
      </c>
      <c r="D11" s="25">
        <f>ABS(C10-vienna_general_death_to_birth_rates_by_clinic4111718[[#This Row],[Students &amp; Doctors]])</f>
        <v>1.7999999999999998</v>
      </c>
      <c r="E11" s="15">
        <v>1.9</v>
      </c>
      <c r="F11">
        <f>ABS(E10-vienna_general_death_to_birth_rates_by_clinic4111718[[#This Row],[Midwives]])</f>
        <v>3.8000000000000003</v>
      </c>
    </row>
    <row r="12" spans="1:6" ht="15.75" customHeight="1">
      <c r="A12" s="18" t="s">
        <v>27</v>
      </c>
      <c r="B12" s="12">
        <v>1854</v>
      </c>
      <c r="C12" s="12">
        <v>9.1</v>
      </c>
      <c r="D12" s="24">
        <f>ABS(C11-vienna_general_death_to_birth_rates_by_clinic4111718[[#This Row],[Students &amp; Doctors]])</f>
        <v>6.8999999999999995</v>
      </c>
      <c r="E12" s="13">
        <v>6.2</v>
      </c>
      <c r="F12">
        <f>ABS(E11-vienna_general_death_to_birth_rates_by_clinic4111718[[#This Row],[Midwives]])</f>
        <v>4.3000000000000007</v>
      </c>
    </row>
    <row r="13" spans="1:6" ht="15.75" customHeight="1">
      <c r="A13" s="19"/>
      <c r="B13" s="20"/>
      <c r="C13" s="14"/>
      <c r="D13" s="14"/>
      <c r="E13" s="14"/>
    </row>
    <row r="14" spans="1:6" ht="15.75" customHeight="1">
      <c r="B14" s="16" t="s">
        <v>15</v>
      </c>
      <c r="C14" s="16" t="s">
        <v>2</v>
      </c>
      <c r="D14" s="16"/>
      <c r="E14" s="16" t="s">
        <v>3</v>
      </c>
    </row>
    <row r="15" spans="1:6" ht="15.75" customHeight="1">
      <c r="B15" s="16" t="s">
        <v>16</v>
      </c>
      <c r="C15">
        <f>MAX(C2:C12)-MIN(C2:C12)</f>
        <v>10.1</v>
      </c>
      <c r="E15">
        <f>MAX(E2:E12)-MIN(E2:E12)</f>
        <v>5.2</v>
      </c>
    </row>
    <row r="16" spans="1:6" ht="15.75" customHeight="1">
      <c r="B16" s="16" t="s">
        <v>10</v>
      </c>
      <c r="C16">
        <f>ROUND(STDEVA(C2:C12),1)</f>
        <v>3.4</v>
      </c>
      <c r="E16">
        <f>ROUND(STDEVA(E2:E12),1)</f>
        <v>1.7</v>
      </c>
    </row>
    <row r="17" spans="2:5" ht="15.75" customHeight="1">
      <c r="B17" s="16" t="s">
        <v>13</v>
      </c>
      <c r="C17">
        <f>AVERAGE(D3:D12)</f>
        <v>2.9099999999999993</v>
      </c>
      <c r="E17">
        <f>AVERAGE(F3:F12)</f>
        <v>1.75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2"/>
  <sheetViews>
    <sheetView showGridLines="0" workbookViewId="0">
      <selection activeCell="G20" sqref="G20"/>
    </sheetView>
  </sheetViews>
  <sheetFormatPr defaultColWidth="12.6640625" defaultRowHeight="15.75" customHeight="1"/>
  <cols>
    <col min="1" max="1" width="20.77734375" bestFit="1" customWidth="1"/>
    <col min="2" max="2" width="7.21875" bestFit="1" customWidth="1"/>
    <col min="3" max="3" width="19.33203125" bestFit="1" customWidth="1"/>
    <col min="4" max="4" width="11.33203125" bestFit="1" customWidth="1"/>
    <col min="5" max="5" width="21.21875" bestFit="1" customWidth="1"/>
    <col min="6" max="6" width="14.44140625" customWidth="1"/>
    <col min="7" max="7" width="19.88671875" bestFit="1" customWidth="1"/>
    <col min="8" max="8" width="15.77734375" bestFit="1" customWidth="1"/>
    <col min="9" max="9" width="6.6640625" bestFit="1" customWidth="1"/>
    <col min="10" max="10" width="6.77734375" bestFit="1" customWidth="1"/>
    <col min="11" max="11" width="7.44140625" bestFit="1" customWidth="1"/>
  </cols>
  <sheetData>
    <row r="1" spans="1:11" ht="13.2">
      <c r="A1" t="s">
        <v>26</v>
      </c>
      <c r="B1" t="s">
        <v>1</v>
      </c>
      <c r="C1" t="s">
        <v>2</v>
      </c>
      <c r="D1" t="s">
        <v>3</v>
      </c>
      <c r="E1" s="16" t="s">
        <v>17</v>
      </c>
      <c r="F1" s="6"/>
      <c r="G1" s="3" t="s">
        <v>26</v>
      </c>
      <c r="H1" s="3" t="s">
        <v>28</v>
      </c>
      <c r="I1" s="3" t="s">
        <v>1</v>
      </c>
      <c r="J1" s="3" t="s">
        <v>11</v>
      </c>
      <c r="K1" s="3" t="s">
        <v>17</v>
      </c>
    </row>
    <row r="2" spans="1:11" ht="13.2">
      <c r="A2" t="s">
        <v>27</v>
      </c>
      <c r="B2">
        <v>1844</v>
      </c>
      <c r="C2">
        <v>8.1999999999999993</v>
      </c>
      <c r="D2">
        <v>2.2999999999999998</v>
      </c>
      <c r="E2" s="3" t="s">
        <v>29</v>
      </c>
      <c r="F2" s="8"/>
      <c r="G2" s="22" t="s">
        <v>27</v>
      </c>
      <c r="H2" s="22" t="s">
        <v>2</v>
      </c>
      <c r="I2">
        <v>1844</v>
      </c>
      <c r="J2">
        <v>8.1999999999999993</v>
      </c>
      <c r="K2" s="8">
        <v>4.5</v>
      </c>
    </row>
    <row r="3" spans="1:11" ht="13.2">
      <c r="A3" t="s">
        <v>27</v>
      </c>
      <c r="B3">
        <v>1845</v>
      </c>
      <c r="C3">
        <v>6.9</v>
      </c>
      <c r="D3">
        <v>2</v>
      </c>
      <c r="E3" s="3" t="s">
        <v>29</v>
      </c>
      <c r="F3" s="8"/>
      <c r="G3" s="22" t="s">
        <v>27</v>
      </c>
      <c r="H3" s="22" t="s">
        <v>2</v>
      </c>
      <c r="I3">
        <v>1845</v>
      </c>
      <c r="J3">
        <v>6.9</v>
      </c>
      <c r="K3" s="8">
        <v>4.5</v>
      </c>
    </row>
    <row r="4" spans="1:11" ht="13.2">
      <c r="A4" t="s">
        <v>27</v>
      </c>
      <c r="B4">
        <v>1846</v>
      </c>
      <c r="C4">
        <v>11.4</v>
      </c>
      <c r="D4">
        <v>2.8</v>
      </c>
      <c r="E4" s="3" t="s">
        <v>29</v>
      </c>
      <c r="F4" s="8"/>
      <c r="G4" s="22" t="s">
        <v>27</v>
      </c>
      <c r="H4" s="22" t="s">
        <v>2</v>
      </c>
      <c r="I4">
        <v>1846</v>
      </c>
      <c r="J4">
        <v>11.4</v>
      </c>
      <c r="K4" s="8">
        <v>4.5</v>
      </c>
    </row>
    <row r="5" spans="1:11" ht="13.2">
      <c r="A5" t="s">
        <v>27</v>
      </c>
      <c r="B5">
        <v>1847</v>
      </c>
      <c r="C5">
        <v>5</v>
      </c>
      <c r="D5">
        <v>1</v>
      </c>
      <c r="E5" s="3" t="s">
        <v>29</v>
      </c>
      <c r="F5" s="8"/>
      <c r="G5" s="22" t="s">
        <v>27</v>
      </c>
      <c r="H5" s="22" t="s">
        <v>2</v>
      </c>
      <c r="I5">
        <v>1847</v>
      </c>
      <c r="J5">
        <v>5</v>
      </c>
      <c r="K5" s="8">
        <v>4.5</v>
      </c>
    </row>
    <row r="6" spans="1:11" ht="13.2">
      <c r="A6" t="s">
        <v>27</v>
      </c>
      <c r="B6">
        <v>1848</v>
      </c>
      <c r="C6">
        <v>1.3</v>
      </c>
      <c r="D6">
        <v>1.3</v>
      </c>
      <c r="E6" s="3" t="s">
        <v>29</v>
      </c>
      <c r="F6" s="8"/>
      <c r="G6" s="22" t="s">
        <v>27</v>
      </c>
      <c r="H6" s="22" t="s">
        <v>2</v>
      </c>
      <c r="I6">
        <v>1848</v>
      </c>
      <c r="J6">
        <v>1.3</v>
      </c>
      <c r="K6" s="8">
        <v>4.5</v>
      </c>
    </row>
    <row r="7" spans="1:11" ht="13.2">
      <c r="A7" t="s">
        <v>27</v>
      </c>
      <c r="B7">
        <v>1849</v>
      </c>
      <c r="C7">
        <v>2.7</v>
      </c>
      <c r="D7">
        <v>2.6</v>
      </c>
      <c r="E7" s="3" t="s">
        <v>29</v>
      </c>
      <c r="F7" s="8"/>
      <c r="G7" s="22" t="s">
        <v>27</v>
      </c>
      <c r="H7" s="22" t="s">
        <v>2</v>
      </c>
      <c r="I7">
        <v>1849</v>
      </c>
      <c r="J7">
        <v>2.7</v>
      </c>
      <c r="K7" s="8">
        <v>4.5</v>
      </c>
    </row>
    <row r="8" spans="1:11" ht="13.2">
      <c r="A8" t="s">
        <v>27</v>
      </c>
      <c r="B8">
        <v>1850</v>
      </c>
      <c r="C8">
        <v>2</v>
      </c>
      <c r="D8">
        <v>1.7</v>
      </c>
      <c r="E8" s="3" t="s">
        <v>29</v>
      </c>
      <c r="F8" s="8"/>
      <c r="G8" s="22" t="s">
        <v>27</v>
      </c>
      <c r="H8" s="22" t="s">
        <v>2</v>
      </c>
      <c r="I8">
        <v>1850</v>
      </c>
      <c r="J8">
        <v>2</v>
      </c>
      <c r="K8" s="8">
        <v>4.5</v>
      </c>
    </row>
    <row r="9" spans="1:11" ht="13.2">
      <c r="A9" t="s">
        <v>27</v>
      </c>
      <c r="B9">
        <v>1851</v>
      </c>
      <c r="C9">
        <v>1.8</v>
      </c>
      <c r="D9">
        <v>3.6</v>
      </c>
      <c r="E9" s="3" t="s">
        <v>29</v>
      </c>
      <c r="F9" s="8"/>
      <c r="G9" s="22" t="s">
        <v>27</v>
      </c>
      <c r="H9" s="22" t="s">
        <v>2</v>
      </c>
      <c r="I9">
        <v>1851</v>
      </c>
      <c r="J9">
        <v>1.8</v>
      </c>
      <c r="K9" s="8">
        <v>4.5</v>
      </c>
    </row>
    <row r="10" spans="1:11" ht="13.2">
      <c r="A10" t="s">
        <v>27</v>
      </c>
      <c r="B10">
        <v>1852</v>
      </c>
      <c r="C10">
        <v>4</v>
      </c>
      <c r="D10">
        <v>5.7</v>
      </c>
      <c r="E10" s="3" t="s">
        <v>29</v>
      </c>
      <c r="F10" s="8"/>
      <c r="G10" s="22" t="s">
        <v>27</v>
      </c>
      <c r="H10" s="22" t="s">
        <v>2</v>
      </c>
      <c r="I10">
        <v>1852</v>
      </c>
      <c r="J10">
        <v>4</v>
      </c>
      <c r="K10" s="8">
        <v>4.5</v>
      </c>
    </row>
    <row r="11" spans="1:11" ht="13.2">
      <c r="A11" t="s">
        <v>27</v>
      </c>
      <c r="B11">
        <v>1853</v>
      </c>
      <c r="C11">
        <v>2.2000000000000002</v>
      </c>
      <c r="D11">
        <v>1.9</v>
      </c>
      <c r="E11" s="3" t="s">
        <v>29</v>
      </c>
      <c r="F11" s="8"/>
      <c r="G11" s="22" t="s">
        <v>27</v>
      </c>
      <c r="H11" s="22" t="s">
        <v>2</v>
      </c>
      <c r="I11">
        <v>1853</v>
      </c>
      <c r="J11">
        <v>2.2000000000000002</v>
      </c>
      <c r="K11" s="8">
        <v>4.5</v>
      </c>
    </row>
    <row r="12" spans="1:11" ht="13.2">
      <c r="A12" t="s">
        <v>27</v>
      </c>
      <c r="B12">
        <v>1854</v>
      </c>
      <c r="C12">
        <v>9.1</v>
      </c>
      <c r="D12">
        <v>6.2</v>
      </c>
      <c r="E12" s="3" t="s">
        <v>29</v>
      </c>
      <c r="F12" s="8"/>
      <c r="G12" s="22" t="s">
        <v>27</v>
      </c>
      <c r="H12" s="22" t="s">
        <v>2</v>
      </c>
      <c r="I12">
        <v>1854</v>
      </c>
      <c r="J12">
        <v>9.1</v>
      </c>
      <c r="K12" s="8">
        <v>4.5</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37ADB9-845E-40E9-83AD-32AC4F1061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Table 4.2. Mean of rates</vt:lpstr>
      <vt:lpstr>Table 4.3. Min, Max, Range</vt:lpstr>
      <vt:lpstr>Table 4.4. Standard Deviation</vt:lpstr>
      <vt:lpstr>Table 4.5. mRs for students &amp; d</vt:lpstr>
      <vt:lpstr>Table 4.6. mRs for both</vt:lpstr>
      <vt:lpstr>Table 4.7. Means and medians</vt:lpstr>
      <vt:lpstr>Table 4.8. Measures of dispersi</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2026-05-07T16:28:09Z</dcterms:modified>
</cp:coreProperties>
</file>