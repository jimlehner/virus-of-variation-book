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drawings/drawing6.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8.xml" ContentType="application/vnd.openxmlformats-officedocument.spreadsheetml.table+xml"/>
  <Override PartName="/xl/queryTables/queryTable8.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9.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10.xml" ContentType="application/vnd.openxmlformats-officedocument.themeOverrid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020D77EC-DF95-4C08-8144-D4884351D227}" xr6:coauthVersionLast="47" xr6:coauthVersionMax="47" xr10:uidLastSave="{00000000-0000-0000-0000-000000000000}"/>
  <bookViews>
    <workbookView xWindow="-105" yWindow="-16200" windowWidth="14610" windowHeight="15585" xr2:uid="{00000000-000D-0000-FFFF-FFFF00000000}"/>
  </bookViews>
  <sheets>
    <sheet name="Overview" sheetId="1" r:id="rId1"/>
    <sheet name="Fig 13.2. Regions XmR charts" sheetId="2" r:id="rId2"/>
    <sheet name="Fig 13.5. Two types of process" sheetId="12" r:id="rId3"/>
    <sheet name="Fig 13.8. Additional Run chart" sheetId="3" r:id="rId4"/>
    <sheet name="Fig 13.9. Add. XmR chart" sheetId="9" r:id="rId5"/>
    <sheet name="Fig 13.10. Additional Run chart" sheetId="5" r:id="rId6"/>
    <sheet name="Fig 13.11. Additional XmR chart" sheetId="11" r:id="rId7"/>
    <sheet name="Data" sheetId="7" r:id="rId8"/>
  </sheets>
  <definedNames>
    <definedName name="ExternalData_1" localSheetId="7" hidden="1">Data!$A$1:$C$13</definedName>
    <definedName name="ExternalData_1" localSheetId="5" hidden="1">'Fig 13.10. Additional Run chart'!$A$1:$D$34</definedName>
    <definedName name="ExternalData_1" localSheetId="6" hidden="1">'Fig 13.11. Additional XmR chart'!$A$1:$D$34</definedName>
    <definedName name="ExternalData_1" localSheetId="1" hidden="1">'Fig 13.2. Regions XmR charts'!$B$1:$C$13</definedName>
    <definedName name="ExternalData_1" localSheetId="2" hidden="1">'Fig 13.5. Two types of process'!$A$1:$C$23</definedName>
    <definedName name="ExternalData_1" localSheetId="3" hidden="1">'Fig 13.8. Additional Run chart'!$A$1:$C$65</definedName>
    <definedName name="ExternalData_1" localSheetId="4" hidden="1">'Fig 13.9. Add. XmR chart'!$A$1:$C$65</definedName>
    <definedName name="ExternalData_2" localSheetId="7" hidden="1">Data!$E$1:$J$39</definedName>
    <definedName name="ExternalData_2" localSheetId="1" hidden="1">'Fig 13.2. Regions XmR charts'!$B$15:$C$27</definedName>
    <definedName name="ExternalData_2" localSheetId="2" hidden="1">'Fig 13.5. Two types of process'!$A$25:$C$41</definedName>
    <definedName name="ExternalData_3" localSheetId="7" hidden="1">Data!$L$1:$O$270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2" l="1"/>
  <c r="F27" i="12"/>
  <c r="F28" i="12"/>
  <c r="F29" i="12"/>
  <c r="F30" i="12"/>
  <c r="F31" i="12"/>
  <c r="F32" i="12"/>
  <c r="F33" i="12"/>
  <c r="F34" i="12"/>
  <c r="F35" i="12"/>
  <c r="F36" i="12"/>
  <c r="F37" i="12"/>
  <c r="F38" i="12"/>
  <c r="F39" i="12"/>
  <c r="F40" i="12"/>
  <c r="F41" i="12"/>
  <c r="G27" i="12"/>
  <c r="G28" i="12"/>
  <c r="G29" i="12"/>
  <c r="G30" i="12"/>
  <c r="G31" i="12"/>
  <c r="G32" i="12"/>
  <c r="G33" i="12"/>
  <c r="G34" i="12"/>
  <c r="G35" i="12"/>
  <c r="G36" i="12"/>
  <c r="G37" i="12"/>
  <c r="G38" i="12"/>
  <c r="G39" i="12"/>
  <c r="G40" i="12"/>
  <c r="G41" i="12"/>
  <c r="H26" i="12"/>
  <c r="H27" i="12"/>
  <c r="H28" i="12"/>
  <c r="H29" i="12"/>
  <c r="H30" i="12"/>
  <c r="H31" i="12"/>
  <c r="H32" i="12"/>
  <c r="H33" i="12"/>
  <c r="H34" i="12"/>
  <c r="H35" i="12"/>
  <c r="H36" i="12"/>
  <c r="H37" i="12"/>
  <c r="H38" i="12"/>
  <c r="H39" i="12"/>
  <c r="H40" i="12"/>
  <c r="H41" i="12"/>
  <c r="D26" i="12"/>
  <c r="D27" i="12"/>
  <c r="D28" i="12"/>
  <c r="D29" i="12"/>
  <c r="D30" i="12"/>
  <c r="D31" i="12"/>
  <c r="D32" i="12"/>
  <c r="D33" i="12"/>
  <c r="D34" i="12"/>
  <c r="D35" i="12"/>
  <c r="D36" i="12"/>
  <c r="D37" i="12"/>
  <c r="D38" i="12"/>
  <c r="D39" i="12"/>
  <c r="D40" i="12"/>
  <c r="D41" i="12"/>
  <c r="I26" i="12"/>
  <c r="I27" i="12"/>
  <c r="I28" i="12"/>
  <c r="I29" i="12"/>
  <c r="I30" i="12"/>
  <c r="I31" i="12"/>
  <c r="I32" i="12"/>
  <c r="I33" i="12"/>
  <c r="I34" i="12"/>
  <c r="I35" i="12"/>
  <c r="I36" i="12"/>
  <c r="I37" i="12"/>
  <c r="I38" i="12"/>
  <c r="I39" i="12"/>
  <c r="I40" i="12"/>
  <c r="I41" i="12"/>
  <c r="F2" i="12"/>
  <c r="F3" i="12"/>
  <c r="F4" i="12"/>
  <c r="F5" i="12"/>
  <c r="F6" i="12"/>
  <c r="F7" i="12"/>
  <c r="F8" i="12"/>
  <c r="F9" i="12"/>
  <c r="F10" i="12"/>
  <c r="F11" i="12"/>
  <c r="F12" i="12"/>
  <c r="F13" i="12"/>
  <c r="F14" i="12"/>
  <c r="F15" i="12"/>
  <c r="F16" i="12"/>
  <c r="F17" i="12"/>
  <c r="F18" i="12"/>
  <c r="F19" i="12"/>
  <c r="F20" i="12"/>
  <c r="F21" i="12"/>
  <c r="F22" i="12"/>
  <c r="F23" i="12"/>
  <c r="E2" i="12"/>
  <c r="E3" i="12"/>
  <c r="E4" i="12"/>
  <c r="E5" i="12"/>
  <c r="E6" i="12"/>
  <c r="E7" i="12"/>
  <c r="E8" i="12"/>
  <c r="E9" i="12"/>
  <c r="E10" i="12"/>
  <c r="E11" i="12"/>
  <c r="E12" i="12"/>
  <c r="E13" i="12"/>
  <c r="E14" i="12"/>
  <c r="E15" i="12"/>
  <c r="E16" i="12"/>
  <c r="E17" i="12"/>
  <c r="E18" i="12"/>
  <c r="E19" i="12"/>
  <c r="E20" i="12"/>
  <c r="E21" i="12"/>
  <c r="E22" i="12"/>
  <c r="E23" i="12"/>
  <c r="D2" i="12"/>
  <c r="D3" i="12"/>
  <c r="D4" i="12"/>
  <c r="D5" i="12"/>
  <c r="D6" i="12"/>
  <c r="D7" i="12"/>
  <c r="D8" i="12"/>
  <c r="D9" i="12"/>
  <c r="D10" i="12"/>
  <c r="D11" i="12"/>
  <c r="D12" i="12"/>
  <c r="D13" i="12"/>
  <c r="D14" i="12"/>
  <c r="D15" i="12"/>
  <c r="D16" i="12"/>
  <c r="D17" i="12"/>
  <c r="D18" i="12"/>
  <c r="D19" i="12"/>
  <c r="D20" i="12"/>
  <c r="D21" i="12"/>
  <c r="D22" i="12"/>
  <c r="D23" i="12"/>
  <c r="I2" i="12"/>
  <c r="I3" i="12"/>
  <c r="I4" i="12"/>
  <c r="I5" i="12"/>
  <c r="I6" i="12"/>
  <c r="I7" i="12"/>
  <c r="I8" i="12"/>
  <c r="I9" i="12"/>
  <c r="I10" i="12"/>
  <c r="I11" i="12"/>
  <c r="I12" i="12"/>
  <c r="I13" i="12"/>
  <c r="I14" i="12"/>
  <c r="I15" i="12"/>
  <c r="I16" i="12"/>
  <c r="I17" i="12"/>
  <c r="I18" i="12"/>
  <c r="I19" i="12"/>
  <c r="I20" i="12"/>
  <c r="I21" i="12"/>
  <c r="I22" i="12"/>
  <c r="I23" i="12"/>
  <c r="H2" i="12"/>
  <c r="H3" i="12"/>
  <c r="H4" i="12"/>
  <c r="H5" i="12"/>
  <c r="H6" i="12"/>
  <c r="H7" i="12"/>
  <c r="H8" i="12"/>
  <c r="H9" i="12"/>
  <c r="H10" i="12"/>
  <c r="H11" i="12"/>
  <c r="H12" i="12"/>
  <c r="H13" i="12"/>
  <c r="H14" i="12"/>
  <c r="H15" i="12"/>
  <c r="H16" i="12"/>
  <c r="H17" i="12"/>
  <c r="H18" i="12"/>
  <c r="H19" i="12"/>
  <c r="H20" i="12"/>
  <c r="H21" i="12"/>
  <c r="H22" i="12"/>
  <c r="H23" i="12"/>
  <c r="G3" i="12"/>
  <c r="G4" i="12"/>
  <c r="G5" i="12"/>
  <c r="G6" i="12"/>
  <c r="G7" i="12"/>
  <c r="G8" i="12"/>
  <c r="G9" i="12"/>
  <c r="G10" i="12"/>
  <c r="G11" i="12"/>
  <c r="G12" i="12"/>
  <c r="G13" i="12"/>
  <c r="G14" i="12"/>
  <c r="G15" i="12"/>
  <c r="G16" i="12"/>
  <c r="G17" i="12"/>
  <c r="G18" i="12"/>
  <c r="G19" i="12"/>
  <c r="G20" i="12"/>
  <c r="G21" i="12"/>
  <c r="G22" i="12"/>
  <c r="G23" i="12"/>
  <c r="E3" i="11"/>
  <c r="E4" i="11"/>
  <c r="E5" i="11"/>
  <c r="E6" i="11"/>
  <c r="E7" i="11"/>
  <c r="E8" i="11"/>
  <c r="E9" i="11"/>
  <c r="E10" i="11"/>
  <c r="E11" i="11"/>
  <c r="E12" i="11"/>
  <c r="E13" i="11"/>
  <c r="E14" i="11"/>
  <c r="E15" i="11"/>
  <c r="E16" i="11"/>
  <c r="E17" i="11"/>
  <c r="E18" i="11"/>
  <c r="E19" i="11"/>
  <c r="E20" i="11"/>
  <c r="E21" i="11"/>
  <c r="E22" i="11"/>
  <c r="E23" i="11"/>
  <c r="E24" i="11"/>
  <c r="E25" i="11"/>
  <c r="E26" i="11"/>
  <c r="E27" i="11"/>
  <c r="G27" i="11" s="1"/>
  <c r="E28" i="11"/>
  <c r="G28" i="11" s="1"/>
  <c r="E29" i="11"/>
  <c r="G29" i="11" s="1"/>
  <c r="E30" i="11"/>
  <c r="G30" i="11" s="1"/>
  <c r="E31" i="11"/>
  <c r="G31" i="11" s="1"/>
  <c r="E32" i="11"/>
  <c r="G32" i="11" s="1"/>
  <c r="E33" i="11"/>
  <c r="G33" i="11" s="1"/>
  <c r="E34" i="11"/>
  <c r="G34" i="11" s="1"/>
  <c r="E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G3" i="11"/>
  <c r="G4" i="11"/>
  <c r="G5" i="11"/>
  <c r="G6" i="11"/>
  <c r="G7" i="11"/>
  <c r="G8" i="11"/>
  <c r="G9" i="11"/>
  <c r="G10" i="11"/>
  <c r="G11" i="11"/>
  <c r="G12" i="11"/>
  <c r="G13" i="11"/>
  <c r="G14" i="11"/>
  <c r="G15" i="11"/>
  <c r="G16" i="11"/>
  <c r="G17" i="11"/>
  <c r="G18" i="11"/>
  <c r="G19" i="11"/>
  <c r="G20" i="11"/>
  <c r="G21" i="11"/>
  <c r="G22" i="11"/>
  <c r="G23" i="11"/>
  <c r="G24" i="11"/>
  <c r="G25" i="11"/>
  <c r="G26"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I2" i="11"/>
  <c r="I3" i="11"/>
  <c r="I4" i="11"/>
  <c r="I5" i="11"/>
  <c r="I6" i="11"/>
  <c r="J6" i="11" s="1"/>
  <c r="I7" i="11"/>
  <c r="I8" i="11"/>
  <c r="J8" i="11" s="1"/>
  <c r="I9" i="11"/>
  <c r="I10" i="11"/>
  <c r="I11" i="11"/>
  <c r="I12" i="11"/>
  <c r="I13" i="11"/>
  <c r="J13" i="11" s="1"/>
  <c r="I14" i="11"/>
  <c r="J14" i="11" s="1"/>
  <c r="I15" i="11"/>
  <c r="J15" i="11" s="1"/>
  <c r="I16" i="11"/>
  <c r="J16" i="11" s="1"/>
  <c r="I17" i="11"/>
  <c r="J17" i="11" s="1"/>
  <c r="I18" i="11"/>
  <c r="J18" i="11" s="1"/>
  <c r="I19" i="11"/>
  <c r="J19" i="11" s="1"/>
  <c r="I20" i="11"/>
  <c r="J20" i="11" s="1"/>
  <c r="I21" i="11"/>
  <c r="J21" i="11" s="1"/>
  <c r="I22" i="11"/>
  <c r="J22" i="11" s="1"/>
  <c r="I23" i="11"/>
  <c r="J23" i="11" s="1"/>
  <c r="I24" i="11"/>
  <c r="J24" i="11" s="1"/>
  <c r="I25" i="11"/>
  <c r="J25" i="11" s="1"/>
  <c r="I26" i="11"/>
  <c r="J26" i="11" s="1"/>
  <c r="I27" i="11"/>
  <c r="J27" i="11" s="1"/>
  <c r="I28" i="11"/>
  <c r="J28" i="11" s="1"/>
  <c r="I29" i="11"/>
  <c r="J29" i="11" s="1"/>
  <c r="I30" i="11"/>
  <c r="J30" i="11" s="1"/>
  <c r="I31" i="11"/>
  <c r="J31" i="11" s="1"/>
  <c r="I32" i="11"/>
  <c r="J32" i="11" s="1"/>
  <c r="I33" i="11"/>
  <c r="J33" i="11" s="1"/>
  <c r="I34" i="11"/>
  <c r="J34" i="11" s="1"/>
  <c r="J2" i="11"/>
  <c r="J3" i="11"/>
  <c r="J4" i="11"/>
  <c r="J5" i="11"/>
  <c r="J7" i="11"/>
  <c r="J9" i="11"/>
  <c r="J10" i="11"/>
  <c r="J11" i="11"/>
  <c r="J12" i="11"/>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2" i="2"/>
  <c r="D3" i="2"/>
  <c r="D4" i="2"/>
  <c r="D5" i="2"/>
  <c r="D6" i="2"/>
  <c r="D7" i="2"/>
  <c r="D8" i="2"/>
  <c r="D9" i="2"/>
  <c r="D10" i="2"/>
  <c r="D11" i="2"/>
  <c r="D12" i="2"/>
  <c r="D13" i="2"/>
  <c r="D16" i="2"/>
  <c r="D17" i="2"/>
  <c r="D18" i="2"/>
  <c r="D19" i="2"/>
  <c r="D20" i="2"/>
  <c r="D21" i="2"/>
  <c r="D22" i="2"/>
  <c r="D23" i="2"/>
  <c r="D24" i="2"/>
  <c r="D25" i="2"/>
  <c r="D26" i="2"/>
  <c r="D27" i="2"/>
  <c r="H16" i="2"/>
  <c r="I16" i="2" s="1"/>
  <c r="H17" i="2"/>
  <c r="I17" i="2" s="1"/>
  <c r="H18" i="2"/>
  <c r="I18" i="2" s="1"/>
  <c r="H19" i="2"/>
  <c r="I19" i="2" s="1"/>
  <c r="H20" i="2"/>
  <c r="I20" i="2" s="1"/>
  <c r="H21" i="2"/>
  <c r="I21" i="2" s="1"/>
  <c r="H22" i="2"/>
  <c r="I22" i="2" s="1"/>
  <c r="H23" i="2"/>
  <c r="I23" i="2" s="1"/>
  <c r="H24" i="2"/>
  <c r="I24" i="2" s="1"/>
  <c r="H25" i="2"/>
  <c r="I25" i="2" s="1"/>
  <c r="H26" i="2"/>
  <c r="I26" i="2" s="1"/>
  <c r="G3" i="2"/>
  <c r="G4" i="2"/>
  <c r="G5" i="2"/>
  <c r="G6" i="2"/>
  <c r="G7" i="2"/>
  <c r="G8" i="2"/>
  <c r="G9" i="2"/>
  <c r="G10" i="2"/>
  <c r="G11" i="2"/>
  <c r="G12" i="2"/>
  <c r="G13" i="2"/>
  <c r="G17" i="2"/>
  <c r="H27" i="2" s="1"/>
  <c r="I27" i="2" s="1"/>
  <c r="G18" i="2"/>
  <c r="G19" i="2"/>
  <c r="G20" i="2"/>
  <c r="G21" i="2"/>
  <c r="G22" i="2"/>
  <c r="G23" i="2"/>
  <c r="G24" i="2"/>
  <c r="G25" i="2"/>
  <c r="G26" i="2"/>
  <c r="G27" i="2"/>
  <c r="E26" i="12" l="1"/>
  <c r="E27" i="12"/>
  <c r="E28" i="12"/>
  <c r="E29" i="12"/>
  <c r="E30" i="12"/>
  <c r="E31" i="12"/>
  <c r="E32" i="12"/>
  <c r="E33" i="12"/>
  <c r="E34" i="12"/>
  <c r="E35" i="12"/>
  <c r="E36" i="12"/>
  <c r="E37" i="12"/>
  <c r="E38" i="12"/>
  <c r="E39" i="12"/>
  <c r="E40" i="12"/>
  <c r="E41" i="12"/>
  <c r="G2" i="11"/>
  <c r="F2" i="11"/>
  <c r="E16" i="2"/>
  <c r="F16" i="2"/>
  <c r="E17" i="2"/>
  <c r="F17" i="2"/>
  <c r="E18" i="2"/>
  <c r="F18" i="2"/>
  <c r="E19" i="2"/>
  <c r="F19" i="2"/>
  <c r="E20" i="2"/>
  <c r="F20" i="2"/>
  <c r="E21" i="2"/>
  <c r="F21" i="2"/>
  <c r="E22" i="2"/>
  <c r="F22" i="2"/>
  <c r="F23" i="2"/>
  <c r="E23" i="2"/>
  <c r="F24" i="2"/>
  <c r="E24" i="2"/>
  <c r="F25" i="2"/>
  <c r="E25" i="2"/>
  <c r="F26" i="2"/>
  <c r="E26" i="2"/>
  <c r="F27" i="2"/>
  <c r="E27" i="2"/>
  <c r="H7" i="2"/>
  <c r="H8" i="2"/>
  <c r="H9" i="2"/>
  <c r="H10" i="2"/>
  <c r="H3" i="2"/>
  <c r="H12" i="2"/>
  <c r="H13" i="2"/>
  <c r="H2" i="2"/>
  <c r="H4" i="2"/>
  <c r="H5" i="2"/>
  <c r="H6" i="2"/>
  <c r="H11" i="2"/>
  <c r="I7" i="2" l="1"/>
  <c r="E7" i="2"/>
  <c r="F7" i="2"/>
  <c r="I8" i="2"/>
  <c r="E8" i="2"/>
  <c r="F8" i="2"/>
  <c r="I9" i="2"/>
  <c r="E9" i="2"/>
  <c r="F9" i="2"/>
  <c r="I10" i="2"/>
  <c r="F10" i="2"/>
  <c r="E10" i="2"/>
  <c r="I3" i="2"/>
  <c r="F3" i="2"/>
  <c r="E3" i="2"/>
  <c r="I12" i="2"/>
  <c r="F12" i="2"/>
  <c r="E12" i="2"/>
  <c r="I13" i="2"/>
  <c r="F13" i="2"/>
  <c r="E13" i="2"/>
  <c r="I2" i="2"/>
  <c r="F2" i="2"/>
  <c r="E2" i="2"/>
  <c r="I4" i="2"/>
  <c r="E4" i="2"/>
  <c r="F4" i="2"/>
  <c r="I5" i="2"/>
  <c r="E5" i="2"/>
  <c r="F5" i="2"/>
  <c r="I6" i="2"/>
  <c r="E6" i="2"/>
  <c r="F6" i="2"/>
  <c r="I11" i="2"/>
  <c r="E11" i="2"/>
  <c r="F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06E7C1-A7BB-48F2-9667-3C2B03E9CDD4}" keepAlive="1" name="Query - home-runs-by-season" description="Connection to the 'home-runs-by-season' query in the workbook." type="5" refreshedVersion="8" background="1" saveData="1">
    <dbPr connection="Provider=Microsoft.Mashup.OleDb.1;Data Source=$Workbook$;Location=home-runs-by-season;Extended Properties=&quot;&quot;" command="SELECT * FROM [home-runs-by-season]"/>
  </connection>
  <connection id="2" xr16:uid="{C17F94CD-80FF-4B80-944A-ACB187EE416C}" keepAlive="1" name="Query - home-runs-by-season (2)" description="Connection to the 'home-runs-by-season (2)' query in the workbook." type="5" refreshedVersion="8" background="1" saveData="1">
    <dbPr connection="Provider=Microsoft.Mashup.OleDb.1;Data Source=$Workbook$;Location=&quot;home-runs-by-season (2)&quot;;Extended Properties=&quot;&quot;" command="SELECT * FROM [home-runs-by-season (2)]"/>
  </connection>
  <connection id="3" xr16:uid="{58460D54-7180-4602-BEE2-7DF65D23D79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4" xr16:uid="{6FB34BFD-5DC1-47D8-A4A3-771404D556CC}"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5" xr16:uid="{28049873-E736-461E-9AF5-F7FCB6D63832}"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6" xr16:uid="{F1D1C687-2D92-4386-91DA-37044CE88111}" keepAlive="1" name="Query - sales-by-regions" description="Connection to the 'sales-by-regions' query in the workbook." type="5" refreshedVersion="8" background="1" saveData="1">
    <dbPr connection="Provider=Microsoft.Mashup.OleDb.1;Data Source=$Workbook$;Location=sales-by-regions;Extended Properties=&quot;&quot;" command="SELECT * FROM [sales-by-regions]"/>
  </connection>
  <connection id="7" xr16:uid="{6CECD219-9B06-45B6-9A27-91AF7F8FD95D}" keepAlive="1" name="Query - sales-by-regions (2)" description="Connection to the 'sales-by-regions (2)' query in the workbook." type="5" refreshedVersion="8" background="1" saveData="1">
    <dbPr connection="Provider=Microsoft.Mashup.OleDb.1;Data Source=$Workbook$;Location=&quot;sales-by-regions (2)&quot;;Extended Properties=&quot;&quot;" command="SELECT * FROM [sales-by-regions (2)]"/>
  </connection>
  <connection id="8" xr16:uid="{5529E9D0-D29A-4E80-BD21-DF945812799A}" keepAlive="1" name="Query - shewharts-resistance-measurements" description="Connection to the 'shewharts-resistance-measurements' query in the workbook." type="5" refreshedVersion="8" background="1" saveData="1">
    <dbPr connection="Provider=Microsoft.Mashup.OleDb.1;Data Source=$Workbook$;Location=shewharts-resistance-measurements;Extended Properties=&quot;&quot;" command="SELECT * FROM [shewharts-resistance-measurements]"/>
  </connection>
  <connection id="9" xr16:uid="{D58E2D37-BD55-4735-9B6C-FE1216A522C3}" keepAlive="1" name="Query - shewharts-resistance-measurements (2)" description="Connection to the 'shewharts-resistance-measurements (2)' query in the workbook." type="5" refreshedVersion="8" background="1" saveData="1">
    <dbPr connection="Provider=Microsoft.Mashup.OleDb.1;Data Source=$Workbook$;Location=&quot;shewharts-resistance-measurements (2)&quot;;Extended Properties=&quot;&quot;" command="SELECT * FROM [shewharts-resistance-measurements (2)]"/>
  </connection>
  <connection id="10" xr16:uid="{79D89EE8-7770-42AF-B654-531B7FFCB394}" keepAlive="1" name="Query - shewharts-resistance-measurements (4)" description="Connection to the 'shewharts-resistance-measurements (4)' query in the workbook." type="5" refreshedVersion="8" background="1" saveData="1">
    <dbPr connection="Provider=Microsoft.Mashup.OleDb.1;Data Source=$Workbook$;Location=&quot;shewharts-resistance-measurements (4)&quot;;Extended Properties=&quot;&quot;" command="SELECT * FROM [shewharts-resistance-measurements (4)]"/>
  </connection>
  <connection id="11" xr16:uid="{FC6D805D-217A-4369-A3A0-CB56B6A1B8DD}" keepAlive="1" name="Query - shewharts-resistance-measurements (5)" description="Connection to the 'shewharts-resistance-measurements (5)' query in the workbook." type="5" refreshedVersion="8" background="1" saveData="1">
    <dbPr connection="Provider=Microsoft.Mashup.OleDb.1;Data Source=$Workbook$;Location=&quot;shewharts-resistance-measurements (5)&quot;;Extended Properties=&quot;&quot;" command="SELECT * FROM [shewharts-resistance-measurements (5)]"/>
  </connection>
</connections>
</file>

<file path=xl/sharedStrings.xml><?xml version="1.0" encoding="utf-8"?>
<sst xmlns="http://schemas.openxmlformats.org/spreadsheetml/2006/main" count="1231" uniqueCount="164">
  <si>
    <t>Chapter 13. Characterization</t>
  </si>
  <si>
    <t>Region</t>
  </si>
  <si>
    <t>Month</t>
  </si>
  <si>
    <t>Mean</t>
  </si>
  <si>
    <t>UPL</t>
  </si>
  <si>
    <t>LPL</t>
  </si>
  <si>
    <t>mR</t>
  </si>
  <si>
    <t>Ave. mR</t>
  </si>
  <si>
    <t>URL</t>
  </si>
  <si>
    <t>Jan</t>
  </si>
  <si>
    <t>Feb</t>
  </si>
  <si>
    <t>Mar</t>
  </si>
  <si>
    <t>Apr</t>
  </si>
  <si>
    <t>May</t>
  </si>
  <si>
    <t>Jun</t>
  </si>
  <si>
    <t>Jul</t>
  </si>
  <si>
    <t>Aug</t>
  </si>
  <si>
    <t>Sep</t>
  </si>
  <si>
    <t>Oct</t>
  </si>
  <si>
    <t>Nov</t>
  </si>
  <si>
    <t>Dec</t>
  </si>
  <si>
    <t>Stage</t>
  </si>
  <si>
    <t>Value</t>
  </si>
  <si>
    <t>Resistance</t>
  </si>
  <si>
    <t>Additional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</si>
  <si>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</si>
  <si>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</si>
  <si>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</si>
  <si>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</si>
  <si>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</si>
  <si>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</si>
  <si>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</si>
  <si>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</si>
  <si>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</si>
  <si>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</si>
  <si>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</si>
  <si>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</si>
  <si>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</si>
  <si>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</si>
  <si>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</si>
  <si>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</si>
  <si>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</si>
  <si>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</si>
  <si>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</si>
  <si>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</si>
  <si>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</si>
  <si>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</si>
  <si>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</si>
  <si>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</si>
  <si>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</si>
  <si>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</si>
  <si>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</si>
  <si>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</si>
  <si>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</si>
  <si>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</si>
  <si>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</si>
  <si>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</si>
  <si>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</si>
  <si>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</si>
  <si>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</si>
  <si>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</si>
  <si>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</si>
  <si>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</si>
  <si>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</si>
  <si>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</si>
  <si>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</si>
  <si>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</si>
  <si>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</si>
  <si>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</si>
  <si>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</si>
  <si>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</si>
  <si>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</si>
  <si>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</si>
  <si>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</si>
  <si>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</si>
  <si>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</si>
  <si>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</si>
  <si>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</si>
  <si>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</si>
  <si>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</si>
  <si>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</si>
  <si>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</si>
  <si>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</si>
  <si>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</si>
  <si>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</si>
  <si>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</si>
  <si>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</si>
  <si>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</si>
  <si>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</si>
  <si>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</si>
  <si>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</si>
  <si>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</si>
  <si>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</si>
  <si>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</si>
  <si>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</si>
  <si>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</si>
  <si>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</si>
  <si>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</si>
  <si>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</si>
  <si>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</si>
  <si>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</si>
  <si>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</si>
  <si>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</si>
  <si>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</si>
  <si>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</si>
  <si>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</si>
  <si>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</si>
  <si>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</si>
  <si>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</si>
  <si>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</si>
  <si>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</si>
  <si>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</si>
  <si>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</si>
  <si>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</si>
  <si>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</si>
  <si>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</si>
  <si>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</si>
  <si>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</si>
  <si>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</si>
  <si>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</si>
  <si>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</si>
  <si>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</si>
  <si>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Units</t>
  </si>
  <si>
    <t>Fig 13.2</t>
  </si>
  <si>
    <t>Link to book:</t>
  </si>
  <si>
    <t>https://www.brokenquality.com/book</t>
  </si>
  <si>
    <t>Link to GitHub:</t>
  </si>
  <si>
    <t>https://github.com/jimlehner/virus-of-variation-book</t>
  </si>
  <si>
    <t>Contact:</t>
  </si>
  <si>
    <t>James.Lehner@gmail.com</t>
  </si>
  <si>
    <t>QualityIsBroken@gmail.com</t>
  </si>
  <si>
    <r>
      <t>This file serves as a resource for building some of the figures in Chapter 13 of The Virus of Variation using Microsoft Excel or Google Sheets.
The figures included here are:
Figure 13.2. XmR charts of East and West Regions
Figure 13.8. Run chart of electrical resistance measurements
Figure 13.9. XmR chart of electrical resistance measurements from Fig 13.8
Figure 13.10 Specification limit chart of electrical resistance measurements
13.11 XmR chart of electrical resistance measurements from Fig 13.10
Each figure has its own tab. The data used in the figures can be found in the Data tab.
For additional details regarding each of these figures, see Chapter 13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</si>
  <si>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East</t>
  </si>
  <si>
    <t>Sales</t>
  </si>
  <si>
    <t>West</t>
  </si>
  <si>
    <t xml:space="preserve"> URL</t>
  </si>
  <si>
    <t>Initial</t>
  </si>
  <si>
    <t>Plot Value</t>
  </si>
  <si>
    <t>USL</t>
  </si>
  <si>
    <t>LSL</t>
  </si>
  <si>
    <t>Player</t>
  </si>
  <si>
    <t>Year</t>
  </si>
  <si>
    <t>HR</t>
  </si>
  <si>
    <t>B. Bonds</t>
  </si>
  <si>
    <t>M. McGwire</t>
  </si>
  <si>
    <t>Raw GitHub Data URLs:</t>
  </si>
  <si>
    <t>https://raw.githubusercontent.com/jimlehner/virus-of-variation-book/refs/heads/main/data/shewharts-resistance-measurements.csv</t>
  </si>
  <si>
    <t>https://raw.githubusercontent.com/jimlehner/virus-of-variation-book/refs/heads/main/data/sales-by-regions.csv</t>
  </si>
  <si>
    <t>Fig 13.5</t>
  </si>
  <si>
    <t>Fig 13.8, 13.9, 13.10</t>
  </si>
  <si>
    <t>https://raw.githubusercontent.com/jimlehner/virus-of-variation-book/refs/heads/main/data/home-runs-by-season.csv</t>
  </si>
  <si>
    <t>East Region</t>
  </si>
  <si>
    <t>West Region</t>
  </si>
  <si>
    <t>Sample</t>
  </si>
  <si>
    <t>Team</t>
  </si>
  <si>
    <t>Notes</t>
  </si>
  <si>
    <t>PIT</t>
  </si>
  <si>
    <t>Data from Statmuse.com</t>
  </si>
  <si>
    <t/>
  </si>
  <si>
    <t>SFG</t>
  </si>
  <si>
    <t>OAK</t>
  </si>
  <si>
    <t>TOT</t>
  </si>
  <si>
    <t>STL</t>
  </si>
  <si>
    <t>megohms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</si>
</sst>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3" x14ac:knownFonts="1">
    <font>
      <sz val="10"/>
      <color rgb="FF000000"/>
      <name val="Arial"/>
      <scheme val="minor"/>
    </font>
    <font>
      <b/>
      <sz val="16"/>
      <color rgb="FFD72323"/>
      <name val="Montserrat"/>
    </font>
    <font>
      <sz val="10"/>
      <color theme="1"/>
      <name val="Arial"/>
      <family val="2"/>
    </font>
    <font>
      <sz val="10"/>
      <color theme="1"/>
      <name val="Arial"/>
      <family val="2"/>
      <scheme val="minor"/>
    </font>
    <font>
      <sz val="10"/>
      <color theme="1"/>
      <name val="Arial"/>
      <family val="2"/>
      <scheme val="minor"/>
    </font>
    <font>
      <sz val="9"/>
      <color rgb="FF1F2328"/>
      <name val="Arial"/>
      <family val="2"/>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
      <sz val="10"/>
      <color theme="0"/>
      <name val="Arial"/>
      <family val="2"/>
      <scheme val="minor"/>
    </font>
    <font>
      <sz val="10"/>
      <color rgb="FF000000"/>
      <name val="Arial"/>
      <family val="2"/>
    </font>
  </fonts>
  <fills count="2">
    <fill>
      <patternFill patternType="none"/>
    </fill>
    <fill>
      <patternFill patternType="gray125"/>
    </fill>
  </fills>
  <borders count="14">
    <border>
      <left/>
      <right/>
      <top/>
      <bottom/>
      <diagonal/>
    </border>
    <border>
      <left style="thin">
        <color rgb="FFD1D9E0"/>
      </left>
      <right/>
      <top/>
      <bottom/>
      <diagonal/>
    </border>
    <border>
      <left style="thin">
        <color rgb="FFD1D9E0"/>
      </left>
      <right/>
      <top style="thin">
        <color rgb="FFD1D9E0"/>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6" fillId="0" borderId="0" applyNumberFormat="0" applyFill="0" applyBorder="0" applyAlignment="0" applyProtection="0"/>
    <xf numFmtId="0" fontId="7" fillId="0" borderId="0"/>
  </cellStyleXfs>
  <cellXfs count="57">
    <xf numFmtId="0" fontId="0" fillId="0" borderId="0" xfId="0"/>
    <xf numFmtId="0" fontId="2" fillId="0" borderId="0" xfId="0" applyFont="1"/>
    <xf numFmtId="164" fontId="2" fillId="0" borderId="0" xfId="0" applyNumberFormat="1" applyFont="1" applyAlignment="1">
      <alignment horizontal="right"/>
    </xf>
    <xf numFmtId="49" fontId="2" fillId="0" borderId="0" xfId="0" applyNumberFormat="1" applyFont="1"/>
    <xf numFmtId="49" fontId="2" fillId="0" borderId="0" xfId="0" applyNumberFormat="1" applyFont="1" applyAlignment="1">
      <alignment horizontal="left"/>
    </xf>
    <xf numFmtId="49" fontId="2" fillId="0" borderId="0" xfId="0" applyNumberFormat="1" applyFont="1" applyAlignment="1">
      <alignment horizontal="right"/>
    </xf>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xf>
    <xf numFmtId="0" fontId="0" fillId="0" borderId="0" xfId="0" applyAlignment="1">
      <alignment horizontal="left"/>
    </xf>
    <xf numFmtId="0" fontId="11" fillId="0" borderId="0" xfId="0" applyFont="1" applyAlignment="1">
      <alignment horizontal="left"/>
    </xf>
    <xf numFmtId="0" fontId="7" fillId="0" borderId="0" xfId="0" applyFont="1"/>
    <xf numFmtId="0" fontId="7" fillId="0" borderId="0" xfId="0" applyFont="1" applyAlignment="1">
      <alignment horizontal="left"/>
    </xf>
    <xf numFmtId="164" fontId="2" fillId="0" borderId="0" xfId="0" applyNumberFormat="1" applyFont="1" applyAlignment="1">
      <alignment horizontal="left"/>
    </xf>
    <xf numFmtId="0" fontId="4" fillId="0" borderId="0" xfId="0" applyFont="1" applyAlignment="1">
      <alignment horizontal="left"/>
    </xf>
    <xf numFmtId="0" fontId="12" fillId="0" borderId="0" xfId="0" applyFont="1" applyAlignment="1">
      <alignment horizontal="right"/>
    </xf>
    <xf numFmtId="3" fontId="2" fillId="0" borderId="0" xfId="0" applyNumberFormat="1" applyFont="1" applyAlignment="1">
      <alignment horizontal="right"/>
    </xf>
    <xf numFmtId="49" fontId="3" fillId="0" borderId="0" xfId="0" applyNumberFormat="1" applyFont="1" applyAlignment="1">
      <alignment horizontal="left"/>
    </xf>
    <xf numFmtId="49" fontId="0" fillId="0" borderId="0" xfId="0" applyNumberFormat="1"/>
    <xf numFmtId="0" fontId="6" fillId="0" borderId="6" xfId="1" applyBorder="1" applyAlignment="1">
      <alignment horizontal="center"/>
    </xf>
    <xf numFmtId="0" fontId="6" fillId="0" borderId="0" xfId="1" applyBorder="1" applyAlignment="1">
      <alignment horizontal="center"/>
    </xf>
    <xf numFmtId="0" fontId="6" fillId="0" borderId="7" xfId="1" applyBorder="1" applyAlignment="1">
      <alignment horizontal="center"/>
    </xf>
    <xf numFmtId="0" fontId="8" fillId="0" borderId="6" xfId="0"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0" fillId="0" borderId="6"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8" fillId="0" borderId="3" xfId="0" applyFont="1" applyBorder="1" applyAlignment="1">
      <alignment horizontal="center" wrapText="1"/>
    </xf>
    <xf numFmtId="0" fontId="8" fillId="0" borderId="4" xfId="0" applyFont="1" applyBorder="1" applyAlignment="1">
      <alignment horizontal="center" wrapText="1"/>
    </xf>
    <xf numFmtId="0" fontId="8" fillId="0" borderId="5" xfId="0" applyFont="1" applyBorder="1" applyAlignment="1">
      <alignment horizontal="center" wrapText="1"/>
    </xf>
    <xf numFmtId="0" fontId="9" fillId="0" borderId="6" xfId="0" applyFont="1" applyBorder="1" applyAlignment="1">
      <alignment horizontal="center" vertical="center" wrapText="1"/>
    </xf>
    <xf numFmtId="0" fontId="0" fillId="0" borderId="0" xfId="0" applyBorder="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6" xfId="0" applyFont="1" applyBorder="1"/>
    <xf numFmtId="0" fontId="0" fillId="0" borderId="7" xfId="0" applyBorder="1" applyAlignment="1">
      <alignment horizontal="left"/>
    </xf>
    <xf numFmtId="0" fontId="0" fillId="0" borderId="0" xfId="0" applyBorder="1" applyAlignment="1">
      <alignment horizontal="left"/>
    </xf>
    <xf numFmtId="0" fontId="7" fillId="0" borderId="0" xfId="0" applyFont="1" applyBorder="1" applyAlignment="1">
      <alignment horizontal="left"/>
    </xf>
    <xf numFmtId="0" fontId="8" fillId="0" borderId="8" xfId="0" applyFont="1" applyBorder="1" applyAlignment="1">
      <alignment wrapText="1"/>
    </xf>
    <xf numFmtId="0" fontId="7" fillId="0" borderId="9" xfId="0" applyFont="1"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2" fillId="0" borderId="0" xfId="0" applyNumberFormat="1" applyFont="1"/>
    <xf numFmtId="0" fontId="2" fillId="0" borderId="0" xfId="0" applyNumberFormat="1" applyFont="1" applyAlignment="1">
      <alignment horizontal="right"/>
    </xf>
    <xf numFmtId="0" fontId="5" fillId="0" borderId="2" xfId="0" applyNumberFormat="1" applyFont="1" applyBorder="1"/>
    <xf numFmtId="0" fontId="5" fillId="0" borderId="0" xfId="0" applyNumberFormat="1" applyFont="1"/>
    <xf numFmtId="0" fontId="0" fillId="0" borderId="0" xfId="0" applyNumberFormat="1"/>
    <xf numFmtId="0" fontId="2" fillId="0" borderId="0" xfId="0" applyNumberFormat="1" applyFont="1" applyAlignment="1">
      <alignment horizontal="left"/>
    </xf>
    <xf numFmtId="0" fontId="5" fillId="0" borderId="1" xfId="0" applyFont="1" applyBorder="1" applyAlignment="1">
      <alignment horizontal="left"/>
    </xf>
    <xf numFmtId="0" fontId="1" fillId="0" borderId="11" xfId="0" applyFont="1" applyBorder="1" applyAlignment="1">
      <alignment horizontal="center"/>
    </xf>
    <xf numFmtId="0" fontId="0" fillId="0" borderId="12" xfId="0" applyBorder="1"/>
    <xf numFmtId="0" fontId="0" fillId="0" borderId="13" xfId="0" applyBorder="1"/>
  </cellXfs>
  <cellStyles count="3">
    <cellStyle name="Hyperlink" xfId="1" builtinId="8"/>
    <cellStyle name="Normal" xfId="0" builtinId="0"/>
    <cellStyle name="Normal 2" xfId="2" xr:uid="{5B8A4A27-CA77-498E-875A-1F82216693B1}"/>
  </cellStyles>
  <dxfs count="87">
    <dxf>
      <alignment horizontal="left" vertical="bottom" textRotation="0" wrapText="0" indent="0" justifyLastLine="0" shrinkToFit="0" readingOrder="0"/>
    </dxf>
    <dxf>
      <numFmt numFmtId="0" formatCode="General"/>
    </dxf>
    <dxf>
      <numFmt numFmtId="0" formatCode="General"/>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0" formatCode="@"/>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0" formatCode="@"/>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righ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D075BC0B-5EC1-462F-AE63-A3371A1F0EE9}">
      <tableStyleElement type="wholeTable" dxfId="86"/>
      <tableStyleElement type="headerRow" dxfId="85"/>
      <tableStyleElement type="firstRowStripe" dxfId="84"/>
      <tableStyleElement type="secondRowStripe" dxfId="8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East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13.2. Regions XmR charts'!$C$1</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13.2. Regions XmR charts'!$B$2:$B$13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charts'!$C$2:$C$13</c:f>
              <c:numCache>
                <c:formatCode>General</c:formatCode>
                <c:ptCount val="12"/>
                <c:pt idx="0">
                  <c:v>10.7</c:v>
                </c:pt>
                <c:pt idx="1">
                  <c:v>13</c:v>
                </c:pt>
                <c:pt idx="2">
                  <c:v>11.4</c:v>
                </c:pt>
                <c:pt idx="3">
                  <c:v>11.5</c:v>
                </c:pt>
                <c:pt idx="4">
                  <c:v>12.5</c:v>
                </c:pt>
                <c:pt idx="5">
                  <c:v>14.1</c:v>
                </c:pt>
                <c:pt idx="6">
                  <c:v>14.8</c:v>
                </c:pt>
                <c:pt idx="7">
                  <c:v>14.1</c:v>
                </c:pt>
                <c:pt idx="8">
                  <c:v>12.6</c:v>
                </c:pt>
                <c:pt idx="9">
                  <c:v>16</c:v>
                </c:pt>
                <c:pt idx="10">
                  <c:v>11.7</c:v>
                </c:pt>
                <c:pt idx="11">
                  <c:v>10.6</c:v>
                </c:pt>
              </c:numCache>
            </c:numRef>
          </c:val>
          <c:smooth val="0"/>
          <c:extLst>
            <c:ext xmlns:c16="http://schemas.microsoft.com/office/drawing/2014/chart" uri="{C3380CC4-5D6E-409C-BE32-E72D297353CC}">
              <c16:uniqueId val="{00000000-329B-41D6-8340-43856FD2F6C5}"/>
            </c:ext>
          </c:extLst>
        </c:ser>
        <c:ser>
          <c:idx val="1"/>
          <c:order val="1"/>
          <c:tx>
            <c:strRef>
              <c:f>'Fig 13.2. Regions XmR charts'!$D$1</c:f>
              <c:strCache>
                <c:ptCount val="1"/>
                <c:pt idx="0">
                  <c:v>Mean</c:v>
                </c:pt>
              </c:strCache>
            </c:strRef>
          </c:tx>
          <c:spPr>
            <a:ln w="28575" cap="rnd">
              <a:solidFill>
                <a:schemeClr val="tx1"/>
              </a:solidFill>
              <a:round/>
            </a:ln>
            <a:effectLst/>
          </c:spPr>
          <c:marker>
            <c:symbol val="none"/>
          </c:marker>
          <c:cat>
            <c:strRef>
              <c:f>'Fig 13.2. Regions XmR charts'!$B$2:$B$13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charts'!$D$2:$D$13</c:f>
              <c:numCache>
                <c:formatCode>General</c:formatCode>
                <c:ptCount val="12"/>
                <c:pt idx="0">
                  <c:v>12.8</c:v>
                </c:pt>
                <c:pt idx="1">
                  <c:v>12.8</c:v>
                </c:pt>
                <c:pt idx="2">
                  <c:v>12.8</c:v>
                </c:pt>
                <c:pt idx="3">
                  <c:v>12.8</c:v>
                </c:pt>
                <c:pt idx="4">
                  <c:v>12.8</c:v>
                </c:pt>
                <c:pt idx="5">
                  <c:v>12.8</c:v>
                </c:pt>
                <c:pt idx="6">
                  <c:v>12.8</c:v>
                </c:pt>
                <c:pt idx="7">
                  <c:v>12.8</c:v>
                </c:pt>
                <c:pt idx="8">
                  <c:v>12.8</c:v>
                </c:pt>
                <c:pt idx="9">
                  <c:v>12.8</c:v>
                </c:pt>
                <c:pt idx="10">
                  <c:v>12.8</c:v>
                </c:pt>
                <c:pt idx="11">
                  <c:v>12.8</c:v>
                </c:pt>
              </c:numCache>
            </c:numRef>
          </c:val>
          <c:smooth val="0"/>
          <c:extLst>
            <c:ext xmlns:c16="http://schemas.microsoft.com/office/drawing/2014/chart" uri="{C3380CC4-5D6E-409C-BE32-E72D297353CC}">
              <c16:uniqueId val="{00000001-329B-41D6-8340-43856FD2F6C5}"/>
            </c:ext>
          </c:extLst>
        </c:ser>
        <c:ser>
          <c:idx val="2"/>
          <c:order val="2"/>
          <c:tx>
            <c:strRef>
              <c:f>'Fig 13.2. Regions XmR charts'!$E$1</c:f>
              <c:strCache>
                <c:ptCount val="1"/>
                <c:pt idx="0">
                  <c:v>UPL</c:v>
                </c:pt>
              </c:strCache>
            </c:strRef>
          </c:tx>
          <c:spPr>
            <a:ln w="28575" cap="rnd">
              <a:solidFill>
                <a:srgbClr val="D72323"/>
              </a:solidFill>
              <a:prstDash val="dash"/>
              <a:round/>
            </a:ln>
            <a:effectLst/>
          </c:spPr>
          <c:marker>
            <c:symbol val="none"/>
          </c:marker>
          <c:cat>
            <c:strRef>
              <c:f>'Fig 13.2. Regions XmR charts'!$B$2:$B$13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charts'!$E$2:$E$13</c:f>
              <c:numCache>
                <c:formatCode>General</c:formatCode>
                <c:ptCount val="12"/>
                <c:pt idx="0">
                  <c:v>17.3</c:v>
                </c:pt>
                <c:pt idx="1">
                  <c:v>17.3</c:v>
                </c:pt>
                <c:pt idx="2">
                  <c:v>17.3</c:v>
                </c:pt>
                <c:pt idx="3">
                  <c:v>17.3</c:v>
                </c:pt>
                <c:pt idx="4">
                  <c:v>17.3</c:v>
                </c:pt>
                <c:pt idx="5">
                  <c:v>17.3</c:v>
                </c:pt>
                <c:pt idx="6">
                  <c:v>17.3</c:v>
                </c:pt>
                <c:pt idx="7">
                  <c:v>17.3</c:v>
                </c:pt>
                <c:pt idx="8">
                  <c:v>17.3</c:v>
                </c:pt>
                <c:pt idx="9">
                  <c:v>17.3</c:v>
                </c:pt>
                <c:pt idx="10">
                  <c:v>17.3</c:v>
                </c:pt>
                <c:pt idx="11">
                  <c:v>17.3</c:v>
                </c:pt>
              </c:numCache>
            </c:numRef>
          </c:val>
          <c:smooth val="0"/>
          <c:extLst>
            <c:ext xmlns:c16="http://schemas.microsoft.com/office/drawing/2014/chart" uri="{C3380CC4-5D6E-409C-BE32-E72D297353CC}">
              <c16:uniqueId val="{00000002-329B-41D6-8340-43856FD2F6C5}"/>
            </c:ext>
          </c:extLst>
        </c:ser>
        <c:ser>
          <c:idx val="3"/>
          <c:order val="3"/>
          <c:tx>
            <c:strRef>
              <c:f>'Fig 13.2. Regions XmR charts'!$F$1</c:f>
              <c:strCache>
                <c:ptCount val="1"/>
                <c:pt idx="0">
                  <c:v>LPL</c:v>
                </c:pt>
              </c:strCache>
            </c:strRef>
          </c:tx>
          <c:spPr>
            <a:ln w="28575" cap="rnd">
              <a:solidFill>
                <a:srgbClr val="D72323"/>
              </a:solidFill>
              <a:prstDash val="dash"/>
              <a:round/>
            </a:ln>
            <a:effectLst/>
          </c:spPr>
          <c:marker>
            <c:symbol val="none"/>
          </c:marker>
          <c:cat>
            <c:strRef>
              <c:f>'Fig 13.2. Regions XmR charts'!$B$2:$B$13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charts'!$F$2:$F$13</c:f>
              <c:numCache>
                <c:formatCode>General</c:formatCode>
                <c:ptCount val="12"/>
                <c:pt idx="0">
                  <c:v>8.3000000000000007</c:v>
                </c:pt>
                <c:pt idx="1">
                  <c:v>8.3000000000000007</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West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13.2. Regions XmR charts'!$C$15</c:f>
              <c:strCache>
                <c:ptCount val="1"/>
                <c:pt idx="0">
                  <c:v>Sales</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13.2. Regions XmR charts'!$B$16:$B$27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charts'!$C$16:$C$27</c:f>
              <c:numCache>
                <c:formatCode>General</c:formatCode>
                <c:ptCount val="12"/>
                <c:pt idx="0">
                  <c:v>6.9</c:v>
                </c:pt>
                <c:pt idx="1">
                  <c:v>11.3</c:v>
                </c:pt>
                <c:pt idx="2">
                  <c:v>9.3000000000000007</c:v>
                </c:pt>
                <c:pt idx="3">
                  <c:v>9.8000000000000007</c:v>
                </c:pt>
                <c:pt idx="4">
                  <c:v>18.7</c:v>
                </c:pt>
                <c:pt idx="5">
                  <c:v>12.6</c:v>
                </c:pt>
                <c:pt idx="6">
                  <c:v>11.6</c:v>
                </c:pt>
                <c:pt idx="7">
                  <c:v>9.1</c:v>
                </c:pt>
                <c:pt idx="8">
                  <c:v>10.8</c:v>
                </c:pt>
                <c:pt idx="9">
                  <c:v>9.6</c:v>
                </c:pt>
                <c:pt idx="10">
                  <c:v>11.7</c:v>
                </c:pt>
                <c:pt idx="11">
                  <c:v>10.1</c:v>
                </c:pt>
              </c:numCache>
            </c:numRef>
          </c:val>
          <c:smooth val="0"/>
          <c:extLst>
            <c:ext xmlns:c16="http://schemas.microsoft.com/office/drawing/2014/chart" uri="{C3380CC4-5D6E-409C-BE32-E72D297353CC}">
              <c16:uniqueId val="{00000000-329B-41D6-8340-43856FD2F6C5}"/>
            </c:ext>
          </c:extLst>
        </c:ser>
        <c:ser>
          <c:idx val="1"/>
          <c:order val="1"/>
          <c:tx>
            <c:strRef>
              <c:f>'Fig 13.2. Regions XmR charts'!$D$15</c:f>
              <c:strCache>
                <c:ptCount val="1"/>
                <c:pt idx="0">
                  <c:v>Mean</c:v>
                </c:pt>
              </c:strCache>
            </c:strRef>
          </c:tx>
          <c:spPr>
            <a:ln w="28575" cap="rnd">
              <a:solidFill>
                <a:schemeClr val="tx1"/>
              </a:solidFill>
              <a:round/>
            </a:ln>
            <a:effectLst/>
          </c:spPr>
          <c:marker>
            <c:symbol val="none"/>
          </c:marker>
          <c:cat>
            <c:strRef>
              <c:f>'Fig 13.2. Regions XmR charts'!$B$16:$B$27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charts'!$D$16:$D$27</c:f>
              <c:numCache>
                <c:formatCode>General</c:formatCode>
                <c:ptCount val="12"/>
                <c:pt idx="0">
                  <c:v>11</c:v>
                </c:pt>
                <c:pt idx="1">
                  <c:v>11</c:v>
                </c:pt>
                <c:pt idx="2">
                  <c:v>11</c:v>
                </c:pt>
                <c:pt idx="3">
                  <c:v>11</c:v>
                </c:pt>
                <c:pt idx="4">
                  <c:v>11</c:v>
                </c:pt>
                <c:pt idx="5">
                  <c:v>11</c:v>
                </c:pt>
                <c:pt idx="6">
                  <c:v>11</c:v>
                </c:pt>
                <c:pt idx="7">
                  <c:v>11</c:v>
                </c:pt>
                <c:pt idx="8">
                  <c:v>11</c:v>
                </c:pt>
                <c:pt idx="9">
                  <c:v>11</c:v>
                </c:pt>
                <c:pt idx="10">
                  <c:v>11</c:v>
                </c:pt>
                <c:pt idx="11">
                  <c:v>11</c:v>
                </c:pt>
              </c:numCache>
            </c:numRef>
          </c:val>
          <c:smooth val="0"/>
          <c:extLst>
            <c:ext xmlns:c16="http://schemas.microsoft.com/office/drawing/2014/chart" uri="{C3380CC4-5D6E-409C-BE32-E72D297353CC}">
              <c16:uniqueId val="{00000001-329B-41D6-8340-43856FD2F6C5}"/>
            </c:ext>
          </c:extLst>
        </c:ser>
        <c:ser>
          <c:idx val="2"/>
          <c:order val="2"/>
          <c:tx>
            <c:strRef>
              <c:f>'Fig 13.2. Regions XmR charts'!$E$15</c:f>
              <c:strCache>
                <c:ptCount val="1"/>
                <c:pt idx="0">
                  <c:v>UPL</c:v>
                </c:pt>
              </c:strCache>
            </c:strRef>
          </c:tx>
          <c:spPr>
            <a:ln w="28575" cap="rnd">
              <a:solidFill>
                <a:srgbClr val="D72323"/>
              </a:solidFill>
              <a:prstDash val="dash"/>
              <a:round/>
            </a:ln>
            <a:effectLst/>
          </c:spPr>
          <c:marker>
            <c:symbol val="none"/>
          </c:marker>
          <c:cat>
            <c:strRef>
              <c:f>'Fig 13.2. Regions XmR charts'!$B$16:$B$27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charts'!$E$16:$E$27</c:f>
              <c:numCache>
                <c:formatCode>General</c:formatCode>
                <c:ptCount val="12"/>
                <c:pt idx="0">
                  <c:v>18.7</c:v>
                </c:pt>
                <c:pt idx="1">
                  <c:v>18.7</c:v>
                </c:pt>
                <c:pt idx="2">
                  <c:v>18.7</c:v>
                </c:pt>
                <c:pt idx="3">
                  <c:v>18.7</c:v>
                </c:pt>
                <c:pt idx="4">
                  <c:v>18.7</c:v>
                </c:pt>
                <c:pt idx="5">
                  <c:v>18.7</c:v>
                </c:pt>
                <c:pt idx="6">
                  <c:v>18.7</c:v>
                </c:pt>
                <c:pt idx="7">
                  <c:v>18.7</c:v>
                </c:pt>
                <c:pt idx="8">
                  <c:v>18.7</c:v>
                </c:pt>
                <c:pt idx="9">
                  <c:v>18.7</c:v>
                </c:pt>
                <c:pt idx="10">
                  <c:v>18.7</c:v>
                </c:pt>
                <c:pt idx="11">
                  <c:v>18.7</c:v>
                </c:pt>
              </c:numCache>
            </c:numRef>
          </c:val>
          <c:smooth val="0"/>
          <c:extLst>
            <c:ext xmlns:c16="http://schemas.microsoft.com/office/drawing/2014/chart" uri="{C3380CC4-5D6E-409C-BE32-E72D297353CC}">
              <c16:uniqueId val="{00000002-329B-41D6-8340-43856FD2F6C5}"/>
            </c:ext>
          </c:extLst>
        </c:ser>
        <c:ser>
          <c:idx val="3"/>
          <c:order val="3"/>
          <c:tx>
            <c:strRef>
              <c:f>'Fig 13.2. Regions XmR charts'!$F$15</c:f>
              <c:strCache>
                <c:ptCount val="1"/>
                <c:pt idx="0">
                  <c:v>LPL</c:v>
                </c:pt>
              </c:strCache>
            </c:strRef>
          </c:tx>
          <c:spPr>
            <a:ln w="28575" cap="rnd">
              <a:solidFill>
                <a:srgbClr val="D72323"/>
              </a:solidFill>
              <a:prstDash val="dash"/>
              <a:round/>
            </a:ln>
            <a:effectLst/>
          </c:spPr>
          <c:marker>
            <c:symbol val="none"/>
          </c:marker>
          <c:cat>
            <c:strRef>
              <c:f>'Fig 13.2. Regions XmR charts'!$B$16:$B$27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'Fig 13.2. Regions XmR charts'!$F$16:$F$27</c:f>
              <c:numCache>
                <c:formatCode>General</c:formatCode>
                <c:ptCount val="12"/>
                <c:pt idx="0">
                  <c:v>3.3</c:v>
                </c:pt>
                <c:pt idx="1">
                  <c:v>3.3</c:v>
                </c:pt>
                <c:pt idx="2">
                  <c:v>3.3</c:v>
                </c:pt>
                <c:pt idx="3">
                  <c:v>3.3</c:v>
                </c:pt>
                <c:pt idx="4">
                  <c:v>3.3</c:v>
                </c:pt>
                <c:pt idx="5">
                  <c:v>3.3</c:v>
                </c:pt>
                <c:pt idx="6">
                  <c:v>3.3</c:v>
                </c:pt>
                <c:pt idx="7">
                  <c:v>3.3</c:v>
                </c:pt>
                <c:pt idx="8">
                  <c:v>3.3</c:v>
                </c:pt>
                <c:pt idx="9">
                  <c:v>3.3</c:v>
                </c:pt>
                <c:pt idx="10">
                  <c:v>3.3</c:v>
                </c:pt>
                <c:pt idx="11">
                  <c:v>3.3</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13.2. Regions XmR charts'!$G$1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13.2. Regions XmR charts'!$G$2:$G$13</c:f>
              <c:numCache>
                <c:formatCode>General</c:formatCode>
                <c:ptCount val="12"/>
                <c:pt idx="1">
                  <c:v>2.2999999999999998</c:v>
                </c:pt>
                <c:pt idx="2">
                  <c:v>1.6</c:v>
                </c:pt>
                <c:pt idx="3">
                  <c:v>0.1</c:v>
                </c:pt>
                <c:pt idx="4">
                  <c:v>1</c:v>
                </c:pt>
                <c:pt idx="5">
                  <c:v>1.6</c:v>
                </c:pt>
                <c:pt idx="6">
                  <c:v>0.7</c:v>
                </c:pt>
                <c:pt idx="7">
                  <c:v>0.7</c:v>
                </c:pt>
                <c:pt idx="8">
                  <c:v>1.5</c:v>
                </c:pt>
                <c:pt idx="9">
                  <c:v>3.4</c:v>
                </c:pt>
                <c:pt idx="10">
                  <c:v>4.3</c:v>
                </c:pt>
                <c:pt idx="11">
                  <c:v>1.1000000000000001</c:v>
                </c:pt>
              </c:numCache>
            </c:numRef>
          </c:val>
          <c:smooth val="0"/>
          <c:extLst>
            <c:ext xmlns:c16="http://schemas.microsoft.com/office/drawing/2014/chart" uri="{C3380CC4-5D6E-409C-BE32-E72D297353CC}">
              <c16:uniqueId val="{00000000-5D18-47FA-93F7-2AB89D044415}"/>
            </c:ext>
          </c:extLst>
        </c:ser>
        <c:ser>
          <c:idx val="1"/>
          <c:order val="1"/>
          <c:tx>
            <c:strRef>
              <c:f>'Fig 13.2. Regions XmR charts'!$H$1</c:f>
              <c:strCache>
                <c:ptCount val="1"/>
                <c:pt idx="0">
                  <c:v>Ave. mR</c:v>
                </c:pt>
              </c:strCache>
            </c:strRef>
          </c:tx>
          <c:spPr>
            <a:ln w="28575" cap="rnd">
              <a:solidFill>
                <a:schemeClr val="tx1"/>
              </a:solidFill>
              <a:round/>
            </a:ln>
            <a:effectLst/>
          </c:spPr>
          <c:marker>
            <c:symbol val="none"/>
          </c:marker>
          <c:val>
            <c:numRef>
              <c:f>'Fig 13.2. Regions XmR charts'!$H$2:$H$13</c:f>
              <c:numCache>
                <c:formatCode>General</c:formatCode>
                <c:ptCount val="12"/>
                <c:pt idx="0">
                  <c:v>1.7</c:v>
                </c:pt>
                <c:pt idx="1">
                  <c:v>1.7</c:v>
                </c:pt>
                <c:pt idx="2">
                  <c:v>1.7</c:v>
                </c:pt>
                <c:pt idx="3">
                  <c:v>1.7</c:v>
                </c:pt>
                <c:pt idx="4">
                  <c:v>1.7</c:v>
                </c:pt>
                <c:pt idx="5">
                  <c:v>1.7</c:v>
                </c:pt>
                <c:pt idx="6">
                  <c:v>1.7</c:v>
                </c:pt>
                <c:pt idx="7">
                  <c:v>1.7</c:v>
                </c:pt>
                <c:pt idx="8">
                  <c:v>1.7</c:v>
                </c:pt>
                <c:pt idx="9">
                  <c:v>1.7</c:v>
                </c:pt>
                <c:pt idx="10">
                  <c:v>1.7</c:v>
                </c:pt>
                <c:pt idx="11">
                  <c:v>1.7</c:v>
                </c:pt>
              </c:numCache>
            </c:numRef>
          </c:val>
          <c:smooth val="0"/>
          <c:extLst>
            <c:ext xmlns:c16="http://schemas.microsoft.com/office/drawing/2014/chart" uri="{C3380CC4-5D6E-409C-BE32-E72D297353CC}">
              <c16:uniqueId val="{00000001-5D18-47FA-93F7-2AB89D044415}"/>
            </c:ext>
          </c:extLst>
        </c:ser>
        <c:ser>
          <c:idx val="2"/>
          <c:order val="2"/>
          <c:tx>
            <c:strRef>
              <c:f>'Fig 13.2. Regions XmR charts'!$I$1</c:f>
              <c:strCache>
                <c:ptCount val="1"/>
                <c:pt idx="0">
                  <c:v> URL</c:v>
                </c:pt>
              </c:strCache>
            </c:strRef>
          </c:tx>
          <c:spPr>
            <a:ln w="28575" cap="rnd">
              <a:solidFill>
                <a:srgbClr val="D72323"/>
              </a:solidFill>
              <a:prstDash val="dash"/>
              <a:round/>
            </a:ln>
            <a:effectLst/>
          </c:spPr>
          <c:marker>
            <c:symbol val="none"/>
          </c:marker>
          <c:val>
            <c:numRef>
              <c:f>'Fig 13.2. Regions XmR charts'!$I$2:$I$13</c:f>
              <c:numCache>
                <c:formatCode>General</c:formatCode>
                <c:ptCount val="12"/>
                <c:pt idx="0">
                  <c:v>5.6</c:v>
                </c:pt>
                <c:pt idx="1">
                  <c:v>5.6</c:v>
                </c:pt>
                <c:pt idx="2">
                  <c:v>5.6</c:v>
                </c:pt>
                <c:pt idx="3">
                  <c:v>5.6</c:v>
                </c:pt>
                <c:pt idx="4">
                  <c:v>5.6</c:v>
                </c:pt>
                <c:pt idx="5">
                  <c:v>5.6</c:v>
                </c:pt>
                <c:pt idx="6">
                  <c:v>5.6</c:v>
                </c:pt>
                <c:pt idx="7">
                  <c:v>5.6</c:v>
                </c:pt>
                <c:pt idx="8">
                  <c:v>5.6</c:v>
                </c:pt>
                <c:pt idx="9">
                  <c:v>5.6</c:v>
                </c:pt>
                <c:pt idx="10">
                  <c:v>5.6</c:v>
                </c:pt>
                <c:pt idx="11">
                  <c:v>5.6</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max val="1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13.2. Regions XmR charts'!$G$15</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13.2. Regions XmR charts'!$G$16:$G$27</c:f>
              <c:numCache>
                <c:formatCode>General</c:formatCode>
                <c:ptCount val="12"/>
                <c:pt idx="1">
                  <c:v>4.4000000000000004</c:v>
                </c:pt>
                <c:pt idx="2">
                  <c:v>2</c:v>
                </c:pt>
                <c:pt idx="3">
                  <c:v>0.5</c:v>
                </c:pt>
                <c:pt idx="4">
                  <c:v>8.9</c:v>
                </c:pt>
                <c:pt idx="5">
                  <c:v>6.1</c:v>
                </c:pt>
                <c:pt idx="6">
                  <c:v>1</c:v>
                </c:pt>
                <c:pt idx="7">
                  <c:v>2.5</c:v>
                </c:pt>
                <c:pt idx="8">
                  <c:v>1.7</c:v>
                </c:pt>
                <c:pt idx="9">
                  <c:v>1.2</c:v>
                </c:pt>
                <c:pt idx="10">
                  <c:v>2.1</c:v>
                </c:pt>
                <c:pt idx="11">
                  <c:v>1.6</c:v>
                </c:pt>
              </c:numCache>
            </c:numRef>
          </c:val>
          <c:smooth val="0"/>
          <c:extLst>
            <c:ext xmlns:c16="http://schemas.microsoft.com/office/drawing/2014/chart" uri="{C3380CC4-5D6E-409C-BE32-E72D297353CC}">
              <c16:uniqueId val="{00000000-5D18-47FA-93F7-2AB89D044415}"/>
            </c:ext>
          </c:extLst>
        </c:ser>
        <c:ser>
          <c:idx val="1"/>
          <c:order val="1"/>
          <c:tx>
            <c:strRef>
              <c:f>'Fig 13.2. Regions XmR charts'!$H$15</c:f>
              <c:strCache>
                <c:ptCount val="1"/>
                <c:pt idx="0">
                  <c:v>Ave. mR</c:v>
                </c:pt>
              </c:strCache>
            </c:strRef>
          </c:tx>
          <c:spPr>
            <a:ln w="28575" cap="rnd">
              <a:solidFill>
                <a:schemeClr val="tx1"/>
              </a:solidFill>
              <a:round/>
            </a:ln>
            <a:effectLst/>
          </c:spPr>
          <c:marker>
            <c:symbol val="none"/>
          </c:marker>
          <c:val>
            <c:numRef>
              <c:f>'Fig 13.2. Regions XmR charts'!$H$16:$H$27</c:f>
              <c:numCache>
                <c:formatCode>General</c:formatCode>
                <c:ptCount val="12"/>
                <c:pt idx="0">
                  <c:v>2.9</c:v>
                </c:pt>
                <c:pt idx="1">
                  <c:v>2.9</c:v>
                </c:pt>
                <c:pt idx="2">
                  <c:v>2.9</c:v>
                </c:pt>
                <c:pt idx="3">
                  <c:v>2.9</c:v>
                </c:pt>
                <c:pt idx="4">
                  <c:v>2.9</c:v>
                </c:pt>
                <c:pt idx="5">
                  <c:v>2.9</c:v>
                </c:pt>
                <c:pt idx="6">
                  <c:v>2.9</c:v>
                </c:pt>
                <c:pt idx="7">
                  <c:v>2.9</c:v>
                </c:pt>
                <c:pt idx="8">
                  <c:v>2.9</c:v>
                </c:pt>
                <c:pt idx="9">
                  <c:v>2.9</c:v>
                </c:pt>
                <c:pt idx="10">
                  <c:v>2.9</c:v>
                </c:pt>
                <c:pt idx="11">
                  <c:v>2.9</c:v>
                </c:pt>
              </c:numCache>
            </c:numRef>
          </c:val>
          <c:smooth val="0"/>
          <c:extLst>
            <c:ext xmlns:c16="http://schemas.microsoft.com/office/drawing/2014/chart" uri="{C3380CC4-5D6E-409C-BE32-E72D297353CC}">
              <c16:uniqueId val="{00000001-5D18-47FA-93F7-2AB89D044415}"/>
            </c:ext>
          </c:extLst>
        </c:ser>
        <c:ser>
          <c:idx val="2"/>
          <c:order val="2"/>
          <c:tx>
            <c:strRef>
              <c:f>'Fig 13.2. Regions XmR charts'!$I$15</c:f>
              <c:strCache>
                <c:ptCount val="1"/>
                <c:pt idx="0">
                  <c:v>URL</c:v>
                </c:pt>
              </c:strCache>
            </c:strRef>
          </c:tx>
          <c:spPr>
            <a:ln w="28575" cap="rnd">
              <a:solidFill>
                <a:srgbClr val="D72323"/>
              </a:solidFill>
              <a:prstDash val="dash"/>
              <a:round/>
            </a:ln>
            <a:effectLst/>
          </c:spPr>
          <c:marker>
            <c:symbol val="none"/>
          </c:marker>
          <c:val>
            <c:numRef>
              <c:f>'Fig 13.2. Regions XmR charts'!$I$16:$I$27</c:f>
              <c:numCache>
                <c:formatCode>General</c:formatCode>
                <c:ptCount val="12"/>
                <c:pt idx="0">
                  <c:v>9.5</c:v>
                </c:pt>
                <c:pt idx="1">
                  <c:v>9.5</c:v>
                </c:pt>
                <c:pt idx="2">
                  <c:v>9.5</c:v>
                </c:pt>
                <c:pt idx="3">
                  <c:v>9.5</c:v>
                </c:pt>
                <c:pt idx="4">
                  <c:v>9.5</c:v>
                </c:pt>
                <c:pt idx="5">
                  <c:v>9.5</c:v>
                </c:pt>
                <c:pt idx="6">
                  <c:v>9.5</c:v>
                </c:pt>
                <c:pt idx="7">
                  <c:v>9.5</c:v>
                </c:pt>
                <c:pt idx="8">
                  <c:v>9.5</c:v>
                </c:pt>
                <c:pt idx="9">
                  <c:v>9.5</c:v>
                </c:pt>
                <c:pt idx="10">
                  <c:v>9.5</c:v>
                </c:pt>
                <c:pt idx="11">
                  <c:v>9.5</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 unpredictable process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13.5. Two types of process'!$C$1</c:f>
              <c:strCache>
                <c:ptCount val="1"/>
                <c:pt idx="0">
                  <c:v>HR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13.5. Two types of process'!$C$2:$C$23</c:f>
              <c:numCache>
                <c:formatCode>General</c:formatCode>
                <c:ptCount val="22"/>
                <c:pt idx="0">
                  <c:v>16</c:v>
                </c:pt>
                <c:pt idx="1">
                  <c:v>25</c:v>
                </c:pt>
                <c:pt idx="2">
                  <c:v>24</c:v>
                </c:pt>
                <c:pt idx="3">
                  <c:v>19</c:v>
                </c:pt>
                <c:pt idx="4">
                  <c:v>33</c:v>
                </c:pt>
                <c:pt idx="5">
                  <c:v>25</c:v>
                </c:pt>
                <c:pt idx="6">
                  <c:v>34</c:v>
                </c:pt>
                <c:pt idx="7">
                  <c:v>46</c:v>
                </c:pt>
                <c:pt idx="8">
                  <c:v>37</c:v>
                </c:pt>
                <c:pt idx="9">
                  <c:v>33</c:v>
                </c:pt>
                <c:pt idx="10">
                  <c:v>42</c:v>
                </c:pt>
                <c:pt idx="11">
                  <c:v>40</c:v>
                </c:pt>
                <c:pt idx="12">
                  <c:v>37</c:v>
                </c:pt>
                <c:pt idx="13">
                  <c:v>34</c:v>
                </c:pt>
                <c:pt idx="14">
                  <c:v>49</c:v>
                </c:pt>
                <c:pt idx="15">
                  <c:v>73</c:v>
                </c:pt>
                <c:pt idx="16">
                  <c:v>46</c:v>
                </c:pt>
                <c:pt idx="17">
                  <c:v>45</c:v>
                </c:pt>
                <c:pt idx="18">
                  <c:v>45</c:v>
                </c:pt>
                <c:pt idx="19">
                  <c:v>5</c:v>
                </c:pt>
                <c:pt idx="20">
                  <c:v>26</c:v>
                </c:pt>
                <c:pt idx="21">
                  <c:v>28</c:v>
                </c:pt>
              </c:numCache>
            </c:numRef>
          </c:val>
          <c:smooth val="0"/>
          <c:extLst>
            <c:ext xmlns:c16="http://schemas.microsoft.com/office/drawing/2014/chart" uri="{C3380CC4-5D6E-409C-BE32-E72D297353CC}">
              <c16:uniqueId val="{00000000-329B-41D6-8340-43856FD2F6C5}"/>
            </c:ext>
          </c:extLst>
        </c:ser>
        <c:ser>
          <c:idx val="1"/>
          <c:order val="1"/>
          <c:tx>
            <c:strRef>
              <c:f>'Fig 13.5. Two types of process'!$D$1</c:f>
              <c:strCache>
                <c:ptCount val="1"/>
                <c:pt idx="0">
                  <c:v>Mean</c:v>
                </c:pt>
              </c:strCache>
            </c:strRef>
          </c:tx>
          <c:spPr>
            <a:ln w="28575" cap="rnd">
              <a:solidFill>
                <a:schemeClr val="tx1"/>
              </a:solidFill>
              <a:round/>
            </a:ln>
            <a:effectLst/>
          </c:spPr>
          <c:marker>
            <c:symbol val="none"/>
          </c:marker>
          <c:val>
            <c:numRef>
              <c:f>'Fig 13.5. Two types of process'!$D$2:$D$23</c:f>
              <c:numCache>
                <c:formatCode>General</c:formatCode>
                <c:ptCount val="22"/>
                <c:pt idx="0">
                  <c:v>34.6</c:v>
                </c:pt>
                <c:pt idx="1">
                  <c:v>34.6</c:v>
                </c:pt>
                <c:pt idx="2">
                  <c:v>34.6</c:v>
                </c:pt>
                <c:pt idx="3">
                  <c:v>34.6</c:v>
                </c:pt>
                <c:pt idx="4">
                  <c:v>34.6</c:v>
                </c:pt>
                <c:pt idx="5">
                  <c:v>34.6</c:v>
                </c:pt>
                <c:pt idx="6">
                  <c:v>34.6</c:v>
                </c:pt>
                <c:pt idx="7">
                  <c:v>34.6</c:v>
                </c:pt>
                <c:pt idx="8">
                  <c:v>34.6</c:v>
                </c:pt>
                <c:pt idx="9">
                  <c:v>34.6</c:v>
                </c:pt>
                <c:pt idx="10">
                  <c:v>34.6</c:v>
                </c:pt>
                <c:pt idx="11">
                  <c:v>34.6</c:v>
                </c:pt>
                <c:pt idx="12">
                  <c:v>34.6</c:v>
                </c:pt>
                <c:pt idx="13">
                  <c:v>34.6</c:v>
                </c:pt>
                <c:pt idx="14">
                  <c:v>34.6</c:v>
                </c:pt>
                <c:pt idx="15">
                  <c:v>34.6</c:v>
                </c:pt>
                <c:pt idx="16">
                  <c:v>34.6</c:v>
                </c:pt>
                <c:pt idx="17">
                  <c:v>34.6</c:v>
                </c:pt>
                <c:pt idx="18">
                  <c:v>34.6</c:v>
                </c:pt>
                <c:pt idx="19">
                  <c:v>34.6</c:v>
                </c:pt>
                <c:pt idx="20">
                  <c:v>34.6</c:v>
                </c:pt>
                <c:pt idx="21">
                  <c:v>34.6</c:v>
                </c:pt>
              </c:numCache>
            </c:numRef>
          </c:val>
          <c:smooth val="0"/>
          <c:extLst>
            <c:ext xmlns:c16="http://schemas.microsoft.com/office/drawing/2014/chart" uri="{C3380CC4-5D6E-409C-BE32-E72D297353CC}">
              <c16:uniqueId val="{00000001-329B-41D6-8340-43856FD2F6C5}"/>
            </c:ext>
          </c:extLst>
        </c:ser>
        <c:ser>
          <c:idx val="2"/>
          <c:order val="2"/>
          <c:tx>
            <c:strRef>
              <c:f>'Fig 13.5. Two types of process'!$E$1</c:f>
              <c:strCache>
                <c:ptCount val="1"/>
                <c:pt idx="0">
                  <c:v>UPL</c:v>
                </c:pt>
              </c:strCache>
            </c:strRef>
          </c:tx>
          <c:spPr>
            <a:ln w="28575" cap="rnd">
              <a:solidFill>
                <a:srgbClr val="D72323"/>
              </a:solidFill>
              <a:prstDash val="dash"/>
              <a:round/>
            </a:ln>
            <a:effectLst/>
          </c:spPr>
          <c:marker>
            <c:symbol val="none"/>
          </c:marker>
          <c:val>
            <c:numRef>
              <c:f>'Fig 13.5. Two types of process'!$E$2:$E$23</c:f>
              <c:numCache>
                <c:formatCode>General</c:formatCode>
                <c:ptCount val="22"/>
                <c:pt idx="0">
                  <c:v>62.3</c:v>
                </c:pt>
                <c:pt idx="1">
                  <c:v>62.3</c:v>
                </c:pt>
                <c:pt idx="2">
                  <c:v>62.3</c:v>
                </c:pt>
                <c:pt idx="3">
                  <c:v>62.3</c:v>
                </c:pt>
                <c:pt idx="4">
                  <c:v>62.3</c:v>
                </c:pt>
                <c:pt idx="5">
                  <c:v>62.3</c:v>
                </c:pt>
                <c:pt idx="6">
                  <c:v>62.3</c:v>
                </c:pt>
                <c:pt idx="7">
                  <c:v>62.3</c:v>
                </c:pt>
                <c:pt idx="8">
                  <c:v>62.3</c:v>
                </c:pt>
                <c:pt idx="9">
                  <c:v>62.3</c:v>
                </c:pt>
                <c:pt idx="10">
                  <c:v>62.3</c:v>
                </c:pt>
                <c:pt idx="11">
                  <c:v>62.3</c:v>
                </c:pt>
                <c:pt idx="12">
                  <c:v>62.3</c:v>
                </c:pt>
                <c:pt idx="13">
                  <c:v>62.3</c:v>
                </c:pt>
                <c:pt idx="14">
                  <c:v>62.3</c:v>
                </c:pt>
                <c:pt idx="15">
                  <c:v>62.3</c:v>
                </c:pt>
                <c:pt idx="16">
                  <c:v>62.3</c:v>
                </c:pt>
                <c:pt idx="17">
                  <c:v>62.3</c:v>
                </c:pt>
                <c:pt idx="18">
                  <c:v>62.3</c:v>
                </c:pt>
                <c:pt idx="19">
                  <c:v>62.3</c:v>
                </c:pt>
                <c:pt idx="20">
                  <c:v>62.3</c:v>
                </c:pt>
                <c:pt idx="21">
                  <c:v>62.3</c:v>
                </c:pt>
              </c:numCache>
            </c:numRef>
          </c:val>
          <c:smooth val="0"/>
          <c:extLst>
            <c:ext xmlns:c16="http://schemas.microsoft.com/office/drawing/2014/chart" uri="{C3380CC4-5D6E-409C-BE32-E72D297353CC}">
              <c16:uniqueId val="{00000002-329B-41D6-8340-43856FD2F6C5}"/>
            </c:ext>
          </c:extLst>
        </c:ser>
        <c:ser>
          <c:idx val="3"/>
          <c:order val="3"/>
          <c:tx>
            <c:strRef>
              <c:f>'Fig 13.5. Two types of process'!$F$1</c:f>
              <c:strCache>
                <c:ptCount val="1"/>
                <c:pt idx="0">
                  <c:v>LPL</c:v>
                </c:pt>
              </c:strCache>
            </c:strRef>
          </c:tx>
          <c:spPr>
            <a:ln w="28575" cap="rnd">
              <a:solidFill>
                <a:srgbClr val="D72323"/>
              </a:solidFill>
              <a:prstDash val="dash"/>
              <a:round/>
            </a:ln>
            <a:effectLst/>
          </c:spPr>
          <c:marker>
            <c:symbol val="none"/>
          </c:marker>
          <c:val>
            <c:numRef>
              <c:f>'Fig 13.5. Two types of process'!$F$2:$F$23</c:f>
              <c:numCache>
                <c:formatCode>General</c:formatCode>
                <c:ptCount val="22"/>
                <c:pt idx="0">
                  <c:v>6.9</c:v>
                </c:pt>
                <c:pt idx="1">
                  <c:v>6.9</c:v>
                </c:pt>
                <c:pt idx="2">
                  <c:v>6.9</c:v>
                </c:pt>
                <c:pt idx="3">
                  <c:v>6.9</c:v>
                </c:pt>
                <c:pt idx="4">
                  <c:v>6.9</c:v>
                </c:pt>
                <c:pt idx="5">
                  <c:v>6.9</c:v>
                </c:pt>
                <c:pt idx="6">
                  <c:v>6.9</c:v>
                </c:pt>
                <c:pt idx="7">
                  <c:v>6.9</c:v>
                </c:pt>
                <c:pt idx="8">
                  <c:v>6.9</c:v>
                </c:pt>
                <c:pt idx="9">
                  <c:v>6.9</c:v>
                </c:pt>
                <c:pt idx="10">
                  <c:v>6.9</c:v>
                </c:pt>
                <c:pt idx="11">
                  <c:v>6.9</c:v>
                </c:pt>
                <c:pt idx="12">
                  <c:v>6.9</c:v>
                </c:pt>
                <c:pt idx="13">
                  <c:v>6.9</c:v>
                </c:pt>
                <c:pt idx="14">
                  <c:v>6.9</c:v>
                </c:pt>
                <c:pt idx="15">
                  <c:v>6.9</c:v>
                </c:pt>
                <c:pt idx="16">
                  <c:v>6.9</c:v>
                </c:pt>
                <c:pt idx="17">
                  <c:v>6.9</c:v>
                </c:pt>
                <c:pt idx="18">
                  <c:v>6.9</c:v>
                </c:pt>
                <c:pt idx="19">
                  <c:v>6.9</c:v>
                </c:pt>
                <c:pt idx="20">
                  <c:v>6.9</c:v>
                </c:pt>
                <c:pt idx="21">
                  <c:v>6.9</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9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 predictable</a:t>
            </a:r>
            <a:r>
              <a:rPr lang="en-US" baseline="0"/>
              <a:t> process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13.5. Two types of process'!$C$25</c:f>
              <c:strCache>
                <c:ptCount val="1"/>
                <c:pt idx="0">
                  <c:v>HR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13.5. Two types of process'!$C$26:$C$41</c:f>
              <c:numCache>
                <c:formatCode>General</c:formatCode>
                <c:ptCount val="16"/>
                <c:pt idx="0">
                  <c:v>3</c:v>
                </c:pt>
                <c:pt idx="1">
                  <c:v>49</c:v>
                </c:pt>
                <c:pt idx="2">
                  <c:v>32</c:v>
                </c:pt>
                <c:pt idx="3">
                  <c:v>33</c:v>
                </c:pt>
                <c:pt idx="4">
                  <c:v>39</c:v>
                </c:pt>
                <c:pt idx="5">
                  <c:v>22</c:v>
                </c:pt>
                <c:pt idx="6">
                  <c:v>42</c:v>
                </c:pt>
                <c:pt idx="7">
                  <c:v>9</c:v>
                </c:pt>
                <c:pt idx="8">
                  <c:v>9</c:v>
                </c:pt>
                <c:pt idx="9">
                  <c:v>39</c:v>
                </c:pt>
                <c:pt idx="10">
                  <c:v>52</c:v>
                </c:pt>
                <c:pt idx="11">
                  <c:v>58</c:v>
                </c:pt>
                <c:pt idx="12">
                  <c:v>70</c:v>
                </c:pt>
                <c:pt idx="13">
                  <c:v>65</c:v>
                </c:pt>
                <c:pt idx="14">
                  <c:v>32</c:v>
                </c:pt>
                <c:pt idx="15">
                  <c:v>29</c:v>
                </c:pt>
              </c:numCache>
            </c:numRef>
          </c:val>
          <c:smooth val="0"/>
          <c:extLst>
            <c:ext xmlns:c16="http://schemas.microsoft.com/office/drawing/2014/chart" uri="{C3380CC4-5D6E-409C-BE32-E72D297353CC}">
              <c16:uniqueId val="{00000000-329B-41D6-8340-43856FD2F6C5}"/>
            </c:ext>
          </c:extLst>
        </c:ser>
        <c:ser>
          <c:idx val="1"/>
          <c:order val="1"/>
          <c:tx>
            <c:strRef>
              <c:f>'Fig 13.5. Two types of process'!$D$25</c:f>
              <c:strCache>
                <c:ptCount val="1"/>
                <c:pt idx="0">
                  <c:v>Mean</c:v>
                </c:pt>
              </c:strCache>
            </c:strRef>
          </c:tx>
          <c:spPr>
            <a:ln w="28575" cap="rnd">
              <a:solidFill>
                <a:schemeClr val="tx1"/>
              </a:solidFill>
              <a:round/>
            </a:ln>
            <a:effectLst/>
          </c:spPr>
          <c:marker>
            <c:symbol val="none"/>
          </c:marker>
          <c:val>
            <c:numRef>
              <c:f>'Fig 13.5. Two types of process'!$D$26:$D$41</c:f>
              <c:numCache>
                <c:formatCode>General</c:formatCode>
                <c:ptCount val="16"/>
                <c:pt idx="0">
                  <c:v>36.4</c:v>
                </c:pt>
                <c:pt idx="1">
                  <c:v>36.4</c:v>
                </c:pt>
                <c:pt idx="2">
                  <c:v>36.4</c:v>
                </c:pt>
                <c:pt idx="3">
                  <c:v>36.4</c:v>
                </c:pt>
                <c:pt idx="4">
                  <c:v>36.4</c:v>
                </c:pt>
                <c:pt idx="5">
                  <c:v>36.4</c:v>
                </c:pt>
                <c:pt idx="6">
                  <c:v>36.4</c:v>
                </c:pt>
                <c:pt idx="7">
                  <c:v>36.4</c:v>
                </c:pt>
                <c:pt idx="8">
                  <c:v>36.4</c:v>
                </c:pt>
                <c:pt idx="9">
                  <c:v>36.4</c:v>
                </c:pt>
                <c:pt idx="10">
                  <c:v>36.4</c:v>
                </c:pt>
                <c:pt idx="11">
                  <c:v>36.4</c:v>
                </c:pt>
                <c:pt idx="12">
                  <c:v>36.4</c:v>
                </c:pt>
                <c:pt idx="13">
                  <c:v>36.4</c:v>
                </c:pt>
                <c:pt idx="14">
                  <c:v>36.4</c:v>
                </c:pt>
                <c:pt idx="15">
                  <c:v>36.4</c:v>
                </c:pt>
              </c:numCache>
            </c:numRef>
          </c:val>
          <c:smooth val="0"/>
          <c:extLst>
            <c:ext xmlns:c16="http://schemas.microsoft.com/office/drawing/2014/chart" uri="{C3380CC4-5D6E-409C-BE32-E72D297353CC}">
              <c16:uniqueId val="{00000001-329B-41D6-8340-43856FD2F6C5}"/>
            </c:ext>
          </c:extLst>
        </c:ser>
        <c:ser>
          <c:idx val="2"/>
          <c:order val="2"/>
          <c:tx>
            <c:strRef>
              <c:f>'Fig 13.5. Two types of process'!$E$25</c:f>
              <c:strCache>
                <c:ptCount val="1"/>
                <c:pt idx="0">
                  <c:v>UPL</c:v>
                </c:pt>
              </c:strCache>
            </c:strRef>
          </c:tx>
          <c:spPr>
            <a:ln w="28575" cap="rnd">
              <a:solidFill>
                <a:srgbClr val="D72323"/>
              </a:solidFill>
              <a:prstDash val="dash"/>
              <a:round/>
            </a:ln>
            <a:effectLst/>
          </c:spPr>
          <c:marker>
            <c:symbol val="none"/>
          </c:marker>
          <c:val>
            <c:numRef>
              <c:f>'Fig 13.5. Two types of process'!$E$26:$E$41</c:f>
              <c:numCache>
                <c:formatCode>General</c:formatCode>
                <c:ptCount val="16"/>
                <c:pt idx="0">
                  <c:v>79.2</c:v>
                </c:pt>
                <c:pt idx="1">
                  <c:v>79.2</c:v>
                </c:pt>
                <c:pt idx="2">
                  <c:v>79.2</c:v>
                </c:pt>
                <c:pt idx="3">
                  <c:v>79.2</c:v>
                </c:pt>
                <c:pt idx="4">
                  <c:v>79.2</c:v>
                </c:pt>
                <c:pt idx="5">
                  <c:v>79.2</c:v>
                </c:pt>
                <c:pt idx="6">
                  <c:v>79.2</c:v>
                </c:pt>
                <c:pt idx="7">
                  <c:v>79.2</c:v>
                </c:pt>
                <c:pt idx="8">
                  <c:v>79.2</c:v>
                </c:pt>
                <c:pt idx="9">
                  <c:v>79.2</c:v>
                </c:pt>
                <c:pt idx="10">
                  <c:v>79.2</c:v>
                </c:pt>
                <c:pt idx="11">
                  <c:v>79.2</c:v>
                </c:pt>
                <c:pt idx="12">
                  <c:v>79.2</c:v>
                </c:pt>
                <c:pt idx="13">
                  <c:v>79.2</c:v>
                </c:pt>
                <c:pt idx="14">
                  <c:v>79.2</c:v>
                </c:pt>
                <c:pt idx="15">
                  <c:v>79.2</c:v>
                </c:pt>
              </c:numCache>
            </c:numRef>
          </c:val>
          <c:smooth val="0"/>
          <c:extLst>
            <c:ext xmlns:c16="http://schemas.microsoft.com/office/drawing/2014/chart" uri="{C3380CC4-5D6E-409C-BE32-E72D297353CC}">
              <c16:uniqueId val="{00000002-329B-41D6-8340-43856FD2F6C5}"/>
            </c:ext>
          </c:extLst>
        </c:ser>
        <c:ser>
          <c:idx val="3"/>
          <c:order val="3"/>
          <c:tx>
            <c:strRef>
              <c:f>'Fig 13.5. Two types of process'!$F$25</c:f>
              <c:strCache>
                <c:ptCount val="1"/>
                <c:pt idx="0">
                  <c:v>LPL</c:v>
                </c:pt>
              </c:strCache>
            </c:strRef>
          </c:tx>
          <c:spPr>
            <a:ln w="28575" cap="rnd">
              <a:solidFill>
                <a:srgbClr val="D72323"/>
              </a:solidFill>
              <a:prstDash val="dash"/>
              <a:round/>
            </a:ln>
            <a:effectLst/>
          </c:spPr>
          <c:marker>
            <c:symbol val="none"/>
          </c:marker>
          <c:val>
            <c:numRef>
              <c:f>'Fig 13.5. Two types of process'!$F$26:$F$41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13.8. Additional Run chart'!$C$1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13.8. Additional Run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13.8. Additional Run chart'!$C$2:$C$65</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4600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65B1-4BA5-ABFB-AA8C6645C0DE}"/>
            </c:ext>
          </c:extLst>
        </c:ser>
        <c:dLbls>
          <c:showLegendKey val="0"/>
          <c:showVal val="0"/>
          <c:showCatName val="0"/>
          <c:showSerName val="0"/>
          <c:showPercent val="0"/>
          <c:showBubbleSize val="0"/>
        </c:dLbls>
        <c:marker val="1"/>
        <c:smooth val="0"/>
        <c:axId val="446611120"/>
        <c:axId val="446624080"/>
      </c:lineChart>
      <c:catAx>
        <c:axId val="44661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24080"/>
        <c:crosses val="autoZero"/>
        <c:auto val="1"/>
        <c:lblAlgn val="ctr"/>
        <c:lblOffset val="100"/>
        <c:noMultiLvlLbl val="0"/>
      </c:catAx>
      <c:valAx>
        <c:axId val="446624080"/>
        <c:scaling>
          <c:orientation val="minMax"/>
          <c:min val="39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 (</a:t>
                </a:r>
                <a:r>
                  <a:rPr lang="en-US" sz="1000" b="0" i="0" u="none" strike="noStrike" baseline="0">
                    <a:effectLst/>
                  </a:rPr>
                  <a:t>M</a:t>
                </a:r>
                <a:r>
                  <a:rPr lang="el-GR" sz="1000" b="0" i="0" u="none" strike="noStrike" baseline="0">
                    <a:effectLst/>
                  </a:rPr>
                  <a:t>Ω</a:t>
                </a:r>
                <a:r>
                  <a:rPr lang="en-US" sz="1000" b="0" i="0" u="none" strike="noStrike" baseline="0">
                    <a:effectLst/>
                  </a:rPr>
                  <a: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61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13.9. Add. XmR chart'!$C$1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13.9. Add.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 XmR chart'!$C$2:$C$65</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4600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329B-41D6-8340-43856FD2F6C5}"/>
            </c:ext>
          </c:extLst>
        </c:ser>
        <c:ser>
          <c:idx val="1"/>
          <c:order val="1"/>
          <c:tx>
            <c:strRef>
              <c:f>'Fig 13.9. Add. XmR chart'!$D$1</c:f>
              <c:strCache>
                <c:ptCount val="1"/>
                <c:pt idx="0">
                  <c:v>Mean</c:v>
                </c:pt>
              </c:strCache>
            </c:strRef>
          </c:tx>
          <c:spPr>
            <a:ln w="28575" cap="rnd">
              <a:solidFill>
                <a:schemeClr val="tx1"/>
              </a:solidFill>
              <a:round/>
            </a:ln>
            <a:effectLst/>
          </c:spPr>
          <c:marker>
            <c:symbol val="none"/>
          </c:marker>
          <c:cat>
            <c:strRef>
              <c:f>'Fig 13.9. Add.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 XmR chart'!$D$2:$D$65</c:f>
              <c:numCache>
                <c:formatCode>General</c:formatCode>
                <c:ptCount val="64"/>
                <c:pt idx="0">
                  <c:v>4417.8</c:v>
                </c:pt>
                <c:pt idx="1">
                  <c:v>4417.8</c:v>
                </c:pt>
                <c:pt idx="2">
                  <c:v>4417.8</c:v>
                </c:pt>
                <c:pt idx="3">
                  <c:v>4417.8</c:v>
                </c:pt>
                <c:pt idx="4">
                  <c:v>4417.8</c:v>
                </c:pt>
                <c:pt idx="5">
                  <c:v>4417.8</c:v>
                </c:pt>
                <c:pt idx="6">
                  <c:v>4417.8</c:v>
                </c:pt>
                <c:pt idx="7">
                  <c:v>4417.8</c:v>
                </c:pt>
                <c:pt idx="8">
                  <c:v>4417.8</c:v>
                </c:pt>
                <c:pt idx="9">
                  <c:v>4417.8</c:v>
                </c:pt>
                <c:pt idx="10">
                  <c:v>4417.8</c:v>
                </c:pt>
                <c:pt idx="11">
                  <c:v>4417.8</c:v>
                </c:pt>
                <c:pt idx="12">
                  <c:v>4417.8</c:v>
                </c:pt>
                <c:pt idx="13">
                  <c:v>4417.8</c:v>
                </c:pt>
                <c:pt idx="14">
                  <c:v>4417.8</c:v>
                </c:pt>
                <c:pt idx="15">
                  <c:v>4417.8</c:v>
                </c:pt>
                <c:pt idx="16">
                  <c:v>4417.8</c:v>
                </c:pt>
                <c:pt idx="17">
                  <c:v>4417.8</c:v>
                </c:pt>
                <c:pt idx="18">
                  <c:v>4417.8</c:v>
                </c:pt>
                <c:pt idx="19">
                  <c:v>4417.8</c:v>
                </c:pt>
                <c:pt idx="20">
                  <c:v>4417.8</c:v>
                </c:pt>
                <c:pt idx="21">
                  <c:v>4417.8</c:v>
                </c:pt>
                <c:pt idx="22">
                  <c:v>4417.8</c:v>
                </c:pt>
                <c:pt idx="23">
                  <c:v>4417.8</c:v>
                </c:pt>
                <c:pt idx="24">
                  <c:v>4417.8</c:v>
                </c:pt>
                <c:pt idx="25">
                  <c:v>4417.8</c:v>
                </c:pt>
                <c:pt idx="26">
                  <c:v>4417.8</c:v>
                </c:pt>
                <c:pt idx="27">
                  <c:v>4417.8</c:v>
                </c:pt>
                <c:pt idx="28">
                  <c:v>4417.8</c:v>
                </c:pt>
                <c:pt idx="29">
                  <c:v>4417.8</c:v>
                </c:pt>
                <c:pt idx="30">
                  <c:v>4417.8</c:v>
                </c:pt>
                <c:pt idx="31">
                  <c:v>4417.8</c:v>
                </c:pt>
                <c:pt idx="32">
                  <c:v>4417.8</c:v>
                </c:pt>
                <c:pt idx="33">
                  <c:v>4417.8</c:v>
                </c:pt>
                <c:pt idx="34">
                  <c:v>4417.8</c:v>
                </c:pt>
                <c:pt idx="35">
                  <c:v>4417.8</c:v>
                </c:pt>
                <c:pt idx="36">
                  <c:v>4417.8</c:v>
                </c:pt>
                <c:pt idx="37">
                  <c:v>4417.8</c:v>
                </c:pt>
                <c:pt idx="38">
                  <c:v>4417.8</c:v>
                </c:pt>
                <c:pt idx="39">
                  <c:v>4417.8</c:v>
                </c:pt>
                <c:pt idx="40">
                  <c:v>4417.8</c:v>
                </c:pt>
                <c:pt idx="41">
                  <c:v>4417.8</c:v>
                </c:pt>
                <c:pt idx="42">
                  <c:v>4417.8</c:v>
                </c:pt>
                <c:pt idx="43">
                  <c:v>4417.8</c:v>
                </c:pt>
                <c:pt idx="44">
                  <c:v>4417.8</c:v>
                </c:pt>
                <c:pt idx="45">
                  <c:v>4417.8</c:v>
                </c:pt>
                <c:pt idx="46">
                  <c:v>4417.8</c:v>
                </c:pt>
                <c:pt idx="47">
                  <c:v>4417.8</c:v>
                </c:pt>
                <c:pt idx="48">
                  <c:v>4417.8</c:v>
                </c:pt>
                <c:pt idx="49">
                  <c:v>4417.8</c:v>
                </c:pt>
                <c:pt idx="50">
                  <c:v>4417.8</c:v>
                </c:pt>
                <c:pt idx="51">
                  <c:v>4417.8</c:v>
                </c:pt>
                <c:pt idx="52">
                  <c:v>4417.8</c:v>
                </c:pt>
                <c:pt idx="53">
                  <c:v>4417.8</c:v>
                </c:pt>
                <c:pt idx="54">
                  <c:v>4417.8</c:v>
                </c:pt>
                <c:pt idx="55">
                  <c:v>4417.8</c:v>
                </c:pt>
                <c:pt idx="56">
                  <c:v>4417.8</c:v>
                </c:pt>
                <c:pt idx="57">
                  <c:v>4417.8</c:v>
                </c:pt>
                <c:pt idx="58">
                  <c:v>4417.8</c:v>
                </c:pt>
                <c:pt idx="59">
                  <c:v>4417.8</c:v>
                </c:pt>
                <c:pt idx="60">
                  <c:v>4417.8</c:v>
                </c:pt>
                <c:pt idx="61">
                  <c:v>4417.8</c:v>
                </c:pt>
                <c:pt idx="62">
                  <c:v>4417.8</c:v>
                </c:pt>
                <c:pt idx="63">
                  <c:v>4417.8</c:v>
                </c:pt>
              </c:numCache>
            </c:numRef>
          </c:val>
          <c:smooth val="0"/>
          <c:extLst>
            <c:ext xmlns:c16="http://schemas.microsoft.com/office/drawing/2014/chart" uri="{C3380CC4-5D6E-409C-BE32-E72D297353CC}">
              <c16:uniqueId val="{00000001-329B-41D6-8340-43856FD2F6C5}"/>
            </c:ext>
          </c:extLst>
        </c:ser>
        <c:ser>
          <c:idx val="2"/>
          <c:order val="2"/>
          <c:tx>
            <c:strRef>
              <c:f>'Fig 13.9. Add. XmR chart'!$E$1</c:f>
              <c:strCache>
                <c:ptCount val="1"/>
                <c:pt idx="0">
                  <c:v>UPL</c:v>
                </c:pt>
              </c:strCache>
            </c:strRef>
          </c:tx>
          <c:spPr>
            <a:ln w="28575" cap="rnd">
              <a:solidFill>
                <a:srgbClr val="D72323"/>
              </a:solidFill>
              <a:prstDash val="dash"/>
              <a:round/>
            </a:ln>
            <a:effectLst/>
          </c:spPr>
          <c:marker>
            <c:symbol val="none"/>
          </c:marker>
          <c:cat>
            <c:strRef>
              <c:f>'Fig 13.9. Add.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 XmR chart'!$E$2:$E$65</c:f>
              <c:numCache>
                <c:formatCode>General</c:formatCode>
                <c:ptCount val="64"/>
                <c:pt idx="0">
                  <c:v>4922.7</c:v>
                </c:pt>
                <c:pt idx="1">
                  <c:v>4922.7</c:v>
                </c:pt>
                <c:pt idx="2">
                  <c:v>4922.7</c:v>
                </c:pt>
                <c:pt idx="3">
                  <c:v>4922.7</c:v>
                </c:pt>
                <c:pt idx="4">
                  <c:v>4922.7</c:v>
                </c:pt>
                <c:pt idx="5">
                  <c:v>4922.7</c:v>
                </c:pt>
                <c:pt idx="6">
                  <c:v>4922.7</c:v>
                </c:pt>
                <c:pt idx="7">
                  <c:v>4922.7</c:v>
                </c:pt>
                <c:pt idx="8">
                  <c:v>4922.7</c:v>
                </c:pt>
                <c:pt idx="9">
                  <c:v>4922.7</c:v>
                </c:pt>
                <c:pt idx="10">
                  <c:v>4922.7</c:v>
                </c:pt>
                <c:pt idx="11">
                  <c:v>4922.7</c:v>
                </c:pt>
                <c:pt idx="12">
                  <c:v>4922.7</c:v>
                </c:pt>
                <c:pt idx="13">
                  <c:v>4922.7</c:v>
                </c:pt>
                <c:pt idx="14">
                  <c:v>4922.7</c:v>
                </c:pt>
                <c:pt idx="15">
                  <c:v>4922.7</c:v>
                </c:pt>
                <c:pt idx="16">
                  <c:v>4922.7</c:v>
                </c:pt>
                <c:pt idx="17">
                  <c:v>4922.7</c:v>
                </c:pt>
                <c:pt idx="18">
                  <c:v>4922.7</c:v>
                </c:pt>
                <c:pt idx="19">
                  <c:v>4922.7</c:v>
                </c:pt>
                <c:pt idx="20">
                  <c:v>4922.7</c:v>
                </c:pt>
                <c:pt idx="21">
                  <c:v>4922.7</c:v>
                </c:pt>
                <c:pt idx="22">
                  <c:v>4922.7</c:v>
                </c:pt>
                <c:pt idx="23">
                  <c:v>4922.7</c:v>
                </c:pt>
                <c:pt idx="24">
                  <c:v>4922.7</c:v>
                </c:pt>
                <c:pt idx="25">
                  <c:v>4922.7</c:v>
                </c:pt>
                <c:pt idx="26">
                  <c:v>4922.7</c:v>
                </c:pt>
                <c:pt idx="27">
                  <c:v>4922.7</c:v>
                </c:pt>
                <c:pt idx="28">
                  <c:v>4922.7</c:v>
                </c:pt>
                <c:pt idx="29">
                  <c:v>4922.7</c:v>
                </c:pt>
                <c:pt idx="30">
                  <c:v>4922.7</c:v>
                </c:pt>
                <c:pt idx="31">
                  <c:v>4922.7</c:v>
                </c:pt>
                <c:pt idx="32">
                  <c:v>4922.7</c:v>
                </c:pt>
                <c:pt idx="33">
                  <c:v>4922.7</c:v>
                </c:pt>
                <c:pt idx="34">
                  <c:v>4922.7</c:v>
                </c:pt>
                <c:pt idx="35">
                  <c:v>4922.7</c:v>
                </c:pt>
                <c:pt idx="36">
                  <c:v>4922.7</c:v>
                </c:pt>
                <c:pt idx="37">
                  <c:v>4922.7</c:v>
                </c:pt>
                <c:pt idx="38">
                  <c:v>4922.7</c:v>
                </c:pt>
                <c:pt idx="39">
                  <c:v>4922.7</c:v>
                </c:pt>
                <c:pt idx="40">
                  <c:v>4922.7</c:v>
                </c:pt>
                <c:pt idx="41">
                  <c:v>4922.7</c:v>
                </c:pt>
                <c:pt idx="42">
                  <c:v>4922.7</c:v>
                </c:pt>
                <c:pt idx="43">
                  <c:v>4922.7</c:v>
                </c:pt>
                <c:pt idx="44">
                  <c:v>4922.7</c:v>
                </c:pt>
                <c:pt idx="45">
                  <c:v>4922.7</c:v>
                </c:pt>
                <c:pt idx="46">
                  <c:v>4922.7</c:v>
                </c:pt>
                <c:pt idx="47">
                  <c:v>4922.7</c:v>
                </c:pt>
                <c:pt idx="48">
                  <c:v>4922.7</c:v>
                </c:pt>
                <c:pt idx="49">
                  <c:v>4922.7</c:v>
                </c:pt>
                <c:pt idx="50">
                  <c:v>4922.7</c:v>
                </c:pt>
                <c:pt idx="51">
                  <c:v>4922.7</c:v>
                </c:pt>
                <c:pt idx="52">
                  <c:v>4922.7</c:v>
                </c:pt>
                <c:pt idx="53">
                  <c:v>4922.7</c:v>
                </c:pt>
                <c:pt idx="54">
                  <c:v>4922.7</c:v>
                </c:pt>
                <c:pt idx="55">
                  <c:v>4922.7</c:v>
                </c:pt>
                <c:pt idx="56">
                  <c:v>4922.7</c:v>
                </c:pt>
                <c:pt idx="57">
                  <c:v>4922.7</c:v>
                </c:pt>
                <c:pt idx="58">
                  <c:v>4922.7</c:v>
                </c:pt>
                <c:pt idx="59">
                  <c:v>4922.7</c:v>
                </c:pt>
                <c:pt idx="60">
                  <c:v>4922.7</c:v>
                </c:pt>
                <c:pt idx="61">
                  <c:v>4922.7</c:v>
                </c:pt>
                <c:pt idx="62">
                  <c:v>4922.7</c:v>
                </c:pt>
                <c:pt idx="63">
                  <c:v>4922.7</c:v>
                </c:pt>
              </c:numCache>
            </c:numRef>
          </c:val>
          <c:smooth val="0"/>
          <c:extLst>
            <c:ext xmlns:c16="http://schemas.microsoft.com/office/drawing/2014/chart" uri="{C3380CC4-5D6E-409C-BE32-E72D297353CC}">
              <c16:uniqueId val="{00000002-329B-41D6-8340-43856FD2F6C5}"/>
            </c:ext>
          </c:extLst>
        </c:ser>
        <c:ser>
          <c:idx val="3"/>
          <c:order val="3"/>
          <c:tx>
            <c:strRef>
              <c:f>'Fig 13.9. Add. XmR chart'!$F$1</c:f>
              <c:strCache>
                <c:ptCount val="1"/>
                <c:pt idx="0">
                  <c:v>LPL</c:v>
                </c:pt>
              </c:strCache>
            </c:strRef>
          </c:tx>
          <c:spPr>
            <a:ln w="28575" cap="rnd">
              <a:solidFill>
                <a:srgbClr val="D72323"/>
              </a:solidFill>
              <a:prstDash val="dash"/>
              <a:round/>
            </a:ln>
            <a:effectLst/>
          </c:spPr>
          <c:marker>
            <c:symbol val="none"/>
          </c:marker>
          <c:cat>
            <c:strRef>
              <c:f>'Fig 13.9. Add. XmR chart'!$B$2:$B$65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13.9. Add. XmR chart'!$F$2:$F$65</c:f>
              <c:numCache>
                <c:formatCode>General</c:formatCode>
                <c:ptCount val="64"/>
                <c:pt idx="0">
                  <c:v>3912.9</c:v>
                </c:pt>
                <c:pt idx="1">
                  <c:v>3912.9</c:v>
                </c:pt>
                <c:pt idx="2">
                  <c:v>3912.9</c:v>
                </c:pt>
                <c:pt idx="3">
                  <c:v>3912.9</c:v>
                </c:pt>
                <c:pt idx="4">
                  <c:v>3912.9</c:v>
                </c:pt>
                <c:pt idx="5">
                  <c:v>3912.9</c:v>
                </c:pt>
                <c:pt idx="6">
                  <c:v>3912.9</c:v>
                </c:pt>
                <c:pt idx="7">
                  <c:v>3912.9</c:v>
                </c:pt>
                <c:pt idx="8">
                  <c:v>3912.9</c:v>
                </c:pt>
                <c:pt idx="9">
                  <c:v>3912.9</c:v>
                </c:pt>
                <c:pt idx="10">
                  <c:v>3912.9</c:v>
                </c:pt>
                <c:pt idx="11">
                  <c:v>3912.9</c:v>
                </c:pt>
                <c:pt idx="12">
                  <c:v>3912.9</c:v>
                </c:pt>
                <c:pt idx="13">
                  <c:v>3912.9</c:v>
                </c:pt>
                <c:pt idx="14">
                  <c:v>3912.9</c:v>
                </c:pt>
                <c:pt idx="15">
                  <c:v>3912.9</c:v>
                </c:pt>
                <c:pt idx="16">
                  <c:v>3912.9</c:v>
                </c:pt>
                <c:pt idx="17">
                  <c:v>3912.9</c:v>
                </c:pt>
                <c:pt idx="18">
                  <c:v>3912.9</c:v>
                </c:pt>
                <c:pt idx="19">
                  <c:v>3912.9</c:v>
                </c:pt>
                <c:pt idx="20">
                  <c:v>3912.9</c:v>
                </c:pt>
                <c:pt idx="21">
                  <c:v>3912.9</c:v>
                </c:pt>
                <c:pt idx="22">
                  <c:v>3912.9</c:v>
                </c:pt>
                <c:pt idx="23">
                  <c:v>3912.9</c:v>
                </c:pt>
                <c:pt idx="24">
                  <c:v>3912.9</c:v>
                </c:pt>
                <c:pt idx="25">
                  <c:v>3912.9</c:v>
                </c:pt>
                <c:pt idx="26">
                  <c:v>3912.9</c:v>
                </c:pt>
                <c:pt idx="27">
                  <c:v>3912.9</c:v>
                </c:pt>
                <c:pt idx="28">
                  <c:v>3912.9</c:v>
                </c:pt>
                <c:pt idx="29">
                  <c:v>3912.9</c:v>
                </c:pt>
                <c:pt idx="30">
                  <c:v>3912.9</c:v>
                </c:pt>
                <c:pt idx="31">
                  <c:v>3912.9</c:v>
                </c:pt>
                <c:pt idx="32">
                  <c:v>3912.9</c:v>
                </c:pt>
                <c:pt idx="33">
                  <c:v>3912.9</c:v>
                </c:pt>
                <c:pt idx="34">
                  <c:v>3912.9</c:v>
                </c:pt>
                <c:pt idx="35">
                  <c:v>3912.9</c:v>
                </c:pt>
                <c:pt idx="36">
                  <c:v>3912.9</c:v>
                </c:pt>
                <c:pt idx="37">
                  <c:v>3912.9</c:v>
                </c:pt>
                <c:pt idx="38">
                  <c:v>3912.9</c:v>
                </c:pt>
                <c:pt idx="39">
                  <c:v>3912.9</c:v>
                </c:pt>
                <c:pt idx="40">
                  <c:v>3912.9</c:v>
                </c:pt>
                <c:pt idx="41">
                  <c:v>3912.9</c:v>
                </c:pt>
                <c:pt idx="42">
                  <c:v>3912.9</c:v>
                </c:pt>
                <c:pt idx="43">
                  <c:v>3912.9</c:v>
                </c:pt>
                <c:pt idx="44">
                  <c:v>3912.9</c:v>
                </c:pt>
                <c:pt idx="45">
                  <c:v>3912.9</c:v>
                </c:pt>
                <c:pt idx="46">
                  <c:v>3912.9</c:v>
                </c:pt>
                <c:pt idx="47">
                  <c:v>3912.9</c:v>
                </c:pt>
                <c:pt idx="48">
                  <c:v>3912.9</c:v>
                </c:pt>
                <c:pt idx="49">
                  <c:v>3912.9</c:v>
                </c:pt>
                <c:pt idx="50">
                  <c:v>3912.9</c:v>
                </c:pt>
                <c:pt idx="51">
                  <c:v>3912.9</c:v>
                </c:pt>
                <c:pt idx="52">
                  <c:v>3912.9</c:v>
                </c:pt>
                <c:pt idx="53">
                  <c:v>3912.9</c:v>
                </c:pt>
                <c:pt idx="54">
                  <c:v>3912.9</c:v>
                </c:pt>
                <c:pt idx="55">
                  <c:v>3912.9</c:v>
                </c:pt>
                <c:pt idx="56">
                  <c:v>3912.9</c:v>
                </c:pt>
                <c:pt idx="57">
                  <c:v>3912.9</c:v>
                </c:pt>
                <c:pt idx="58">
                  <c:v>3912.9</c:v>
                </c:pt>
                <c:pt idx="59">
                  <c:v>3912.9</c:v>
                </c:pt>
                <c:pt idx="60">
                  <c:v>3912.9</c:v>
                </c:pt>
                <c:pt idx="61">
                  <c:v>3912.9</c:v>
                </c:pt>
                <c:pt idx="62">
                  <c:v>3912.9</c:v>
                </c:pt>
                <c:pt idx="63">
                  <c:v>3912.9</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ax val="5000"/>
          <c:min val="390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rgbClr val="000000">
                        <a:lumMod val="65000"/>
                        <a:lumOff val="35000"/>
                      </a:srgbClr>
                    </a:solidFill>
                  </a:rPr>
                  <a:t>Resistance (</a:t>
                </a:r>
                <a:r>
                  <a:rPr lang="en-US" sz="1000" b="0" i="0" u="none" strike="noStrike" kern="1200" baseline="0">
                    <a:solidFill>
                      <a:srgbClr val="000000">
                        <a:lumMod val="65000"/>
                        <a:lumOff val="35000"/>
                      </a:srgbClr>
                    </a:solidFill>
                    <a:effectLst/>
                  </a:rPr>
                  <a:t>M</a:t>
                </a:r>
                <a:r>
                  <a:rPr lang="el-GR" sz="1000" b="0" i="0" u="none" strike="noStrike" kern="1200" baseline="0">
                    <a:solidFill>
                      <a:srgbClr val="000000">
                        <a:lumMod val="65000"/>
                        <a:lumOff val="35000"/>
                      </a:srgbClr>
                    </a:solidFill>
                    <a:effectLst/>
                  </a:rPr>
                  <a:t>Ω</a:t>
                </a:r>
                <a:r>
                  <a:rPr lang="en-US" sz="1000" b="0" i="0" u="none" strike="noStrike" kern="1200" baseline="0">
                    <a:solidFill>
                      <a:srgbClr val="000000">
                        <a:lumMod val="65000"/>
                        <a:lumOff val="35000"/>
                      </a:srgbClr>
                    </a:solidFill>
                    <a:effectLst/>
                  </a:rPr>
                  <a:t>)</a:t>
                </a:r>
                <a:endParaRPr lang="en-US" sz="1000" b="0" i="0" u="none" strike="noStrike" kern="1200" baseline="0">
                  <a:solidFill>
                    <a:srgbClr val="000000">
                      <a:lumMod val="65000"/>
                      <a:lumOff val="35000"/>
                    </a:srgbClr>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13.9. Add. XmR chart'!$G$1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13.9. Add. XmR chart'!$G$2:$G$65</c:f>
              <c:numCache>
                <c:formatCode>General</c:formatCode>
                <c:ptCount val="64"/>
                <c:pt idx="1">
                  <c:v>165</c:v>
                </c:pt>
                <c:pt idx="2">
                  <c:v>70</c:v>
                </c:pt>
                <c:pt idx="3">
                  <c:v>170</c:v>
                </c:pt>
                <c:pt idx="4">
                  <c:v>60</c:v>
                </c:pt>
                <c:pt idx="5">
                  <c:v>160</c:v>
                </c:pt>
                <c:pt idx="6">
                  <c:v>310</c:v>
                </c:pt>
                <c:pt idx="7">
                  <c:v>135</c:v>
                </c:pt>
                <c:pt idx="8">
                  <c:v>30</c:v>
                </c:pt>
                <c:pt idx="9">
                  <c:v>160</c:v>
                </c:pt>
                <c:pt idx="10">
                  <c:v>335</c:v>
                </c:pt>
                <c:pt idx="11">
                  <c:v>165</c:v>
                </c:pt>
                <c:pt idx="12">
                  <c:v>125</c:v>
                </c:pt>
                <c:pt idx="13">
                  <c:v>320</c:v>
                </c:pt>
                <c:pt idx="14">
                  <c:v>330</c:v>
                </c:pt>
                <c:pt idx="15">
                  <c:v>160</c:v>
                </c:pt>
                <c:pt idx="16">
                  <c:v>150</c:v>
                </c:pt>
                <c:pt idx="17">
                  <c:v>90</c:v>
                </c:pt>
                <c:pt idx="18">
                  <c:v>225</c:v>
                </c:pt>
                <c:pt idx="19">
                  <c:v>340</c:v>
                </c:pt>
                <c:pt idx="20">
                  <c:v>415</c:v>
                </c:pt>
                <c:pt idx="21">
                  <c:v>125</c:v>
                </c:pt>
                <c:pt idx="22">
                  <c:v>390</c:v>
                </c:pt>
                <c:pt idx="23">
                  <c:v>265</c:v>
                </c:pt>
                <c:pt idx="24">
                  <c:v>415</c:v>
                </c:pt>
                <c:pt idx="25">
                  <c:v>260</c:v>
                </c:pt>
                <c:pt idx="26">
                  <c:v>360</c:v>
                </c:pt>
                <c:pt idx="27">
                  <c:v>140</c:v>
                </c:pt>
                <c:pt idx="28">
                  <c:v>40</c:v>
                </c:pt>
                <c:pt idx="29">
                  <c:v>100</c:v>
                </c:pt>
                <c:pt idx="30">
                  <c:v>95</c:v>
                </c:pt>
                <c:pt idx="31">
                  <c:v>370</c:v>
                </c:pt>
                <c:pt idx="32">
                  <c:v>395</c:v>
                </c:pt>
                <c:pt idx="33">
                  <c:v>110</c:v>
                </c:pt>
                <c:pt idx="34">
                  <c:v>130</c:v>
                </c:pt>
                <c:pt idx="35">
                  <c:v>70</c:v>
                </c:pt>
                <c:pt idx="36">
                  <c:v>370</c:v>
                </c:pt>
                <c:pt idx="37">
                  <c:v>25</c:v>
                </c:pt>
                <c:pt idx="38">
                  <c:v>105</c:v>
                </c:pt>
                <c:pt idx="39">
                  <c:v>420</c:v>
                </c:pt>
                <c:pt idx="40">
                  <c:v>90</c:v>
                </c:pt>
                <c:pt idx="41">
                  <c:v>250</c:v>
                </c:pt>
                <c:pt idx="42">
                  <c:v>190</c:v>
                </c:pt>
                <c:pt idx="43">
                  <c:v>70</c:v>
                </c:pt>
                <c:pt idx="44">
                  <c:v>110</c:v>
                </c:pt>
                <c:pt idx="45">
                  <c:v>10</c:v>
                </c:pt>
                <c:pt idx="46">
                  <c:v>310</c:v>
                </c:pt>
                <c:pt idx="47">
                  <c:v>440</c:v>
                </c:pt>
                <c:pt idx="48">
                  <c:v>90</c:v>
                </c:pt>
                <c:pt idx="49">
                  <c:v>60</c:v>
                </c:pt>
                <c:pt idx="50">
                  <c:v>65</c:v>
                </c:pt>
                <c:pt idx="51">
                  <c:v>65</c:v>
                </c:pt>
                <c:pt idx="52">
                  <c:v>110</c:v>
                </c:pt>
                <c:pt idx="53">
                  <c:v>250</c:v>
                </c:pt>
                <c:pt idx="54">
                  <c:v>110</c:v>
                </c:pt>
                <c:pt idx="55">
                  <c:v>30</c:v>
                </c:pt>
                <c:pt idx="56">
                  <c:v>155</c:v>
                </c:pt>
                <c:pt idx="57">
                  <c:v>250</c:v>
                </c:pt>
                <c:pt idx="58">
                  <c:v>185</c:v>
                </c:pt>
                <c:pt idx="59">
                  <c:v>25</c:v>
                </c:pt>
                <c:pt idx="60">
                  <c:v>355</c:v>
                </c:pt>
                <c:pt idx="61">
                  <c:v>330</c:v>
                </c:pt>
                <c:pt idx="62">
                  <c:v>60</c:v>
                </c:pt>
                <c:pt idx="63">
                  <c:v>250</c:v>
                </c:pt>
              </c:numCache>
            </c:numRef>
          </c:val>
          <c:smooth val="0"/>
          <c:extLst>
            <c:ext xmlns:c16="http://schemas.microsoft.com/office/drawing/2014/chart" uri="{C3380CC4-5D6E-409C-BE32-E72D297353CC}">
              <c16:uniqueId val="{00000000-5D18-47FA-93F7-2AB89D044415}"/>
            </c:ext>
          </c:extLst>
        </c:ser>
        <c:ser>
          <c:idx val="1"/>
          <c:order val="1"/>
          <c:tx>
            <c:strRef>
              <c:f>'Fig 13.9. Add. XmR chart'!$H$1</c:f>
              <c:strCache>
                <c:ptCount val="1"/>
                <c:pt idx="0">
                  <c:v>Ave. mR</c:v>
                </c:pt>
              </c:strCache>
            </c:strRef>
          </c:tx>
          <c:spPr>
            <a:ln w="28575" cap="rnd">
              <a:solidFill>
                <a:schemeClr val="tx1"/>
              </a:solidFill>
              <a:round/>
            </a:ln>
            <a:effectLst/>
          </c:spPr>
          <c:marker>
            <c:symbol val="none"/>
          </c:marker>
          <c:val>
            <c:numRef>
              <c:f>'Fig 13.9. Add. XmR chart'!$H$2:$H$65</c:f>
              <c:numCache>
                <c:formatCode>General</c:formatCode>
                <c:ptCount val="64"/>
                <c:pt idx="0">
                  <c:v>189.8</c:v>
                </c:pt>
                <c:pt idx="1">
                  <c:v>189.8</c:v>
                </c:pt>
                <c:pt idx="2">
                  <c:v>189.8</c:v>
                </c:pt>
                <c:pt idx="3">
                  <c:v>189.8</c:v>
                </c:pt>
                <c:pt idx="4">
                  <c:v>189.8</c:v>
                </c:pt>
                <c:pt idx="5">
                  <c:v>189.8</c:v>
                </c:pt>
                <c:pt idx="6">
                  <c:v>189.8</c:v>
                </c:pt>
                <c:pt idx="7">
                  <c:v>189.8</c:v>
                </c:pt>
                <c:pt idx="8">
                  <c:v>189.8</c:v>
                </c:pt>
                <c:pt idx="9">
                  <c:v>189.8</c:v>
                </c:pt>
                <c:pt idx="10">
                  <c:v>189.8</c:v>
                </c:pt>
                <c:pt idx="11">
                  <c:v>189.8</c:v>
                </c:pt>
                <c:pt idx="12">
                  <c:v>189.8</c:v>
                </c:pt>
                <c:pt idx="13">
                  <c:v>189.8</c:v>
                </c:pt>
                <c:pt idx="14">
                  <c:v>189.8</c:v>
                </c:pt>
                <c:pt idx="15">
                  <c:v>189.8</c:v>
                </c:pt>
                <c:pt idx="16">
                  <c:v>189.8</c:v>
                </c:pt>
                <c:pt idx="17">
                  <c:v>189.8</c:v>
                </c:pt>
                <c:pt idx="18">
                  <c:v>189.8</c:v>
                </c:pt>
                <c:pt idx="19">
                  <c:v>189.8</c:v>
                </c:pt>
                <c:pt idx="20">
                  <c:v>189.8</c:v>
                </c:pt>
                <c:pt idx="21">
                  <c:v>189.8</c:v>
                </c:pt>
                <c:pt idx="22">
                  <c:v>189.8</c:v>
                </c:pt>
                <c:pt idx="23">
                  <c:v>189.8</c:v>
                </c:pt>
                <c:pt idx="24">
                  <c:v>189.8</c:v>
                </c:pt>
                <c:pt idx="25">
                  <c:v>189.8</c:v>
                </c:pt>
                <c:pt idx="26">
                  <c:v>189.8</c:v>
                </c:pt>
                <c:pt idx="27">
                  <c:v>189.8</c:v>
                </c:pt>
                <c:pt idx="28">
                  <c:v>189.8</c:v>
                </c:pt>
                <c:pt idx="29">
                  <c:v>189.8</c:v>
                </c:pt>
                <c:pt idx="30">
                  <c:v>189.8</c:v>
                </c:pt>
                <c:pt idx="31">
                  <c:v>189.8</c:v>
                </c:pt>
                <c:pt idx="32">
                  <c:v>189.8</c:v>
                </c:pt>
                <c:pt idx="33">
                  <c:v>189.8</c:v>
                </c:pt>
                <c:pt idx="34">
                  <c:v>189.8</c:v>
                </c:pt>
                <c:pt idx="35">
                  <c:v>189.8</c:v>
                </c:pt>
                <c:pt idx="36">
                  <c:v>189.8</c:v>
                </c:pt>
                <c:pt idx="37">
                  <c:v>189.8</c:v>
                </c:pt>
                <c:pt idx="38">
                  <c:v>189.8</c:v>
                </c:pt>
                <c:pt idx="39">
                  <c:v>189.8</c:v>
                </c:pt>
                <c:pt idx="40">
                  <c:v>189.8</c:v>
                </c:pt>
                <c:pt idx="41">
                  <c:v>189.8</c:v>
                </c:pt>
                <c:pt idx="42">
                  <c:v>189.8</c:v>
                </c:pt>
                <c:pt idx="43">
                  <c:v>189.8</c:v>
                </c:pt>
                <c:pt idx="44">
                  <c:v>189.8</c:v>
                </c:pt>
                <c:pt idx="45">
                  <c:v>189.8</c:v>
                </c:pt>
                <c:pt idx="46">
                  <c:v>189.8</c:v>
                </c:pt>
                <c:pt idx="47">
                  <c:v>189.8</c:v>
                </c:pt>
                <c:pt idx="48">
                  <c:v>189.8</c:v>
                </c:pt>
                <c:pt idx="49">
                  <c:v>189.8</c:v>
                </c:pt>
                <c:pt idx="50">
                  <c:v>189.8</c:v>
                </c:pt>
                <c:pt idx="51">
                  <c:v>189.8</c:v>
                </c:pt>
                <c:pt idx="52">
                  <c:v>189.8</c:v>
                </c:pt>
                <c:pt idx="53">
                  <c:v>189.8</c:v>
                </c:pt>
                <c:pt idx="54">
                  <c:v>189.8</c:v>
                </c:pt>
                <c:pt idx="55">
                  <c:v>189.8</c:v>
                </c:pt>
                <c:pt idx="56">
                  <c:v>189.8</c:v>
                </c:pt>
                <c:pt idx="57">
                  <c:v>189.8</c:v>
                </c:pt>
                <c:pt idx="58">
                  <c:v>189.8</c:v>
                </c:pt>
                <c:pt idx="59">
                  <c:v>189.8</c:v>
                </c:pt>
                <c:pt idx="60">
                  <c:v>189.8</c:v>
                </c:pt>
                <c:pt idx="61">
                  <c:v>189.8</c:v>
                </c:pt>
                <c:pt idx="62">
                  <c:v>189.8</c:v>
                </c:pt>
                <c:pt idx="63">
                  <c:v>189.8</c:v>
                </c:pt>
              </c:numCache>
            </c:numRef>
          </c:val>
          <c:smooth val="0"/>
          <c:extLst>
            <c:ext xmlns:c16="http://schemas.microsoft.com/office/drawing/2014/chart" uri="{C3380CC4-5D6E-409C-BE32-E72D297353CC}">
              <c16:uniqueId val="{00000001-5D18-47FA-93F7-2AB89D044415}"/>
            </c:ext>
          </c:extLst>
        </c:ser>
        <c:ser>
          <c:idx val="2"/>
          <c:order val="2"/>
          <c:tx>
            <c:strRef>
              <c:f>'Fig 13.9. Add. XmR chart'!$I$1</c:f>
              <c:strCache>
                <c:ptCount val="1"/>
                <c:pt idx="0">
                  <c:v>URL</c:v>
                </c:pt>
              </c:strCache>
            </c:strRef>
          </c:tx>
          <c:spPr>
            <a:ln w="28575" cap="rnd">
              <a:solidFill>
                <a:srgbClr val="D72323"/>
              </a:solidFill>
              <a:prstDash val="dash"/>
              <a:round/>
            </a:ln>
            <a:effectLst/>
          </c:spPr>
          <c:marker>
            <c:symbol val="none"/>
          </c:marker>
          <c:val>
            <c:numRef>
              <c:f>'Fig 13.9. Add. XmR chart'!$I$2:$I$65</c:f>
              <c:numCache>
                <c:formatCode>General</c:formatCode>
                <c:ptCount val="64"/>
                <c:pt idx="0">
                  <c:v>620.29999999999995</c:v>
                </c:pt>
                <c:pt idx="1">
                  <c:v>620.29999999999995</c:v>
                </c:pt>
                <c:pt idx="2">
                  <c:v>620.29999999999995</c:v>
                </c:pt>
                <c:pt idx="3">
                  <c:v>620.29999999999995</c:v>
                </c:pt>
                <c:pt idx="4">
                  <c:v>620.29999999999995</c:v>
                </c:pt>
                <c:pt idx="5">
                  <c:v>620.29999999999995</c:v>
                </c:pt>
                <c:pt idx="6">
                  <c:v>620.29999999999995</c:v>
                </c:pt>
                <c:pt idx="7">
                  <c:v>620.29999999999995</c:v>
                </c:pt>
                <c:pt idx="8">
                  <c:v>620.29999999999995</c:v>
                </c:pt>
                <c:pt idx="9">
                  <c:v>620.29999999999995</c:v>
                </c:pt>
                <c:pt idx="10">
                  <c:v>620.29999999999995</c:v>
                </c:pt>
                <c:pt idx="11">
                  <c:v>620.29999999999995</c:v>
                </c:pt>
                <c:pt idx="12">
                  <c:v>620.29999999999995</c:v>
                </c:pt>
                <c:pt idx="13">
                  <c:v>620.29999999999995</c:v>
                </c:pt>
                <c:pt idx="14">
                  <c:v>620.29999999999995</c:v>
                </c:pt>
                <c:pt idx="15">
                  <c:v>620.29999999999995</c:v>
                </c:pt>
                <c:pt idx="16">
                  <c:v>620.29999999999995</c:v>
                </c:pt>
                <c:pt idx="17">
                  <c:v>620.29999999999995</c:v>
                </c:pt>
                <c:pt idx="18">
                  <c:v>620.29999999999995</c:v>
                </c:pt>
                <c:pt idx="19">
                  <c:v>620.29999999999995</c:v>
                </c:pt>
                <c:pt idx="20">
                  <c:v>620.29999999999995</c:v>
                </c:pt>
                <c:pt idx="21">
                  <c:v>620.29999999999995</c:v>
                </c:pt>
                <c:pt idx="22">
                  <c:v>620.29999999999995</c:v>
                </c:pt>
                <c:pt idx="23">
                  <c:v>620.29999999999995</c:v>
                </c:pt>
                <c:pt idx="24">
                  <c:v>620.29999999999995</c:v>
                </c:pt>
                <c:pt idx="25">
                  <c:v>620.29999999999995</c:v>
                </c:pt>
                <c:pt idx="26">
                  <c:v>620.29999999999995</c:v>
                </c:pt>
                <c:pt idx="27">
                  <c:v>620.29999999999995</c:v>
                </c:pt>
                <c:pt idx="28">
                  <c:v>620.29999999999995</c:v>
                </c:pt>
                <c:pt idx="29">
                  <c:v>620.29999999999995</c:v>
                </c:pt>
                <c:pt idx="30">
                  <c:v>620.29999999999995</c:v>
                </c:pt>
                <c:pt idx="31">
                  <c:v>620.29999999999995</c:v>
                </c:pt>
                <c:pt idx="32">
                  <c:v>620.29999999999995</c:v>
                </c:pt>
                <c:pt idx="33">
                  <c:v>620.29999999999995</c:v>
                </c:pt>
                <c:pt idx="34">
                  <c:v>620.29999999999995</c:v>
                </c:pt>
                <c:pt idx="35">
                  <c:v>620.29999999999995</c:v>
                </c:pt>
                <c:pt idx="36">
                  <c:v>620.29999999999995</c:v>
                </c:pt>
                <c:pt idx="37">
                  <c:v>620.29999999999995</c:v>
                </c:pt>
                <c:pt idx="38">
                  <c:v>620.29999999999995</c:v>
                </c:pt>
                <c:pt idx="39">
                  <c:v>620.29999999999995</c:v>
                </c:pt>
                <c:pt idx="40">
                  <c:v>620.29999999999995</c:v>
                </c:pt>
                <c:pt idx="41">
                  <c:v>620.29999999999995</c:v>
                </c:pt>
                <c:pt idx="42">
                  <c:v>620.29999999999995</c:v>
                </c:pt>
                <c:pt idx="43">
                  <c:v>620.29999999999995</c:v>
                </c:pt>
                <c:pt idx="44">
                  <c:v>620.29999999999995</c:v>
                </c:pt>
                <c:pt idx="45">
                  <c:v>620.29999999999995</c:v>
                </c:pt>
                <c:pt idx="46">
                  <c:v>620.29999999999995</c:v>
                </c:pt>
                <c:pt idx="47">
                  <c:v>620.29999999999995</c:v>
                </c:pt>
                <c:pt idx="48">
                  <c:v>620.29999999999995</c:v>
                </c:pt>
                <c:pt idx="49">
                  <c:v>620.29999999999995</c:v>
                </c:pt>
                <c:pt idx="50">
                  <c:v>620.29999999999995</c:v>
                </c:pt>
                <c:pt idx="51">
                  <c:v>620.29999999999995</c:v>
                </c:pt>
                <c:pt idx="52">
                  <c:v>620.29999999999995</c:v>
                </c:pt>
                <c:pt idx="53">
                  <c:v>620.29999999999995</c:v>
                </c:pt>
                <c:pt idx="54">
                  <c:v>620.29999999999995</c:v>
                </c:pt>
                <c:pt idx="55">
                  <c:v>620.29999999999995</c:v>
                </c:pt>
                <c:pt idx="56">
                  <c:v>620.29999999999995</c:v>
                </c:pt>
                <c:pt idx="57">
                  <c:v>620.29999999999995</c:v>
                </c:pt>
                <c:pt idx="58">
                  <c:v>620.29999999999995</c:v>
                </c:pt>
                <c:pt idx="59">
                  <c:v>620.29999999999995</c:v>
                </c:pt>
                <c:pt idx="60">
                  <c:v>620.29999999999995</c:v>
                </c:pt>
                <c:pt idx="61">
                  <c:v>620.29999999999995</c:v>
                </c:pt>
                <c:pt idx="62">
                  <c:v>620.29999999999995</c:v>
                </c:pt>
                <c:pt idx="63">
                  <c:v>620.29999999999995</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'Fig 13.10. Additional Run chart'!$D$1</c:f>
              <c:strCache>
                <c:ptCount val="1"/>
                <c:pt idx="0">
                  <c:v>Resistance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13.10. Additional Run chart'!$D$2:$D$34</c:f>
              <c:numCache>
                <c:formatCode>#,##0</c:formatCode>
                <c:ptCount val="33"/>
                <c:pt idx="0">
                  <c:v>4340</c:v>
                </c:pt>
                <c:pt idx="1">
                  <c:v>4340</c:v>
                </c:pt>
                <c:pt idx="2">
                  <c:v>3665</c:v>
                </c:pt>
                <c:pt idx="3">
                  <c:v>3775</c:v>
                </c:pt>
                <c:pt idx="4">
                  <c:v>5000</c:v>
                </c:pt>
                <c:pt idx="5">
                  <c:v>4850</c:v>
                </c:pt>
                <c:pt idx="6">
                  <c:v>4775</c:v>
                </c:pt>
                <c:pt idx="7">
                  <c:v>4500</c:v>
                </c:pt>
                <c:pt idx="8">
                  <c:v>4770</c:v>
                </c:pt>
                <c:pt idx="9">
                  <c:v>4500</c:v>
                </c:pt>
                <c:pt idx="10">
                  <c:v>4770</c:v>
                </c:pt>
                <c:pt idx="11">
                  <c:v>5150</c:v>
                </c:pt>
                <c:pt idx="12">
                  <c:v>4850</c:v>
                </c:pt>
                <c:pt idx="13">
                  <c:v>4700</c:v>
                </c:pt>
                <c:pt idx="14">
                  <c:v>5000</c:v>
                </c:pt>
                <c:pt idx="15">
                  <c:v>5000</c:v>
                </c:pt>
                <c:pt idx="16">
                  <c:v>5000</c:v>
                </c:pt>
                <c:pt idx="17">
                  <c:v>4700</c:v>
                </c:pt>
                <c:pt idx="18">
                  <c:v>4500</c:v>
                </c:pt>
                <c:pt idx="19">
                  <c:v>4840</c:v>
                </c:pt>
                <c:pt idx="20">
                  <c:v>5075</c:v>
                </c:pt>
                <c:pt idx="21">
                  <c:v>5000</c:v>
                </c:pt>
                <c:pt idx="22">
                  <c:v>4770</c:v>
                </c:pt>
                <c:pt idx="23">
                  <c:v>4570</c:v>
                </c:pt>
                <c:pt idx="24">
                  <c:v>4925</c:v>
                </c:pt>
                <c:pt idx="25">
                  <c:v>4775</c:v>
                </c:pt>
                <c:pt idx="26">
                  <c:v>5075</c:v>
                </c:pt>
                <c:pt idx="27">
                  <c:v>4925</c:v>
                </c:pt>
                <c:pt idx="28">
                  <c:v>5075</c:v>
                </c:pt>
                <c:pt idx="29">
                  <c:v>4925</c:v>
                </c:pt>
                <c:pt idx="30">
                  <c:v>5250</c:v>
                </c:pt>
                <c:pt idx="31">
                  <c:v>4915</c:v>
                </c:pt>
                <c:pt idx="32">
                  <c:v>5600</c:v>
                </c:pt>
              </c:numCache>
            </c:numRef>
          </c:val>
          <c:smooth val="0"/>
          <c:extLst>
            <c:ext xmlns:c16="http://schemas.microsoft.com/office/drawing/2014/chart" uri="{C3380CC4-5D6E-409C-BE32-E72D297353CC}">
              <c16:uniqueId val="{00000001-4305-41EB-B2A4-C72E0FF09C03}"/>
            </c:ext>
          </c:extLst>
        </c:ser>
        <c:ser>
          <c:idx val="0"/>
          <c:order val="1"/>
          <c:tx>
            <c:strRef>
              <c:f>'Fig 13.10. Additional Run chart'!$E$1</c:f>
              <c:strCache>
                <c:ptCount val="1"/>
                <c:pt idx="0">
                  <c:v>USL</c:v>
                </c:pt>
              </c:strCache>
            </c:strRef>
          </c:tx>
          <c:spPr>
            <a:ln w="28575" cap="rnd">
              <a:solidFill>
                <a:schemeClr val="tx1">
                  <a:lumMod val="50000"/>
                  <a:lumOff val="50000"/>
                </a:schemeClr>
              </a:solidFill>
              <a:round/>
            </a:ln>
            <a:effectLst/>
          </c:spPr>
          <c:marker>
            <c:symbol val="none"/>
          </c:marker>
          <c:val>
            <c:numRef>
              <c:f>'Fig 13.10. Additional Run chart'!$E$2:$E$34</c:f>
              <c:numCache>
                <c:formatCode>General</c:formatCode>
                <c:ptCount val="33"/>
                <c:pt idx="0">
                  <c:v>5700</c:v>
                </c:pt>
                <c:pt idx="1">
                  <c:v>5700</c:v>
                </c:pt>
                <c:pt idx="2">
                  <c:v>5700</c:v>
                </c:pt>
                <c:pt idx="3">
                  <c:v>5700</c:v>
                </c:pt>
                <c:pt idx="4">
                  <c:v>5700</c:v>
                </c:pt>
                <c:pt idx="5">
                  <c:v>5700</c:v>
                </c:pt>
                <c:pt idx="6">
                  <c:v>5700</c:v>
                </c:pt>
                <c:pt idx="7">
                  <c:v>5700</c:v>
                </c:pt>
                <c:pt idx="8">
                  <c:v>5700</c:v>
                </c:pt>
                <c:pt idx="9">
                  <c:v>5700</c:v>
                </c:pt>
                <c:pt idx="10">
                  <c:v>5700</c:v>
                </c:pt>
                <c:pt idx="11">
                  <c:v>5700</c:v>
                </c:pt>
                <c:pt idx="12">
                  <c:v>5700</c:v>
                </c:pt>
                <c:pt idx="13">
                  <c:v>5700</c:v>
                </c:pt>
                <c:pt idx="14">
                  <c:v>5700</c:v>
                </c:pt>
                <c:pt idx="15">
                  <c:v>5700</c:v>
                </c:pt>
                <c:pt idx="16">
                  <c:v>5700</c:v>
                </c:pt>
                <c:pt idx="17">
                  <c:v>5700</c:v>
                </c:pt>
                <c:pt idx="18">
                  <c:v>5700</c:v>
                </c:pt>
                <c:pt idx="19">
                  <c:v>5700</c:v>
                </c:pt>
                <c:pt idx="20">
                  <c:v>5700</c:v>
                </c:pt>
                <c:pt idx="21">
                  <c:v>5700</c:v>
                </c:pt>
                <c:pt idx="22">
                  <c:v>5700</c:v>
                </c:pt>
                <c:pt idx="23">
                  <c:v>5700</c:v>
                </c:pt>
                <c:pt idx="24">
                  <c:v>5700</c:v>
                </c:pt>
                <c:pt idx="25">
                  <c:v>5700</c:v>
                </c:pt>
                <c:pt idx="26">
                  <c:v>5700</c:v>
                </c:pt>
                <c:pt idx="27">
                  <c:v>5700</c:v>
                </c:pt>
                <c:pt idx="28">
                  <c:v>5700</c:v>
                </c:pt>
                <c:pt idx="29">
                  <c:v>5700</c:v>
                </c:pt>
                <c:pt idx="30">
                  <c:v>5700</c:v>
                </c:pt>
                <c:pt idx="31">
                  <c:v>5700</c:v>
                </c:pt>
                <c:pt idx="32">
                  <c:v>5700</c:v>
                </c:pt>
              </c:numCache>
            </c:numRef>
          </c:val>
          <c:smooth val="0"/>
          <c:extLst>
            <c:ext xmlns:c16="http://schemas.microsoft.com/office/drawing/2014/chart" uri="{C3380CC4-5D6E-409C-BE32-E72D297353CC}">
              <c16:uniqueId val="{00000002-4305-41EB-B2A4-C72E0FF09C03}"/>
            </c:ext>
          </c:extLst>
        </c:ser>
        <c:ser>
          <c:idx val="2"/>
          <c:order val="2"/>
          <c:tx>
            <c:strRef>
              <c:f>'Fig 13.10. Additional Run chart'!$F$1</c:f>
              <c:strCache>
                <c:ptCount val="1"/>
                <c:pt idx="0">
                  <c:v>LSL</c:v>
                </c:pt>
              </c:strCache>
            </c:strRef>
          </c:tx>
          <c:spPr>
            <a:ln w="28575" cap="rnd">
              <a:solidFill>
                <a:schemeClr val="tx1">
                  <a:lumMod val="50000"/>
                  <a:lumOff val="50000"/>
                </a:schemeClr>
              </a:solidFill>
              <a:round/>
            </a:ln>
            <a:effectLst/>
          </c:spPr>
          <c:marker>
            <c:symbol val="none"/>
          </c:marker>
          <c:val>
            <c:numRef>
              <c:f>'Fig 13.10. Additional Run chart'!$F$2:$F$34</c:f>
              <c:numCache>
                <c:formatCode>General</c:formatCode>
                <c:ptCount val="33"/>
                <c:pt idx="0">
                  <c:v>3550</c:v>
                </c:pt>
                <c:pt idx="1">
                  <c:v>3550</c:v>
                </c:pt>
                <c:pt idx="2">
                  <c:v>3550</c:v>
                </c:pt>
                <c:pt idx="3">
                  <c:v>3550</c:v>
                </c:pt>
                <c:pt idx="4">
                  <c:v>3550</c:v>
                </c:pt>
                <c:pt idx="5">
                  <c:v>3550</c:v>
                </c:pt>
                <c:pt idx="6">
                  <c:v>3550</c:v>
                </c:pt>
                <c:pt idx="7">
                  <c:v>3550</c:v>
                </c:pt>
                <c:pt idx="8">
                  <c:v>3550</c:v>
                </c:pt>
                <c:pt idx="9">
                  <c:v>3550</c:v>
                </c:pt>
                <c:pt idx="10">
                  <c:v>3550</c:v>
                </c:pt>
                <c:pt idx="11">
                  <c:v>3550</c:v>
                </c:pt>
                <c:pt idx="12">
                  <c:v>3550</c:v>
                </c:pt>
                <c:pt idx="13">
                  <c:v>3550</c:v>
                </c:pt>
                <c:pt idx="14">
                  <c:v>3550</c:v>
                </c:pt>
                <c:pt idx="15">
                  <c:v>3550</c:v>
                </c:pt>
                <c:pt idx="16">
                  <c:v>3550</c:v>
                </c:pt>
                <c:pt idx="17">
                  <c:v>3550</c:v>
                </c:pt>
                <c:pt idx="18">
                  <c:v>3550</c:v>
                </c:pt>
                <c:pt idx="19">
                  <c:v>3550</c:v>
                </c:pt>
                <c:pt idx="20">
                  <c:v>3550</c:v>
                </c:pt>
                <c:pt idx="21">
                  <c:v>3550</c:v>
                </c:pt>
                <c:pt idx="22">
                  <c:v>3550</c:v>
                </c:pt>
                <c:pt idx="23">
                  <c:v>3550</c:v>
                </c:pt>
                <c:pt idx="24">
                  <c:v>3550</c:v>
                </c:pt>
                <c:pt idx="25">
                  <c:v>3550</c:v>
                </c:pt>
                <c:pt idx="26">
                  <c:v>3550</c:v>
                </c:pt>
                <c:pt idx="27">
                  <c:v>3550</c:v>
                </c:pt>
                <c:pt idx="28">
                  <c:v>3550</c:v>
                </c:pt>
                <c:pt idx="29">
                  <c:v>3550</c:v>
                </c:pt>
                <c:pt idx="30">
                  <c:v>3550</c:v>
                </c:pt>
                <c:pt idx="31">
                  <c:v>3550</c:v>
                </c:pt>
                <c:pt idx="32">
                  <c:v>3550</c:v>
                </c:pt>
              </c:numCache>
            </c:numRef>
          </c:val>
          <c:smooth val="0"/>
          <c:extLst>
            <c:ext xmlns:c16="http://schemas.microsoft.com/office/drawing/2014/chart" uri="{C3380CC4-5D6E-409C-BE32-E72D297353CC}">
              <c16:uniqueId val="{00000003-4305-41EB-B2A4-C72E0FF09C03}"/>
            </c:ext>
          </c:extLst>
        </c:ser>
        <c:dLbls>
          <c:showLegendKey val="0"/>
          <c:showVal val="0"/>
          <c:showCatName val="0"/>
          <c:showSerName val="0"/>
          <c:showPercent val="0"/>
          <c:showBubbleSize val="0"/>
        </c:dLbls>
        <c:marker val="1"/>
        <c:smooth val="0"/>
        <c:axId val="654915248"/>
        <c:axId val="654922448"/>
      </c:lineChart>
      <c:catAx>
        <c:axId val="6549152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22448"/>
        <c:crosses val="autoZero"/>
        <c:auto val="1"/>
        <c:lblAlgn val="ctr"/>
        <c:lblOffset val="100"/>
        <c:noMultiLvlLbl val="0"/>
      </c:catAx>
      <c:valAx>
        <c:axId val="654922448"/>
        <c:scaling>
          <c:orientation val="minMax"/>
          <c:max val="5900"/>
          <c:min val="34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rgbClr val="000000">
                        <a:lumMod val="65000"/>
                        <a:lumOff val="35000"/>
                      </a:srgbClr>
                    </a:solidFill>
                  </a:rPr>
                  <a:t>Resistance (</a:t>
                </a:r>
                <a:r>
                  <a:rPr lang="en-US" sz="1000" b="0" i="0" u="none" strike="noStrike" kern="1200" baseline="0">
                    <a:solidFill>
                      <a:srgbClr val="000000">
                        <a:lumMod val="65000"/>
                        <a:lumOff val="35000"/>
                      </a:srgbClr>
                    </a:solidFill>
                    <a:effectLst/>
                  </a:rPr>
                  <a:t>M</a:t>
                </a:r>
                <a:r>
                  <a:rPr lang="el-GR" sz="1000" b="0" i="0" u="none" strike="noStrike" kern="1200" baseline="0">
                    <a:solidFill>
                      <a:srgbClr val="000000">
                        <a:lumMod val="65000"/>
                        <a:lumOff val="35000"/>
                      </a:srgbClr>
                    </a:solidFill>
                    <a:effectLst/>
                  </a:rPr>
                  <a:t>Ω</a:t>
                </a:r>
                <a:r>
                  <a:rPr lang="en-US" sz="1000" b="0" i="0" u="none" strike="noStrike" kern="1200" baseline="0">
                    <a:solidFill>
                      <a:srgbClr val="000000">
                        <a:lumMod val="65000"/>
                        <a:lumOff val="35000"/>
                      </a:srgbClr>
                    </a:solidFill>
                    <a:effectLst/>
                  </a:rPr>
                  <a:t>)</a:t>
                </a:r>
                <a:endParaRPr lang="en-US" sz="1000" b="0" i="0" u="none" strike="noStrike" kern="1200" baseline="0">
                  <a:solidFill>
                    <a:srgbClr val="000000">
                      <a:lumMod val="65000"/>
                      <a:lumOff val="35000"/>
                    </a:srgb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9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13.11. Additional XmR chart'!$D$1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13.11. Additional XmR chart'!$D$2:$D$34</c:f>
              <c:numCache>
                <c:formatCode>#,##0</c:formatCode>
                <c:ptCount val="33"/>
                <c:pt idx="0">
                  <c:v>4340</c:v>
                </c:pt>
                <c:pt idx="1">
                  <c:v>4340</c:v>
                </c:pt>
                <c:pt idx="2">
                  <c:v>3665</c:v>
                </c:pt>
                <c:pt idx="3">
                  <c:v>3775</c:v>
                </c:pt>
                <c:pt idx="4">
                  <c:v>5000</c:v>
                </c:pt>
                <c:pt idx="5">
                  <c:v>4850</c:v>
                </c:pt>
                <c:pt idx="6">
                  <c:v>4775</c:v>
                </c:pt>
                <c:pt idx="7">
                  <c:v>4500</c:v>
                </c:pt>
                <c:pt idx="8">
                  <c:v>4770</c:v>
                </c:pt>
                <c:pt idx="9">
                  <c:v>4500</c:v>
                </c:pt>
                <c:pt idx="10">
                  <c:v>4770</c:v>
                </c:pt>
                <c:pt idx="11">
                  <c:v>5150</c:v>
                </c:pt>
                <c:pt idx="12">
                  <c:v>4850</c:v>
                </c:pt>
                <c:pt idx="13">
                  <c:v>4700</c:v>
                </c:pt>
                <c:pt idx="14">
                  <c:v>5000</c:v>
                </c:pt>
                <c:pt idx="15">
                  <c:v>5000</c:v>
                </c:pt>
                <c:pt idx="16">
                  <c:v>5000</c:v>
                </c:pt>
                <c:pt idx="17">
                  <c:v>4700</c:v>
                </c:pt>
                <c:pt idx="18">
                  <c:v>4500</c:v>
                </c:pt>
                <c:pt idx="19">
                  <c:v>4840</c:v>
                </c:pt>
                <c:pt idx="20">
                  <c:v>5075</c:v>
                </c:pt>
                <c:pt idx="21">
                  <c:v>5000</c:v>
                </c:pt>
                <c:pt idx="22">
                  <c:v>4770</c:v>
                </c:pt>
                <c:pt idx="23">
                  <c:v>4570</c:v>
                </c:pt>
                <c:pt idx="24">
                  <c:v>4925</c:v>
                </c:pt>
                <c:pt idx="25">
                  <c:v>4775</c:v>
                </c:pt>
                <c:pt idx="26">
                  <c:v>5075</c:v>
                </c:pt>
                <c:pt idx="27">
                  <c:v>4925</c:v>
                </c:pt>
                <c:pt idx="28">
                  <c:v>5075</c:v>
                </c:pt>
                <c:pt idx="29">
                  <c:v>4925</c:v>
                </c:pt>
                <c:pt idx="30">
                  <c:v>5250</c:v>
                </c:pt>
                <c:pt idx="31">
                  <c:v>4915</c:v>
                </c:pt>
                <c:pt idx="32">
                  <c:v>5600</c:v>
                </c:pt>
              </c:numCache>
            </c:numRef>
          </c:val>
          <c:smooth val="0"/>
          <c:extLst>
            <c:ext xmlns:c16="http://schemas.microsoft.com/office/drawing/2014/chart" uri="{C3380CC4-5D6E-409C-BE32-E72D297353CC}">
              <c16:uniqueId val="{00000000-329B-41D6-8340-43856FD2F6C5}"/>
            </c:ext>
          </c:extLst>
        </c:ser>
        <c:ser>
          <c:idx val="1"/>
          <c:order val="1"/>
          <c:tx>
            <c:strRef>
              <c:f>'Fig 13.11. Additional XmR chart'!$E$1</c:f>
              <c:strCache>
                <c:ptCount val="1"/>
                <c:pt idx="0">
                  <c:v>Mean</c:v>
                </c:pt>
              </c:strCache>
            </c:strRef>
          </c:tx>
          <c:spPr>
            <a:ln w="28575" cap="rnd">
              <a:solidFill>
                <a:schemeClr val="tx1"/>
              </a:solidFill>
              <a:round/>
            </a:ln>
            <a:effectLst/>
          </c:spPr>
          <c:marker>
            <c:symbol val="none"/>
          </c:marker>
          <c:val>
            <c:numRef>
              <c:f>'Fig 13.11. Additional XmR chart'!$E$2:$E$34</c:f>
              <c:numCache>
                <c:formatCode>#,##0</c:formatCode>
                <c:ptCount val="33"/>
                <c:pt idx="0">
                  <c:v>4785</c:v>
                </c:pt>
                <c:pt idx="1">
                  <c:v>4785</c:v>
                </c:pt>
                <c:pt idx="2">
                  <c:v>4785</c:v>
                </c:pt>
                <c:pt idx="3">
                  <c:v>4785</c:v>
                </c:pt>
                <c:pt idx="4">
                  <c:v>4785</c:v>
                </c:pt>
                <c:pt idx="5">
                  <c:v>4785</c:v>
                </c:pt>
                <c:pt idx="6">
                  <c:v>4785</c:v>
                </c:pt>
                <c:pt idx="7">
                  <c:v>4785</c:v>
                </c:pt>
                <c:pt idx="8">
                  <c:v>4785</c:v>
                </c:pt>
                <c:pt idx="9">
                  <c:v>4785</c:v>
                </c:pt>
                <c:pt idx="10">
                  <c:v>4785</c:v>
                </c:pt>
                <c:pt idx="11">
                  <c:v>4785</c:v>
                </c:pt>
                <c:pt idx="12">
                  <c:v>4785</c:v>
                </c:pt>
                <c:pt idx="13">
                  <c:v>4785</c:v>
                </c:pt>
                <c:pt idx="14">
                  <c:v>4785</c:v>
                </c:pt>
                <c:pt idx="15">
                  <c:v>4785</c:v>
                </c:pt>
                <c:pt idx="16">
                  <c:v>4785</c:v>
                </c:pt>
                <c:pt idx="17">
                  <c:v>4785</c:v>
                </c:pt>
                <c:pt idx="18">
                  <c:v>4785</c:v>
                </c:pt>
                <c:pt idx="19">
                  <c:v>4785</c:v>
                </c:pt>
                <c:pt idx="20">
                  <c:v>4785</c:v>
                </c:pt>
                <c:pt idx="21">
                  <c:v>4785</c:v>
                </c:pt>
                <c:pt idx="22">
                  <c:v>4785</c:v>
                </c:pt>
                <c:pt idx="23">
                  <c:v>4785</c:v>
                </c:pt>
                <c:pt idx="24">
                  <c:v>4785</c:v>
                </c:pt>
                <c:pt idx="25">
                  <c:v>4785</c:v>
                </c:pt>
                <c:pt idx="26">
                  <c:v>4785</c:v>
                </c:pt>
                <c:pt idx="27">
                  <c:v>4785</c:v>
                </c:pt>
                <c:pt idx="28">
                  <c:v>4785</c:v>
                </c:pt>
                <c:pt idx="29">
                  <c:v>4785</c:v>
                </c:pt>
                <c:pt idx="30">
                  <c:v>4785</c:v>
                </c:pt>
                <c:pt idx="31">
                  <c:v>4785</c:v>
                </c:pt>
                <c:pt idx="32">
                  <c:v>4785</c:v>
                </c:pt>
              </c:numCache>
            </c:numRef>
          </c:val>
          <c:smooth val="0"/>
          <c:extLst>
            <c:ext xmlns:c16="http://schemas.microsoft.com/office/drawing/2014/chart" uri="{C3380CC4-5D6E-409C-BE32-E72D297353CC}">
              <c16:uniqueId val="{00000001-329B-41D6-8340-43856FD2F6C5}"/>
            </c:ext>
          </c:extLst>
        </c:ser>
        <c:ser>
          <c:idx val="2"/>
          <c:order val="2"/>
          <c:tx>
            <c:strRef>
              <c:f>'Fig 13.11. Additional XmR chart'!$F$1</c:f>
              <c:strCache>
                <c:ptCount val="1"/>
                <c:pt idx="0">
                  <c:v>UPL</c:v>
                </c:pt>
              </c:strCache>
            </c:strRef>
          </c:tx>
          <c:spPr>
            <a:ln w="28575" cap="rnd">
              <a:solidFill>
                <a:srgbClr val="D72323"/>
              </a:solidFill>
              <a:prstDash val="dash"/>
              <a:round/>
            </a:ln>
            <a:effectLst/>
          </c:spPr>
          <c:marker>
            <c:symbol val="none"/>
          </c:marker>
          <c:val>
            <c:numRef>
              <c:f>'Fig 13.11. Additional XmR chart'!$F$2:$F$34</c:f>
              <c:numCache>
                <c:formatCode>General</c:formatCode>
                <c:ptCount val="33"/>
                <c:pt idx="0">
                  <c:v>5502.4</c:v>
                </c:pt>
                <c:pt idx="1">
                  <c:v>5502.4</c:v>
                </c:pt>
                <c:pt idx="2">
                  <c:v>5502.4</c:v>
                </c:pt>
                <c:pt idx="3">
                  <c:v>5502.4</c:v>
                </c:pt>
                <c:pt idx="4">
                  <c:v>5502.4</c:v>
                </c:pt>
                <c:pt idx="5">
                  <c:v>5502.4</c:v>
                </c:pt>
                <c:pt idx="6">
                  <c:v>5502.4</c:v>
                </c:pt>
                <c:pt idx="7">
                  <c:v>5502.4</c:v>
                </c:pt>
                <c:pt idx="8">
                  <c:v>5502.4</c:v>
                </c:pt>
                <c:pt idx="9">
                  <c:v>5502.4</c:v>
                </c:pt>
                <c:pt idx="10">
                  <c:v>5502.4</c:v>
                </c:pt>
                <c:pt idx="11">
                  <c:v>5502.4</c:v>
                </c:pt>
                <c:pt idx="12">
                  <c:v>5502.4</c:v>
                </c:pt>
                <c:pt idx="13">
                  <c:v>5502.4</c:v>
                </c:pt>
                <c:pt idx="14">
                  <c:v>5502.4</c:v>
                </c:pt>
                <c:pt idx="15">
                  <c:v>5502.4</c:v>
                </c:pt>
                <c:pt idx="16">
                  <c:v>5502.4</c:v>
                </c:pt>
                <c:pt idx="17">
                  <c:v>5502.4</c:v>
                </c:pt>
                <c:pt idx="18">
                  <c:v>5502.4</c:v>
                </c:pt>
                <c:pt idx="19">
                  <c:v>5502.4</c:v>
                </c:pt>
                <c:pt idx="20">
                  <c:v>5502.4</c:v>
                </c:pt>
                <c:pt idx="21">
                  <c:v>5502.4</c:v>
                </c:pt>
                <c:pt idx="22">
                  <c:v>5502.4</c:v>
                </c:pt>
                <c:pt idx="23">
                  <c:v>5502.4</c:v>
                </c:pt>
                <c:pt idx="24">
                  <c:v>5502.4</c:v>
                </c:pt>
                <c:pt idx="25">
                  <c:v>5502.4</c:v>
                </c:pt>
                <c:pt idx="26">
                  <c:v>5502.4</c:v>
                </c:pt>
                <c:pt idx="27">
                  <c:v>5502.4</c:v>
                </c:pt>
                <c:pt idx="28">
                  <c:v>5502.4</c:v>
                </c:pt>
                <c:pt idx="29">
                  <c:v>5502.4</c:v>
                </c:pt>
                <c:pt idx="30">
                  <c:v>5502.4</c:v>
                </c:pt>
                <c:pt idx="31">
                  <c:v>5502.4</c:v>
                </c:pt>
                <c:pt idx="32">
                  <c:v>5502.4</c:v>
                </c:pt>
              </c:numCache>
            </c:numRef>
          </c:val>
          <c:smooth val="0"/>
          <c:extLst>
            <c:ext xmlns:c16="http://schemas.microsoft.com/office/drawing/2014/chart" uri="{C3380CC4-5D6E-409C-BE32-E72D297353CC}">
              <c16:uniqueId val="{00000002-329B-41D6-8340-43856FD2F6C5}"/>
            </c:ext>
          </c:extLst>
        </c:ser>
        <c:ser>
          <c:idx val="3"/>
          <c:order val="3"/>
          <c:tx>
            <c:strRef>
              <c:f>'Fig 13.11. Additional XmR chart'!$G$1</c:f>
              <c:strCache>
                <c:ptCount val="1"/>
                <c:pt idx="0">
                  <c:v>LPL</c:v>
                </c:pt>
              </c:strCache>
            </c:strRef>
          </c:tx>
          <c:spPr>
            <a:ln w="28575" cap="rnd">
              <a:solidFill>
                <a:srgbClr val="D72323"/>
              </a:solidFill>
              <a:prstDash val="dash"/>
              <a:round/>
            </a:ln>
            <a:effectLst/>
          </c:spPr>
          <c:marker>
            <c:symbol val="none"/>
          </c:marker>
          <c:val>
            <c:numRef>
              <c:f>'Fig 13.11. Additional XmR chart'!$G$2:$G$34</c:f>
              <c:numCache>
                <c:formatCode>General</c:formatCode>
                <c:ptCount val="33"/>
                <c:pt idx="0">
                  <c:v>4067.6</c:v>
                </c:pt>
                <c:pt idx="1">
                  <c:v>4067.6</c:v>
                </c:pt>
                <c:pt idx="2">
                  <c:v>4067.6</c:v>
                </c:pt>
                <c:pt idx="3">
                  <c:v>4067.6</c:v>
                </c:pt>
                <c:pt idx="4">
                  <c:v>4067.6</c:v>
                </c:pt>
                <c:pt idx="5">
                  <c:v>4067.6</c:v>
                </c:pt>
                <c:pt idx="6">
                  <c:v>4067.6</c:v>
                </c:pt>
                <c:pt idx="7">
                  <c:v>4067.6</c:v>
                </c:pt>
                <c:pt idx="8">
                  <c:v>4067.6</c:v>
                </c:pt>
                <c:pt idx="9">
                  <c:v>4067.6</c:v>
                </c:pt>
                <c:pt idx="10">
                  <c:v>4067.6</c:v>
                </c:pt>
                <c:pt idx="11">
                  <c:v>4067.6</c:v>
                </c:pt>
                <c:pt idx="12">
                  <c:v>4067.6</c:v>
                </c:pt>
                <c:pt idx="13">
                  <c:v>4067.6</c:v>
                </c:pt>
                <c:pt idx="14">
                  <c:v>4067.6</c:v>
                </c:pt>
                <c:pt idx="15">
                  <c:v>4067.6</c:v>
                </c:pt>
                <c:pt idx="16">
                  <c:v>4067.6</c:v>
                </c:pt>
                <c:pt idx="17">
                  <c:v>4067.6</c:v>
                </c:pt>
                <c:pt idx="18">
                  <c:v>4067.6</c:v>
                </c:pt>
                <c:pt idx="19">
                  <c:v>4067.6</c:v>
                </c:pt>
                <c:pt idx="20">
                  <c:v>4067.6</c:v>
                </c:pt>
                <c:pt idx="21">
                  <c:v>4067.6</c:v>
                </c:pt>
                <c:pt idx="22">
                  <c:v>4067.6</c:v>
                </c:pt>
                <c:pt idx="23">
                  <c:v>4067.6</c:v>
                </c:pt>
                <c:pt idx="24">
                  <c:v>4067.6</c:v>
                </c:pt>
                <c:pt idx="25">
                  <c:v>4067.6</c:v>
                </c:pt>
                <c:pt idx="26">
                  <c:v>4067.6</c:v>
                </c:pt>
                <c:pt idx="27">
                  <c:v>4067.6</c:v>
                </c:pt>
                <c:pt idx="28">
                  <c:v>4067.6</c:v>
                </c:pt>
                <c:pt idx="29">
                  <c:v>4067.6</c:v>
                </c:pt>
                <c:pt idx="30">
                  <c:v>4067.6</c:v>
                </c:pt>
                <c:pt idx="31">
                  <c:v>4067.6</c:v>
                </c:pt>
                <c:pt idx="32">
                  <c:v>4067.6</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3400"/>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rgbClr val="000000">
                        <a:lumMod val="65000"/>
                        <a:lumOff val="35000"/>
                      </a:srgbClr>
                    </a:solidFill>
                  </a:rPr>
                  <a:t>Resistance (</a:t>
                </a:r>
                <a:r>
                  <a:rPr lang="en-US" sz="1000" b="0" i="0" u="none" strike="noStrike" kern="1200" baseline="0">
                    <a:solidFill>
                      <a:srgbClr val="000000">
                        <a:lumMod val="65000"/>
                        <a:lumOff val="35000"/>
                      </a:srgbClr>
                    </a:solidFill>
                    <a:effectLst/>
                  </a:rPr>
                  <a:t>M</a:t>
                </a:r>
                <a:r>
                  <a:rPr lang="el-GR" sz="1000" b="0" i="0" u="none" strike="noStrike" kern="1200" baseline="0">
                    <a:solidFill>
                      <a:srgbClr val="000000">
                        <a:lumMod val="65000"/>
                        <a:lumOff val="35000"/>
                      </a:srgbClr>
                    </a:solidFill>
                    <a:effectLst/>
                  </a:rPr>
                  <a:t>Ω</a:t>
                </a:r>
                <a:r>
                  <a:rPr lang="en-US" sz="1000" b="0" i="0" u="none" strike="noStrike" kern="1200" baseline="0">
                    <a:solidFill>
                      <a:srgbClr val="000000">
                        <a:lumMod val="65000"/>
                        <a:lumOff val="35000"/>
                      </a:srgbClr>
                    </a:solidFill>
                    <a:effectLst/>
                  </a:rPr>
                  <a:t>)</a:t>
                </a:r>
                <a:endParaRPr lang="en-US" sz="1000" b="0" i="0" u="none" strike="noStrike" kern="1200" baseline="0">
                  <a:solidFill>
                    <a:srgbClr val="000000">
                      <a:lumMod val="65000"/>
                      <a:lumOff val="35000"/>
                    </a:srgbClr>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13.11. Additional XmR chart'!$H$1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13.11. Additional XmR chart'!$H$2:$H$34</c:f>
              <c:numCache>
                <c:formatCode>General</c:formatCode>
                <c:ptCount val="33"/>
                <c:pt idx="1">
                  <c:v>0</c:v>
                </c:pt>
                <c:pt idx="2">
                  <c:v>675</c:v>
                </c:pt>
                <c:pt idx="3">
                  <c:v>110</c:v>
                </c:pt>
                <c:pt idx="4">
                  <c:v>1225</c:v>
                </c:pt>
                <c:pt idx="5">
                  <c:v>150</c:v>
                </c:pt>
                <c:pt idx="6">
                  <c:v>75</c:v>
                </c:pt>
                <c:pt idx="7">
                  <c:v>275</c:v>
                </c:pt>
                <c:pt idx="8">
                  <c:v>270</c:v>
                </c:pt>
                <c:pt idx="9">
                  <c:v>270</c:v>
                </c:pt>
                <c:pt idx="10">
                  <c:v>270</c:v>
                </c:pt>
                <c:pt idx="11">
                  <c:v>380</c:v>
                </c:pt>
                <c:pt idx="12">
                  <c:v>300</c:v>
                </c:pt>
                <c:pt idx="13">
                  <c:v>150</c:v>
                </c:pt>
                <c:pt idx="14">
                  <c:v>300</c:v>
                </c:pt>
                <c:pt idx="15">
                  <c:v>0</c:v>
                </c:pt>
                <c:pt idx="16">
                  <c:v>0</c:v>
                </c:pt>
                <c:pt idx="17">
                  <c:v>300</c:v>
                </c:pt>
                <c:pt idx="18">
                  <c:v>200</c:v>
                </c:pt>
                <c:pt idx="19">
                  <c:v>340</c:v>
                </c:pt>
                <c:pt idx="20">
                  <c:v>235</c:v>
                </c:pt>
                <c:pt idx="21">
                  <c:v>75</c:v>
                </c:pt>
                <c:pt idx="22">
                  <c:v>230</c:v>
                </c:pt>
                <c:pt idx="23">
                  <c:v>200</c:v>
                </c:pt>
                <c:pt idx="24">
                  <c:v>355</c:v>
                </c:pt>
                <c:pt idx="25">
                  <c:v>150</c:v>
                </c:pt>
                <c:pt idx="26">
                  <c:v>300</c:v>
                </c:pt>
                <c:pt idx="27">
                  <c:v>150</c:v>
                </c:pt>
                <c:pt idx="28">
                  <c:v>150</c:v>
                </c:pt>
                <c:pt idx="29">
                  <c:v>150</c:v>
                </c:pt>
                <c:pt idx="30">
                  <c:v>325</c:v>
                </c:pt>
                <c:pt idx="31">
                  <c:v>335</c:v>
                </c:pt>
                <c:pt idx="32">
                  <c:v>685</c:v>
                </c:pt>
              </c:numCache>
            </c:numRef>
          </c:val>
          <c:smooth val="0"/>
          <c:extLst>
            <c:ext xmlns:c16="http://schemas.microsoft.com/office/drawing/2014/chart" uri="{C3380CC4-5D6E-409C-BE32-E72D297353CC}">
              <c16:uniqueId val="{00000000-5D18-47FA-93F7-2AB89D044415}"/>
            </c:ext>
          </c:extLst>
        </c:ser>
        <c:ser>
          <c:idx val="1"/>
          <c:order val="1"/>
          <c:tx>
            <c:strRef>
              <c:f>'Fig 13.11. Additional XmR chart'!$I$1</c:f>
              <c:strCache>
                <c:ptCount val="1"/>
                <c:pt idx="0">
                  <c:v>Ave. mR</c:v>
                </c:pt>
              </c:strCache>
            </c:strRef>
          </c:tx>
          <c:spPr>
            <a:ln w="28575" cap="rnd">
              <a:solidFill>
                <a:schemeClr val="tx1"/>
              </a:solidFill>
              <a:round/>
            </a:ln>
            <a:effectLst/>
          </c:spPr>
          <c:marker>
            <c:symbol val="none"/>
          </c:marker>
          <c:val>
            <c:numRef>
              <c:f>'Fig 13.11. Additional XmR chart'!$I$2:$I$34</c:f>
              <c:numCache>
                <c:formatCode>General</c:formatCode>
                <c:ptCount val="33"/>
                <c:pt idx="0">
                  <c:v>269.7</c:v>
                </c:pt>
                <c:pt idx="1">
                  <c:v>269.7</c:v>
                </c:pt>
                <c:pt idx="2">
                  <c:v>269.7</c:v>
                </c:pt>
                <c:pt idx="3">
                  <c:v>269.7</c:v>
                </c:pt>
                <c:pt idx="4">
                  <c:v>269.7</c:v>
                </c:pt>
                <c:pt idx="5">
                  <c:v>269.7</c:v>
                </c:pt>
                <c:pt idx="6">
                  <c:v>269.7</c:v>
                </c:pt>
                <c:pt idx="7">
                  <c:v>269.7</c:v>
                </c:pt>
                <c:pt idx="8">
                  <c:v>269.7</c:v>
                </c:pt>
                <c:pt idx="9">
                  <c:v>269.7</c:v>
                </c:pt>
                <c:pt idx="10">
                  <c:v>269.7</c:v>
                </c:pt>
                <c:pt idx="11">
                  <c:v>269.7</c:v>
                </c:pt>
                <c:pt idx="12">
                  <c:v>269.7</c:v>
                </c:pt>
                <c:pt idx="13">
                  <c:v>269.7</c:v>
                </c:pt>
                <c:pt idx="14">
                  <c:v>269.7</c:v>
                </c:pt>
                <c:pt idx="15">
                  <c:v>269.7</c:v>
                </c:pt>
                <c:pt idx="16">
                  <c:v>269.7</c:v>
                </c:pt>
                <c:pt idx="17">
                  <c:v>269.7</c:v>
                </c:pt>
                <c:pt idx="18">
                  <c:v>269.7</c:v>
                </c:pt>
                <c:pt idx="19">
                  <c:v>269.7</c:v>
                </c:pt>
                <c:pt idx="20">
                  <c:v>269.7</c:v>
                </c:pt>
                <c:pt idx="21">
                  <c:v>269.7</c:v>
                </c:pt>
                <c:pt idx="22">
                  <c:v>269.7</c:v>
                </c:pt>
                <c:pt idx="23">
                  <c:v>269.7</c:v>
                </c:pt>
                <c:pt idx="24">
                  <c:v>269.7</c:v>
                </c:pt>
                <c:pt idx="25">
                  <c:v>269.7</c:v>
                </c:pt>
                <c:pt idx="26">
                  <c:v>269.7</c:v>
                </c:pt>
                <c:pt idx="27">
                  <c:v>269.7</c:v>
                </c:pt>
                <c:pt idx="28">
                  <c:v>269.7</c:v>
                </c:pt>
                <c:pt idx="29">
                  <c:v>269.7</c:v>
                </c:pt>
                <c:pt idx="30">
                  <c:v>269.7</c:v>
                </c:pt>
                <c:pt idx="31">
                  <c:v>269.7</c:v>
                </c:pt>
                <c:pt idx="32">
                  <c:v>269.7</c:v>
                </c:pt>
              </c:numCache>
            </c:numRef>
          </c:val>
          <c:smooth val="0"/>
          <c:extLst>
            <c:ext xmlns:c16="http://schemas.microsoft.com/office/drawing/2014/chart" uri="{C3380CC4-5D6E-409C-BE32-E72D297353CC}">
              <c16:uniqueId val="{00000001-5D18-47FA-93F7-2AB89D044415}"/>
            </c:ext>
          </c:extLst>
        </c:ser>
        <c:ser>
          <c:idx val="2"/>
          <c:order val="2"/>
          <c:tx>
            <c:strRef>
              <c:f>'Fig 13.11. Additional XmR chart'!$J$1</c:f>
              <c:strCache>
                <c:ptCount val="1"/>
                <c:pt idx="0">
                  <c:v>URL</c:v>
                </c:pt>
              </c:strCache>
            </c:strRef>
          </c:tx>
          <c:spPr>
            <a:ln w="28575" cap="rnd">
              <a:solidFill>
                <a:srgbClr val="D72323"/>
              </a:solidFill>
              <a:prstDash val="dash"/>
              <a:round/>
            </a:ln>
            <a:effectLst/>
          </c:spPr>
          <c:marker>
            <c:symbol val="none"/>
          </c:marker>
          <c:val>
            <c:numRef>
              <c:f>'Fig 13.11. Additional XmR chart'!$J$2:$J$34</c:f>
              <c:numCache>
                <c:formatCode>General</c:formatCode>
                <c:ptCount val="33"/>
                <c:pt idx="0">
                  <c:v>881.4</c:v>
                </c:pt>
                <c:pt idx="1">
                  <c:v>881.4</c:v>
                </c:pt>
                <c:pt idx="2">
                  <c:v>881.4</c:v>
                </c:pt>
                <c:pt idx="3">
                  <c:v>881.4</c:v>
                </c:pt>
                <c:pt idx="4">
                  <c:v>881.4</c:v>
                </c:pt>
                <c:pt idx="5">
                  <c:v>881.4</c:v>
                </c:pt>
                <c:pt idx="6">
                  <c:v>881.4</c:v>
                </c:pt>
                <c:pt idx="7">
                  <c:v>881.4</c:v>
                </c:pt>
                <c:pt idx="8">
                  <c:v>881.4</c:v>
                </c:pt>
                <c:pt idx="9">
                  <c:v>881.4</c:v>
                </c:pt>
                <c:pt idx="10">
                  <c:v>881.4</c:v>
                </c:pt>
                <c:pt idx="11">
                  <c:v>881.4</c:v>
                </c:pt>
                <c:pt idx="12">
                  <c:v>881.4</c:v>
                </c:pt>
                <c:pt idx="13">
                  <c:v>881.4</c:v>
                </c:pt>
                <c:pt idx="14">
                  <c:v>881.4</c:v>
                </c:pt>
                <c:pt idx="15">
                  <c:v>881.4</c:v>
                </c:pt>
                <c:pt idx="16">
                  <c:v>881.4</c:v>
                </c:pt>
                <c:pt idx="17">
                  <c:v>881.4</c:v>
                </c:pt>
                <c:pt idx="18">
                  <c:v>881.4</c:v>
                </c:pt>
                <c:pt idx="19">
                  <c:v>881.4</c:v>
                </c:pt>
                <c:pt idx="20">
                  <c:v>881.4</c:v>
                </c:pt>
                <c:pt idx="21">
                  <c:v>881.4</c:v>
                </c:pt>
                <c:pt idx="22">
                  <c:v>881.4</c:v>
                </c:pt>
                <c:pt idx="23">
                  <c:v>881.4</c:v>
                </c:pt>
                <c:pt idx="24">
                  <c:v>881.4</c:v>
                </c:pt>
                <c:pt idx="25">
                  <c:v>881.4</c:v>
                </c:pt>
                <c:pt idx="26">
                  <c:v>881.4</c:v>
                </c:pt>
                <c:pt idx="27">
                  <c:v>881.4</c:v>
                </c:pt>
                <c:pt idx="28">
                  <c:v>881.4</c:v>
                </c:pt>
                <c:pt idx="29">
                  <c:v>881.4</c:v>
                </c:pt>
                <c:pt idx="30">
                  <c:v>881.4</c:v>
                </c:pt>
                <c:pt idx="31">
                  <c:v>881.4</c:v>
                </c:pt>
                <c:pt idx="32">
                  <c:v>881.4</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7F926588-93A5-4F53-864E-1023F8F93E35}"/>
            </a:ext>
          </a:extLst>
        </xdr:cNvPr>
        <xdr:cNvPicPr preferRelativeResize="0"/>
      </xdr:nvPicPr>
      <xdr:blipFill>
        <a:blip xmlns:r="http://schemas.openxmlformats.org/officeDocument/2006/relationships" r:embed="rId1" cstate="print"/>
        <a:stretch>
          <a:fillRect/>
        </a:stretch>
      </xdr:blipFill>
      <xdr:spPr>
        <a:xfrm>
          <a:off x="6162675" y="2000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1</xdr:row>
      <xdr:rowOff>0</xdr:rowOff>
    </xdr:from>
    <xdr:to>
      <xdr:col>16</xdr:col>
      <xdr:colOff>0</xdr:colOff>
      <xdr:row>14</xdr:row>
      <xdr:rowOff>0</xdr:rowOff>
    </xdr:to>
    <xdr:graphicFrame macro="">
      <xdr:nvGraphicFramePr>
        <xdr:cNvPr id="2" name="Chart 1">
          <a:extLst>
            <a:ext uri="{FF2B5EF4-FFF2-40B4-BE49-F238E27FC236}">
              <a16:creationId xmlns:a16="http://schemas.microsoft.com/office/drawing/2014/main" id="{7A940312-830B-325A-CBDF-C73E8883B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xdr:row>
      <xdr:rowOff>0</xdr:rowOff>
    </xdr:from>
    <xdr:to>
      <xdr:col>22</xdr:col>
      <xdr:colOff>0</xdr:colOff>
      <xdr:row>14</xdr:row>
      <xdr:rowOff>0</xdr:rowOff>
    </xdr:to>
    <xdr:graphicFrame macro="">
      <xdr:nvGraphicFramePr>
        <xdr:cNvPr id="3" name="Chart 2">
          <a:extLst>
            <a:ext uri="{FF2B5EF4-FFF2-40B4-BE49-F238E27FC236}">
              <a16:creationId xmlns:a16="http://schemas.microsoft.com/office/drawing/2014/main" id="{0542D5ED-D6B6-66B0-B97F-744E837A1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14</xdr:row>
      <xdr:rowOff>0</xdr:rowOff>
    </xdr:from>
    <xdr:to>
      <xdr:col>16</xdr:col>
      <xdr:colOff>0</xdr:colOff>
      <xdr:row>25</xdr:row>
      <xdr:rowOff>0</xdr:rowOff>
    </xdr:to>
    <xdr:graphicFrame macro="">
      <xdr:nvGraphicFramePr>
        <xdr:cNvPr id="6" name="Chart 5">
          <a:extLst>
            <a:ext uri="{FF2B5EF4-FFF2-40B4-BE49-F238E27FC236}">
              <a16:creationId xmlns:a16="http://schemas.microsoft.com/office/drawing/2014/main" id="{6604846B-1EC0-EC68-8541-C460FAA08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14</xdr:row>
      <xdr:rowOff>0</xdr:rowOff>
    </xdr:from>
    <xdr:to>
      <xdr:col>22</xdr:col>
      <xdr:colOff>0</xdr:colOff>
      <xdr:row>25</xdr:row>
      <xdr:rowOff>0</xdr:rowOff>
    </xdr:to>
    <xdr:graphicFrame macro="">
      <xdr:nvGraphicFramePr>
        <xdr:cNvPr id="7" name="Chart 6">
          <a:extLst>
            <a:ext uri="{FF2B5EF4-FFF2-40B4-BE49-F238E27FC236}">
              <a16:creationId xmlns:a16="http://schemas.microsoft.com/office/drawing/2014/main" id="{4DD748E8-3358-AE6B-EECC-56AF790E4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0</xdr:colOff>
      <xdr:row>1</xdr:row>
      <xdr:rowOff>0</xdr:rowOff>
    </xdr:from>
    <xdr:to>
      <xdr:col>26</xdr:col>
      <xdr:colOff>0</xdr:colOff>
      <xdr:row>15</xdr:row>
      <xdr:rowOff>0</xdr:rowOff>
    </xdr:to>
    <xdr:graphicFrame macro="">
      <xdr:nvGraphicFramePr>
        <xdr:cNvPr id="2" name="Chart 1">
          <a:extLst>
            <a:ext uri="{FF2B5EF4-FFF2-40B4-BE49-F238E27FC236}">
              <a16:creationId xmlns:a16="http://schemas.microsoft.com/office/drawing/2014/main" id="{53F04DBC-6209-5787-A52A-1B77C12DA9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18</xdr:col>
      <xdr:colOff>0</xdr:colOff>
      <xdr:row>15</xdr:row>
      <xdr:rowOff>0</xdr:rowOff>
    </xdr:to>
    <xdr:graphicFrame macro="">
      <xdr:nvGraphicFramePr>
        <xdr:cNvPr id="3" name="Chart 2">
          <a:extLst>
            <a:ext uri="{FF2B5EF4-FFF2-40B4-BE49-F238E27FC236}">
              <a16:creationId xmlns:a16="http://schemas.microsoft.com/office/drawing/2014/main" id="{88F1C314-1041-89D8-26BB-A2DCB6AC62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0</xdr:colOff>
      <xdr:row>15</xdr:row>
      <xdr:rowOff>0</xdr:rowOff>
    </xdr:to>
    <xdr:graphicFrame macro="">
      <xdr:nvGraphicFramePr>
        <xdr:cNvPr id="3" name="Chart 2">
          <a:extLst>
            <a:ext uri="{FF2B5EF4-FFF2-40B4-BE49-F238E27FC236}">
              <a16:creationId xmlns:a16="http://schemas.microsoft.com/office/drawing/2014/main" id="{88403666-A628-DB8E-49D2-E974BA394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1</xdr:row>
      <xdr:rowOff>0</xdr:rowOff>
    </xdr:from>
    <xdr:to>
      <xdr:col>17</xdr:col>
      <xdr:colOff>0</xdr:colOff>
      <xdr:row>15</xdr:row>
      <xdr:rowOff>0</xdr:rowOff>
    </xdr:to>
    <xdr:graphicFrame macro="">
      <xdr:nvGraphicFramePr>
        <xdr:cNvPr id="3" name="Chart 2">
          <a:extLst>
            <a:ext uri="{FF2B5EF4-FFF2-40B4-BE49-F238E27FC236}">
              <a16:creationId xmlns:a16="http://schemas.microsoft.com/office/drawing/2014/main" id="{A2353F96-4829-49C2-AF7F-30111BD36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861059</xdr:colOff>
      <xdr:row>15</xdr:row>
      <xdr:rowOff>0</xdr:rowOff>
    </xdr:from>
    <xdr:to>
      <xdr:col>16</xdr:col>
      <xdr:colOff>861059</xdr:colOff>
      <xdr:row>28</xdr:row>
      <xdr:rowOff>0</xdr:rowOff>
    </xdr:to>
    <xdr:graphicFrame macro="">
      <xdr:nvGraphicFramePr>
        <xdr:cNvPr id="4" name="Chart 3">
          <a:extLst>
            <a:ext uri="{FF2B5EF4-FFF2-40B4-BE49-F238E27FC236}">
              <a16:creationId xmlns:a16="http://schemas.microsoft.com/office/drawing/2014/main" id="{3FCE575D-FD70-FAA3-A515-DD6AD9786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0</xdr:colOff>
      <xdr:row>16</xdr:row>
      <xdr:rowOff>0</xdr:rowOff>
    </xdr:to>
    <xdr:graphicFrame macro="">
      <xdr:nvGraphicFramePr>
        <xdr:cNvPr id="6" name="Chart 5">
          <a:extLst>
            <a:ext uri="{FF2B5EF4-FFF2-40B4-BE49-F238E27FC236}">
              <a16:creationId xmlns:a16="http://schemas.microsoft.com/office/drawing/2014/main" id="{B4556B97-3001-FC47-457A-B81786A6D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11</xdr:col>
      <xdr:colOff>0</xdr:colOff>
      <xdr:row>1</xdr:row>
      <xdr:rowOff>0</xdr:rowOff>
    </xdr:from>
    <xdr:to>
      <xdr:col>18</xdr:col>
      <xdr:colOff>0</xdr:colOff>
      <xdr:row>16</xdr:row>
      <xdr:rowOff>0</xdr:rowOff>
    </xdr:to>
    <xdr:graphicFrame macro="">
      <xdr:nvGraphicFramePr>
        <xdr:cNvPr id="2" name="Chart 1">
          <a:extLst>
            <a:ext uri="{FF2B5EF4-FFF2-40B4-BE49-F238E27FC236}">
              <a16:creationId xmlns:a16="http://schemas.microsoft.com/office/drawing/2014/main" id="{18B79E7F-009A-4E14-AC96-4B7977B869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16</xdr:row>
      <xdr:rowOff>0</xdr:rowOff>
    </xdr:from>
    <xdr:to>
      <xdr:col>18</xdr:col>
      <xdr:colOff>0</xdr:colOff>
      <xdr:row>29</xdr:row>
      <xdr:rowOff>0</xdr:rowOff>
    </xdr:to>
    <xdr:graphicFrame macro="">
      <xdr:nvGraphicFramePr>
        <xdr:cNvPr id="3" name="Chart 2">
          <a:extLst>
            <a:ext uri="{FF2B5EF4-FFF2-40B4-BE49-F238E27FC236}">
              <a16:creationId xmlns:a16="http://schemas.microsoft.com/office/drawing/2014/main" id="{B9308884-A4A8-1286-C346-2FAF972D6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6B373CB4-4DB4-465D-85B6-2557EC7363B9}" autoFormatId="16" applyNumberFormats="0" applyBorderFormats="0" applyFontFormats="0" applyPatternFormats="0" applyAlignmentFormats="0" applyWidthHeightFormats="0">
  <queryTableRefresh nextId="12" unboundColumnsLeft="1" unboundColumnsRight="6">
    <queryTableFields count="9">
      <queryTableField id="5" dataBound="0" tableColumnId="4"/>
      <queryTableField id="1" name="Month" tableColumnId="1"/>
      <queryTableField id="2" name="East Region" tableColumnId="2"/>
      <queryTableField id="6" dataBound="0" tableColumnId="5"/>
      <queryTableField id="7" dataBound="0" tableColumnId="6"/>
      <queryTableField id="8" dataBound="0" tableColumnId="7"/>
      <queryTableField id="9" dataBound="0" tableColumnId="8"/>
      <queryTableField id="10" dataBound="0" tableColumnId="9"/>
      <queryTableField id="11"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43F695E4-6FA2-4543-8F2C-5DCBD647059B}" autoFormatId="16" applyNumberFormats="0" applyBorderFormats="0" applyFontFormats="0" applyPatternFormats="0" applyAlignmentFormats="0" applyWidthHeightFormats="0">
  <queryTableRefresh nextId="11" unboundColumnsLeft="1" unboundColumnsRight="6">
    <queryTableFields count="9">
      <queryTableField id="4" dataBound="0" tableColumnId="3"/>
      <queryTableField id="2" name="Month" tableColumnId="2"/>
      <queryTableField id="1" name="West Region" tableColumnId="1"/>
      <queryTableField id="5" dataBound="0" tableColumnId="4"/>
      <queryTableField id="6" dataBound="0" tableColumnId="5"/>
      <queryTableField id="7" dataBound="0" tableColumnId="6"/>
      <queryTableField id="8" dataBound="0" tableColumnId="7"/>
      <queryTableField id="9" dataBound="0" tableColumnId="8"/>
      <queryTableField id="10"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A8121316-38FD-4DD7-A783-C18E170CAB0D}" autoFormatId="16" applyNumberFormats="0" applyBorderFormats="0" applyFontFormats="0" applyPatternFormats="0" applyAlignmentFormats="0" applyWidthHeightFormats="0">
  <queryTableRefresh nextId="10" unboundColumnsRight="6">
    <queryTableFields count="9">
      <queryTableField id="1" name="Player" tableColumnId="1"/>
      <queryTableField id="2" name="Year" tableColumnId="2"/>
      <queryTableField id="3" name="HR"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ACA0A126-B6B6-4AC4-B3AC-453551B03D61}" autoFormatId="16" applyNumberFormats="0" applyBorderFormats="0" applyFontFormats="0" applyPatternFormats="0" applyAlignmentFormats="0" applyWidthHeightFormats="0">
  <queryTableRefresh nextId="10" unboundColumnsRight="6">
    <queryTableFields count="9">
      <queryTableField id="1" name="Player" tableColumnId="1"/>
      <queryTableField id="2" name="Year" tableColumnId="2"/>
      <queryTableField id="3" name="HR"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F5B03B06-DE86-49AA-826E-D9E9CB0E5B77}" autoFormatId="16" applyNumberFormats="0" applyBorderFormats="0" applyFontFormats="0" applyPatternFormats="0" applyAlignmentFormats="0" applyWidthHeightFormats="0">
  <queryTableRefresh nextId="4">
    <queryTableFields count="3">
      <queryTableField id="1" name="Stage" tableColumnId="1"/>
      <queryTableField id="2" name="Value" tableColumnId="2"/>
      <queryTableField id="3" name="Resistanc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9" xr16:uid="{DBC5FB8A-0DA9-4B9D-AC2E-0384FAD51304}"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0" xr16:uid="{D2CF6611-1C37-4D62-81E6-3A10D7E62E6A}" autoFormatId="16" applyNumberFormats="0" applyBorderFormats="0" applyFontFormats="0" applyPatternFormats="0" applyAlignmentFormats="0" applyWidthHeightFormats="0">
  <queryTableRefresh nextId="7" unboundColumnsRight="2">
    <queryTableFields count="6">
      <queryTableField id="1" name="Stage" tableColumnId="1"/>
      <queryTableField id="2" name="Value" tableColumnId="2"/>
      <queryTableField id="4" dataBound="0" tableColumnId="4"/>
      <queryTableField id="3" name="Resistance" tableColumnId="3"/>
      <queryTableField id="5" dataBound="0" tableColumnId="5"/>
      <queryTableField id="6" dataBound="0"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1" xr16:uid="{7E4B7EB0-5E91-4826-97F5-E7B24F38DC11}" autoFormatId="16" applyNumberFormats="0" applyBorderFormats="0" applyFontFormats="0" applyPatternFormats="0" applyAlignmentFormats="0" applyWidthHeightFormats="0">
  <queryTableRefresh nextId="11" unboundColumnsRight="6">
    <queryTableFields count="10">
      <queryTableField id="1" name="Stage" tableColumnId="1"/>
      <queryTableField id="2" name="Value" tableColumnId="2"/>
      <queryTableField id="4" dataBound="0" tableColumnId="4"/>
      <queryTableField id="3" name="Resistance" tableColumnId="3"/>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3" xr16:uid="{A670378C-2984-441A-9885-CA8B3A9055BD}" autoFormatId="16" applyNumberFormats="0" applyBorderFormats="0" applyFontFormats="0" applyPatternFormats="0" applyAlignmentFormats="0" applyWidthHeightFormats="0">
  <queryTableRefresh nextId="4">
    <queryTableFields count="3">
      <queryTableField id="1" name="Month" tableColumnId="1"/>
      <queryTableField id="2" name="East Region" tableColumnId="2"/>
      <queryTableField id="3" name="West Region"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4" xr16:uid="{9CE98AFB-E1C8-403F-BE6E-A8D3720BEAAC}" autoFormatId="16" applyNumberFormats="0" applyBorderFormats="0" applyFontFormats="0" applyPatternFormats="0" applyAlignmentFormats="0" applyWidthHeightFormats="0">
  <queryTableRefresh nextId="7">
    <queryTableFields count="6">
      <queryTableField id="1" name="Sample" tableColumnId="1"/>
      <queryTableField id="2" name="Player" tableColumnId="2"/>
      <queryTableField id="3" name="Team" tableColumnId="3"/>
      <queryTableField id="4" name="Year" tableColumnId="4"/>
      <queryTableField id="5" name="HR" tableColumnId="5"/>
      <queryTableField id="6" name="Notes"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5" xr16:uid="{EDC83643-5AEF-4304-B041-C2A05EBCAA7A}" autoFormatId="16" applyNumberFormats="0" applyBorderFormats="0" applyFontFormats="0" applyPatternFormats="0" applyAlignmentFormats="0" applyWidthHeightFormats="0">
  <queryTableRefresh nextId="5">
    <queryTableFields count="4">
      <queryTableField id="1" name="Stage" tableColumnId="1"/>
      <queryTableField id="2" name="Units" tableColumnId="2"/>
      <queryTableField id="3" name="Value" tableColumnId="3"/>
      <queryTableField id="4" name="Resistance"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6B619A-8A51-4D87-BF53-35559CB1EAB4}" name="sales_by_regions" displayName="sales_by_regions" ref="A1:I13" tableType="queryTable" totalsRowShown="0" headerRowDxfId="82">
  <autoFilter ref="A1:I13" xr:uid="{136B619A-8A51-4D87-BF53-35559CB1EAB4}"/>
  <tableColumns count="9">
    <tableColumn id="4" xr3:uid="{120A3A9C-0E0B-431B-8DAE-55ACC0320C84}" uniqueName="4" name="Region" queryTableFieldId="5" dataDxfId="81"/>
    <tableColumn id="1" xr3:uid="{C4FE97A8-31C6-4A7A-BB5C-29A2CEC8B882}" uniqueName="1" name="Month" queryTableFieldId="1" dataDxfId="80"/>
    <tableColumn id="2" xr3:uid="{6686A113-69F9-4495-8F82-345C310E0CDB}" uniqueName="2" name="Sales" queryTableFieldId="2"/>
    <tableColumn id="5" xr3:uid="{DD23E86D-5598-4CA7-8422-C3BC1B8A3711}" uniqueName="5" name="Mean" queryTableFieldId="6" dataDxfId="79">
      <calculatedColumnFormula>ROUND(AVERAGE($C$2:$C$13),1)</calculatedColumnFormula>
    </tableColumn>
    <tableColumn id="6" xr3:uid="{E91DBF9F-8984-47B2-B553-4D239F39087F}" uniqueName="6" name="UPL" queryTableFieldId="7" dataDxfId="78">
      <calculatedColumnFormula>ROUND(D2+(2.66*H2),1)</calculatedColumnFormula>
    </tableColumn>
    <tableColumn id="7" xr3:uid="{67B10DC6-AD0D-4E80-931C-4C7AB69E6904}" uniqueName="7" name="LPL" queryTableFieldId="8" dataDxfId="77">
      <calculatedColumnFormula>ROUND(D2-(2.66*H2),1)</calculatedColumnFormula>
    </tableColumn>
    <tableColumn id="8" xr3:uid="{05D37210-6860-477A-B00B-0434264C077F}" uniqueName="8" name="mR" queryTableFieldId="9" dataDxfId="76">
      <calculatedColumnFormula>ROUND(ABS(C1-C2),1)</calculatedColumnFormula>
    </tableColumn>
    <tableColumn id="9" xr3:uid="{0E208BAC-AF15-4931-AAC2-1F54D1FB8683}" uniqueName="9" name="Ave. mR" queryTableFieldId="10" dataDxfId="75">
      <calculatedColumnFormula>ROUND(AVERAGE($G$3:$G$13),1)</calculatedColumnFormula>
    </tableColumn>
    <tableColumn id="10" xr3:uid="{ED007552-20C5-48BD-910F-D41F7860072D}" uniqueName="10" name=" URL" queryTableFieldId="11" dataDxfId="74">
      <calculatedColumnFormula>ROUND(3.268*H2,1)</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252717-7A5E-4B25-BA90-D0C79D593645}" name="sales_by_regions__2" displayName="sales_by_regions__2" ref="A15:I27" tableType="queryTable" totalsRowShown="0" headerRowDxfId="73">
  <autoFilter ref="A15:I27" xr:uid="{CD252717-7A5E-4B25-BA90-D0C79D593645}"/>
  <tableColumns count="9">
    <tableColumn id="3" xr3:uid="{109056C8-3457-4C75-A86A-F795EDF441C0}" uniqueName="3" name="Region" queryTableFieldId="4" dataDxfId="72"/>
    <tableColumn id="2" xr3:uid="{5183B856-B9B1-4B00-8A33-91BBC818DC62}" uniqueName="2" name="Month" queryTableFieldId="2" dataDxfId="71"/>
    <tableColumn id="1" xr3:uid="{125412B3-E59C-4F4D-A3ED-B6E2913BCBB5}" uniqueName="1" name="Sales" queryTableFieldId="1"/>
    <tableColumn id="4" xr3:uid="{6D4941FF-CAB7-4B54-879D-F7CA9AB6CB75}" uniqueName="4" name="Mean" queryTableFieldId="5" dataDxfId="70">
      <calculatedColumnFormula>ROUND(AVERAGE($C$16:$C$27),1)</calculatedColumnFormula>
    </tableColumn>
    <tableColumn id="5" xr3:uid="{88F76322-25AC-4227-838D-AF56AB10668C}" uniqueName="5" name="UPL" queryTableFieldId="6" dataDxfId="69">
      <calculatedColumnFormula>ROUND(D16+(2.66*H16),1)</calculatedColumnFormula>
    </tableColumn>
    <tableColumn id="6" xr3:uid="{8ACCD9A7-9158-4AEE-AC1E-9AE901624C90}" uniqueName="6" name="LPL" queryTableFieldId="7" dataDxfId="68">
      <calculatedColumnFormula>ROUND(D16-(2.66*H16),1)</calculatedColumnFormula>
    </tableColumn>
    <tableColumn id="7" xr3:uid="{2047C334-D292-422A-8D72-A97162C36DE8}" uniqueName="7" name="mR" queryTableFieldId="8" dataDxfId="67">
      <calculatedColumnFormula>ROUND(ABS(C15-C16),1)</calculatedColumnFormula>
    </tableColumn>
    <tableColumn id="8" xr3:uid="{B2E0C3B3-DB2F-465C-A00D-2212D1EDFEDE}" uniqueName="8" name="Ave. mR" queryTableFieldId="9" dataDxfId="66">
      <calculatedColumnFormula>ROUND(AVERAGE($G$17:$G$27),1)</calculatedColumnFormula>
    </tableColumn>
    <tableColumn id="9" xr3:uid="{7306EC59-74D5-4CE1-9C00-255928B95422}" uniqueName="9" name="URL" queryTableFieldId="10" dataDxfId="65">
      <calculatedColumnFormula>ROUND(3.268*H16,1)</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D4099E9-77D0-484C-9D4E-9182E33E6CAD}" name="home_runs_by_season" displayName="home_runs_by_season" ref="A1:I23" tableType="queryTable" totalsRowShown="0">
  <autoFilter ref="A1:I23" xr:uid="{1D4099E9-77D0-484C-9D4E-9182E33E6CAD}"/>
  <tableColumns count="9">
    <tableColumn id="1" xr3:uid="{031E3661-CEFF-4DD7-8C9E-DD46E90E70CC}" uniqueName="1" name="Player" queryTableFieldId="1" dataDxfId="64"/>
    <tableColumn id="2" xr3:uid="{9444E07E-9D45-4EED-848E-5052C1496E7A}" uniqueName="2" name="Year" queryTableFieldId="2"/>
    <tableColumn id="3" xr3:uid="{30BADB61-456E-45E3-8AD1-31264E4E0223}" uniqueName="3" name="HR" queryTableFieldId="3"/>
    <tableColumn id="4" xr3:uid="{AA7DB62B-CC49-43CB-9366-F14BF9F8A20A}" uniqueName="4" name="Mean" queryTableFieldId="4" dataDxfId="63">
      <calculatedColumnFormula>ROUND(AVERAGE($C$2:$C$23),1)</calculatedColumnFormula>
    </tableColumn>
    <tableColumn id="5" xr3:uid="{E94136F4-FE9B-409C-BB27-02FC38E5EF10}" uniqueName="5" name="UPL" queryTableFieldId="5" dataDxfId="62">
      <calculatedColumnFormula>ROUND(D2+(2.66*H2),1)</calculatedColumnFormula>
    </tableColumn>
    <tableColumn id="6" xr3:uid="{4D070AE6-D54A-44A8-BCA8-3B6C05536310}" uniqueName="6" name="LPL" queryTableFieldId="6" dataDxfId="61">
      <calculatedColumnFormula>ROUND(D2-(2.66*H2),1)</calculatedColumnFormula>
    </tableColumn>
    <tableColumn id="7" xr3:uid="{A279E6BD-7EDB-4B22-B180-F7DF472B366A}" uniqueName="7" name="mR" queryTableFieldId="7" dataDxfId="60">
      <calculatedColumnFormula>ABS(C1-C2)</calculatedColumnFormula>
    </tableColumn>
    <tableColumn id="8" xr3:uid="{407B518E-5A26-486F-8E41-BD930BD6F37B}" uniqueName="8" name="Ave. mR" queryTableFieldId="8" dataDxfId="59">
      <calculatedColumnFormula>ROUND(AVERAGE($G$3:$G$23),1)</calculatedColumnFormula>
    </tableColumn>
    <tableColumn id="9" xr3:uid="{782B8419-73E9-4254-8F52-3239D97DAAB5}" uniqueName="9" name=" URL" queryTableFieldId="9" dataDxfId="58">
      <calculatedColumnFormula>ROUND(3.268*H2,1)</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452B62-E0B3-4506-84F1-DF90A950C8BD}" name="home_runs_by_season__2" displayName="home_runs_by_season__2" ref="A25:I41" tableType="queryTable" totalsRowShown="0">
  <autoFilter ref="A25:I41" xr:uid="{0A452B62-E0B3-4506-84F1-DF90A950C8BD}"/>
  <tableColumns count="9">
    <tableColumn id="1" xr3:uid="{BF13B6A3-DF5A-4DCF-AF7D-7D6B18C83864}" uniqueName="1" name="Player" queryTableFieldId="1" dataDxfId="57"/>
    <tableColumn id="2" xr3:uid="{A940B43F-0556-4BBD-863F-14515A40E771}" uniqueName="2" name="Year" queryTableFieldId="2"/>
    <tableColumn id="3" xr3:uid="{7351082C-0A2D-4474-8369-6EC060BF50D8}" uniqueName="3" name="HR" queryTableFieldId="3"/>
    <tableColumn id="4" xr3:uid="{249A0356-140F-4A65-A66C-D38D02F3B3B0}" uniqueName="4" name="Mean" queryTableFieldId="4" dataDxfId="56">
      <calculatedColumnFormula>ROUND(AVERAGE($C$26:$C$41),1)</calculatedColumnFormula>
    </tableColumn>
    <tableColumn id="5" xr3:uid="{3941F06C-4971-4ECB-8104-42014F1FE4F6}" uniqueName="5" name="UPL" queryTableFieldId="5" dataDxfId="55">
      <calculatedColumnFormula>ROUND(D26+(2.66*H26),1)</calculatedColumnFormula>
    </tableColumn>
    <tableColumn id="6" xr3:uid="{F8F8358A-79DE-4093-AEAC-38FA2C6D2B46}" uniqueName="6" name="LPL" queryTableFieldId="6" dataDxfId="54">
      <calculatedColumnFormula>ROUND(MAX(0, D26-(2.66*H26)),1)</calculatedColumnFormula>
    </tableColumn>
    <tableColumn id="7" xr3:uid="{7AD35401-0296-44CD-88BD-E3DEAF283371}" uniqueName="7" name="mR" queryTableFieldId="7" dataDxfId="53">
      <calculatedColumnFormula>ABS(C25-C26)</calculatedColumnFormula>
    </tableColumn>
    <tableColumn id="8" xr3:uid="{97A7B4AB-0904-470E-A67E-3CBD91CAB185}" uniqueName="8" name="Ave. mR" queryTableFieldId="8" dataDxfId="52">
      <calculatedColumnFormula>ROUND(AVERAGE($G$27:$G$41),1)</calculatedColumnFormula>
    </tableColumn>
    <tableColumn id="9" xr3:uid="{440BF688-DD8B-4A71-A9DE-A97EEBD0BBA3}" uniqueName="9" name="URL" queryTableFieldId="9" dataDxfId="51">
      <calculatedColumnFormula>ROUND(3.268*H26,1)</calculatedColumnFormula>
    </tableColumn>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0897DC-0F5E-4841-8E22-EE44248C84C2}" name="shewharts_resistance_measurements" displayName="shewharts_resistance_measurements" ref="A1:C65" tableType="queryTable" totalsRowShown="0" headerRowDxfId="50" dataDxfId="49">
  <autoFilter ref="A1:C65" xr:uid="{FC0897DC-0F5E-4841-8E22-EE44248C84C2}"/>
  <tableColumns count="3">
    <tableColumn id="1" xr3:uid="{A06070E9-0167-40ED-A59A-AD452EF8D2DF}" uniqueName="1" name="Stage" queryTableFieldId="1" dataDxfId="48"/>
    <tableColumn id="2" xr3:uid="{4DBD6727-0023-47E1-ADC0-7FAE33D74A9D}" uniqueName="2" name="Value" queryTableFieldId="2" dataDxfId="47"/>
    <tableColumn id="3" xr3:uid="{255D85ED-7392-4813-AC15-05DA1A59BDFE}" uniqueName="3" name="Resistance" queryTableFieldId="3" dataDxfId="46"/>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C18887-599F-4BD5-9266-89936DD54083}" name="shewharts_resistance_measurements6" displayName="shewharts_resistance_measurements6" ref="A1:I65" tableType="queryTable" totalsRowShown="0" headerRowDxfId="45" dataDxfId="44">
  <autoFilter ref="A1:I65" xr:uid="{FC0897DC-0F5E-4841-8E22-EE44248C84C2}"/>
  <tableColumns count="9">
    <tableColumn id="1" xr3:uid="{F4A110D1-CC4E-4F53-A678-BFA684C663C8}" uniqueName="1" name="Stage" queryTableFieldId="1" dataDxfId="43"/>
    <tableColumn id="2" xr3:uid="{0071E549-0370-44B7-87B2-D9C419C891E1}" uniqueName="2" name="Value" queryTableFieldId="2" dataDxfId="42"/>
    <tableColumn id="3" xr3:uid="{EDF2B416-B018-491E-AD6B-C4B93E15A252}" uniqueName="3" name="Resistance" queryTableFieldId="3" dataDxfId="41"/>
    <tableColumn id="4" xr3:uid="{85364AAF-2852-430D-867F-70B3A6B41CDE}" uniqueName="4" name="Mean" queryTableFieldId="4" dataDxfId="40">
      <calculatedColumnFormula>ROUND(AVERAGE($C$2:$C$65),1)</calculatedColumnFormula>
    </tableColumn>
    <tableColumn id="5" xr3:uid="{8F0E7054-F05A-403D-AA40-A6A8BED00B0A}" uniqueName="5" name="UPL" queryTableFieldId="5" dataDxfId="39">
      <calculatedColumnFormula>ROUND(D2+(2.66*H2),1)</calculatedColumnFormula>
    </tableColumn>
    <tableColumn id="6" xr3:uid="{CC4CE3F3-FF0C-4552-A783-F61C5F5C03F2}" uniqueName="6" name="LPL" queryTableFieldId="6" dataDxfId="38">
      <calculatedColumnFormula>ROUND(D2-(2.66*H2),1)</calculatedColumnFormula>
    </tableColumn>
    <tableColumn id="7" xr3:uid="{B173DEFB-EF95-445D-BAF0-4144755FD176}" uniqueName="7" name="mR" queryTableFieldId="7" dataDxfId="37">
      <calculatedColumnFormula>ROUND(ABS(C1-C2),1)</calculatedColumnFormula>
    </tableColumn>
    <tableColumn id="8" xr3:uid="{43DC16BA-9E5A-481B-BDE7-AED1EC5BA69F}" uniqueName="8" name="Ave. mR" queryTableFieldId="8" dataDxfId="36">
      <calculatedColumnFormula>ROUND(AVERAGE($G$3:$G$65),1)</calculatedColumnFormula>
    </tableColumn>
    <tableColumn id="9" xr3:uid="{4403A1C2-63F3-4798-86AB-B1F3364F2448}" uniqueName="9" name="URL" queryTableFieldId="9" dataDxfId="35">
      <calculatedColumnFormula>ROUND(3.268*H2,1)</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2DAB67C-E1A5-474D-B283-1C69D9B8B675}" name="shewharts_resistance_measurements__4" displayName="shewharts_resistance_measurements__4" ref="A1:F34" tableType="queryTable" totalsRowShown="0" headerRowDxfId="34" dataDxfId="33">
  <autoFilter ref="A1:F34" xr:uid="{12DAB67C-E1A5-474D-B283-1C69D9B8B675}"/>
  <tableColumns count="6">
    <tableColumn id="1" xr3:uid="{E822762A-DCD6-485A-AE1E-D9F6AE9812A6}" uniqueName="1" name="Stage" queryTableFieldId="1" dataDxfId="32"/>
    <tableColumn id="2" xr3:uid="{F7E64A97-3959-43CE-9B95-474EA5A2C6CA}" uniqueName="2" name="Value" queryTableFieldId="2" dataDxfId="31"/>
    <tableColumn id="4" xr3:uid="{2BA56D0E-2A2D-44EF-96A7-A2A1FFB7C52B}" uniqueName="4" name="Plot Value" queryTableFieldId="4" dataDxfId="30"/>
    <tableColumn id="3" xr3:uid="{D8496B39-95FC-43E8-B167-172E28972ED2}" uniqueName="3" name="Resistance" queryTableFieldId="3" dataDxfId="29"/>
    <tableColumn id="5" xr3:uid="{965B2483-8BF1-4992-BF1F-17C22694EE48}" uniqueName="5" name="USL" queryTableFieldId="5" dataDxfId="28"/>
    <tableColumn id="6" xr3:uid="{F992BC40-2C3C-439A-B4AA-FBA5DE91FEDC}" uniqueName="6" name="LSL" queryTableFieldId="6" dataDxfId="27"/>
  </tableColumns>
  <tableStyleInfo name="The Virus of Variation"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F695D5-42EA-42F5-8527-460DA5580595}" name="shewharts_resistance_measurements__410" displayName="shewharts_resistance_measurements__410" ref="A1:J34" tableType="queryTable" totalsRowShown="0" headerRowDxfId="26" dataDxfId="25">
  <autoFilter ref="A1:J34" xr:uid="{12DAB67C-E1A5-474D-B283-1C69D9B8B675}"/>
  <tableColumns count="10">
    <tableColumn id="1" xr3:uid="{6DD2C643-4C94-44E0-A04E-D4E7B9CB0AF4}" uniqueName="1" name="Stage" queryTableFieldId="1" dataDxfId="24"/>
    <tableColumn id="2" xr3:uid="{8E5B5CE9-4161-4D38-8E5A-28AB090828D0}" uniqueName="2" name="Value" queryTableFieldId="2" dataDxfId="23"/>
    <tableColumn id="4" xr3:uid="{F2AC2359-D218-4ED0-B83E-5FDF88D7ED2E}" uniqueName="4" name="Plot Value" queryTableFieldId="4" dataDxfId="22"/>
    <tableColumn id="3" xr3:uid="{5813833C-1FD0-4951-825E-C095D6CBE6BD}" uniqueName="3" name="Resistance" queryTableFieldId="3" dataDxfId="21"/>
    <tableColumn id="5" xr3:uid="{80EA7D87-98E8-467B-8C88-6507D8EA14B6}" uniqueName="5" name="Mean" queryTableFieldId="5" dataDxfId="20">
      <calculatedColumnFormula>ROUND(AVERAGE($D$2:$D$34),1)</calculatedColumnFormula>
    </tableColumn>
    <tableColumn id="6" xr3:uid="{01B2A96F-46B6-4AC7-B62E-1D28532590D4}" uniqueName="6" name="UPL" queryTableFieldId="6" dataDxfId="19">
      <calculatedColumnFormula>ROUND(E2+(2.66*I2),1)</calculatedColumnFormula>
    </tableColumn>
    <tableColumn id="7" xr3:uid="{EEA28214-3EDD-480E-9590-6AA48B439EEA}" uniqueName="7" name="LPL" queryTableFieldId="7" dataDxfId="18">
      <calculatedColumnFormula>ROUND(E2-(2.66*I2),1)</calculatedColumnFormula>
    </tableColumn>
    <tableColumn id="8" xr3:uid="{4A770B05-8BFC-48FD-9F6C-1A8191BAA3B6}" uniqueName="8" name="mR" queryTableFieldId="8" dataDxfId="17">
      <calculatedColumnFormula>ABS(D1-D2)</calculatedColumnFormula>
    </tableColumn>
    <tableColumn id="9" xr3:uid="{A5665CE7-2A3E-42F7-B811-6D1257115260}" uniqueName="9" name="Ave. mR" queryTableFieldId="9" dataDxfId="16">
      <calculatedColumnFormula>ROUND(AVERAGE($H$3:$H$34),1)</calculatedColumnFormula>
    </tableColumn>
    <tableColumn id="10" xr3:uid="{BD27547D-7BE3-4C61-B520-6E756F70253D}" uniqueName="10" name="URL" queryTableFieldId="10" dataDxfId="15">
      <calculatedColumnFormula>ROUND(3.268*I2,1)</calculatedColumnFormula>
    </tableColumn>
  </tableColumns>
  <tableStyleInfo name="The Virus of Variation"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B8A9D9-8049-40E5-8791-CE339EE62BEE}" name="Query1" displayName="Query1" ref="A1:C13" tableType="queryTable" totalsRowShown="0" headerRowDxfId="3">
  <autoFilter ref="A1:C13" xr:uid="{5EB8A9D9-8049-40E5-8791-CE339EE62BEE}"/>
  <tableColumns count="3">
    <tableColumn id="1" xr3:uid="{2FF2200C-32AB-4E14-92B6-61F3DEF4D7CA}" uniqueName="1" name="Month" queryTableFieldId="1" dataDxfId="12"/>
    <tableColumn id="2" xr3:uid="{A11F096B-7AF8-44EE-858A-4A5169394619}" uniqueName="2" name="East Region" queryTableFieldId="2" dataDxfId="14"/>
    <tableColumn id="3" xr3:uid="{3682927A-EF82-46F5-A2F2-AF8759D71BCF}" uniqueName="3" name="West Region" queryTableFieldId="3" dataDxfId="13"/>
  </tableColumns>
  <tableStyleInfo name="The Virus of Variation"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31C9A4-F393-4B71-932E-34BD48125B8D}" name="Query2" displayName="Query2" ref="E1:J39" tableType="queryTable" totalsRowShown="0" headerRowDxfId="4" dataDxfId="8">
  <autoFilter ref="E1:J39" xr:uid="{CE31C9A4-F393-4B71-932E-34BD48125B8D}"/>
  <tableColumns count="6">
    <tableColumn id="1" xr3:uid="{A34F1AEB-841B-4005-A822-C6ACC1571975}" uniqueName="1" name="Sample" queryTableFieldId="1" dataDxfId="11"/>
    <tableColumn id="2" xr3:uid="{2624E7A3-2870-48EF-AB1A-8EC29F028F1D}" uniqueName="2" name="Player" queryTableFieldId="2" dataDxfId="7"/>
    <tableColumn id="3" xr3:uid="{4EAAD9E9-9941-42C2-8708-4B81EA12EECE}" uniqueName="3" name="Team" queryTableFieldId="3" dataDxfId="6"/>
    <tableColumn id="4" xr3:uid="{18202536-B59D-4F39-BB30-EF7DBFEF63C9}" uniqueName="4" name="Year" queryTableFieldId="4" dataDxfId="10"/>
    <tableColumn id="5" xr3:uid="{35EFFCA6-3775-45DC-ACAA-178E4EFC6E5C}" uniqueName="5" name="HR" queryTableFieldId="5" dataDxfId="9"/>
    <tableColumn id="6" xr3:uid="{1D9BA0D8-7F92-4948-BDF4-C5FAAE480197}" uniqueName="6" name="Notes" queryTableFieldId="6" dataDxfId="5"/>
  </tableColumns>
  <tableStyleInfo name="The Virus of Variation"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E8A1BB-1A02-4F78-9C79-6AC6141556FE}" name="Query3" displayName="Query3" ref="L1:O270" tableType="queryTable" totalsRowShown="0" headerRowDxfId="0">
  <autoFilter ref="L1:O270" xr:uid="{35E8A1BB-1A02-4F78-9C79-6AC6141556FE}"/>
  <tableColumns count="4">
    <tableColumn id="1" xr3:uid="{167ED416-D554-482A-93A4-FCAC57A54D7F}" uniqueName="1" name="Stage" queryTableFieldId="1" dataDxfId="2"/>
    <tableColumn id="2" xr3:uid="{36DC0C88-42D6-41DE-809A-2867E7BED283}" uniqueName="2" name="Units" queryTableFieldId="2" dataDxfId="1"/>
    <tableColumn id="3" xr3:uid="{F8EC7A64-5408-4E65-B96A-027A234CB8FF}" uniqueName="3" name="Value" queryTableFieldId="3"/>
    <tableColumn id="4" xr3:uid="{D02498C5-0E3B-4C38-885C-53FDDA996047}" uniqueName="4" name="Resistance" queryTableFieldId="4"/>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41"/>
  <sheetViews>
    <sheetView showGridLines="0" tabSelected="1" workbookViewId="0">
      <selection activeCell="A38" sqref="A38:G38"/>
    </sheetView>
  </sheetViews>
  <sheetFormatPr defaultColWidth="12.6640625" defaultRowHeight="15.75" customHeight="1" x14ac:dyDescent="0.25"/>
  <cols>
    <col min="8" max="8" width="1.33203125" customWidth="1"/>
    <col min="13" max="13" width="1.33203125" customWidth="1"/>
  </cols>
  <sheetData>
    <row r="1" spans="1:12" ht="24.6" x14ac:dyDescent="0.55000000000000004">
      <c r="A1" s="54" t="s">
        <v>0</v>
      </c>
      <c r="B1" s="55"/>
      <c r="C1" s="55"/>
      <c r="D1" s="55"/>
      <c r="E1" s="55"/>
      <c r="F1" s="55"/>
      <c r="G1" s="56"/>
      <c r="H1" s="1"/>
      <c r="I1" s="1"/>
      <c r="J1" s="1"/>
      <c r="K1" s="1"/>
      <c r="L1" s="1"/>
    </row>
    <row r="2" spans="1:12" ht="15.75" customHeight="1" x14ac:dyDescent="0.25">
      <c r="A2" s="34" t="s">
        <v>131</v>
      </c>
      <c r="B2" s="35"/>
      <c r="C2" s="35"/>
      <c r="D2" s="35"/>
      <c r="E2" s="35"/>
      <c r="F2" s="35"/>
      <c r="G2" s="27"/>
      <c r="H2" s="1"/>
      <c r="I2" s="1"/>
    </row>
    <row r="3" spans="1:12" ht="15.75" customHeight="1" x14ac:dyDescent="0.25">
      <c r="A3" s="25"/>
      <c r="B3" s="26"/>
      <c r="C3" s="26"/>
      <c r="D3" s="26"/>
      <c r="E3" s="26"/>
      <c r="F3" s="26"/>
      <c r="G3" s="27"/>
      <c r="H3" s="1"/>
    </row>
    <row r="4" spans="1:12" ht="15.75" customHeight="1" x14ac:dyDescent="0.25">
      <c r="A4" s="25"/>
      <c r="B4" s="26"/>
      <c r="C4" s="26"/>
      <c r="D4" s="26"/>
      <c r="E4" s="26"/>
      <c r="F4" s="26"/>
      <c r="G4" s="27"/>
      <c r="H4" s="1"/>
    </row>
    <row r="5" spans="1:12" ht="15.75" customHeight="1" x14ac:dyDescent="0.25">
      <c r="A5" s="25"/>
      <c r="B5" s="26"/>
      <c r="C5" s="26"/>
      <c r="D5" s="26"/>
      <c r="E5" s="26"/>
      <c r="F5" s="26"/>
      <c r="G5" s="27"/>
      <c r="H5" s="1"/>
    </row>
    <row r="6" spans="1:12" ht="15.75" customHeight="1" x14ac:dyDescent="0.25">
      <c r="A6" s="25"/>
      <c r="B6" s="26"/>
      <c r="C6" s="26"/>
      <c r="D6" s="26"/>
      <c r="E6" s="26"/>
      <c r="F6" s="26"/>
      <c r="G6" s="27"/>
      <c r="H6" s="1"/>
    </row>
    <row r="7" spans="1:12" ht="15.75" customHeight="1" x14ac:dyDescent="0.25">
      <c r="A7" s="25"/>
      <c r="B7" s="26"/>
      <c r="C7" s="26"/>
      <c r="D7" s="26"/>
      <c r="E7" s="26"/>
      <c r="F7" s="26"/>
      <c r="G7" s="27"/>
      <c r="H7" s="1"/>
    </row>
    <row r="8" spans="1:12" ht="15.75" customHeight="1" x14ac:dyDescent="0.25">
      <c r="A8" s="25"/>
      <c r="B8" s="26"/>
      <c r="C8" s="26"/>
      <c r="D8" s="26"/>
      <c r="E8" s="26"/>
      <c r="F8" s="26"/>
      <c r="G8" s="27"/>
      <c r="H8" s="1"/>
    </row>
    <row r="9" spans="1:12" ht="15.75" customHeight="1" x14ac:dyDescent="0.25">
      <c r="A9" s="25"/>
      <c r="B9" s="26"/>
      <c r="C9" s="26"/>
      <c r="D9" s="26"/>
      <c r="E9" s="26"/>
      <c r="F9" s="26"/>
      <c r="G9" s="27"/>
      <c r="H9" s="1"/>
    </row>
    <row r="10" spans="1:12" ht="15.75" customHeight="1" x14ac:dyDescent="0.25">
      <c r="A10" s="25"/>
      <c r="B10" s="26"/>
      <c r="C10" s="26"/>
      <c r="D10" s="26"/>
      <c r="E10" s="26"/>
      <c r="F10" s="26"/>
      <c r="G10" s="27"/>
      <c r="H10" s="1"/>
    </row>
    <row r="11" spans="1:12" ht="15.75" customHeight="1" x14ac:dyDescent="0.25">
      <c r="A11" s="25"/>
      <c r="B11" s="26"/>
      <c r="C11" s="26"/>
      <c r="D11" s="26"/>
      <c r="E11" s="26"/>
      <c r="F11" s="26"/>
      <c r="G11" s="27"/>
      <c r="H11" s="1"/>
    </row>
    <row r="12" spans="1:12" ht="15.75" customHeight="1" x14ac:dyDescent="0.25">
      <c r="A12" s="25"/>
      <c r="B12" s="26"/>
      <c r="C12" s="26"/>
      <c r="D12" s="26"/>
      <c r="E12" s="26"/>
      <c r="F12" s="26"/>
      <c r="G12" s="27"/>
      <c r="H12" s="1"/>
    </row>
    <row r="13" spans="1:12" ht="15.75" customHeight="1" x14ac:dyDescent="0.25">
      <c r="A13" s="25"/>
      <c r="B13" s="26"/>
      <c r="C13" s="26"/>
      <c r="D13" s="26"/>
      <c r="E13" s="26"/>
      <c r="F13" s="26"/>
      <c r="G13" s="27"/>
      <c r="H13" s="1"/>
    </row>
    <row r="14" spans="1:12" ht="15.75" customHeight="1" x14ac:dyDescent="0.25">
      <c r="A14" s="25"/>
      <c r="B14" s="26"/>
      <c r="C14" s="26"/>
      <c r="D14" s="26"/>
      <c r="E14" s="26"/>
      <c r="F14" s="26"/>
      <c r="G14" s="27"/>
      <c r="H14" s="1"/>
    </row>
    <row r="15" spans="1:12" ht="15.75" customHeight="1" x14ac:dyDescent="0.25">
      <c r="A15" s="25"/>
      <c r="B15" s="26"/>
      <c r="C15" s="26"/>
      <c r="D15" s="26"/>
      <c r="E15" s="26"/>
      <c r="F15" s="26"/>
      <c r="G15" s="27"/>
      <c r="H15" s="1"/>
    </row>
    <row r="16" spans="1:12" ht="15.75" customHeight="1" x14ac:dyDescent="0.25">
      <c r="A16" s="25"/>
      <c r="B16" s="26"/>
      <c r="C16" s="26"/>
      <c r="D16" s="26"/>
      <c r="E16" s="26"/>
      <c r="F16" s="26"/>
      <c r="G16" s="27"/>
      <c r="H16" s="1"/>
    </row>
    <row r="17" spans="1:8" ht="15.75" customHeight="1" x14ac:dyDescent="0.25">
      <c r="A17" s="25"/>
      <c r="B17" s="26"/>
      <c r="C17" s="26"/>
      <c r="D17" s="26"/>
      <c r="E17" s="26"/>
      <c r="F17" s="26"/>
      <c r="G17" s="27"/>
      <c r="H17" s="1"/>
    </row>
    <row r="18" spans="1:8" ht="15.75" customHeight="1" x14ac:dyDescent="0.25">
      <c r="A18" s="25"/>
      <c r="B18" s="26"/>
      <c r="C18" s="26"/>
      <c r="D18" s="26"/>
      <c r="E18" s="26"/>
      <c r="F18" s="26"/>
      <c r="G18" s="27"/>
      <c r="H18" s="1"/>
    </row>
    <row r="19" spans="1:8" ht="15.75" customHeight="1" x14ac:dyDescent="0.25">
      <c r="A19" s="25"/>
      <c r="B19" s="26"/>
      <c r="C19" s="26"/>
      <c r="D19" s="26"/>
      <c r="E19" s="26"/>
      <c r="F19" s="26"/>
      <c r="G19" s="27"/>
      <c r="H19" s="1"/>
    </row>
    <row r="20" spans="1:8" ht="15.75" customHeight="1" x14ac:dyDescent="0.25">
      <c r="A20" s="25"/>
      <c r="B20" s="26"/>
      <c r="C20" s="26"/>
      <c r="D20" s="26"/>
      <c r="E20" s="26"/>
      <c r="F20" s="26"/>
      <c r="G20" s="27"/>
      <c r="H20" s="1"/>
    </row>
    <row r="21" spans="1:8" ht="15.75" customHeight="1" x14ac:dyDescent="0.25">
      <c r="A21" s="25"/>
      <c r="B21" s="26"/>
      <c r="C21" s="26"/>
      <c r="D21" s="26"/>
      <c r="E21" s="26"/>
      <c r="F21" s="26"/>
      <c r="G21" s="27"/>
      <c r="H21" s="1"/>
    </row>
    <row r="22" spans="1:8" ht="15.75" customHeight="1" x14ac:dyDescent="0.25">
      <c r="A22" s="25"/>
      <c r="B22" s="26"/>
      <c r="C22" s="26"/>
      <c r="D22" s="26"/>
      <c r="E22" s="26"/>
      <c r="F22" s="26"/>
      <c r="G22" s="27"/>
      <c r="H22" s="1"/>
    </row>
    <row r="23" spans="1:8" ht="15.75" customHeight="1" x14ac:dyDescent="0.25">
      <c r="A23" s="25"/>
      <c r="B23" s="26"/>
      <c r="C23" s="26"/>
      <c r="D23" s="26"/>
      <c r="E23" s="26"/>
      <c r="F23" s="26"/>
      <c r="G23" s="27"/>
      <c r="H23" s="1"/>
    </row>
    <row r="24" spans="1:8" ht="15.75" customHeight="1" x14ac:dyDescent="0.25">
      <c r="A24" s="25"/>
      <c r="B24" s="26"/>
      <c r="C24" s="26"/>
      <c r="D24" s="26"/>
      <c r="E24" s="26"/>
      <c r="F24" s="26"/>
      <c r="G24" s="27"/>
      <c r="H24" s="1"/>
    </row>
    <row r="25" spans="1:8" ht="15.75" customHeight="1" x14ac:dyDescent="0.25">
      <c r="A25" s="25"/>
      <c r="B25" s="26"/>
      <c r="C25" s="26"/>
      <c r="D25" s="26"/>
      <c r="E25" s="26"/>
      <c r="F25" s="26"/>
      <c r="G25" s="27"/>
      <c r="H25" s="1"/>
    </row>
    <row r="26" spans="1:8" ht="15.75" customHeight="1" x14ac:dyDescent="0.25">
      <c r="A26" s="25"/>
      <c r="B26" s="26"/>
      <c r="C26" s="26"/>
      <c r="D26" s="26"/>
      <c r="E26" s="26"/>
      <c r="F26" s="26"/>
      <c r="G26" s="27"/>
      <c r="H26" s="1"/>
    </row>
    <row r="27" spans="1:8" ht="15.75" customHeight="1" x14ac:dyDescent="0.25">
      <c r="A27" s="25"/>
      <c r="B27" s="26"/>
      <c r="C27" s="26"/>
      <c r="D27" s="26"/>
      <c r="E27" s="26"/>
      <c r="F27" s="26"/>
      <c r="G27" s="27"/>
      <c r="H27" s="1"/>
    </row>
    <row r="28" spans="1:8" ht="15.75" customHeight="1" x14ac:dyDescent="0.25">
      <c r="A28" s="25"/>
      <c r="B28" s="26"/>
      <c r="C28" s="26"/>
      <c r="D28" s="26"/>
      <c r="E28" s="26"/>
      <c r="F28" s="26"/>
      <c r="G28" s="27"/>
    </row>
    <row r="29" spans="1:8" ht="15.75" customHeight="1" x14ac:dyDescent="0.25">
      <c r="A29" s="25"/>
      <c r="B29" s="26"/>
      <c r="C29" s="26"/>
      <c r="D29" s="26"/>
      <c r="E29" s="26"/>
      <c r="F29" s="26"/>
      <c r="G29" s="27"/>
    </row>
    <row r="30" spans="1:8" ht="15.75" customHeight="1" x14ac:dyDescent="0.25">
      <c r="A30" s="28"/>
      <c r="B30" s="29"/>
      <c r="C30" s="29"/>
      <c r="D30" s="29"/>
      <c r="E30" s="29"/>
      <c r="F30" s="29"/>
      <c r="G30" s="30"/>
    </row>
    <row r="31" spans="1:8" ht="15.75" customHeight="1" x14ac:dyDescent="0.25">
      <c r="A31" s="31" t="s">
        <v>124</v>
      </c>
      <c r="B31" s="32"/>
      <c r="C31" s="32"/>
      <c r="D31" s="32"/>
      <c r="E31" s="32"/>
      <c r="F31" s="32"/>
      <c r="G31" s="33"/>
    </row>
    <row r="32" spans="1:8" ht="15.75" customHeight="1" x14ac:dyDescent="0.25">
      <c r="A32" s="19" t="s">
        <v>125</v>
      </c>
      <c r="B32" s="20"/>
      <c r="C32" s="20"/>
      <c r="D32" s="20"/>
      <c r="E32" s="20"/>
      <c r="F32" s="20"/>
      <c r="G32" s="21"/>
    </row>
    <row r="33" spans="1:7" ht="15.75" customHeight="1" x14ac:dyDescent="0.25">
      <c r="A33" s="22" t="s">
        <v>126</v>
      </c>
      <c r="B33" s="23"/>
      <c r="C33" s="23"/>
      <c r="D33" s="23"/>
      <c r="E33" s="23"/>
      <c r="F33" s="23"/>
      <c r="G33" s="24"/>
    </row>
    <row r="34" spans="1:7" ht="15.75" customHeight="1" x14ac:dyDescent="0.25">
      <c r="A34" s="19" t="s">
        <v>127</v>
      </c>
      <c r="B34" s="20"/>
      <c r="C34" s="20"/>
      <c r="D34" s="20"/>
      <c r="E34" s="20"/>
      <c r="F34" s="20"/>
      <c r="G34" s="21"/>
    </row>
    <row r="35" spans="1:7" ht="15.75" customHeight="1" x14ac:dyDescent="0.25">
      <c r="A35" s="22" t="s">
        <v>128</v>
      </c>
      <c r="B35" s="23"/>
      <c r="C35" s="23"/>
      <c r="D35" s="23"/>
      <c r="E35" s="23"/>
      <c r="F35" s="23"/>
      <c r="G35" s="24"/>
    </row>
    <row r="36" spans="1:7" ht="15.75" customHeight="1" x14ac:dyDescent="0.25">
      <c r="A36" s="19" t="s">
        <v>129</v>
      </c>
      <c r="B36" s="20"/>
      <c r="C36" s="20"/>
      <c r="D36" s="20"/>
      <c r="E36" s="20"/>
      <c r="F36" s="20"/>
      <c r="G36" s="21"/>
    </row>
    <row r="37" spans="1:7" ht="15.75" customHeight="1" x14ac:dyDescent="0.25">
      <c r="A37" s="19" t="s">
        <v>130</v>
      </c>
      <c r="B37" s="20"/>
      <c r="C37" s="20"/>
      <c r="D37" s="20"/>
      <c r="E37" s="20"/>
      <c r="F37" s="20"/>
      <c r="G37" s="21"/>
    </row>
    <row r="38" spans="1:7" ht="15.75" customHeight="1" x14ac:dyDescent="0.25">
      <c r="A38" s="36" t="s">
        <v>145</v>
      </c>
      <c r="B38" s="37"/>
      <c r="C38" s="37"/>
      <c r="D38" s="37"/>
      <c r="E38" s="37"/>
      <c r="F38" s="37"/>
      <c r="G38" s="38"/>
    </row>
    <row r="39" spans="1:7" ht="15.75" customHeight="1" x14ac:dyDescent="0.25">
      <c r="A39" s="39" t="s">
        <v>123</v>
      </c>
      <c r="B39" s="41" t="s">
        <v>147</v>
      </c>
      <c r="C39" s="41"/>
      <c r="D39" s="41"/>
      <c r="E39" s="41"/>
      <c r="F39" s="41"/>
      <c r="G39" s="40"/>
    </row>
    <row r="40" spans="1:7" ht="15.75" customHeight="1" x14ac:dyDescent="0.25">
      <c r="A40" s="39" t="s">
        <v>148</v>
      </c>
      <c r="B40" s="42" t="s">
        <v>150</v>
      </c>
      <c r="C40" s="41"/>
      <c r="D40" s="41"/>
      <c r="E40" s="41"/>
      <c r="F40" s="41"/>
      <c r="G40" s="40"/>
    </row>
    <row r="41" spans="1:7" ht="26.4" x14ac:dyDescent="0.25">
      <c r="A41" s="43" t="s">
        <v>149</v>
      </c>
      <c r="B41" s="44" t="s">
        <v>146</v>
      </c>
      <c r="C41" s="45"/>
      <c r="D41" s="45"/>
      <c r="E41" s="45"/>
      <c r="F41" s="45"/>
      <c r="G41" s="46"/>
    </row>
  </sheetData>
  <mergeCells count="13">
    <mergeCell ref="A38:G38"/>
    <mergeCell ref="B39:G39"/>
    <mergeCell ref="B40:G40"/>
    <mergeCell ref="B41:G41"/>
    <mergeCell ref="A34:G34"/>
    <mergeCell ref="A35:G35"/>
    <mergeCell ref="A36:G36"/>
    <mergeCell ref="A37:G37"/>
    <mergeCell ref="A1:G1"/>
    <mergeCell ref="A2:G30"/>
    <mergeCell ref="A31:G31"/>
    <mergeCell ref="A32:G32"/>
    <mergeCell ref="A33:G33"/>
  </mergeCells>
  <hyperlinks>
    <hyperlink ref="A34" r:id="rId1" xr:uid="{8AA96844-F6DE-4463-BAD3-EA042387E6CE}"/>
    <hyperlink ref="A32" r:id="rId2" xr:uid="{EE62AADB-8232-40DA-A395-A927CAC5B32D}"/>
    <hyperlink ref="A36" r:id="rId3" xr:uid="{D79E2917-F589-44BA-84E1-C13E05793022}"/>
    <hyperlink ref="A37" r:id="rId4" xr:uid="{A65CCB94-F92B-4B09-825E-5A99C3E9E2B7}"/>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68"/>
  <sheetViews>
    <sheetView topLeftCell="C1" workbookViewId="0">
      <selection activeCell="I34" sqref="I34"/>
    </sheetView>
  </sheetViews>
  <sheetFormatPr defaultColWidth="12.6640625" defaultRowHeight="15.75" customHeight="1" x14ac:dyDescent="0.25"/>
  <cols>
    <col min="1" max="1" width="9.44140625" bestFit="1" customWidth="1"/>
    <col min="2" max="2" width="8.6640625" bestFit="1" customWidth="1"/>
    <col min="3" max="3" width="8" bestFit="1" customWidth="1"/>
  </cols>
  <sheetData>
    <row r="1" spans="1:9" ht="13.2" x14ac:dyDescent="0.25">
      <c r="A1" s="10" t="s">
        <v>1</v>
      </c>
      <c r="B1" s="10" t="s">
        <v>2</v>
      </c>
      <c r="C1" s="12" t="s">
        <v>133</v>
      </c>
      <c r="D1" s="12" t="s">
        <v>3</v>
      </c>
      <c r="E1" s="12" t="s">
        <v>4</v>
      </c>
      <c r="F1" s="12" t="s">
        <v>5</v>
      </c>
      <c r="G1" s="12" t="s">
        <v>6</v>
      </c>
      <c r="H1" s="12" t="s">
        <v>7</v>
      </c>
      <c r="I1" s="12" t="s">
        <v>135</v>
      </c>
    </row>
    <row r="2" spans="1:9" ht="13.2" x14ac:dyDescent="0.25">
      <c r="A2" s="11" t="s">
        <v>132</v>
      </c>
      <c r="B2" t="s">
        <v>9</v>
      </c>
      <c r="C2">
        <v>10.7</v>
      </c>
      <c r="D2">
        <f t="shared" ref="D2:D13" si="0">ROUND(AVERAGE($C$2:$C$13),1)</f>
        <v>12.8</v>
      </c>
      <c r="E2">
        <f t="shared" ref="E2:E13" si="1">ROUND(D2+(2.66*H2),1)</f>
        <v>17.3</v>
      </c>
      <c r="F2">
        <f t="shared" ref="F2:F13" si="2">ROUND(D2-(2.66*H2),1)</f>
        <v>8.3000000000000007</v>
      </c>
      <c r="H2">
        <f t="shared" ref="H2:H13" si="3">ROUND(AVERAGE($G$3:$G$13),1)</f>
        <v>1.7</v>
      </c>
      <c r="I2">
        <f t="shared" ref="I2:I13" si="4">ROUND(3.268*H2,1)</f>
        <v>5.6</v>
      </c>
    </row>
    <row r="3" spans="1:9" ht="13.2" x14ac:dyDescent="0.25">
      <c r="A3" s="11" t="s">
        <v>132</v>
      </c>
      <c r="B3" t="s">
        <v>10</v>
      </c>
      <c r="C3">
        <v>13</v>
      </c>
      <c r="D3">
        <f t="shared" si="0"/>
        <v>12.8</v>
      </c>
      <c r="E3">
        <f t="shared" si="1"/>
        <v>17.3</v>
      </c>
      <c r="F3">
        <f t="shared" si="2"/>
        <v>8.3000000000000007</v>
      </c>
      <c r="G3">
        <f t="shared" ref="G3:G13" si="5">ROUND(ABS(C2-C3),1)</f>
        <v>2.2999999999999998</v>
      </c>
      <c r="H3">
        <f t="shared" si="3"/>
        <v>1.7</v>
      </c>
      <c r="I3">
        <f t="shared" si="4"/>
        <v>5.6</v>
      </c>
    </row>
    <row r="4" spans="1:9" ht="13.2" x14ac:dyDescent="0.25">
      <c r="A4" s="11" t="s">
        <v>132</v>
      </c>
      <c r="B4" t="s">
        <v>11</v>
      </c>
      <c r="C4">
        <v>11.4</v>
      </c>
      <c r="D4">
        <f t="shared" si="0"/>
        <v>12.8</v>
      </c>
      <c r="E4">
        <f t="shared" si="1"/>
        <v>17.3</v>
      </c>
      <c r="F4">
        <f t="shared" si="2"/>
        <v>8.3000000000000007</v>
      </c>
      <c r="G4">
        <f t="shared" si="5"/>
        <v>1.6</v>
      </c>
      <c r="H4">
        <f t="shared" si="3"/>
        <v>1.7</v>
      </c>
      <c r="I4">
        <f t="shared" si="4"/>
        <v>5.6</v>
      </c>
    </row>
    <row r="5" spans="1:9" ht="13.2" x14ac:dyDescent="0.25">
      <c r="A5" s="11" t="s">
        <v>132</v>
      </c>
      <c r="B5" t="s">
        <v>12</v>
      </c>
      <c r="C5">
        <v>11.5</v>
      </c>
      <c r="D5">
        <f t="shared" si="0"/>
        <v>12.8</v>
      </c>
      <c r="E5">
        <f t="shared" si="1"/>
        <v>17.3</v>
      </c>
      <c r="F5">
        <f t="shared" si="2"/>
        <v>8.3000000000000007</v>
      </c>
      <c r="G5">
        <f t="shared" si="5"/>
        <v>0.1</v>
      </c>
      <c r="H5">
        <f t="shared" si="3"/>
        <v>1.7</v>
      </c>
      <c r="I5">
        <f t="shared" si="4"/>
        <v>5.6</v>
      </c>
    </row>
    <row r="6" spans="1:9" ht="13.2" x14ac:dyDescent="0.25">
      <c r="A6" s="11" t="s">
        <v>132</v>
      </c>
      <c r="B6" t="s">
        <v>13</v>
      </c>
      <c r="C6">
        <v>12.5</v>
      </c>
      <c r="D6">
        <f t="shared" si="0"/>
        <v>12.8</v>
      </c>
      <c r="E6">
        <f t="shared" si="1"/>
        <v>17.3</v>
      </c>
      <c r="F6">
        <f t="shared" si="2"/>
        <v>8.3000000000000007</v>
      </c>
      <c r="G6">
        <f t="shared" si="5"/>
        <v>1</v>
      </c>
      <c r="H6">
        <f t="shared" si="3"/>
        <v>1.7</v>
      </c>
      <c r="I6">
        <f t="shared" si="4"/>
        <v>5.6</v>
      </c>
    </row>
    <row r="7" spans="1:9" ht="13.2" x14ac:dyDescent="0.25">
      <c r="A7" s="11" t="s">
        <v>132</v>
      </c>
      <c r="B7" t="s">
        <v>14</v>
      </c>
      <c r="C7">
        <v>14.1</v>
      </c>
      <c r="D7">
        <f t="shared" si="0"/>
        <v>12.8</v>
      </c>
      <c r="E7">
        <f t="shared" si="1"/>
        <v>17.3</v>
      </c>
      <c r="F7">
        <f t="shared" si="2"/>
        <v>8.3000000000000007</v>
      </c>
      <c r="G7">
        <f t="shared" si="5"/>
        <v>1.6</v>
      </c>
      <c r="H7">
        <f t="shared" si="3"/>
        <v>1.7</v>
      </c>
      <c r="I7">
        <f t="shared" si="4"/>
        <v>5.6</v>
      </c>
    </row>
    <row r="8" spans="1:9" ht="13.2" x14ac:dyDescent="0.25">
      <c r="A8" s="11" t="s">
        <v>132</v>
      </c>
      <c r="B8" t="s">
        <v>15</v>
      </c>
      <c r="C8">
        <v>14.8</v>
      </c>
      <c r="D8">
        <f t="shared" si="0"/>
        <v>12.8</v>
      </c>
      <c r="E8">
        <f t="shared" si="1"/>
        <v>17.3</v>
      </c>
      <c r="F8">
        <f t="shared" si="2"/>
        <v>8.3000000000000007</v>
      </c>
      <c r="G8">
        <f t="shared" si="5"/>
        <v>0.7</v>
      </c>
      <c r="H8">
        <f t="shared" si="3"/>
        <v>1.7</v>
      </c>
      <c r="I8">
        <f t="shared" si="4"/>
        <v>5.6</v>
      </c>
    </row>
    <row r="9" spans="1:9" ht="13.2" x14ac:dyDescent="0.25">
      <c r="A9" s="11" t="s">
        <v>132</v>
      </c>
      <c r="B9" t="s">
        <v>16</v>
      </c>
      <c r="C9">
        <v>14.1</v>
      </c>
      <c r="D9">
        <f t="shared" si="0"/>
        <v>12.8</v>
      </c>
      <c r="E9">
        <f t="shared" si="1"/>
        <v>17.3</v>
      </c>
      <c r="F9">
        <f t="shared" si="2"/>
        <v>8.3000000000000007</v>
      </c>
      <c r="G9">
        <f t="shared" si="5"/>
        <v>0.7</v>
      </c>
      <c r="H9">
        <f t="shared" si="3"/>
        <v>1.7</v>
      </c>
      <c r="I9">
        <f t="shared" si="4"/>
        <v>5.6</v>
      </c>
    </row>
    <row r="10" spans="1:9" ht="13.2" x14ac:dyDescent="0.25">
      <c r="A10" s="11" t="s">
        <v>132</v>
      </c>
      <c r="B10" t="s">
        <v>17</v>
      </c>
      <c r="C10">
        <v>12.6</v>
      </c>
      <c r="D10">
        <f t="shared" si="0"/>
        <v>12.8</v>
      </c>
      <c r="E10">
        <f t="shared" si="1"/>
        <v>17.3</v>
      </c>
      <c r="F10">
        <f t="shared" si="2"/>
        <v>8.3000000000000007</v>
      </c>
      <c r="G10">
        <f t="shared" si="5"/>
        <v>1.5</v>
      </c>
      <c r="H10">
        <f t="shared" si="3"/>
        <v>1.7</v>
      </c>
      <c r="I10">
        <f t="shared" si="4"/>
        <v>5.6</v>
      </c>
    </row>
    <row r="11" spans="1:9" ht="13.2" x14ac:dyDescent="0.25">
      <c r="A11" s="11" t="s">
        <v>132</v>
      </c>
      <c r="B11" t="s">
        <v>18</v>
      </c>
      <c r="C11">
        <v>16</v>
      </c>
      <c r="D11">
        <f t="shared" si="0"/>
        <v>12.8</v>
      </c>
      <c r="E11">
        <f t="shared" si="1"/>
        <v>17.3</v>
      </c>
      <c r="F11">
        <f t="shared" si="2"/>
        <v>8.3000000000000007</v>
      </c>
      <c r="G11">
        <f t="shared" si="5"/>
        <v>3.4</v>
      </c>
      <c r="H11">
        <f t="shared" si="3"/>
        <v>1.7</v>
      </c>
      <c r="I11">
        <f t="shared" si="4"/>
        <v>5.6</v>
      </c>
    </row>
    <row r="12" spans="1:9" ht="13.2" x14ac:dyDescent="0.25">
      <c r="A12" s="11" t="s">
        <v>132</v>
      </c>
      <c r="B12" t="s">
        <v>19</v>
      </c>
      <c r="C12">
        <v>11.7</v>
      </c>
      <c r="D12">
        <f t="shared" si="0"/>
        <v>12.8</v>
      </c>
      <c r="E12">
        <f t="shared" si="1"/>
        <v>17.3</v>
      </c>
      <c r="F12">
        <f t="shared" si="2"/>
        <v>8.3000000000000007</v>
      </c>
      <c r="G12">
        <f t="shared" si="5"/>
        <v>4.3</v>
      </c>
      <c r="H12">
        <f t="shared" si="3"/>
        <v>1.7</v>
      </c>
      <c r="I12">
        <f t="shared" si="4"/>
        <v>5.6</v>
      </c>
    </row>
    <row r="13" spans="1:9" ht="13.2" x14ac:dyDescent="0.25">
      <c r="A13" s="11" t="s">
        <v>132</v>
      </c>
      <c r="B13" t="s">
        <v>20</v>
      </c>
      <c r="C13">
        <v>10.6</v>
      </c>
      <c r="D13">
        <f t="shared" si="0"/>
        <v>12.8</v>
      </c>
      <c r="E13">
        <f t="shared" si="1"/>
        <v>17.3</v>
      </c>
      <c r="F13">
        <f t="shared" si="2"/>
        <v>8.3000000000000007</v>
      </c>
      <c r="G13">
        <f t="shared" si="5"/>
        <v>1.1000000000000001</v>
      </c>
      <c r="H13">
        <f t="shared" si="3"/>
        <v>1.7</v>
      </c>
      <c r="I13">
        <f t="shared" si="4"/>
        <v>5.6</v>
      </c>
    </row>
    <row r="14" spans="1:9" ht="13.2" x14ac:dyDescent="0.25"/>
    <row r="15" spans="1:9" ht="13.2" x14ac:dyDescent="0.25">
      <c r="A15" s="12" t="s">
        <v>1</v>
      </c>
      <c r="B15" s="9" t="s">
        <v>2</v>
      </c>
      <c r="C15" s="12" t="s">
        <v>133</v>
      </c>
      <c r="D15" s="12" t="s">
        <v>3</v>
      </c>
      <c r="E15" s="12" t="s">
        <v>4</v>
      </c>
      <c r="F15" s="12" t="s">
        <v>5</v>
      </c>
      <c r="G15" s="12" t="s">
        <v>6</v>
      </c>
      <c r="H15" s="12" t="s">
        <v>7</v>
      </c>
      <c r="I15" s="12" t="s">
        <v>8</v>
      </c>
    </row>
    <row r="16" spans="1:9" ht="13.2" x14ac:dyDescent="0.25">
      <c r="A16" s="11" t="s">
        <v>134</v>
      </c>
      <c r="B16" t="s">
        <v>9</v>
      </c>
      <c r="C16">
        <v>6.9</v>
      </c>
      <c r="D16">
        <f t="shared" ref="D16:D27" si="6">ROUND(AVERAGE($C$16:$C$27),1)</f>
        <v>11</v>
      </c>
      <c r="E16">
        <f t="shared" ref="E16:E27" si="7">ROUND(D16+(2.66*H16),1)</f>
        <v>18.7</v>
      </c>
      <c r="F16">
        <f t="shared" ref="F16:F27" si="8">ROUND(D16-(2.66*H16),1)</f>
        <v>3.3</v>
      </c>
      <c r="H16">
        <f t="shared" ref="H16:H27" si="9">ROUND(AVERAGE($G$17:$G$27),1)</f>
        <v>2.9</v>
      </c>
      <c r="I16">
        <f t="shared" ref="I16:I27" si="10">ROUND(3.268*H16,1)</f>
        <v>9.5</v>
      </c>
    </row>
    <row r="17" spans="1:9" ht="13.2" x14ac:dyDescent="0.25">
      <c r="A17" s="11" t="s">
        <v>134</v>
      </c>
      <c r="B17" t="s">
        <v>10</v>
      </c>
      <c r="C17">
        <v>11.3</v>
      </c>
      <c r="D17">
        <f t="shared" si="6"/>
        <v>11</v>
      </c>
      <c r="E17">
        <f t="shared" si="7"/>
        <v>18.7</v>
      </c>
      <c r="F17">
        <f t="shared" si="8"/>
        <v>3.3</v>
      </c>
      <c r="G17">
        <f t="shared" ref="G17:G27" si="11">ROUND(ABS(C16-C17),1)</f>
        <v>4.4000000000000004</v>
      </c>
      <c r="H17">
        <f t="shared" si="9"/>
        <v>2.9</v>
      </c>
      <c r="I17">
        <f t="shared" si="10"/>
        <v>9.5</v>
      </c>
    </row>
    <row r="18" spans="1:9" ht="13.2" x14ac:dyDescent="0.25">
      <c r="A18" s="11" t="s">
        <v>134</v>
      </c>
      <c r="B18" t="s">
        <v>11</v>
      </c>
      <c r="C18">
        <v>9.3000000000000007</v>
      </c>
      <c r="D18">
        <f t="shared" si="6"/>
        <v>11</v>
      </c>
      <c r="E18">
        <f t="shared" si="7"/>
        <v>18.7</v>
      </c>
      <c r="F18">
        <f t="shared" si="8"/>
        <v>3.3</v>
      </c>
      <c r="G18">
        <f t="shared" si="11"/>
        <v>2</v>
      </c>
      <c r="H18">
        <f t="shared" si="9"/>
        <v>2.9</v>
      </c>
      <c r="I18">
        <f t="shared" si="10"/>
        <v>9.5</v>
      </c>
    </row>
    <row r="19" spans="1:9" ht="13.2" x14ac:dyDescent="0.25">
      <c r="A19" s="11" t="s">
        <v>134</v>
      </c>
      <c r="B19" t="s">
        <v>12</v>
      </c>
      <c r="C19">
        <v>9.8000000000000007</v>
      </c>
      <c r="D19">
        <f t="shared" si="6"/>
        <v>11</v>
      </c>
      <c r="E19">
        <f t="shared" si="7"/>
        <v>18.7</v>
      </c>
      <c r="F19">
        <f t="shared" si="8"/>
        <v>3.3</v>
      </c>
      <c r="G19">
        <f t="shared" si="11"/>
        <v>0.5</v>
      </c>
      <c r="H19">
        <f t="shared" si="9"/>
        <v>2.9</v>
      </c>
      <c r="I19">
        <f t="shared" si="10"/>
        <v>9.5</v>
      </c>
    </row>
    <row r="20" spans="1:9" ht="13.2" x14ac:dyDescent="0.25">
      <c r="A20" s="11" t="s">
        <v>134</v>
      </c>
      <c r="B20" t="s">
        <v>13</v>
      </c>
      <c r="C20">
        <v>18.7</v>
      </c>
      <c r="D20">
        <f t="shared" si="6"/>
        <v>11</v>
      </c>
      <c r="E20">
        <f t="shared" si="7"/>
        <v>18.7</v>
      </c>
      <c r="F20">
        <f t="shared" si="8"/>
        <v>3.3</v>
      </c>
      <c r="G20">
        <f t="shared" si="11"/>
        <v>8.9</v>
      </c>
      <c r="H20">
        <f t="shared" si="9"/>
        <v>2.9</v>
      </c>
      <c r="I20">
        <f t="shared" si="10"/>
        <v>9.5</v>
      </c>
    </row>
    <row r="21" spans="1:9" ht="13.2" x14ac:dyDescent="0.25">
      <c r="A21" s="11" t="s">
        <v>134</v>
      </c>
      <c r="B21" t="s">
        <v>14</v>
      </c>
      <c r="C21">
        <v>12.6</v>
      </c>
      <c r="D21">
        <f t="shared" si="6"/>
        <v>11</v>
      </c>
      <c r="E21">
        <f t="shared" si="7"/>
        <v>18.7</v>
      </c>
      <c r="F21">
        <f t="shared" si="8"/>
        <v>3.3</v>
      </c>
      <c r="G21">
        <f t="shared" si="11"/>
        <v>6.1</v>
      </c>
      <c r="H21">
        <f t="shared" si="9"/>
        <v>2.9</v>
      </c>
      <c r="I21">
        <f t="shared" si="10"/>
        <v>9.5</v>
      </c>
    </row>
    <row r="22" spans="1:9" ht="13.2" x14ac:dyDescent="0.25">
      <c r="A22" s="11" t="s">
        <v>134</v>
      </c>
      <c r="B22" t="s">
        <v>15</v>
      </c>
      <c r="C22">
        <v>11.6</v>
      </c>
      <c r="D22">
        <f t="shared" si="6"/>
        <v>11</v>
      </c>
      <c r="E22">
        <f t="shared" si="7"/>
        <v>18.7</v>
      </c>
      <c r="F22">
        <f t="shared" si="8"/>
        <v>3.3</v>
      </c>
      <c r="G22">
        <f t="shared" si="11"/>
        <v>1</v>
      </c>
      <c r="H22">
        <f t="shared" si="9"/>
        <v>2.9</v>
      </c>
      <c r="I22">
        <f t="shared" si="10"/>
        <v>9.5</v>
      </c>
    </row>
    <row r="23" spans="1:9" ht="13.2" x14ac:dyDescent="0.25">
      <c r="A23" s="11" t="s">
        <v>134</v>
      </c>
      <c r="B23" t="s">
        <v>16</v>
      </c>
      <c r="C23">
        <v>9.1</v>
      </c>
      <c r="D23">
        <f t="shared" si="6"/>
        <v>11</v>
      </c>
      <c r="E23">
        <f t="shared" si="7"/>
        <v>18.7</v>
      </c>
      <c r="F23">
        <f t="shared" si="8"/>
        <v>3.3</v>
      </c>
      <c r="G23">
        <f t="shared" si="11"/>
        <v>2.5</v>
      </c>
      <c r="H23">
        <f t="shared" si="9"/>
        <v>2.9</v>
      </c>
      <c r="I23">
        <f t="shared" si="10"/>
        <v>9.5</v>
      </c>
    </row>
    <row r="24" spans="1:9" ht="13.2" x14ac:dyDescent="0.25">
      <c r="A24" s="11" t="s">
        <v>134</v>
      </c>
      <c r="B24" t="s">
        <v>17</v>
      </c>
      <c r="C24">
        <v>10.8</v>
      </c>
      <c r="D24">
        <f t="shared" si="6"/>
        <v>11</v>
      </c>
      <c r="E24">
        <f t="shared" si="7"/>
        <v>18.7</v>
      </c>
      <c r="F24">
        <f t="shared" si="8"/>
        <v>3.3</v>
      </c>
      <c r="G24">
        <f t="shared" si="11"/>
        <v>1.7</v>
      </c>
      <c r="H24">
        <f t="shared" si="9"/>
        <v>2.9</v>
      </c>
      <c r="I24">
        <f t="shared" si="10"/>
        <v>9.5</v>
      </c>
    </row>
    <row r="25" spans="1:9" ht="13.2" x14ac:dyDescent="0.25">
      <c r="A25" s="11" t="s">
        <v>134</v>
      </c>
      <c r="B25" t="s">
        <v>18</v>
      </c>
      <c r="C25">
        <v>9.6</v>
      </c>
      <c r="D25">
        <f t="shared" si="6"/>
        <v>11</v>
      </c>
      <c r="E25">
        <f t="shared" si="7"/>
        <v>18.7</v>
      </c>
      <c r="F25">
        <f t="shared" si="8"/>
        <v>3.3</v>
      </c>
      <c r="G25">
        <f t="shared" si="11"/>
        <v>1.2</v>
      </c>
      <c r="H25">
        <f t="shared" si="9"/>
        <v>2.9</v>
      </c>
      <c r="I25">
        <f t="shared" si="10"/>
        <v>9.5</v>
      </c>
    </row>
    <row r="26" spans="1:9" ht="13.2" x14ac:dyDescent="0.25">
      <c r="A26" s="11" t="s">
        <v>134</v>
      </c>
      <c r="B26" t="s">
        <v>19</v>
      </c>
      <c r="C26">
        <v>11.7</v>
      </c>
      <c r="D26">
        <f t="shared" si="6"/>
        <v>11</v>
      </c>
      <c r="E26">
        <f t="shared" si="7"/>
        <v>18.7</v>
      </c>
      <c r="F26">
        <f t="shared" si="8"/>
        <v>3.3</v>
      </c>
      <c r="G26">
        <f t="shared" si="11"/>
        <v>2.1</v>
      </c>
      <c r="H26">
        <f t="shared" si="9"/>
        <v>2.9</v>
      </c>
      <c r="I26">
        <f t="shared" si="10"/>
        <v>9.5</v>
      </c>
    </row>
    <row r="27" spans="1:9" ht="13.2" x14ac:dyDescent="0.25">
      <c r="A27" s="11" t="s">
        <v>134</v>
      </c>
      <c r="B27" t="s">
        <v>20</v>
      </c>
      <c r="C27">
        <v>10.1</v>
      </c>
      <c r="D27">
        <f t="shared" si="6"/>
        <v>11</v>
      </c>
      <c r="E27">
        <f t="shared" si="7"/>
        <v>18.7</v>
      </c>
      <c r="F27">
        <f t="shared" si="8"/>
        <v>3.3</v>
      </c>
      <c r="G27">
        <f t="shared" si="11"/>
        <v>1.6</v>
      </c>
      <c r="H27">
        <f t="shared" si="9"/>
        <v>2.9</v>
      </c>
      <c r="I27">
        <f t="shared" si="10"/>
        <v>9.5</v>
      </c>
    </row>
    <row r="28" spans="1:9" ht="13.2" x14ac:dyDescent="0.25"/>
    <row r="29" spans="1:9" ht="13.2" x14ac:dyDescent="0.25"/>
    <row r="30" spans="1:9" ht="13.2" x14ac:dyDescent="0.25"/>
    <row r="31" spans="1:9" ht="13.2" x14ac:dyDescent="0.25"/>
    <row r="32" spans="1:9" ht="13.2" x14ac:dyDescent="0.25"/>
    <row r="33" ht="13.2" x14ac:dyDescent="0.25"/>
    <row r="34" ht="13.2" x14ac:dyDescent="0.25"/>
    <row r="35" ht="13.2" x14ac:dyDescent="0.25"/>
    <row r="36" ht="13.2" x14ac:dyDescent="0.25"/>
    <row r="37" ht="13.2" x14ac:dyDescent="0.25"/>
    <row r="38" ht="13.2" x14ac:dyDescent="0.25"/>
    <row r="39" ht="13.2" x14ac:dyDescent="0.25"/>
    <row r="40" ht="13.2" x14ac:dyDescent="0.25"/>
    <row r="41" ht="13.2" x14ac:dyDescent="0.25"/>
    <row r="42" ht="13.2" x14ac:dyDescent="0.25"/>
    <row r="43" ht="13.2" x14ac:dyDescent="0.25"/>
    <row r="44" ht="13.2" x14ac:dyDescent="0.25"/>
    <row r="45" ht="13.2" x14ac:dyDescent="0.25"/>
    <row r="46" ht="13.2" x14ac:dyDescent="0.25"/>
    <row r="47" ht="13.2" x14ac:dyDescent="0.25"/>
    <row r="48" ht="13.2" x14ac:dyDescent="0.25"/>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row r="64" ht="13.2" x14ac:dyDescent="0.25"/>
    <row r="65" ht="13.2" x14ac:dyDescent="0.25"/>
    <row r="66" ht="13.2" x14ac:dyDescent="0.25"/>
    <row r="67" ht="13.2" x14ac:dyDescent="0.25"/>
    <row r="68" ht="13.2" x14ac:dyDescent="0.25"/>
    <row r="69" ht="13.2" x14ac:dyDescent="0.25"/>
    <row r="70" ht="13.2" x14ac:dyDescent="0.25"/>
    <row r="71" ht="13.2" x14ac:dyDescent="0.25"/>
    <row r="72" ht="13.2" x14ac:dyDescent="0.25"/>
    <row r="73" ht="13.2" x14ac:dyDescent="0.25"/>
    <row r="74" ht="13.2" x14ac:dyDescent="0.25"/>
    <row r="75" ht="13.2" x14ac:dyDescent="0.25"/>
    <row r="76" ht="13.2" x14ac:dyDescent="0.25"/>
    <row r="77" ht="13.2" x14ac:dyDescent="0.25"/>
    <row r="78" ht="13.2" x14ac:dyDescent="0.25"/>
    <row r="79" ht="13.2" x14ac:dyDescent="0.25"/>
    <row r="80"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row r="207" ht="13.2" x14ac:dyDescent="0.25"/>
    <row r="208" ht="13.2" x14ac:dyDescent="0.25"/>
    <row r="209" ht="13.2" x14ac:dyDescent="0.25"/>
    <row r="210" ht="13.2" x14ac:dyDescent="0.25"/>
    <row r="211" ht="13.2" x14ac:dyDescent="0.25"/>
    <row r="212" ht="13.2" x14ac:dyDescent="0.25"/>
    <row r="213" ht="13.2" x14ac:dyDescent="0.25"/>
    <row r="214" ht="13.2" x14ac:dyDescent="0.25"/>
    <row r="215" ht="13.2" x14ac:dyDescent="0.25"/>
    <row r="216" ht="13.2" x14ac:dyDescent="0.25"/>
    <row r="217" ht="13.2" x14ac:dyDescent="0.25"/>
    <row r="218" ht="13.2" x14ac:dyDescent="0.25"/>
    <row r="219" ht="13.2" x14ac:dyDescent="0.25"/>
    <row r="220" ht="13.2" x14ac:dyDescent="0.25"/>
    <row r="221" ht="13.2" x14ac:dyDescent="0.25"/>
    <row r="222" ht="13.2" x14ac:dyDescent="0.25"/>
    <row r="223" ht="13.2" x14ac:dyDescent="0.25"/>
    <row r="224" ht="13.2" x14ac:dyDescent="0.25"/>
    <row r="225" ht="13.2" x14ac:dyDescent="0.25"/>
    <row r="226" ht="13.2" x14ac:dyDescent="0.25"/>
    <row r="227" ht="13.2" x14ac:dyDescent="0.25"/>
    <row r="228" ht="13.2" x14ac:dyDescent="0.25"/>
    <row r="229" ht="13.2" x14ac:dyDescent="0.25"/>
    <row r="230" ht="13.2" x14ac:dyDescent="0.25"/>
    <row r="231" ht="13.2" x14ac:dyDescent="0.25"/>
    <row r="232" ht="13.2" x14ac:dyDescent="0.25"/>
    <row r="233" ht="13.2" x14ac:dyDescent="0.25"/>
    <row r="234" ht="13.2" x14ac:dyDescent="0.25"/>
    <row r="235" ht="13.2" x14ac:dyDescent="0.25"/>
    <row r="236" ht="13.2" x14ac:dyDescent="0.25"/>
    <row r="237" ht="13.2" x14ac:dyDescent="0.25"/>
    <row r="238" ht="13.2" x14ac:dyDescent="0.25"/>
    <row r="239" ht="13.2" x14ac:dyDescent="0.25"/>
    <row r="240"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row r="1002" ht="13.2" x14ac:dyDescent="0.25"/>
    <row r="1003" ht="13.2" x14ac:dyDescent="0.25"/>
    <row r="1004" ht="13.2" x14ac:dyDescent="0.25"/>
    <row r="1005" ht="13.2" x14ac:dyDescent="0.25"/>
    <row r="1006" ht="13.2" x14ac:dyDescent="0.25"/>
    <row r="1007" ht="13.2" x14ac:dyDescent="0.25"/>
    <row r="1008" ht="13.2" x14ac:dyDescent="0.25"/>
    <row r="1009" ht="13.2" x14ac:dyDescent="0.25"/>
    <row r="1010" ht="13.2" x14ac:dyDescent="0.25"/>
    <row r="1011" ht="13.2" x14ac:dyDescent="0.25"/>
    <row r="1012" ht="13.2" x14ac:dyDescent="0.25"/>
    <row r="1013" ht="13.2" x14ac:dyDescent="0.25"/>
    <row r="1014" ht="13.2" x14ac:dyDescent="0.25"/>
    <row r="1015" ht="13.2" x14ac:dyDescent="0.25"/>
    <row r="1016" ht="13.2" x14ac:dyDescent="0.25"/>
    <row r="1017" ht="13.2" x14ac:dyDescent="0.25"/>
    <row r="1018" ht="13.2" x14ac:dyDescent="0.25"/>
    <row r="1019" ht="13.2" x14ac:dyDescent="0.25"/>
    <row r="1020" ht="13.2" x14ac:dyDescent="0.25"/>
    <row r="1021" ht="13.2" x14ac:dyDescent="0.25"/>
    <row r="1022" ht="13.2" x14ac:dyDescent="0.25"/>
    <row r="1023" ht="13.2" x14ac:dyDescent="0.25"/>
    <row r="1024" ht="13.2" x14ac:dyDescent="0.25"/>
    <row r="1025" ht="13.2" x14ac:dyDescent="0.25"/>
    <row r="1026" ht="13.2" x14ac:dyDescent="0.25"/>
    <row r="1027" ht="13.2" x14ac:dyDescent="0.25"/>
    <row r="1028" ht="13.2" x14ac:dyDescent="0.25"/>
    <row r="1029" ht="13.2" x14ac:dyDescent="0.25"/>
    <row r="1030" ht="13.2" x14ac:dyDescent="0.25"/>
    <row r="1031" ht="13.2" x14ac:dyDescent="0.25"/>
    <row r="1032" ht="13.2" x14ac:dyDescent="0.25"/>
    <row r="1033" ht="13.2" x14ac:dyDescent="0.25"/>
    <row r="1034" ht="13.2" x14ac:dyDescent="0.25"/>
    <row r="1035" ht="13.2" x14ac:dyDescent="0.25"/>
    <row r="1036" ht="13.2" x14ac:dyDescent="0.25"/>
    <row r="1037" ht="13.2" x14ac:dyDescent="0.25"/>
    <row r="1038" ht="13.2" x14ac:dyDescent="0.25"/>
    <row r="1039" ht="13.2" x14ac:dyDescent="0.25"/>
    <row r="1040" ht="13.2" x14ac:dyDescent="0.25"/>
    <row r="1041" ht="13.2" x14ac:dyDescent="0.25"/>
    <row r="1042" ht="13.2" x14ac:dyDescent="0.25"/>
    <row r="1043" ht="13.2" x14ac:dyDescent="0.25"/>
    <row r="1044" ht="13.2" x14ac:dyDescent="0.25"/>
    <row r="1045" ht="13.2" x14ac:dyDescent="0.25"/>
    <row r="1046" ht="13.2" x14ac:dyDescent="0.25"/>
    <row r="1047" ht="13.2" x14ac:dyDescent="0.25"/>
    <row r="1048" ht="13.2" x14ac:dyDescent="0.25"/>
    <row r="1049" ht="13.2" x14ac:dyDescent="0.25"/>
    <row r="1050" ht="13.2" x14ac:dyDescent="0.25"/>
    <row r="1051" ht="13.2" x14ac:dyDescent="0.25"/>
    <row r="1052" ht="13.2" x14ac:dyDescent="0.25"/>
    <row r="1053" ht="13.2" x14ac:dyDescent="0.25"/>
    <row r="1054" ht="13.2" x14ac:dyDescent="0.25"/>
    <row r="1055" ht="13.2" x14ac:dyDescent="0.25"/>
    <row r="1056" ht="13.2" x14ac:dyDescent="0.25"/>
    <row r="1057" ht="13.2" x14ac:dyDescent="0.25"/>
    <row r="1058" ht="13.2" x14ac:dyDescent="0.25"/>
    <row r="1059" ht="13.2" x14ac:dyDescent="0.25"/>
    <row r="1060" ht="13.2" x14ac:dyDescent="0.25"/>
    <row r="1061" ht="13.2" x14ac:dyDescent="0.25"/>
    <row r="1062" ht="13.2" x14ac:dyDescent="0.25"/>
    <row r="1063" ht="13.2" x14ac:dyDescent="0.25"/>
    <row r="1064" ht="13.2" x14ac:dyDescent="0.25"/>
    <row r="1065" ht="13.2" x14ac:dyDescent="0.25"/>
    <row r="1066" ht="13.2" x14ac:dyDescent="0.25"/>
    <row r="1067" ht="13.2" x14ac:dyDescent="0.25"/>
    <row r="1068" ht="13.2" x14ac:dyDescent="0.25"/>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09BB-80B6-4414-9C08-61FF95D03FFF}">
  <dimension ref="A1:I41"/>
  <sheetViews>
    <sheetView topLeftCell="D1" workbookViewId="0">
      <selection activeCell="U22" sqref="U22"/>
    </sheetView>
  </sheetViews>
  <sheetFormatPr defaultRowHeight="13.2" x14ac:dyDescent="0.25"/>
  <cols>
    <col min="1" max="1" width="10.6640625" bestFit="1" customWidth="1"/>
    <col min="2" max="2" width="7.21875" bestFit="1" customWidth="1"/>
    <col min="3" max="3" width="5.88671875" bestFit="1" customWidth="1"/>
    <col min="8" max="8" width="10" bestFit="1" customWidth="1"/>
  </cols>
  <sheetData>
    <row r="1" spans="1:9" x14ac:dyDescent="0.25">
      <c r="A1" t="s">
        <v>140</v>
      </c>
      <c r="B1" t="s">
        <v>141</v>
      </c>
      <c r="C1" t="s">
        <v>142</v>
      </c>
      <c r="D1" s="11" t="s">
        <v>3</v>
      </c>
      <c r="E1" s="11" t="s">
        <v>4</v>
      </c>
      <c r="F1" s="11" t="s">
        <v>5</v>
      </c>
      <c r="G1" s="11" t="s">
        <v>6</v>
      </c>
      <c r="H1" s="11" t="s">
        <v>7</v>
      </c>
      <c r="I1" s="11" t="s">
        <v>135</v>
      </c>
    </row>
    <row r="2" spans="1:9" x14ac:dyDescent="0.25">
      <c r="A2" t="s">
        <v>143</v>
      </c>
      <c r="B2">
        <v>1986</v>
      </c>
      <c r="C2">
        <v>16</v>
      </c>
      <c r="D2">
        <f t="shared" ref="D2:D23" si="0">ROUND(AVERAGE($C$2:$C$23),1)</f>
        <v>34.6</v>
      </c>
      <c r="E2">
        <f t="shared" ref="E2:E23" si="1">ROUND(D2+(2.66*H2),1)</f>
        <v>62.3</v>
      </c>
      <c r="F2">
        <f t="shared" ref="F2:F23" si="2">ROUND(D2-(2.66*H2),1)</f>
        <v>6.9</v>
      </c>
      <c r="H2">
        <f t="shared" ref="H2:H23" si="3">ROUND(AVERAGE($G$3:$G$23),1)</f>
        <v>10.4</v>
      </c>
      <c r="I2">
        <f t="shared" ref="I2:I23" si="4">ROUND(3.268*H2,1)</f>
        <v>34</v>
      </c>
    </row>
    <row r="3" spans="1:9" x14ac:dyDescent="0.25">
      <c r="A3" t="s">
        <v>143</v>
      </c>
      <c r="B3">
        <v>1987</v>
      </c>
      <c r="C3">
        <v>25</v>
      </c>
      <c r="D3">
        <f t="shared" si="0"/>
        <v>34.6</v>
      </c>
      <c r="E3">
        <f t="shared" si="1"/>
        <v>62.3</v>
      </c>
      <c r="F3">
        <f t="shared" si="2"/>
        <v>6.9</v>
      </c>
      <c r="G3">
        <f t="shared" ref="G3:G23" si="5">ABS(C2-C3)</f>
        <v>9</v>
      </c>
      <c r="H3">
        <f t="shared" si="3"/>
        <v>10.4</v>
      </c>
      <c r="I3">
        <f t="shared" si="4"/>
        <v>34</v>
      </c>
    </row>
    <row r="4" spans="1:9" x14ac:dyDescent="0.25">
      <c r="A4" t="s">
        <v>143</v>
      </c>
      <c r="B4">
        <v>1988</v>
      </c>
      <c r="C4">
        <v>24</v>
      </c>
      <c r="D4">
        <f t="shared" si="0"/>
        <v>34.6</v>
      </c>
      <c r="E4">
        <f t="shared" si="1"/>
        <v>62.3</v>
      </c>
      <c r="F4">
        <f t="shared" si="2"/>
        <v>6.9</v>
      </c>
      <c r="G4">
        <f t="shared" si="5"/>
        <v>1</v>
      </c>
      <c r="H4">
        <f t="shared" si="3"/>
        <v>10.4</v>
      </c>
      <c r="I4">
        <f t="shared" si="4"/>
        <v>34</v>
      </c>
    </row>
    <row r="5" spans="1:9" x14ac:dyDescent="0.25">
      <c r="A5" t="s">
        <v>143</v>
      </c>
      <c r="B5">
        <v>1989</v>
      </c>
      <c r="C5">
        <v>19</v>
      </c>
      <c r="D5">
        <f t="shared" si="0"/>
        <v>34.6</v>
      </c>
      <c r="E5">
        <f t="shared" si="1"/>
        <v>62.3</v>
      </c>
      <c r="F5">
        <f t="shared" si="2"/>
        <v>6.9</v>
      </c>
      <c r="G5">
        <f t="shared" si="5"/>
        <v>5</v>
      </c>
      <c r="H5">
        <f t="shared" si="3"/>
        <v>10.4</v>
      </c>
      <c r="I5">
        <f t="shared" si="4"/>
        <v>34</v>
      </c>
    </row>
    <row r="6" spans="1:9" x14ac:dyDescent="0.25">
      <c r="A6" t="s">
        <v>143</v>
      </c>
      <c r="B6">
        <v>1990</v>
      </c>
      <c r="C6">
        <v>33</v>
      </c>
      <c r="D6">
        <f t="shared" si="0"/>
        <v>34.6</v>
      </c>
      <c r="E6">
        <f t="shared" si="1"/>
        <v>62.3</v>
      </c>
      <c r="F6">
        <f t="shared" si="2"/>
        <v>6.9</v>
      </c>
      <c r="G6">
        <f t="shared" si="5"/>
        <v>14</v>
      </c>
      <c r="H6">
        <f t="shared" si="3"/>
        <v>10.4</v>
      </c>
      <c r="I6">
        <f t="shared" si="4"/>
        <v>34</v>
      </c>
    </row>
    <row r="7" spans="1:9" x14ac:dyDescent="0.25">
      <c r="A7" t="s">
        <v>143</v>
      </c>
      <c r="B7">
        <v>1991</v>
      </c>
      <c r="C7">
        <v>25</v>
      </c>
      <c r="D7">
        <f t="shared" si="0"/>
        <v>34.6</v>
      </c>
      <c r="E7">
        <f t="shared" si="1"/>
        <v>62.3</v>
      </c>
      <c r="F7">
        <f t="shared" si="2"/>
        <v>6.9</v>
      </c>
      <c r="G7">
        <f t="shared" si="5"/>
        <v>8</v>
      </c>
      <c r="H7">
        <f t="shared" si="3"/>
        <v>10.4</v>
      </c>
      <c r="I7">
        <f t="shared" si="4"/>
        <v>34</v>
      </c>
    </row>
    <row r="8" spans="1:9" x14ac:dyDescent="0.25">
      <c r="A8" t="s">
        <v>143</v>
      </c>
      <c r="B8">
        <v>1992</v>
      </c>
      <c r="C8">
        <v>34</v>
      </c>
      <c r="D8">
        <f t="shared" si="0"/>
        <v>34.6</v>
      </c>
      <c r="E8">
        <f t="shared" si="1"/>
        <v>62.3</v>
      </c>
      <c r="F8">
        <f t="shared" si="2"/>
        <v>6.9</v>
      </c>
      <c r="G8">
        <f t="shared" si="5"/>
        <v>9</v>
      </c>
      <c r="H8">
        <f t="shared" si="3"/>
        <v>10.4</v>
      </c>
      <c r="I8">
        <f t="shared" si="4"/>
        <v>34</v>
      </c>
    </row>
    <row r="9" spans="1:9" x14ac:dyDescent="0.25">
      <c r="A9" t="s">
        <v>143</v>
      </c>
      <c r="B9">
        <v>1993</v>
      </c>
      <c r="C9">
        <v>46</v>
      </c>
      <c r="D9">
        <f t="shared" si="0"/>
        <v>34.6</v>
      </c>
      <c r="E9">
        <f t="shared" si="1"/>
        <v>62.3</v>
      </c>
      <c r="F9">
        <f t="shared" si="2"/>
        <v>6.9</v>
      </c>
      <c r="G9">
        <f t="shared" si="5"/>
        <v>12</v>
      </c>
      <c r="H9">
        <f t="shared" si="3"/>
        <v>10.4</v>
      </c>
      <c r="I9">
        <f t="shared" si="4"/>
        <v>34</v>
      </c>
    </row>
    <row r="10" spans="1:9" x14ac:dyDescent="0.25">
      <c r="A10" t="s">
        <v>143</v>
      </c>
      <c r="B10">
        <v>1994</v>
      </c>
      <c r="C10">
        <v>37</v>
      </c>
      <c r="D10">
        <f t="shared" si="0"/>
        <v>34.6</v>
      </c>
      <c r="E10">
        <f t="shared" si="1"/>
        <v>62.3</v>
      </c>
      <c r="F10">
        <f t="shared" si="2"/>
        <v>6.9</v>
      </c>
      <c r="G10">
        <f t="shared" si="5"/>
        <v>9</v>
      </c>
      <c r="H10">
        <f t="shared" si="3"/>
        <v>10.4</v>
      </c>
      <c r="I10">
        <f t="shared" si="4"/>
        <v>34</v>
      </c>
    </row>
    <row r="11" spans="1:9" x14ac:dyDescent="0.25">
      <c r="A11" t="s">
        <v>143</v>
      </c>
      <c r="B11">
        <v>1995</v>
      </c>
      <c r="C11">
        <v>33</v>
      </c>
      <c r="D11">
        <f t="shared" si="0"/>
        <v>34.6</v>
      </c>
      <c r="E11">
        <f t="shared" si="1"/>
        <v>62.3</v>
      </c>
      <c r="F11">
        <f t="shared" si="2"/>
        <v>6.9</v>
      </c>
      <c r="G11">
        <f t="shared" si="5"/>
        <v>4</v>
      </c>
      <c r="H11">
        <f t="shared" si="3"/>
        <v>10.4</v>
      </c>
      <c r="I11">
        <f t="shared" si="4"/>
        <v>34</v>
      </c>
    </row>
    <row r="12" spans="1:9" x14ac:dyDescent="0.25">
      <c r="A12" t="s">
        <v>143</v>
      </c>
      <c r="B12">
        <v>1996</v>
      </c>
      <c r="C12">
        <v>42</v>
      </c>
      <c r="D12">
        <f t="shared" si="0"/>
        <v>34.6</v>
      </c>
      <c r="E12">
        <f t="shared" si="1"/>
        <v>62.3</v>
      </c>
      <c r="F12">
        <f t="shared" si="2"/>
        <v>6.9</v>
      </c>
      <c r="G12">
        <f t="shared" si="5"/>
        <v>9</v>
      </c>
      <c r="H12">
        <f t="shared" si="3"/>
        <v>10.4</v>
      </c>
      <c r="I12">
        <f t="shared" si="4"/>
        <v>34</v>
      </c>
    </row>
    <row r="13" spans="1:9" x14ac:dyDescent="0.25">
      <c r="A13" t="s">
        <v>143</v>
      </c>
      <c r="B13">
        <v>1997</v>
      </c>
      <c r="C13">
        <v>40</v>
      </c>
      <c r="D13">
        <f t="shared" si="0"/>
        <v>34.6</v>
      </c>
      <c r="E13">
        <f t="shared" si="1"/>
        <v>62.3</v>
      </c>
      <c r="F13">
        <f t="shared" si="2"/>
        <v>6.9</v>
      </c>
      <c r="G13">
        <f t="shared" si="5"/>
        <v>2</v>
      </c>
      <c r="H13">
        <f t="shared" si="3"/>
        <v>10.4</v>
      </c>
      <c r="I13">
        <f t="shared" si="4"/>
        <v>34</v>
      </c>
    </row>
    <row r="14" spans="1:9" x14ac:dyDescent="0.25">
      <c r="A14" t="s">
        <v>143</v>
      </c>
      <c r="B14">
        <v>1998</v>
      </c>
      <c r="C14">
        <v>37</v>
      </c>
      <c r="D14">
        <f t="shared" si="0"/>
        <v>34.6</v>
      </c>
      <c r="E14">
        <f t="shared" si="1"/>
        <v>62.3</v>
      </c>
      <c r="F14">
        <f t="shared" si="2"/>
        <v>6.9</v>
      </c>
      <c r="G14">
        <f t="shared" si="5"/>
        <v>3</v>
      </c>
      <c r="H14">
        <f t="shared" si="3"/>
        <v>10.4</v>
      </c>
      <c r="I14">
        <f t="shared" si="4"/>
        <v>34</v>
      </c>
    </row>
    <row r="15" spans="1:9" x14ac:dyDescent="0.25">
      <c r="A15" t="s">
        <v>143</v>
      </c>
      <c r="B15">
        <v>1999</v>
      </c>
      <c r="C15">
        <v>34</v>
      </c>
      <c r="D15">
        <f t="shared" si="0"/>
        <v>34.6</v>
      </c>
      <c r="E15">
        <f t="shared" si="1"/>
        <v>62.3</v>
      </c>
      <c r="F15">
        <f t="shared" si="2"/>
        <v>6.9</v>
      </c>
      <c r="G15">
        <f t="shared" si="5"/>
        <v>3</v>
      </c>
      <c r="H15">
        <f t="shared" si="3"/>
        <v>10.4</v>
      </c>
      <c r="I15">
        <f t="shared" si="4"/>
        <v>34</v>
      </c>
    </row>
    <row r="16" spans="1:9" x14ac:dyDescent="0.25">
      <c r="A16" t="s">
        <v>143</v>
      </c>
      <c r="B16">
        <v>2000</v>
      </c>
      <c r="C16">
        <v>49</v>
      </c>
      <c r="D16">
        <f t="shared" si="0"/>
        <v>34.6</v>
      </c>
      <c r="E16">
        <f t="shared" si="1"/>
        <v>62.3</v>
      </c>
      <c r="F16">
        <f t="shared" si="2"/>
        <v>6.9</v>
      </c>
      <c r="G16">
        <f t="shared" si="5"/>
        <v>15</v>
      </c>
      <c r="H16">
        <f t="shared" si="3"/>
        <v>10.4</v>
      </c>
      <c r="I16">
        <f t="shared" si="4"/>
        <v>34</v>
      </c>
    </row>
    <row r="17" spans="1:9" x14ac:dyDescent="0.25">
      <c r="A17" t="s">
        <v>143</v>
      </c>
      <c r="B17">
        <v>2001</v>
      </c>
      <c r="C17">
        <v>73</v>
      </c>
      <c r="D17">
        <f t="shared" si="0"/>
        <v>34.6</v>
      </c>
      <c r="E17">
        <f t="shared" si="1"/>
        <v>62.3</v>
      </c>
      <c r="F17">
        <f t="shared" si="2"/>
        <v>6.9</v>
      </c>
      <c r="G17">
        <f t="shared" si="5"/>
        <v>24</v>
      </c>
      <c r="H17">
        <f t="shared" si="3"/>
        <v>10.4</v>
      </c>
      <c r="I17">
        <f t="shared" si="4"/>
        <v>34</v>
      </c>
    </row>
    <row r="18" spans="1:9" x14ac:dyDescent="0.25">
      <c r="A18" t="s">
        <v>143</v>
      </c>
      <c r="B18">
        <v>2002</v>
      </c>
      <c r="C18">
        <v>46</v>
      </c>
      <c r="D18">
        <f t="shared" si="0"/>
        <v>34.6</v>
      </c>
      <c r="E18">
        <f t="shared" si="1"/>
        <v>62.3</v>
      </c>
      <c r="F18">
        <f t="shared" si="2"/>
        <v>6.9</v>
      </c>
      <c r="G18">
        <f t="shared" si="5"/>
        <v>27</v>
      </c>
      <c r="H18">
        <f t="shared" si="3"/>
        <v>10.4</v>
      </c>
      <c r="I18">
        <f t="shared" si="4"/>
        <v>34</v>
      </c>
    </row>
    <row r="19" spans="1:9" x14ac:dyDescent="0.25">
      <c r="A19" t="s">
        <v>143</v>
      </c>
      <c r="B19">
        <v>2003</v>
      </c>
      <c r="C19">
        <v>45</v>
      </c>
      <c r="D19">
        <f t="shared" si="0"/>
        <v>34.6</v>
      </c>
      <c r="E19">
        <f t="shared" si="1"/>
        <v>62.3</v>
      </c>
      <c r="F19">
        <f t="shared" si="2"/>
        <v>6.9</v>
      </c>
      <c r="G19">
        <f t="shared" si="5"/>
        <v>1</v>
      </c>
      <c r="H19">
        <f t="shared" si="3"/>
        <v>10.4</v>
      </c>
      <c r="I19">
        <f t="shared" si="4"/>
        <v>34</v>
      </c>
    </row>
    <row r="20" spans="1:9" x14ac:dyDescent="0.25">
      <c r="A20" t="s">
        <v>143</v>
      </c>
      <c r="B20">
        <v>2004</v>
      </c>
      <c r="C20">
        <v>45</v>
      </c>
      <c r="D20">
        <f t="shared" si="0"/>
        <v>34.6</v>
      </c>
      <c r="E20">
        <f t="shared" si="1"/>
        <v>62.3</v>
      </c>
      <c r="F20">
        <f t="shared" si="2"/>
        <v>6.9</v>
      </c>
      <c r="G20">
        <f t="shared" si="5"/>
        <v>0</v>
      </c>
      <c r="H20">
        <f t="shared" si="3"/>
        <v>10.4</v>
      </c>
      <c r="I20">
        <f t="shared" si="4"/>
        <v>34</v>
      </c>
    </row>
    <row r="21" spans="1:9" x14ac:dyDescent="0.25">
      <c r="A21" t="s">
        <v>143</v>
      </c>
      <c r="B21">
        <v>2005</v>
      </c>
      <c r="C21">
        <v>5</v>
      </c>
      <c r="D21">
        <f t="shared" si="0"/>
        <v>34.6</v>
      </c>
      <c r="E21">
        <f t="shared" si="1"/>
        <v>62.3</v>
      </c>
      <c r="F21">
        <f t="shared" si="2"/>
        <v>6.9</v>
      </c>
      <c r="G21">
        <f t="shared" si="5"/>
        <v>40</v>
      </c>
      <c r="H21">
        <f t="shared" si="3"/>
        <v>10.4</v>
      </c>
      <c r="I21">
        <f t="shared" si="4"/>
        <v>34</v>
      </c>
    </row>
    <row r="22" spans="1:9" x14ac:dyDescent="0.25">
      <c r="A22" t="s">
        <v>143</v>
      </c>
      <c r="B22">
        <v>2006</v>
      </c>
      <c r="C22">
        <v>26</v>
      </c>
      <c r="D22">
        <f t="shared" si="0"/>
        <v>34.6</v>
      </c>
      <c r="E22">
        <f t="shared" si="1"/>
        <v>62.3</v>
      </c>
      <c r="F22">
        <f t="shared" si="2"/>
        <v>6.9</v>
      </c>
      <c r="G22">
        <f t="shared" si="5"/>
        <v>21</v>
      </c>
      <c r="H22">
        <f t="shared" si="3"/>
        <v>10.4</v>
      </c>
      <c r="I22">
        <f t="shared" si="4"/>
        <v>34</v>
      </c>
    </row>
    <row r="23" spans="1:9" x14ac:dyDescent="0.25">
      <c r="A23" t="s">
        <v>143</v>
      </c>
      <c r="B23">
        <v>2007</v>
      </c>
      <c r="C23">
        <v>28</v>
      </c>
      <c r="D23">
        <f t="shared" si="0"/>
        <v>34.6</v>
      </c>
      <c r="E23">
        <f t="shared" si="1"/>
        <v>62.3</v>
      </c>
      <c r="F23">
        <f t="shared" si="2"/>
        <v>6.9</v>
      </c>
      <c r="G23">
        <f t="shared" si="5"/>
        <v>2</v>
      </c>
      <c r="H23">
        <f t="shared" si="3"/>
        <v>10.4</v>
      </c>
      <c r="I23">
        <f t="shared" si="4"/>
        <v>34</v>
      </c>
    </row>
    <row r="25" spans="1:9" x14ac:dyDescent="0.25">
      <c r="A25" t="s">
        <v>140</v>
      </c>
      <c r="B25" t="s">
        <v>141</v>
      </c>
      <c r="C25" t="s">
        <v>142</v>
      </c>
      <c r="D25" s="11" t="s">
        <v>3</v>
      </c>
      <c r="E25" s="11" t="s">
        <v>4</v>
      </c>
      <c r="F25" s="11" t="s">
        <v>5</v>
      </c>
      <c r="G25" s="11" t="s">
        <v>6</v>
      </c>
      <c r="H25" s="11" t="s">
        <v>7</v>
      </c>
      <c r="I25" s="11" t="s">
        <v>8</v>
      </c>
    </row>
    <row r="26" spans="1:9" x14ac:dyDescent="0.25">
      <c r="A26" t="s">
        <v>144</v>
      </c>
      <c r="B26">
        <v>1986</v>
      </c>
      <c r="C26">
        <v>3</v>
      </c>
      <c r="D26">
        <f t="shared" ref="D26:D41" si="6">ROUND(AVERAGE($C$26:$C$41),1)</f>
        <v>36.4</v>
      </c>
      <c r="E26">
        <f t="shared" ref="E26:E41" si="7">ROUND(D26+(2.66*H26),1)</f>
        <v>79.2</v>
      </c>
      <c r="F26">
        <f t="shared" ref="F26:F41" si="8">ROUND(MAX(0, D26-(2.66*H26)),1)</f>
        <v>0</v>
      </c>
      <c r="H26">
        <f t="shared" ref="H26:H41" si="9">ROUND(AVERAGE($G$27:$G$41),1)</f>
        <v>16.100000000000001</v>
      </c>
      <c r="I26">
        <f t="shared" ref="I26:I41" si="10">ROUND(3.268*H26,1)</f>
        <v>52.6</v>
      </c>
    </row>
    <row r="27" spans="1:9" x14ac:dyDescent="0.25">
      <c r="A27" t="s">
        <v>144</v>
      </c>
      <c r="B27">
        <v>1987</v>
      </c>
      <c r="C27">
        <v>49</v>
      </c>
      <c r="D27">
        <f t="shared" si="6"/>
        <v>36.4</v>
      </c>
      <c r="E27">
        <f t="shared" si="7"/>
        <v>79.2</v>
      </c>
      <c r="F27">
        <f t="shared" si="8"/>
        <v>0</v>
      </c>
      <c r="G27">
        <f t="shared" ref="G27:G41" si="11">ABS(C26-C27)</f>
        <v>46</v>
      </c>
      <c r="H27">
        <f t="shared" si="9"/>
        <v>16.100000000000001</v>
      </c>
      <c r="I27">
        <f t="shared" si="10"/>
        <v>52.6</v>
      </c>
    </row>
    <row r="28" spans="1:9" x14ac:dyDescent="0.25">
      <c r="A28" t="s">
        <v>144</v>
      </c>
      <c r="B28">
        <v>1988</v>
      </c>
      <c r="C28">
        <v>32</v>
      </c>
      <c r="D28">
        <f t="shared" si="6"/>
        <v>36.4</v>
      </c>
      <c r="E28">
        <f t="shared" si="7"/>
        <v>79.2</v>
      </c>
      <c r="F28">
        <f t="shared" si="8"/>
        <v>0</v>
      </c>
      <c r="G28">
        <f t="shared" si="11"/>
        <v>17</v>
      </c>
      <c r="H28">
        <f t="shared" si="9"/>
        <v>16.100000000000001</v>
      </c>
      <c r="I28">
        <f t="shared" si="10"/>
        <v>52.6</v>
      </c>
    </row>
    <row r="29" spans="1:9" x14ac:dyDescent="0.25">
      <c r="A29" t="s">
        <v>144</v>
      </c>
      <c r="B29">
        <v>1989</v>
      </c>
      <c r="C29">
        <v>33</v>
      </c>
      <c r="D29">
        <f t="shared" si="6"/>
        <v>36.4</v>
      </c>
      <c r="E29">
        <f t="shared" si="7"/>
        <v>79.2</v>
      </c>
      <c r="F29">
        <f t="shared" si="8"/>
        <v>0</v>
      </c>
      <c r="G29">
        <f t="shared" si="11"/>
        <v>1</v>
      </c>
      <c r="H29">
        <f t="shared" si="9"/>
        <v>16.100000000000001</v>
      </c>
      <c r="I29">
        <f t="shared" si="10"/>
        <v>52.6</v>
      </c>
    </row>
    <row r="30" spans="1:9" x14ac:dyDescent="0.25">
      <c r="A30" t="s">
        <v>144</v>
      </c>
      <c r="B30">
        <v>1990</v>
      </c>
      <c r="C30">
        <v>39</v>
      </c>
      <c r="D30">
        <f t="shared" si="6"/>
        <v>36.4</v>
      </c>
      <c r="E30">
        <f t="shared" si="7"/>
        <v>79.2</v>
      </c>
      <c r="F30">
        <f t="shared" si="8"/>
        <v>0</v>
      </c>
      <c r="G30">
        <f t="shared" si="11"/>
        <v>6</v>
      </c>
      <c r="H30">
        <f t="shared" si="9"/>
        <v>16.100000000000001</v>
      </c>
      <c r="I30">
        <f t="shared" si="10"/>
        <v>52.6</v>
      </c>
    </row>
    <row r="31" spans="1:9" x14ac:dyDescent="0.25">
      <c r="A31" t="s">
        <v>144</v>
      </c>
      <c r="B31">
        <v>1991</v>
      </c>
      <c r="C31">
        <v>22</v>
      </c>
      <c r="D31">
        <f t="shared" si="6"/>
        <v>36.4</v>
      </c>
      <c r="E31">
        <f t="shared" si="7"/>
        <v>79.2</v>
      </c>
      <c r="F31">
        <f t="shared" si="8"/>
        <v>0</v>
      </c>
      <c r="G31">
        <f t="shared" si="11"/>
        <v>17</v>
      </c>
      <c r="H31">
        <f t="shared" si="9"/>
        <v>16.100000000000001</v>
      </c>
      <c r="I31">
        <f t="shared" si="10"/>
        <v>52.6</v>
      </c>
    </row>
    <row r="32" spans="1:9" x14ac:dyDescent="0.25">
      <c r="A32" t="s">
        <v>144</v>
      </c>
      <c r="B32">
        <v>1992</v>
      </c>
      <c r="C32">
        <v>42</v>
      </c>
      <c r="D32">
        <f t="shared" si="6"/>
        <v>36.4</v>
      </c>
      <c r="E32">
        <f t="shared" si="7"/>
        <v>79.2</v>
      </c>
      <c r="F32">
        <f t="shared" si="8"/>
        <v>0</v>
      </c>
      <c r="G32">
        <f t="shared" si="11"/>
        <v>20</v>
      </c>
      <c r="H32">
        <f t="shared" si="9"/>
        <v>16.100000000000001</v>
      </c>
      <c r="I32">
        <f t="shared" si="10"/>
        <v>52.6</v>
      </c>
    </row>
    <row r="33" spans="1:9" x14ac:dyDescent="0.25">
      <c r="A33" t="s">
        <v>144</v>
      </c>
      <c r="B33">
        <v>1993</v>
      </c>
      <c r="C33">
        <v>9</v>
      </c>
      <c r="D33">
        <f t="shared" si="6"/>
        <v>36.4</v>
      </c>
      <c r="E33">
        <f t="shared" si="7"/>
        <v>79.2</v>
      </c>
      <c r="F33">
        <f t="shared" si="8"/>
        <v>0</v>
      </c>
      <c r="G33">
        <f t="shared" si="11"/>
        <v>33</v>
      </c>
      <c r="H33">
        <f t="shared" si="9"/>
        <v>16.100000000000001</v>
      </c>
      <c r="I33">
        <f t="shared" si="10"/>
        <v>52.6</v>
      </c>
    </row>
    <row r="34" spans="1:9" x14ac:dyDescent="0.25">
      <c r="A34" t="s">
        <v>144</v>
      </c>
      <c r="B34">
        <v>1994</v>
      </c>
      <c r="C34">
        <v>9</v>
      </c>
      <c r="D34">
        <f t="shared" si="6"/>
        <v>36.4</v>
      </c>
      <c r="E34">
        <f t="shared" si="7"/>
        <v>79.2</v>
      </c>
      <c r="F34">
        <f t="shared" si="8"/>
        <v>0</v>
      </c>
      <c r="G34">
        <f t="shared" si="11"/>
        <v>0</v>
      </c>
      <c r="H34">
        <f t="shared" si="9"/>
        <v>16.100000000000001</v>
      </c>
      <c r="I34">
        <f t="shared" si="10"/>
        <v>52.6</v>
      </c>
    </row>
    <row r="35" spans="1:9" x14ac:dyDescent="0.25">
      <c r="A35" t="s">
        <v>144</v>
      </c>
      <c r="B35">
        <v>1995</v>
      </c>
      <c r="C35">
        <v>39</v>
      </c>
      <c r="D35">
        <f t="shared" si="6"/>
        <v>36.4</v>
      </c>
      <c r="E35">
        <f t="shared" si="7"/>
        <v>79.2</v>
      </c>
      <c r="F35">
        <f t="shared" si="8"/>
        <v>0</v>
      </c>
      <c r="G35">
        <f t="shared" si="11"/>
        <v>30</v>
      </c>
      <c r="H35">
        <f t="shared" si="9"/>
        <v>16.100000000000001</v>
      </c>
      <c r="I35">
        <f t="shared" si="10"/>
        <v>52.6</v>
      </c>
    </row>
    <row r="36" spans="1:9" x14ac:dyDescent="0.25">
      <c r="A36" t="s">
        <v>144</v>
      </c>
      <c r="B36">
        <v>1996</v>
      </c>
      <c r="C36">
        <v>52</v>
      </c>
      <c r="D36">
        <f t="shared" si="6"/>
        <v>36.4</v>
      </c>
      <c r="E36">
        <f t="shared" si="7"/>
        <v>79.2</v>
      </c>
      <c r="F36">
        <f t="shared" si="8"/>
        <v>0</v>
      </c>
      <c r="G36">
        <f t="shared" si="11"/>
        <v>13</v>
      </c>
      <c r="H36">
        <f t="shared" si="9"/>
        <v>16.100000000000001</v>
      </c>
      <c r="I36">
        <f t="shared" si="10"/>
        <v>52.6</v>
      </c>
    </row>
    <row r="37" spans="1:9" x14ac:dyDescent="0.25">
      <c r="A37" t="s">
        <v>144</v>
      </c>
      <c r="B37">
        <v>1997</v>
      </c>
      <c r="C37">
        <v>58</v>
      </c>
      <c r="D37">
        <f t="shared" si="6"/>
        <v>36.4</v>
      </c>
      <c r="E37">
        <f t="shared" si="7"/>
        <v>79.2</v>
      </c>
      <c r="F37">
        <f t="shared" si="8"/>
        <v>0</v>
      </c>
      <c r="G37">
        <f t="shared" si="11"/>
        <v>6</v>
      </c>
      <c r="H37">
        <f t="shared" si="9"/>
        <v>16.100000000000001</v>
      </c>
      <c r="I37">
        <f t="shared" si="10"/>
        <v>52.6</v>
      </c>
    </row>
    <row r="38" spans="1:9" x14ac:dyDescent="0.25">
      <c r="A38" t="s">
        <v>144</v>
      </c>
      <c r="B38">
        <v>1998</v>
      </c>
      <c r="C38">
        <v>70</v>
      </c>
      <c r="D38">
        <f t="shared" si="6"/>
        <v>36.4</v>
      </c>
      <c r="E38">
        <f t="shared" si="7"/>
        <v>79.2</v>
      </c>
      <c r="F38">
        <f t="shared" si="8"/>
        <v>0</v>
      </c>
      <c r="G38">
        <f t="shared" si="11"/>
        <v>12</v>
      </c>
      <c r="H38">
        <f t="shared" si="9"/>
        <v>16.100000000000001</v>
      </c>
      <c r="I38">
        <f t="shared" si="10"/>
        <v>52.6</v>
      </c>
    </row>
    <row r="39" spans="1:9" x14ac:dyDescent="0.25">
      <c r="A39" t="s">
        <v>144</v>
      </c>
      <c r="B39">
        <v>1999</v>
      </c>
      <c r="C39">
        <v>65</v>
      </c>
      <c r="D39">
        <f t="shared" si="6"/>
        <v>36.4</v>
      </c>
      <c r="E39">
        <f t="shared" si="7"/>
        <v>79.2</v>
      </c>
      <c r="F39">
        <f t="shared" si="8"/>
        <v>0</v>
      </c>
      <c r="G39">
        <f t="shared" si="11"/>
        <v>5</v>
      </c>
      <c r="H39">
        <f t="shared" si="9"/>
        <v>16.100000000000001</v>
      </c>
      <c r="I39">
        <f t="shared" si="10"/>
        <v>52.6</v>
      </c>
    </row>
    <row r="40" spans="1:9" x14ac:dyDescent="0.25">
      <c r="A40" t="s">
        <v>144</v>
      </c>
      <c r="B40">
        <v>2000</v>
      </c>
      <c r="C40">
        <v>32</v>
      </c>
      <c r="D40">
        <f t="shared" si="6"/>
        <v>36.4</v>
      </c>
      <c r="E40">
        <f t="shared" si="7"/>
        <v>79.2</v>
      </c>
      <c r="F40">
        <f t="shared" si="8"/>
        <v>0</v>
      </c>
      <c r="G40">
        <f t="shared" si="11"/>
        <v>33</v>
      </c>
      <c r="H40">
        <f t="shared" si="9"/>
        <v>16.100000000000001</v>
      </c>
      <c r="I40">
        <f t="shared" si="10"/>
        <v>52.6</v>
      </c>
    </row>
    <row r="41" spans="1:9" x14ac:dyDescent="0.25">
      <c r="A41" t="s">
        <v>144</v>
      </c>
      <c r="B41">
        <v>2001</v>
      </c>
      <c r="C41">
        <v>29</v>
      </c>
      <c r="D41">
        <f t="shared" si="6"/>
        <v>36.4</v>
      </c>
      <c r="E41">
        <f t="shared" si="7"/>
        <v>79.2</v>
      </c>
      <c r="F41">
        <f t="shared" si="8"/>
        <v>0</v>
      </c>
      <c r="G41">
        <f t="shared" si="11"/>
        <v>3</v>
      </c>
      <c r="H41">
        <f t="shared" si="9"/>
        <v>16.100000000000001</v>
      </c>
      <c r="I41">
        <f t="shared" si="10"/>
        <v>52.6</v>
      </c>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K27" sqref="K27"/>
    </sheetView>
  </sheetViews>
  <sheetFormatPr defaultColWidth="12.6640625" defaultRowHeight="15.75" customHeight="1" x14ac:dyDescent="0.25"/>
  <cols>
    <col min="1" max="1" width="8.88671875" bestFit="1" customWidth="1"/>
    <col min="2" max="2" width="7.77734375" bestFit="1" customWidth="1"/>
    <col min="3" max="3" width="12.21875" bestFit="1" customWidth="1"/>
  </cols>
  <sheetData>
    <row r="1" spans="1:3" ht="13.2" x14ac:dyDescent="0.25">
      <c r="A1" s="13" t="s">
        <v>21</v>
      </c>
      <c r="B1" s="8" t="s">
        <v>22</v>
      </c>
      <c r="C1" s="14" t="s">
        <v>23</v>
      </c>
    </row>
    <row r="2" spans="1:3" ht="13.2" x14ac:dyDescent="0.25">
      <c r="A2" s="6" t="s">
        <v>24</v>
      </c>
      <c r="B2" s="6" t="s">
        <v>25</v>
      </c>
      <c r="C2">
        <v>4400</v>
      </c>
    </row>
    <row r="3" spans="1:3" ht="13.2" x14ac:dyDescent="0.25">
      <c r="A3" s="6" t="s">
        <v>24</v>
      </c>
      <c r="B3" s="6" t="s">
        <v>26</v>
      </c>
      <c r="C3">
        <v>4565</v>
      </c>
    </row>
    <row r="4" spans="1:3" ht="13.2" x14ac:dyDescent="0.25">
      <c r="A4" s="6" t="s">
        <v>24</v>
      </c>
      <c r="B4" s="6" t="s">
        <v>27</v>
      </c>
      <c r="C4">
        <v>4495</v>
      </c>
    </row>
    <row r="5" spans="1:3" ht="13.2" x14ac:dyDescent="0.25">
      <c r="A5" s="6" t="s">
        <v>24</v>
      </c>
      <c r="B5" s="6" t="s">
        <v>28</v>
      </c>
      <c r="C5">
        <v>4325</v>
      </c>
    </row>
    <row r="6" spans="1:3" ht="13.2" x14ac:dyDescent="0.25">
      <c r="A6" s="6" t="s">
        <v>24</v>
      </c>
      <c r="B6" s="6" t="s">
        <v>29</v>
      </c>
      <c r="C6">
        <v>4385</v>
      </c>
    </row>
    <row r="7" spans="1:3" ht="13.2" x14ac:dyDescent="0.25">
      <c r="A7" s="6" t="s">
        <v>24</v>
      </c>
      <c r="B7" s="6" t="s">
        <v>30</v>
      </c>
      <c r="C7">
        <v>4545</v>
      </c>
    </row>
    <row r="8" spans="1:3" ht="13.2" x14ac:dyDescent="0.25">
      <c r="A8" s="6" t="s">
        <v>24</v>
      </c>
      <c r="B8" s="6" t="s">
        <v>31</v>
      </c>
      <c r="C8">
        <v>4235</v>
      </c>
    </row>
    <row r="9" spans="1:3" ht="13.2" x14ac:dyDescent="0.25">
      <c r="A9" s="6" t="s">
        <v>24</v>
      </c>
      <c r="B9" s="6" t="s">
        <v>32</v>
      </c>
      <c r="C9">
        <v>4370</v>
      </c>
    </row>
    <row r="10" spans="1:3" ht="13.2" x14ac:dyDescent="0.25">
      <c r="A10" s="6" t="s">
        <v>24</v>
      </c>
      <c r="B10" s="6" t="s">
        <v>33</v>
      </c>
      <c r="C10">
        <v>4340</v>
      </c>
    </row>
    <row r="11" spans="1:3" ht="13.2" x14ac:dyDescent="0.25">
      <c r="A11" s="6" t="s">
        <v>24</v>
      </c>
      <c r="B11" s="6" t="s">
        <v>34</v>
      </c>
      <c r="C11">
        <v>4500</v>
      </c>
    </row>
    <row r="12" spans="1:3" ht="13.2" x14ac:dyDescent="0.25">
      <c r="A12" s="6" t="s">
        <v>24</v>
      </c>
      <c r="B12" s="6" t="s">
        <v>35</v>
      </c>
      <c r="C12">
        <v>4165</v>
      </c>
    </row>
    <row r="13" spans="1:3" ht="13.2" x14ac:dyDescent="0.25">
      <c r="A13" s="6" t="s">
        <v>24</v>
      </c>
      <c r="B13" s="6" t="s">
        <v>36</v>
      </c>
      <c r="C13">
        <v>4000</v>
      </c>
    </row>
    <row r="14" spans="1:3" ht="13.2" x14ac:dyDescent="0.25">
      <c r="A14" s="6" t="s">
        <v>24</v>
      </c>
      <c r="B14" s="6" t="s">
        <v>37</v>
      </c>
      <c r="C14">
        <v>4125</v>
      </c>
    </row>
    <row r="15" spans="1:3" ht="13.2" x14ac:dyDescent="0.25">
      <c r="A15" s="6" t="s">
        <v>24</v>
      </c>
      <c r="B15" s="6" t="s">
        <v>38</v>
      </c>
      <c r="C15">
        <v>4445</v>
      </c>
    </row>
    <row r="16" spans="1:3" ht="13.2" x14ac:dyDescent="0.25">
      <c r="A16" s="6" t="s">
        <v>24</v>
      </c>
      <c r="B16" s="6" t="s">
        <v>39</v>
      </c>
      <c r="C16">
        <v>4775</v>
      </c>
    </row>
    <row r="17" spans="1:3" ht="13.2" x14ac:dyDescent="0.25">
      <c r="A17" s="6" t="s">
        <v>24</v>
      </c>
      <c r="B17" s="6" t="s">
        <v>40</v>
      </c>
      <c r="C17">
        <v>4615</v>
      </c>
    </row>
    <row r="18" spans="1:3" ht="13.2" x14ac:dyDescent="0.25">
      <c r="A18" s="6" t="s">
        <v>24</v>
      </c>
      <c r="B18" s="6" t="s">
        <v>41</v>
      </c>
      <c r="C18">
        <v>4465</v>
      </c>
    </row>
    <row r="19" spans="1:3" ht="13.2" x14ac:dyDescent="0.25">
      <c r="A19" s="6" t="s">
        <v>24</v>
      </c>
      <c r="B19" s="6" t="s">
        <v>42</v>
      </c>
      <c r="C19">
        <v>4375</v>
      </c>
    </row>
    <row r="20" spans="1:3" ht="13.2" x14ac:dyDescent="0.25">
      <c r="A20" s="6" t="s">
        <v>24</v>
      </c>
      <c r="B20" s="6" t="s">
        <v>43</v>
      </c>
      <c r="C20">
        <v>4600</v>
      </c>
    </row>
    <row r="21" spans="1:3" ht="13.2" x14ac:dyDescent="0.25">
      <c r="A21" s="6" t="s">
        <v>24</v>
      </c>
      <c r="B21" s="6" t="s">
        <v>44</v>
      </c>
      <c r="C21">
        <v>4260</v>
      </c>
    </row>
    <row r="22" spans="1:3" ht="13.2" x14ac:dyDescent="0.25">
      <c r="A22" s="6" t="s">
        <v>24</v>
      </c>
      <c r="B22" s="6" t="s">
        <v>45</v>
      </c>
      <c r="C22">
        <v>4675</v>
      </c>
    </row>
    <row r="23" spans="1:3" ht="13.2" x14ac:dyDescent="0.25">
      <c r="A23" s="6" t="s">
        <v>24</v>
      </c>
      <c r="B23" s="6" t="s">
        <v>46</v>
      </c>
      <c r="C23">
        <v>4800</v>
      </c>
    </row>
    <row r="24" spans="1:3" ht="13.2" x14ac:dyDescent="0.25">
      <c r="A24" s="6" t="s">
        <v>24</v>
      </c>
      <c r="B24" s="6" t="s">
        <v>47</v>
      </c>
      <c r="C24">
        <v>4410</v>
      </c>
    </row>
    <row r="25" spans="1:3" ht="13.2" x14ac:dyDescent="0.25">
      <c r="A25" s="6" t="s">
        <v>24</v>
      </c>
      <c r="B25" s="6" t="s">
        <v>48</v>
      </c>
      <c r="C25">
        <v>4675</v>
      </c>
    </row>
    <row r="26" spans="1:3" ht="13.2" x14ac:dyDescent="0.25">
      <c r="A26" s="6" t="s">
        <v>24</v>
      </c>
      <c r="B26" s="6" t="s">
        <v>49</v>
      </c>
      <c r="C26">
        <v>4260</v>
      </c>
    </row>
    <row r="27" spans="1:3" ht="13.2" x14ac:dyDescent="0.25">
      <c r="A27" s="6" t="s">
        <v>24</v>
      </c>
      <c r="B27" s="6" t="s">
        <v>50</v>
      </c>
      <c r="C27">
        <v>4000</v>
      </c>
    </row>
    <row r="28" spans="1:3" ht="13.2" x14ac:dyDescent="0.25">
      <c r="A28" s="6" t="s">
        <v>24</v>
      </c>
      <c r="B28" s="6" t="s">
        <v>51</v>
      </c>
      <c r="C28">
        <v>4360</v>
      </c>
    </row>
    <row r="29" spans="1:3" ht="13.2" x14ac:dyDescent="0.25">
      <c r="A29" s="6" t="s">
        <v>24</v>
      </c>
      <c r="B29" s="6" t="s">
        <v>52</v>
      </c>
      <c r="C29">
        <v>4500</v>
      </c>
    </row>
    <row r="30" spans="1:3" ht="13.2" x14ac:dyDescent="0.25">
      <c r="A30" s="6" t="s">
        <v>24</v>
      </c>
      <c r="B30" s="6" t="s">
        <v>53</v>
      </c>
      <c r="C30">
        <v>4460</v>
      </c>
    </row>
    <row r="31" spans="1:3" ht="13.2" x14ac:dyDescent="0.25">
      <c r="A31" s="6" t="s">
        <v>24</v>
      </c>
      <c r="B31" s="6" t="s">
        <v>54</v>
      </c>
      <c r="C31">
        <v>4360</v>
      </c>
    </row>
    <row r="32" spans="1:3" ht="13.2" x14ac:dyDescent="0.25">
      <c r="A32" s="6" t="s">
        <v>24</v>
      </c>
      <c r="B32" s="6" t="s">
        <v>55</v>
      </c>
      <c r="C32">
        <v>4265</v>
      </c>
    </row>
    <row r="33" spans="1:3" ht="13.2" x14ac:dyDescent="0.25">
      <c r="A33" s="6" t="s">
        <v>24</v>
      </c>
      <c r="B33" s="6" t="s">
        <v>56</v>
      </c>
      <c r="C33">
        <v>4635</v>
      </c>
    </row>
    <row r="34" spans="1:3" ht="13.2" x14ac:dyDescent="0.25">
      <c r="A34" s="6" t="s">
        <v>24</v>
      </c>
      <c r="B34" s="6" t="s">
        <v>57</v>
      </c>
      <c r="C34">
        <v>4240</v>
      </c>
    </row>
    <row r="35" spans="1:3" ht="13.2" x14ac:dyDescent="0.25">
      <c r="A35" s="6" t="s">
        <v>24</v>
      </c>
      <c r="B35" s="6" t="s">
        <v>58</v>
      </c>
      <c r="C35">
        <v>4350</v>
      </c>
    </row>
    <row r="36" spans="1:3" ht="13.2" x14ac:dyDescent="0.25">
      <c r="A36" s="6" t="s">
        <v>24</v>
      </c>
      <c r="B36" s="6" t="s">
        <v>59</v>
      </c>
      <c r="C36">
        <v>4220</v>
      </c>
    </row>
    <row r="37" spans="1:3" ht="13.2" x14ac:dyDescent="0.25">
      <c r="A37" s="6" t="s">
        <v>24</v>
      </c>
      <c r="B37" s="6" t="s">
        <v>60</v>
      </c>
      <c r="C37">
        <v>4150</v>
      </c>
    </row>
    <row r="38" spans="1:3" ht="13.2" x14ac:dyDescent="0.25">
      <c r="A38" s="6" t="s">
        <v>24</v>
      </c>
      <c r="B38" s="6" t="s">
        <v>61</v>
      </c>
      <c r="C38">
        <v>4520</v>
      </c>
    </row>
    <row r="39" spans="1:3" ht="13.2" x14ac:dyDescent="0.25">
      <c r="A39" s="6" t="s">
        <v>24</v>
      </c>
      <c r="B39" s="6" t="s">
        <v>62</v>
      </c>
      <c r="C39">
        <v>4545</v>
      </c>
    </row>
    <row r="40" spans="1:3" ht="13.2" x14ac:dyDescent="0.25">
      <c r="A40" s="6" t="s">
        <v>24</v>
      </c>
      <c r="B40" s="6" t="s">
        <v>63</v>
      </c>
      <c r="C40">
        <v>4650</v>
      </c>
    </row>
    <row r="41" spans="1:3" ht="13.2" x14ac:dyDescent="0.25">
      <c r="A41" s="6" t="s">
        <v>24</v>
      </c>
      <c r="B41" s="6" t="s">
        <v>64</v>
      </c>
      <c r="C41">
        <v>4230</v>
      </c>
    </row>
    <row r="42" spans="1:3" ht="13.2" x14ac:dyDescent="0.25">
      <c r="A42" s="6" t="s">
        <v>24</v>
      </c>
      <c r="B42" s="6" t="s">
        <v>65</v>
      </c>
      <c r="C42">
        <v>4320</v>
      </c>
    </row>
    <row r="43" spans="1:3" ht="13.2" x14ac:dyDescent="0.25">
      <c r="A43" s="6" t="s">
        <v>24</v>
      </c>
      <c r="B43" s="6" t="s">
        <v>66</v>
      </c>
      <c r="C43">
        <v>4570</v>
      </c>
    </row>
    <row r="44" spans="1:3" ht="13.2" x14ac:dyDescent="0.25">
      <c r="A44" s="6" t="s">
        <v>24</v>
      </c>
      <c r="B44" s="6" t="s">
        <v>67</v>
      </c>
      <c r="C44">
        <v>4380</v>
      </c>
    </row>
    <row r="45" spans="1:3" ht="13.2" x14ac:dyDescent="0.25">
      <c r="A45" s="6" t="s">
        <v>24</v>
      </c>
      <c r="B45" s="6" t="s">
        <v>68</v>
      </c>
      <c r="C45">
        <v>4450</v>
      </c>
    </row>
    <row r="46" spans="1:3" ht="13.2" x14ac:dyDescent="0.25">
      <c r="A46" s="6" t="s">
        <v>24</v>
      </c>
      <c r="B46" s="6" t="s">
        <v>69</v>
      </c>
      <c r="C46">
        <v>4340</v>
      </c>
    </row>
    <row r="47" spans="1:3" ht="13.2" x14ac:dyDescent="0.25">
      <c r="A47" s="6" t="s">
        <v>24</v>
      </c>
      <c r="B47" s="6" t="s">
        <v>70</v>
      </c>
      <c r="C47">
        <v>4350</v>
      </c>
    </row>
    <row r="48" spans="1:3" ht="13.2" x14ac:dyDescent="0.25">
      <c r="A48" s="6" t="s">
        <v>24</v>
      </c>
      <c r="B48" s="6" t="s">
        <v>71</v>
      </c>
      <c r="C48">
        <v>4660</v>
      </c>
    </row>
    <row r="49" spans="1:3" ht="13.2" x14ac:dyDescent="0.25">
      <c r="A49" s="6" t="s">
        <v>24</v>
      </c>
      <c r="B49" s="6" t="s">
        <v>72</v>
      </c>
      <c r="C49">
        <v>4220</v>
      </c>
    </row>
    <row r="50" spans="1:3" ht="13.2" x14ac:dyDescent="0.25">
      <c r="A50" s="6" t="s">
        <v>24</v>
      </c>
      <c r="B50" s="6" t="s">
        <v>73</v>
      </c>
      <c r="C50">
        <v>4310</v>
      </c>
    </row>
    <row r="51" spans="1:3" ht="13.2" x14ac:dyDescent="0.25">
      <c r="A51" s="6" t="s">
        <v>24</v>
      </c>
      <c r="B51" s="6" t="s">
        <v>74</v>
      </c>
      <c r="C51">
        <v>4250</v>
      </c>
    </row>
    <row r="52" spans="1:3" ht="13.2" x14ac:dyDescent="0.25">
      <c r="A52" s="6" t="s">
        <v>24</v>
      </c>
      <c r="B52" s="6" t="s">
        <v>75</v>
      </c>
      <c r="C52">
        <v>4315</v>
      </c>
    </row>
    <row r="53" spans="1:3" ht="13.2" x14ac:dyDescent="0.25">
      <c r="A53" s="6" t="s">
        <v>24</v>
      </c>
      <c r="B53" s="6" t="s">
        <v>76</v>
      </c>
      <c r="C53">
        <v>4380</v>
      </c>
    </row>
    <row r="54" spans="1:3" ht="13.2" x14ac:dyDescent="0.25">
      <c r="A54" s="6" t="s">
        <v>24</v>
      </c>
      <c r="B54" s="6" t="s">
        <v>77</v>
      </c>
      <c r="C54">
        <v>4490</v>
      </c>
    </row>
    <row r="55" spans="1:3" ht="13.2" x14ac:dyDescent="0.25">
      <c r="A55" s="6" t="s">
        <v>24</v>
      </c>
      <c r="B55" s="6" t="s">
        <v>78</v>
      </c>
      <c r="C55">
        <v>4240</v>
      </c>
    </row>
    <row r="56" spans="1:3" ht="13.2" x14ac:dyDescent="0.25">
      <c r="A56" s="6" t="s">
        <v>24</v>
      </c>
      <c r="B56" s="6" t="s">
        <v>79</v>
      </c>
      <c r="C56">
        <v>4350</v>
      </c>
    </row>
    <row r="57" spans="1:3" ht="13.2" x14ac:dyDescent="0.25">
      <c r="A57" s="6" t="s">
        <v>24</v>
      </c>
      <c r="B57" s="6" t="s">
        <v>80</v>
      </c>
      <c r="C57">
        <v>4320</v>
      </c>
    </row>
    <row r="58" spans="1:3" ht="13.2" x14ac:dyDescent="0.25">
      <c r="A58" s="6" t="s">
        <v>24</v>
      </c>
      <c r="B58" s="6" t="s">
        <v>81</v>
      </c>
      <c r="C58">
        <v>4475</v>
      </c>
    </row>
    <row r="59" spans="1:3" ht="13.2" x14ac:dyDescent="0.25">
      <c r="A59" s="6" t="s">
        <v>24</v>
      </c>
      <c r="B59" s="6" t="s">
        <v>82</v>
      </c>
      <c r="C59">
        <v>4725</v>
      </c>
    </row>
    <row r="60" spans="1:3" ht="13.2" x14ac:dyDescent="0.25">
      <c r="A60" s="6" t="s">
        <v>24</v>
      </c>
      <c r="B60" s="6" t="s">
        <v>83</v>
      </c>
      <c r="C60">
        <v>4540</v>
      </c>
    </row>
    <row r="61" spans="1:3" ht="13.2" x14ac:dyDescent="0.25">
      <c r="A61" s="6" t="s">
        <v>24</v>
      </c>
      <c r="B61" s="6" t="s">
        <v>84</v>
      </c>
      <c r="C61">
        <v>4565</v>
      </c>
    </row>
    <row r="62" spans="1:3" ht="13.2" x14ac:dyDescent="0.25">
      <c r="A62" s="6" t="s">
        <v>24</v>
      </c>
      <c r="B62" s="6" t="s">
        <v>85</v>
      </c>
      <c r="C62">
        <v>4210</v>
      </c>
    </row>
    <row r="63" spans="1:3" ht="13.2" x14ac:dyDescent="0.25">
      <c r="A63" s="6" t="s">
        <v>24</v>
      </c>
      <c r="B63" s="6" t="s">
        <v>86</v>
      </c>
      <c r="C63">
        <v>4540</v>
      </c>
    </row>
    <row r="64" spans="1:3" ht="13.2" x14ac:dyDescent="0.25">
      <c r="A64" s="6" t="s">
        <v>24</v>
      </c>
      <c r="B64" s="6" t="s">
        <v>87</v>
      </c>
      <c r="C64">
        <v>4600</v>
      </c>
    </row>
    <row r="65" spans="1:3" ht="13.2" x14ac:dyDescent="0.25">
      <c r="A65" s="6" t="s">
        <v>24</v>
      </c>
      <c r="B65" s="6" t="s">
        <v>88</v>
      </c>
      <c r="C65">
        <v>4850</v>
      </c>
    </row>
    <row r="66" spans="1:3" ht="13.2" x14ac:dyDescent="0.25">
      <c r="A66" s="2"/>
      <c r="B66" s="2"/>
      <c r="C66" s="2"/>
    </row>
    <row r="67" spans="1:3" ht="13.2" x14ac:dyDescent="0.25">
      <c r="A67" s="2"/>
      <c r="B67" s="2"/>
      <c r="C67" s="2"/>
    </row>
    <row r="68" spans="1:3" ht="13.2" x14ac:dyDescent="0.25">
      <c r="A68" s="2"/>
      <c r="B68" s="2"/>
      <c r="C68" s="2"/>
    </row>
    <row r="69" spans="1:3" ht="13.2" x14ac:dyDescent="0.25">
      <c r="A69" s="2"/>
      <c r="B69" s="2"/>
      <c r="C69" s="2"/>
    </row>
    <row r="70" spans="1:3" ht="13.2" x14ac:dyDescent="0.25">
      <c r="A70" s="2"/>
      <c r="B70" s="2"/>
      <c r="C70" s="2"/>
    </row>
    <row r="71" spans="1:3" ht="13.2" x14ac:dyDescent="0.25">
      <c r="A71" s="2"/>
      <c r="B71" s="2"/>
      <c r="C71" s="2"/>
    </row>
    <row r="72" spans="1:3" ht="13.2" x14ac:dyDescent="0.25">
      <c r="A72" s="2"/>
      <c r="B72" s="2"/>
      <c r="C72" s="2"/>
    </row>
    <row r="73" spans="1:3" ht="13.2" x14ac:dyDescent="0.25">
      <c r="A73" s="2"/>
      <c r="B73" s="2"/>
      <c r="C73" s="2"/>
    </row>
    <row r="74" spans="1:3" ht="13.2" x14ac:dyDescent="0.25">
      <c r="A74" s="2"/>
      <c r="B74" s="2"/>
      <c r="C74" s="2"/>
    </row>
    <row r="75" spans="1:3" ht="13.2" x14ac:dyDescent="0.25">
      <c r="A75" s="2"/>
      <c r="B75" s="2"/>
      <c r="C75" s="2"/>
    </row>
    <row r="76" spans="1:3" ht="13.2" x14ac:dyDescent="0.25">
      <c r="A76" s="2"/>
      <c r="B76" s="2"/>
      <c r="C76" s="2"/>
    </row>
    <row r="77" spans="1:3" ht="13.2" x14ac:dyDescent="0.25">
      <c r="A77" s="2"/>
      <c r="B77" s="2"/>
      <c r="C77" s="2"/>
    </row>
    <row r="78" spans="1:3" ht="13.2" x14ac:dyDescent="0.25">
      <c r="A78" s="2"/>
      <c r="B78" s="2"/>
      <c r="C78" s="2"/>
    </row>
    <row r="79" spans="1:3" ht="13.2" x14ac:dyDescent="0.25">
      <c r="A79" s="2"/>
      <c r="B79" s="2"/>
      <c r="C79" s="2"/>
    </row>
    <row r="80" spans="1:3" ht="13.2" x14ac:dyDescent="0.25">
      <c r="A80" s="2"/>
      <c r="B80" s="2"/>
      <c r="C80" s="2"/>
    </row>
    <row r="81" spans="1:3" ht="13.2" x14ac:dyDescent="0.25">
      <c r="A81" s="2"/>
      <c r="B81" s="2"/>
      <c r="C81" s="2"/>
    </row>
    <row r="82" spans="1:3" ht="13.2" x14ac:dyDescent="0.25">
      <c r="A82" s="2"/>
      <c r="B82" s="2"/>
      <c r="C82" s="2"/>
    </row>
    <row r="83" spans="1:3" ht="13.2" x14ac:dyDescent="0.25">
      <c r="A83" s="2"/>
      <c r="B83" s="2"/>
      <c r="C83" s="2"/>
    </row>
    <row r="84" spans="1:3" ht="13.2" x14ac:dyDescent="0.25">
      <c r="A84" s="2"/>
      <c r="B84" s="2"/>
      <c r="C84" s="2"/>
    </row>
    <row r="85" spans="1:3" ht="13.2" x14ac:dyDescent="0.25">
      <c r="A85" s="2"/>
      <c r="B85" s="2"/>
      <c r="C85" s="2"/>
    </row>
    <row r="86" spans="1:3" ht="13.2" x14ac:dyDescent="0.25">
      <c r="A86" s="2"/>
      <c r="B86" s="2"/>
      <c r="C86" s="2"/>
    </row>
    <row r="87" spans="1:3" ht="13.2" x14ac:dyDescent="0.25">
      <c r="A87" s="2"/>
      <c r="B87" s="2"/>
      <c r="C87" s="2"/>
    </row>
    <row r="88" spans="1:3" ht="13.2" x14ac:dyDescent="0.25">
      <c r="A88" s="2"/>
      <c r="B88" s="2"/>
      <c r="C88" s="2"/>
    </row>
    <row r="89" spans="1:3" ht="13.2" x14ac:dyDescent="0.25">
      <c r="A89" s="2"/>
      <c r="B89" s="2"/>
      <c r="C89" s="2"/>
    </row>
    <row r="90" spans="1:3" ht="13.2" x14ac:dyDescent="0.25">
      <c r="A90" s="2"/>
      <c r="B90" s="2"/>
      <c r="C90" s="2"/>
    </row>
    <row r="91" spans="1:3" ht="13.2" x14ac:dyDescent="0.25">
      <c r="A91" s="2"/>
      <c r="B91" s="2"/>
      <c r="C91" s="2"/>
    </row>
    <row r="92" spans="1:3" ht="13.2" x14ac:dyDescent="0.25">
      <c r="A92" s="2"/>
      <c r="B92" s="2"/>
      <c r="C92" s="2"/>
    </row>
    <row r="93" spans="1:3" ht="13.2" x14ac:dyDescent="0.25">
      <c r="A93" s="2"/>
      <c r="B93" s="2"/>
      <c r="C93" s="2"/>
    </row>
    <row r="94" spans="1:3" ht="13.2" x14ac:dyDescent="0.25">
      <c r="A94" s="2"/>
      <c r="B94" s="2"/>
      <c r="C94" s="2"/>
    </row>
    <row r="95" spans="1:3" ht="13.2" x14ac:dyDescent="0.25">
      <c r="A95" s="2"/>
      <c r="B95" s="2"/>
      <c r="C95" s="2"/>
    </row>
    <row r="96" spans="1:3" ht="13.2" x14ac:dyDescent="0.25">
      <c r="A96" s="2"/>
      <c r="B96" s="2"/>
      <c r="C96" s="2"/>
    </row>
    <row r="97" spans="1:3" ht="13.2" x14ac:dyDescent="0.25">
      <c r="A97" s="2"/>
      <c r="B97" s="2"/>
      <c r="C97" s="2"/>
    </row>
    <row r="98" spans="1:3" ht="13.2" x14ac:dyDescent="0.25">
      <c r="A98" s="2"/>
      <c r="B98" s="2"/>
      <c r="C98" s="2"/>
    </row>
    <row r="99" spans="1:3" ht="13.2" x14ac:dyDescent="0.25">
      <c r="A99" s="2"/>
      <c r="B99" s="2"/>
      <c r="C99" s="2"/>
    </row>
    <row r="100" spans="1:3" ht="13.2" x14ac:dyDescent="0.25">
      <c r="A100" s="2"/>
      <c r="B100" s="2"/>
      <c r="C100" s="2"/>
    </row>
    <row r="101" spans="1:3" ht="13.2" x14ac:dyDescent="0.25">
      <c r="A101" s="2"/>
      <c r="B101" s="2"/>
      <c r="C101" s="2"/>
    </row>
    <row r="102" spans="1:3" ht="13.2" x14ac:dyDescent="0.25">
      <c r="A102" s="2"/>
      <c r="B102" s="2"/>
      <c r="C102" s="2"/>
    </row>
    <row r="103" spans="1:3" ht="13.2" x14ac:dyDescent="0.25">
      <c r="A103" s="2"/>
      <c r="B103" s="2"/>
      <c r="C103" s="2"/>
    </row>
    <row r="104" spans="1:3" ht="13.2" x14ac:dyDescent="0.25">
      <c r="A104" s="2"/>
      <c r="B104" s="2"/>
      <c r="C104" s="2"/>
    </row>
    <row r="105" spans="1:3" ht="13.2" x14ac:dyDescent="0.25">
      <c r="A105" s="2"/>
      <c r="B105" s="2"/>
      <c r="C105" s="2"/>
    </row>
    <row r="106" spans="1:3" ht="13.2" x14ac:dyDescent="0.25">
      <c r="A106" s="2"/>
      <c r="B106" s="2"/>
      <c r="C106" s="2"/>
    </row>
    <row r="107" spans="1:3" ht="13.2" x14ac:dyDescent="0.25">
      <c r="A107" s="2"/>
      <c r="B107" s="2"/>
      <c r="C107" s="2"/>
    </row>
    <row r="108" spans="1:3" ht="13.2" x14ac:dyDescent="0.25">
      <c r="A108" s="2"/>
      <c r="B108" s="2"/>
      <c r="C108" s="2"/>
    </row>
    <row r="109" spans="1:3" ht="13.2" x14ac:dyDescent="0.25">
      <c r="A109" s="2"/>
      <c r="B109" s="2"/>
      <c r="C109" s="2"/>
    </row>
    <row r="110" spans="1:3" ht="13.2" x14ac:dyDescent="0.25">
      <c r="A110" s="2"/>
      <c r="B110" s="2"/>
      <c r="C110" s="2"/>
    </row>
    <row r="111" spans="1:3" ht="13.2" x14ac:dyDescent="0.25">
      <c r="A111" s="2"/>
      <c r="B111" s="2"/>
      <c r="C111" s="2"/>
    </row>
    <row r="112" spans="1:3" ht="13.2" x14ac:dyDescent="0.25">
      <c r="A112" s="2"/>
      <c r="B112" s="2"/>
      <c r="C112" s="2"/>
    </row>
    <row r="113" spans="1:3" ht="13.2" x14ac:dyDescent="0.25">
      <c r="A113" s="2"/>
      <c r="B113" s="2"/>
      <c r="C113" s="2"/>
    </row>
    <row r="114" spans="1:3" ht="13.2" x14ac:dyDescent="0.25">
      <c r="A114" s="2"/>
      <c r="B114" s="2"/>
      <c r="C114" s="2"/>
    </row>
    <row r="115" spans="1:3" ht="13.2" x14ac:dyDescent="0.25">
      <c r="A115" s="2"/>
      <c r="B115" s="2"/>
      <c r="C115" s="2"/>
    </row>
    <row r="116" spans="1:3" ht="13.2" x14ac:dyDescent="0.25">
      <c r="A116" s="2"/>
      <c r="B116" s="2"/>
      <c r="C116" s="2"/>
    </row>
    <row r="117" spans="1:3" ht="13.2" x14ac:dyDescent="0.25">
      <c r="A117" s="2"/>
      <c r="B117" s="2"/>
      <c r="C117" s="2"/>
    </row>
    <row r="118" spans="1:3" ht="13.2" x14ac:dyDescent="0.25">
      <c r="A118" s="2"/>
      <c r="B118" s="2"/>
      <c r="C118" s="2"/>
    </row>
    <row r="119" spans="1:3" ht="13.2" x14ac:dyDescent="0.25">
      <c r="A119" s="2"/>
      <c r="B119" s="2"/>
      <c r="C119" s="2"/>
    </row>
    <row r="120" spans="1:3" ht="13.2" x14ac:dyDescent="0.25">
      <c r="A120" s="2"/>
      <c r="B120" s="2"/>
      <c r="C120" s="2"/>
    </row>
    <row r="121" spans="1:3" ht="13.2" x14ac:dyDescent="0.25">
      <c r="A121" s="2"/>
      <c r="B121" s="2"/>
      <c r="C121" s="2"/>
    </row>
    <row r="122" spans="1:3" ht="13.2" x14ac:dyDescent="0.25">
      <c r="A122" s="2"/>
      <c r="B122" s="2"/>
      <c r="C122" s="2"/>
    </row>
    <row r="123" spans="1:3" ht="13.2" x14ac:dyDescent="0.25">
      <c r="A123" s="2"/>
      <c r="B123" s="2"/>
      <c r="C123" s="2"/>
    </row>
    <row r="124" spans="1:3" ht="13.2" x14ac:dyDescent="0.25">
      <c r="A124" s="2"/>
      <c r="B124" s="2"/>
      <c r="C124" s="2"/>
    </row>
    <row r="125" spans="1:3" ht="13.2" x14ac:dyDescent="0.25">
      <c r="A125" s="2"/>
      <c r="B125" s="2"/>
      <c r="C125" s="2"/>
    </row>
    <row r="126" spans="1:3" ht="13.2" x14ac:dyDescent="0.25">
      <c r="A126" s="2"/>
      <c r="B126" s="2"/>
      <c r="C126" s="2"/>
    </row>
    <row r="127" spans="1:3" ht="13.2" x14ac:dyDescent="0.25">
      <c r="A127" s="2"/>
      <c r="B127" s="2"/>
      <c r="C127" s="2"/>
    </row>
    <row r="128" spans="1:3" ht="13.2" x14ac:dyDescent="0.25">
      <c r="A128" s="2"/>
      <c r="B128" s="2"/>
      <c r="C128" s="2"/>
    </row>
    <row r="129" spans="1:3" ht="13.2" x14ac:dyDescent="0.25">
      <c r="A129" s="2"/>
      <c r="B129" s="2"/>
      <c r="C129" s="2"/>
    </row>
    <row r="130" spans="1:3" ht="13.2" x14ac:dyDescent="0.25">
      <c r="A130" s="2"/>
      <c r="B130" s="2"/>
      <c r="C130" s="2"/>
    </row>
    <row r="131" spans="1:3" ht="13.2" x14ac:dyDescent="0.25">
      <c r="A131" s="2"/>
      <c r="B131" s="2"/>
      <c r="C131" s="2"/>
    </row>
    <row r="132" spans="1:3" ht="13.2" x14ac:dyDescent="0.25">
      <c r="A132" s="2"/>
      <c r="B132" s="2"/>
      <c r="C132" s="2"/>
    </row>
    <row r="133" spans="1:3" ht="13.2" x14ac:dyDescent="0.25">
      <c r="A133" s="2"/>
      <c r="B133" s="2"/>
      <c r="C133" s="2"/>
    </row>
    <row r="134" spans="1:3" ht="13.2" x14ac:dyDescent="0.25">
      <c r="A134" s="2"/>
      <c r="B134" s="2"/>
      <c r="C134" s="2"/>
    </row>
    <row r="135" spans="1:3" ht="13.2" x14ac:dyDescent="0.25">
      <c r="A135" s="2"/>
      <c r="B135" s="2"/>
      <c r="C135" s="2"/>
    </row>
    <row r="136" spans="1:3" ht="13.2" x14ac:dyDescent="0.25">
      <c r="A136" s="2"/>
      <c r="B136" s="2"/>
      <c r="C136" s="2"/>
    </row>
    <row r="137" spans="1:3" ht="13.2" x14ac:dyDescent="0.25">
      <c r="A137" s="2"/>
      <c r="B137" s="2"/>
      <c r="C137" s="2"/>
    </row>
    <row r="138" spans="1:3" ht="13.2" x14ac:dyDescent="0.25">
      <c r="A138" s="2"/>
      <c r="B138" s="2"/>
      <c r="C138" s="2"/>
    </row>
    <row r="139" spans="1:3" ht="13.2" x14ac:dyDescent="0.25">
      <c r="A139" s="2"/>
      <c r="B139" s="2"/>
      <c r="C139" s="2"/>
    </row>
    <row r="140" spans="1:3" ht="13.2" x14ac:dyDescent="0.25">
      <c r="A140" s="2"/>
      <c r="B140" s="2"/>
      <c r="C140" s="2"/>
    </row>
    <row r="141" spans="1:3" ht="13.2" x14ac:dyDescent="0.25">
      <c r="A141" s="2"/>
      <c r="B141" s="2"/>
      <c r="C141" s="2"/>
    </row>
    <row r="142" spans="1:3" ht="13.2" x14ac:dyDescent="0.25">
      <c r="A142" s="2"/>
      <c r="B142" s="2"/>
      <c r="C142" s="2"/>
    </row>
    <row r="143" spans="1:3" ht="13.2" x14ac:dyDescent="0.25">
      <c r="A143" s="2"/>
      <c r="B143" s="2"/>
      <c r="C143" s="2"/>
    </row>
    <row r="144" spans="1:3" ht="13.2" x14ac:dyDescent="0.25">
      <c r="A144" s="2"/>
      <c r="B144" s="2"/>
      <c r="C144" s="2"/>
    </row>
    <row r="145" spans="1:3" ht="13.2" x14ac:dyDescent="0.25">
      <c r="A145" s="2"/>
      <c r="B145" s="2"/>
      <c r="C145" s="2"/>
    </row>
    <row r="146" spans="1:3" ht="13.2" x14ac:dyDescent="0.25">
      <c r="A146" s="2"/>
      <c r="B146" s="2"/>
      <c r="C146" s="2"/>
    </row>
    <row r="147" spans="1:3" ht="13.2" x14ac:dyDescent="0.25">
      <c r="A147" s="2"/>
      <c r="B147" s="2"/>
      <c r="C147" s="2"/>
    </row>
    <row r="148" spans="1:3" ht="13.2" x14ac:dyDescent="0.25">
      <c r="A148" s="2"/>
      <c r="B148" s="2"/>
      <c r="C148" s="2"/>
    </row>
    <row r="149" spans="1:3" ht="13.2" x14ac:dyDescent="0.25">
      <c r="A149" s="2"/>
      <c r="B149" s="2"/>
      <c r="C149" s="2"/>
    </row>
    <row r="150" spans="1:3" ht="13.2" x14ac:dyDescent="0.25">
      <c r="A150" s="2"/>
      <c r="B150" s="2"/>
      <c r="C150" s="2"/>
    </row>
    <row r="151" spans="1:3" ht="13.2" x14ac:dyDescent="0.25">
      <c r="A151" s="2"/>
      <c r="B151" s="2"/>
      <c r="C151" s="2"/>
    </row>
    <row r="152" spans="1:3" ht="13.2" x14ac:dyDescent="0.25">
      <c r="A152" s="2"/>
      <c r="B152" s="2"/>
      <c r="C152" s="2"/>
    </row>
    <row r="153" spans="1:3" ht="13.2" x14ac:dyDescent="0.25">
      <c r="A153" s="2"/>
      <c r="B153" s="2"/>
      <c r="C153" s="2"/>
    </row>
    <row r="154" spans="1:3" ht="13.2" x14ac:dyDescent="0.25">
      <c r="A154" s="2"/>
      <c r="B154" s="2"/>
      <c r="C154" s="2"/>
    </row>
    <row r="155" spans="1:3" ht="13.2" x14ac:dyDescent="0.25">
      <c r="A155" s="2"/>
      <c r="B155" s="2"/>
      <c r="C155" s="2"/>
    </row>
    <row r="156" spans="1:3" ht="13.2" x14ac:dyDescent="0.25">
      <c r="A156" s="2"/>
      <c r="B156" s="2"/>
      <c r="C156" s="2"/>
    </row>
    <row r="157" spans="1:3" ht="13.2" x14ac:dyDescent="0.25">
      <c r="A157" s="2"/>
      <c r="B157" s="2"/>
      <c r="C157" s="2"/>
    </row>
    <row r="158" spans="1:3" ht="13.2" x14ac:dyDescent="0.25">
      <c r="A158" s="2"/>
      <c r="B158" s="2"/>
      <c r="C158" s="2"/>
    </row>
    <row r="159" spans="1:3" ht="13.2" x14ac:dyDescent="0.25">
      <c r="A159" s="2"/>
      <c r="B159" s="2"/>
      <c r="C159" s="2"/>
    </row>
    <row r="160" spans="1:3" ht="13.2" x14ac:dyDescent="0.25">
      <c r="A160" s="2"/>
      <c r="B160" s="2"/>
      <c r="C160" s="2"/>
    </row>
    <row r="161" spans="1:3" ht="13.2" x14ac:dyDescent="0.25">
      <c r="A161" s="2"/>
      <c r="B161" s="2"/>
      <c r="C161" s="2"/>
    </row>
    <row r="162" spans="1:3" ht="13.2" x14ac:dyDescent="0.25">
      <c r="A162" s="2"/>
      <c r="B162" s="2"/>
      <c r="C162" s="2"/>
    </row>
    <row r="163" spans="1:3" ht="13.2" x14ac:dyDescent="0.25">
      <c r="A163" s="2"/>
      <c r="B163" s="2"/>
      <c r="C163" s="2"/>
    </row>
    <row r="164" spans="1:3" ht="13.2" x14ac:dyDescent="0.25">
      <c r="A164" s="2"/>
      <c r="B164" s="2"/>
      <c r="C164" s="2"/>
    </row>
    <row r="165" spans="1:3" ht="13.2" x14ac:dyDescent="0.25">
      <c r="A165" s="2"/>
      <c r="B165" s="2"/>
      <c r="C165" s="2"/>
    </row>
    <row r="166" spans="1:3" ht="13.2" x14ac:dyDescent="0.25">
      <c r="A166" s="2"/>
      <c r="B166" s="2"/>
      <c r="C166" s="2"/>
    </row>
    <row r="167" spans="1:3" ht="13.2" x14ac:dyDescent="0.25">
      <c r="A167" s="2"/>
      <c r="B167" s="2"/>
      <c r="C167" s="2"/>
    </row>
    <row r="168" spans="1:3" ht="13.2" x14ac:dyDescent="0.25">
      <c r="A168" s="2"/>
      <c r="B168" s="2"/>
      <c r="C168" s="2"/>
    </row>
    <row r="169" spans="1:3" ht="13.2" x14ac:dyDescent="0.25">
      <c r="A169" s="2"/>
      <c r="B169" s="2"/>
      <c r="C169" s="2"/>
    </row>
    <row r="170" spans="1:3" ht="13.2" x14ac:dyDescent="0.25">
      <c r="A170" s="2"/>
      <c r="B170" s="2"/>
      <c r="C170" s="2"/>
    </row>
    <row r="171" spans="1:3" ht="13.2" x14ac:dyDescent="0.25">
      <c r="A171" s="2"/>
      <c r="B171" s="2"/>
      <c r="C171" s="2"/>
    </row>
    <row r="172" spans="1:3" ht="13.2" x14ac:dyDescent="0.25">
      <c r="A172" s="2"/>
      <c r="B172" s="2"/>
      <c r="C172" s="2"/>
    </row>
    <row r="173" spans="1:3" ht="13.2" x14ac:dyDescent="0.25">
      <c r="A173" s="2"/>
      <c r="B173" s="2"/>
      <c r="C173" s="2"/>
    </row>
    <row r="174" spans="1:3" ht="13.2" x14ac:dyDescent="0.25">
      <c r="A174" s="2"/>
      <c r="B174" s="2"/>
      <c r="C174" s="2"/>
    </row>
    <row r="175" spans="1:3" ht="13.2" x14ac:dyDescent="0.25">
      <c r="A175" s="2"/>
      <c r="B175" s="2"/>
      <c r="C175" s="2"/>
    </row>
    <row r="176" spans="1:3" ht="13.2" x14ac:dyDescent="0.25">
      <c r="A176" s="2"/>
      <c r="B176" s="2"/>
      <c r="C176" s="2"/>
    </row>
    <row r="177" spans="1:3" ht="13.2" x14ac:dyDescent="0.25">
      <c r="A177" s="2"/>
      <c r="B177" s="2"/>
      <c r="C177" s="2"/>
    </row>
    <row r="178" spans="1:3" ht="13.2" x14ac:dyDescent="0.25">
      <c r="A178" s="2"/>
      <c r="B178" s="2"/>
      <c r="C178" s="2"/>
    </row>
    <row r="179" spans="1:3" ht="13.2" x14ac:dyDescent="0.25">
      <c r="A179" s="2"/>
      <c r="B179" s="2"/>
      <c r="C179" s="2"/>
    </row>
    <row r="180" spans="1:3" ht="13.2" x14ac:dyDescent="0.25">
      <c r="A180" s="2"/>
      <c r="B180" s="2"/>
      <c r="C180" s="2"/>
    </row>
    <row r="181" spans="1:3" ht="13.2" x14ac:dyDescent="0.25">
      <c r="A181" s="2"/>
      <c r="B181" s="2"/>
      <c r="C181" s="2"/>
    </row>
    <row r="182" spans="1:3" ht="13.2" x14ac:dyDescent="0.25">
      <c r="A182" s="2"/>
      <c r="B182" s="2"/>
      <c r="C182" s="2"/>
    </row>
    <row r="183" spans="1:3" ht="13.2" x14ac:dyDescent="0.25">
      <c r="A183" s="2"/>
      <c r="B183" s="2"/>
      <c r="C183" s="2"/>
    </row>
    <row r="184" spans="1:3" ht="13.2" x14ac:dyDescent="0.25">
      <c r="A184" s="2"/>
      <c r="B184" s="2"/>
      <c r="C184" s="2"/>
    </row>
    <row r="185" spans="1:3" ht="13.2" x14ac:dyDescent="0.25">
      <c r="A185" s="2"/>
      <c r="B185" s="2"/>
      <c r="C185" s="2"/>
    </row>
    <row r="186" spans="1:3" ht="13.2" x14ac:dyDescent="0.25">
      <c r="A186" s="2"/>
      <c r="B186" s="2"/>
      <c r="C186" s="2"/>
    </row>
    <row r="187" spans="1:3" ht="13.2" x14ac:dyDescent="0.25">
      <c r="A187" s="2"/>
      <c r="B187" s="2"/>
      <c r="C187" s="2"/>
    </row>
    <row r="188" spans="1:3" ht="13.2" x14ac:dyDescent="0.25">
      <c r="A188" s="2"/>
      <c r="B188" s="2"/>
      <c r="C188" s="2"/>
    </row>
    <row r="189" spans="1:3" ht="13.2" x14ac:dyDescent="0.25">
      <c r="A189" s="2"/>
      <c r="B189" s="2"/>
      <c r="C189" s="2"/>
    </row>
    <row r="190" spans="1:3" ht="13.2" x14ac:dyDescent="0.25">
      <c r="A190" s="2"/>
      <c r="B190" s="2"/>
      <c r="C190" s="2"/>
    </row>
    <row r="191" spans="1:3" ht="13.2" x14ac:dyDescent="0.25">
      <c r="A191" s="2"/>
      <c r="B191" s="2"/>
      <c r="C191" s="2"/>
    </row>
    <row r="192" spans="1:3" ht="13.2" x14ac:dyDescent="0.25">
      <c r="A192" s="2"/>
      <c r="B192" s="2"/>
      <c r="C192" s="2"/>
    </row>
    <row r="193" spans="1:3" ht="13.2" x14ac:dyDescent="0.25">
      <c r="A193" s="2"/>
      <c r="B193" s="2"/>
      <c r="C193" s="2"/>
    </row>
    <row r="194" spans="1:3" ht="13.2" x14ac:dyDescent="0.25">
      <c r="A194" s="2"/>
      <c r="B194" s="2"/>
      <c r="C194" s="2"/>
    </row>
    <row r="195" spans="1:3" ht="13.2" x14ac:dyDescent="0.25">
      <c r="A195" s="2"/>
      <c r="B195" s="2"/>
      <c r="C195" s="2"/>
    </row>
    <row r="196" spans="1:3" ht="13.2" x14ac:dyDescent="0.25">
      <c r="A196" s="2"/>
      <c r="B196" s="2"/>
      <c r="C196" s="2"/>
    </row>
    <row r="197" spans="1:3" ht="13.2" x14ac:dyDescent="0.25">
      <c r="A197" s="2"/>
      <c r="B197" s="2"/>
      <c r="C197" s="2"/>
    </row>
    <row r="198" spans="1:3" ht="13.2" x14ac:dyDescent="0.25">
      <c r="A198" s="2"/>
      <c r="B198" s="2"/>
      <c r="C198" s="2"/>
    </row>
    <row r="199" spans="1:3" ht="13.2" x14ac:dyDescent="0.25">
      <c r="A199" s="2"/>
      <c r="B199" s="2"/>
      <c r="C199" s="2"/>
    </row>
    <row r="200" spans="1:3" ht="13.2" x14ac:dyDescent="0.25">
      <c r="A200" s="2"/>
      <c r="B200" s="2"/>
      <c r="C200" s="2"/>
    </row>
    <row r="201" spans="1:3" ht="13.2" x14ac:dyDescent="0.25">
      <c r="A201" s="2"/>
      <c r="B201" s="2"/>
      <c r="C201" s="2"/>
    </row>
    <row r="202" spans="1:3" ht="13.2" x14ac:dyDescent="0.25">
      <c r="A202" s="2"/>
      <c r="B202" s="2"/>
      <c r="C202" s="2"/>
    </row>
    <row r="203" spans="1:3" ht="13.2" x14ac:dyDescent="0.25">
      <c r="A203" s="2"/>
      <c r="B203" s="2"/>
      <c r="C203" s="2"/>
    </row>
    <row r="204" spans="1:3" ht="13.2" x14ac:dyDescent="0.25">
      <c r="A204" s="2"/>
      <c r="B204" s="2"/>
      <c r="C204" s="2"/>
    </row>
    <row r="205" spans="1:3" ht="13.2" x14ac:dyDescent="0.25">
      <c r="A205" s="2"/>
      <c r="B205" s="2"/>
      <c r="C205" s="2"/>
    </row>
    <row r="206" spans="1:3" ht="13.2" x14ac:dyDescent="0.25">
      <c r="A206" s="2"/>
      <c r="B206" s="2"/>
      <c r="C206" s="2"/>
    </row>
    <row r="207" spans="1:3" ht="13.2" x14ac:dyDescent="0.25">
      <c r="A207" s="2"/>
      <c r="B207" s="2"/>
      <c r="C207" s="2"/>
    </row>
    <row r="208" spans="1:3" ht="13.2" x14ac:dyDescent="0.25">
      <c r="A208" s="2"/>
      <c r="B208" s="2"/>
      <c r="C208" s="2"/>
    </row>
    <row r="209" spans="1:3" ht="13.2" x14ac:dyDescent="0.25">
      <c r="A209" s="2"/>
      <c r="B209" s="2"/>
      <c r="C209" s="2"/>
    </row>
    <row r="210" spans="1:3" ht="13.2" x14ac:dyDescent="0.25">
      <c r="A210" s="2"/>
      <c r="B210" s="2"/>
      <c r="C210" s="2"/>
    </row>
    <row r="211" spans="1:3" ht="13.2" x14ac:dyDescent="0.25">
      <c r="A211" s="2"/>
      <c r="B211" s="2"/>
      <c r="C211" s="2"/>
    </row>
    <row r="212" spans="1:3" ht="13.2" x14ac:dyDescent="0.25">
      <c r="A212" s="2"/>
      <c r="B212" s="2"/>
      <c r="C212" s="2"/>
    </row>
    <row r="213" spans="1:3" ht="13.2" x14ac:dyDescent="0.25">
      <c r="A213" s="2"/>
      <c r="B213" s="2"/>
      <c r="C213" s="2"/>
    </row>
    <row r="214" spans="1:3" ht="13.2" x14ac:dyDescent="0.25">
      <c r="A214" s="2"/>
      <c r="B214" s="2"/>
      <c r="C214" s="2"/>
    </row>
    <row r="215" spans="1:3" ht="13.2" x14ac:dyDescent="0.25">
      <c r="A215" s="2"/>
      <c r="B215" s="2"/>
      <c r="C215" s="2"/>
    </row>
    <row r="216" spans="1:3" ht="13.2" x14ac:dyDescent="0.25">
      <c r="A216" s="2"/>
      <c r="B216" s="2"/>
      <c r="C216" s="2"/>
    </row>
    <row r="217" spans="1:3" ht="13.2" x14ac:dyDescent="0.25">
      <c r="A217" s="2"/>
      <c r="B217" s="2"/>
      <c r="C217" s="2"/>
    </row>
    <row r="218" spans="1:3" ht="13.2" x14ac:dyDescent="0.25">
      <c r="A218" s="2"/>
      <c r="B218" s="2"/>
      <c r="C218" s="2"/>
    </row>
    <row r="219" spans="1:3" ht="13.2" x14ac:dyDescent="0.25">
      <c r="A219" s="2"/>
      <c r="B219" s="2"/>
      <c r="C219" s="2"/>
    </row>
    <row r="220" spans="1:3" ht="13.2" x14ac:dyDescent="0.25">
      <c r="A220" s="2"/>
      <c r="B220" s="2"/>
      <c r="C220" s="2"/>
    </row>
    <row r="221" spans="1:3" ht="13.2" x14ac:dyDescent="0.25">
      <c r="A221" s="2"/>
      <c r="B221" s="2"/>
      <c r="C221" s="2"/>
    </row>
    <row r="222" spans="1:3" ht="13.2" x14ac:dyDescent="0.25">
      <c r="A222" s="2"/>
      <c r="B222" s="2"/>
      <c r="C222" s="2"/>
    </row>
    <row r="223" spans="1:3" ht="13.2" x14ac:dyDescent="0.25">
      <c r="A223" s="2"/>
      <c r="B223" s="2"/>
      <c r="C223" s="2"/>
    </row>
    <row r="224" spans="1:3" ht="13.2" x14ac:dyDescent="0.25">
      <c r="A224" s="2"/>
      <c r="B224" s="2"/>
      <c r="C224" s="2"/>
    </row>
    <row r="225" spans="1:3" ht="13.2" x14ac:dyDescent="0.25">
      <c r="A225" s="2"/>
      <c r="B225" s="2"/>
      <c r="C225" s="2"/>
    </row>
    <row r="226" spans="1:3" ht="13.2" x14ac:dyDescent="0.25">
      <c r="A226" s="2"/>
      <c r="B226" s="2"/>
      <c r="C226" s="2"/>
    </row>
    <row r="227" spans="1:3" ht="13.2" x14ac:dyDescent="0.25">
      <c r="A227" s="2"/>
      <c r="B227" s="2"/>
      <c r="C227" s="2"/>
    </row>
    <row r="228" spans="1:3" ht="13.2" x14ac:dyDescent="0.25">
      <c r="A228" s="2"/>
      <c r="B228" s="2"/>
      <c r="C228" s="2"/>
    </row>
    <row r="229" spans="1:3" ht="13.2" x14ac:dyDescent="0.25">
      <c r="A229" s="2"/>
      <c r="B229" s="2"/>
      <c r="C229" s="2"/>
    </row>
    <row r="230" spans="1:3" ht="13.2" x14ac:dyDescent="0.25">
      <c r="A230" s="2"/>
      <c r="B230" s="2"/>
      <c r="C230" s="2"/>
    </row>
    <row r="231" spans="1:3" ht="13.2" x14ac:dyDescent="0.25">
      <c r="A231" s="2"/>
      <c r="B231" s="2"/>
      <c r="C231" s="2"/>
    </row>
    <row r="232" spans="1:3" ht="13.2" x14ac:dyDescent="0.25">
      <c r="A232" s="2"/>
      <c r="B232" s="2"/>
      <c r="C232" s="2"/>
    </row>
    <row r="233" spans="1:3" ht="13.2" x14ac:dyDescent="0.25">
      <c r="A233" s="2"/>
      <c r="B233" s="2"/>
      <c r="C233" s="2"/>
    </row>
    <row r="234" spans="1:3" ht="13.2" x14ac:dyDescent="0.25">
      <c r="A234" s="2"/>
      <c r="B234" s="2"/>
      <c r="C234" s="2"/>
    </row>
    <row r="235" spans="1:3" ht="13.2" x14ac:dyDescent="0.25">
      <c r="A235" s="2"/>
      <c r="B235" s="2"/>
      <c r="C235" s="2"/>
    </row>
    <row r="236" spans="1:3" ht="13.2" x14ac:dyDescent="0.25">
      <c r="A236" s="2"/>
      <c r="B236" s="2"/>
      <c r="C236" s="2"/>
    </row>
    <row r="237" spans="1:3" ht="13.2" x14ac:dyDescent="0.25">
      <c r="A237" s="2"/>
      <c r="B237" s="2"/>
      <c r="C237" s="2"/>
    </row>
    <row r="238" spans="1:3" ht="13.2" x14ac:dyDescent="0.25">
      <c r="A238" s="2"/>
      <c r="B238" s="2"/>
      <c r="C238" s="2"/>
    </row>
    <row r="239" spans="1:3" ht="13.2" x14ac:dyDescent="0.25">
      <c r="A239" s="2"/>
      <c r="B239" s="2"/>
      <c r="C239" s="2"/>
    </row>
    <row r="240" spans="1:3" ht="13.2" x14ac:dyDescent="0.25">
      <c r="A240" s="2"/>
      <c r="B240" s="2"/>
      <c r="C240" s="2"/>
    </row>
    <row r="241" spans="1:3" ht="13.2" x14ac:dyDescent="0.25">
      <c r="A241" s="2"/>
      <c r="B241" s="2"/>
      <c r="C241" s="2"/>
    </row>
    <row r="242" spans="1:3" ht="13.2" x14ac:dyDescent="0.25">
      <c r="A242" s="2"/>
      <c r="B242" s="2"/>
      <c r="C242" s="2"/>
    </row>
    <row r="243" spans="1:3" ht="13.2" x14ac:dyDescent="0.25">
      <c r="A243" s="2"/>
      <c r="B243" s="2"/>
      <c r="C243" s="2"/>
    </row>
    <row r="244" spans="1:3" ht="13.2" x14ac:dyDescent="0.25">
      <c r="A244" s="2"/>
      <c r="B244" s="2"/>
      <c r="C244" s="2"/>
    </row>
    <row r="245" spans="1:3" ht="13.2" x14ac:dyDescent="0.25">
      <c r="A245" s="2"/>
      <c r="B245" s="2"/>
      <c r="C245" s="2"/>
    </row>
    <row r="246" spans="1:3" ht="13.2" x14ac:dyDescent="0.25">
      <c r="A246" s="2"/>
      <c r="B246" s="2"/>
      <c r="C246" s="2"/>
    </row>
    <row r="247" spans="1:3" ht="13.2" x14ac:dyDescent="0.25">
      <c r="A247" s="2"/>
      <c r="B247" s="2"/>
      <c r="C247" s="2"/>
    </row>
    <row r="248" spans="1:3" ht="13.2" x14ac:dyDescent="0.25">
      <c r="A248" s="2"/>
      <c r="B248" s="2"/>
      <c r="C248" s="2"/>
    </row>
    <row r="249" spans="1:3" ht="13.2" x14ac:dyDescent="0.25">
      <c r="A249" s="2"/>
      <c r="B249" s="2"/>
      <c r="C249" s="2"/>
    </row>
    <row r="250" spans="1:3" ht="13.2" x14ac:dyDescent="0.25">
      <c r="A250" s="2"/>
      <c r="B250" s="2"/>
      <c r="C250" s="2"/>
    </row>
    <row r="251" spans="1:3" ht="13.2" x14ac:dyDescent="0.25">
      <c r="A251" s="2"/>
      <c r="B251" s="2"/>
      <c r="C251" s="2"/>
    </row>
    <row r="252" spans="1:3" ht="13.2" x14ac:dyDescent="0.25">
      <c r="A252" s="2"/>
      <c r="B252" s="2"/>
      <c r="C252" s="2"/>
    </row>
    <row r="253" spans="1:3" ht="13.2" x14ac:dyDescent="0.25">
      <c r="A253" s="2"/>
      <c r="B253" s="2"/>
      <c r="C253" s="2"/>
    </row>
    <row r="254" spans="1:3" ht="13.2" x14ac:dyDescent="0.25">
      <c r="A254" s="2"/>
      <c r="B254" s="2"/>
      <c r="C254" s="2"/>
    </row>
    <row r="255" spans="1:3" ht="13.2" x14ac:dyDescent="0.25">
      <c r="A255" s="2"/>
      <c r="B255" s="2"/>
      <c r="C255" s="2"/>
    </row>
    <row r="256" spans="1:3" ht="13.2" x14ac:dyDescent="0.25">
      <c r="A256" s="2"/>
      <c r="B256" s="2"/>
      <c r="C256" s="2"/>
    </row>
    <row r="257" spans="1:3" ht="13.2" x14ac:dyDescent="0.25">
      <c r="A257" s="2"/>
      <c r="B257" s="2"/>
      <c r="C257" s="2"/>
    </row>
    <row r="258" spans="1:3" ht="13.2" x14ac:dyDescent="0.25">
      <c r="A258" s="2"/>
      <c r="B258" s="2"/>
      <c r="C258" s="2"/>
    </row>
    <row r="259" spans="1:3" ht="13.2" x14ac:dyDescent="0.25">
      <c r="A259" s="2"/>
      <c r="B259" s="2"/>
      <c r="C259" s="2"/>
    </row>
    <row r="260" spans="1:3" ht="13.2" x14ac:dyDescent="0.25">
      <c r="A260" s="2"/>
      <c r="B260" s="2"/>
      <c r="C260" s="2"/>
    </row>
    <row r="261" spans="1:3" ht="13.2" x14ac:dyDescent="0.25">
      <c r="A261" s="2"/>
      <c r="B261" s="2"/>
      <c r="C261" s="2"/>
    </row>
    <row r="262" spans="1:3" ht="13.2" x14ac:dyDescent="0.25">
      <c r="A262" s="2"/>
      <c r="B262" s="2"/>
      <c r="C262" s="2"/>
    </row>
    <row r="263" spans="1:3" ht="13.2" x14ac:dyDescent="0.25">
      <c r="A263" s="2"/>
      <c r="B263" s="2"/>
      <c r="C263" s="2"/>
    </row>
    <row r="264" spans="1:3" ht="13.2" x14ac:dyDescent="0.25">
      <c r="A264" s="2"/>
      <c r="B264" s="2"/>
      <c r="C264" s="2"/>
    </row>
    <row r="265" spans="1:3" ht="13.2" x14ac:dyDescent="0.25">
      <c r="A265" s="2"/>
      <c r="B265" s="2"/>
      <c r="C265" s="2"/>
    </row>
    <row r="266" spans="1:3" ht="13.2" x14ac:dyDescent="0.25">
      <c r="A266" s="2"/>
      <c r="B266" s="2"/>
      <c r="C266" s="2"/>
    </row>
    <row r="267" spans="1:3" ht="13.2" x14ac:dyDescent="0.25">
      <c r="A267" s="2"/>
      <c r="B267" s="2"/>
      <c r="C267" s="2"/>
    </row>
    <row r="268" spans="1:3" ht="13.2" x14ac:dyDescent="0.25">
      <c r="A268" s="2"/>
      <c r="B268" s="2"/>
      <c r="C268" s="2"/>
    </row>
    <row r="269" spans="1:3" ht="13.2" x14ac:dyDescent="0.25">
      <c r="A269" s="2"/>
      <c r="B269" s="2"/>
      <c r="C269" s="2"/>
    </row>
    <row r="270" spans="1:3" ht="13.2" x14ac:dyDescent="0.25">
      <c r="A270" s="2"/>
      <c r="B270" s="2"/>
      <c r="C270" s="2"/>
    </row>
    <row r="271" spans="1:3" ht="13.2" x14ac:dyDescent="0.25">
      <c r="A271" s="2"/>
      <c r="B271" s="2"/>
      <c r="C271" s="2"/>
    </row>
    <row r="272" spans="1:3" ht="13.2" x14ac:dyDescent="0.25">
      <c r="A272" s="2"/>
      <c r="B272" s="2"/>
      <c r="C272" s="2"/>
    </row>
    <row r="273" spans="1:3" ht="13.2" x14ac:dyDescent="0.25">
      <c r="A273" s="2"/>
      <c r="B273" s="2"/>
      <c r="C273" s="2"/>
    </row>
    <row r="274" spans="1:3" ht="13.2" x14ac:dyDescent="0.25">
      <c r="A274" s="2"/>
      <c r="B274" s="2"/>
      <c r="C274" s="2"/>
    </row>
    <row r="275" spans="1:3" ht="13.2" x14ac:dyDescent="0.25">
      <c r="A275" s="2"/>
      <c r="B275" s="2"/>
      <c r="C275" s="2"/>
    </row>
    <row r="276" spans="1:3" ht="13.2" x14ac:dyDescent="0.25">
      <c r="A276" s="2"/>
      <c r="B276" s="2"/>
      <c r="C276" s="2"/>
    </row>
    <row r="277" spans="1:3" ht="13.2" x14ac:dyDescent="0.25">
      <c r="A277" s="2"/>
      <c r="B277" s="2"/>
      <c r="C277" s="2"/>
    </row>
    <row r="278" spans="1:3" ht="13.2" x14ac:dyDescent="0.25">
      <c r="A278" s="2"/>
      <c r="B278" s="2"/>
      <c r="C278" s="2"/>
    </row>
    <row r="279" spans="1:3" ht="13.2" x14ac:dyDescent="0.25">
      <c r="A279" s="2"/>
      <c r="B279" s="2"/>
      <c r="C279" s="2"/>
    </row>
    <row r="280" spans="1:3" ht="13.2" x14ac:dyDescent="0.25">
      <c r="A280" s="2"/>
      <c r="B280" s="2"/>
      <c r="C280" s="2"/>
    </row>
    <row r="281" spans="1:3" ht="13.2" x14ac:dyDescent="0.25">
      <c r="A281" s="2"/>
      <c r="B281" s="2"/>
      <c r="C281" s="2"/>
    </row>
    <row r="282" spans="1:3" ht="13.2" x14ac:dyDescent="0.25">
      <c r="A282" s="2"/>
      <c r="B282" s="2"/>
      <c r="C282" s="2"/>
    </row>
    <row r="283" spans="1:3" ht="13.2" x14ac:dyDescent="0.25">
      <c r="A283" s="2"/>
      <c r="B283" s="2"/>
      <c r="C283" s="2"/>
    </row>
    <row r="284" spans="1:3" ht="13.2" x14ac:dyDescent="0.25">
      <c r="A284" s="2"/>
      <c r="B284" s="2"/>
      <c r="C284" s="2"/>
    </row>
    <row r="285" spans="1:3" ht="13.2" x14ac:dyDescent="0.25">
      <c r="A285" s="2"/>
      <c r="B285" s="2"/>
      <c r="C285" s="2"/>
    </row>
    <row r="286" spans="1:3" ht="13.2" x14ac:dyDescent="0.25">
      <c r="A286" s="2"/>
      <c r="B286" s="2"/>
      <c r="C286" s="2"/>
    </row>
    <row r="287" spans="1:3" ht="13.2" x14ac:dyDescent="0.25">
      <c r="A287" s="2"/>
      <c r="B287" s="2"/>
      <c r="C287" s="2"/>
    </row>
    <row r="288" spans="1:3" ht="13.2" x14ac:dyDescent="0.25">
      <c r="A288" s="2"/>
      <c r="B288" s="2"/>
      <c r="C288" s="2"/>
    </row>
    <row r="289" spans="1:3" ht="13.2" x14ac:dyDescent="0.25">
      <c r="A289" s="2"/>
      <c r="B289" s="2"/>
      <c r="C289" s="2"/>
    </row>
    <row r="290" spans="1:3" ht="13.2" x14ac:dyDescent="0.25">
      <c r="A290" s="2"/>
      <c r="B290" s="2"/>
      <c r="C290" s="2"/>
    </row>
    <row r="291" spans="1:3" ht="13.2" x14ac:dyDescent="0.25">
      <c r="A291" s="2"/>
      <c r="B291" s="2"/>
      <c r="C291" s="2"/>
    </row>
    <row r="292" spans="1:3" ht="13.2" x14ac:dyDescent="0.25">
      <c r="A292" s="2"/>
      <c r="B292" s="2"/>
      <c r="C292" s="2"/>
    </row>
    <row r="293" spans="1:3" ht="13.2" x14ac:dyDescent="0.25">
      <c r="A293" s="2"/>
      <c r="B293" s="2"/>
      <c r="C293" s="2"/>
    </row>
    <row r="294" spans="1:3" ht="13.2" x14ac:dyDescent="0.25">
      <c r="A294" s="2"/>
      <c r="B294" s="2"/>
      <c r="C294" s="2"/>
    </row>
    <row r="295" spans="1:3" ht="13.2" x14ac:dyDescent="0.25">
      <c r="A295" s="2"/>
      <c r="B295" s="2"/>
      <c r="C295" s="2"/>
    </row>
    <row r="296" spans="1:3" ht="13.2" x14ac:dyDescent="0.25">
      <c r="A296" s="2"/>
      <c r="B296" s="2"/>
      <c r="C296" s="2"/>
    </row>
    <row r="297" spans="1:3" ht="13.2" x14ac:dyDescent="0.25">
      <c r="A297" s="2"/>
      <c r="B297" s="2"/>
      <c r="C297" s="2"/>
    </row>
    <row r="298" spans="1:3" ht="13.2" x14ac:dyDescent="0.25">
      <c r="A298" s="2"/>
      <c r="B298" s="2"/>
      <c r="C298" s="2"/>
    </row>
    <row r="299" spans="1:3" ht="13.2" x14ac:dyDescent="0.25">
      <c r="A299" s="2"/>
      <c r="B299" s="2"/>
      <c r="C299" s="2"/>
    </row>
    <row r="300" spans="1:3" ht="13.2" x14ac:dyDescent="0.25">
      <c r="A300" s="2"/>
      <c r="B300" s="2"/>
      <c r="C300" s="2"/>
    </row>
    <row r="301" spans="1:3" ht="13.2" x14ac:dyDescent="0.25">
      <c r="A301" s="2"/>
      <c r="B301" s="2"/>
      <c r="C301" s="2"/>
    </row>
    <row r="302" spans="1:3" ht="13.2" x14ac:dyDescent="0.25">
      <c r="A302" s="2"/>
      <c r="B302" s="2"/>
      <c r="C302" s="2"/>
    </row>
    <row r="303" spans="1:3" ht="13.2" x14ac:dyDescent="0.25">
      <c r="A303" s="2"/>
      <c r="B303" s="2"/>
      <c r="C303" s="2"/>
    </row>
    <row r="304" spans="1:3" ht="13.2" x14ac:dyDescent="0.25">
      <c r="A304" s="2"/>
      <c r="B304" s="2"/>
      <c r="C304" s="2"/>
    </row>
    <row r="305" spans="1:3" ht="13.2" x14ac:dyDescent="0.25">
      <c r="A305" s="2"/>
      <c r="B305" s="2"/>
      <c r="C305" s="2"/>
    </row>
    <row r="306" spans="1:3" ht="13.2" x14ac:dyDescent="0.25">
      <c r="A306" s="2"/>
      <c r="B306" s="2"/>
      <c r="C306" s="2"/>
    </row>
    <row r="307" spans="1:3" ht="13.2" x14ac:dyDescent="0.25">
      <c r="A307" s="2"/>
      <c r="B307" s="2"/>
      <c r="C307" s="2"/>
    </row>
    <row r="308" spans="1:3" ht="13.2" x14ac:dyDescent="0.25">
      <c r="A308" s="2"/>
      <c r="B308" s="2"/>
      <c r="C308" s="2"/>
    </row>
    <row r="309" spans="1:3" ht="13.2" x14ac:dyDescent="0.25">
      <c r="A309" s="2"/>
      <c r="B309" s="2"/>
      <c r="C309" s="2"/>
    </row>
    <row r="310" spans="1:3" ht="13.2" x14ac:dyDescent="0.25">
      <c r="A310" s="2"/>
      <c r="B310" s="2"/>
      <c r="C310" s="2"/>
    </row>
    <row r="311" spans="1:3" ht="13.2" x14ac:dyDescent="0.25">
      <c r="A311" s="2"/>
      <c r="B311" s="2"/>
      <c r="C311" s="2"/>
    </row>
    <row r="312" spans="1:3" ht="13.2" x14ac:dyDescent="0.25">
      <c r="A312" s="2"/>
      <c r="B312" s="2"/>
      <c r="C312" s="2"/>
    </row>
    <row r="313" spans="1:3" ht="13.2" x14ac:dyDescent="0.25">
      <c r="A313" s="2"/>
      <c r="B313" s="2"/>
      <c r="C313" s="2"/>
    </row>
    <row r="314" spans="1:3" ht="13.2" x14ac:dyDescent="0.25">
      <c r="A314" s="2"/>
      <c r="B314" s="2"/>
      <c r="C314" s="2"/>
    </row>
    <row r="315" spans="1:3" ht="13.2" x14ac:dyDescent="0.25">
      <c r="A315" s="2"/>
      <c r="B315" s="2"/>
      <c r="C315" s="2"/>
    </row>
    <row r="316" spans="1:3" ht="13.2" x14ac:dyDescent="0.25">
      <c r="A316" s="2"/>
      <c r="B316" s="2"/>
      <c r="C316" s="2"/>
    </row>
    <row r="317" spans="1:3" ht="13.2" x14ac:dyDescent="0.25">
      <c r="A317" s="2"/>
      <c r="B317" s="2"/>
      <c r="C317" s="2"/>
    </row>
    <row r="318" spans="1:3" ht="13.2" x14ac:dyDescent="0.25">
      <c r="A318" s="2"/>
      <c r="B318" s="2"/>
      <c r="C318" s="2"/>
    </row>
    <row r="319" spans="1:3" ht="13.2" x14ac:dyDescent="0.25">
      <c r="A319" s="2"/>
      <c r="B319" s="2"/>
      <c r="C319" s="2"/>
    </row>
    <row r="320" spans="1:3" ht="13.2" x14ac:dyDescent="0.25">
      <c r="A320" s="2"/>
      <c r="B320" s="2"/>
      <c r="C320" s="2"/>
    </row>
    <row r="321" spans="1:3" ht="13.2" x14ac:dyDescent="0.25">
      <c r="A321" s="2"/>
      <c r="B321" s="2"/>
      <c r="C321" s="2"/>
    </row>
    <row r="322" spans="1:3" ht="13.2" x14ac:dyDescent="0.25">
      <c r="A322" s="2"/>
      <c r="B322" s="2"/>
      <c r="C322" s="2"/>
    </row>
    <row r="323" spans="1:3" ht="13.2" x14ac:dyDescent="0.25">
      <c r="A323" s="2"/>
      <c r="B323" s="2"/>
      <c r="C323" s="2"/>
    </row>
    <row r="324" spans="1:3" ht="13.2" x14ac:dyDescent="0.25">
      <c r="A324" s="2"/>
      <c r="B324" s="2"/>
      <c r="C324" s="2"/>
    </row>
    <row r="325" spans="1:3" ht="13.2" x14ac:dyDescent="0.25">
      <c r="A325" s="2"/>
      <c r="B325" s="2"/>
      <c r="C325" s="2"/>
    </row>
    <row r="326" spans="1:3" ht="13.2" x14ac:dyDescent="0.25">
      <c r="A326" s="2"/>
      <c r="B326" s="2"/>
      <c r="C326" s="2"/>
    </row>
    <row r="327" spans="1:3" ht="13.2" x14ac:dyDescent="0.25">
      <c r="A327" s="2"/>
      <c r="B327" s="2"/>
      <c r="C327" s="2"/>
    </row>
    <row r="328" spans="1:3" ht="13.2" x14ac:dyDescent="0.25">
      <c r="A328" s="2"/>
      <c r="B328" s="2"/>
      <c r="C328" s="2"/>
    </row>
    <row r="329" spans="1:3" ht="13.2" x14ac:dyDescent="0.25">
      <c r="A329" s="2"/>
      <c r="B329" s="2"/>
      <c r="C329" s="2"/>
    </row>
    <row r="330" spans="1:3" ht="13.2" x14ac:dyDescent="0.25">
      <c r="A330" s="2"/>
      <c r="B330" s="2"/>
      <c r="C330" s="2"/>
    </row>
    <row r="331" spans="1:3" ht="13.2" x14ac:dyDescent="0.25">
      <c r="A331" s="2"/>
      <c r="B331" s="2"/>
      <c r="C331" s="2"/>
    </row>
    <row r="332" spans="1:3" ht="13.2" x14ac:dyDescent="0.25">
      <c r="A332" s="2"/>
      <c r="B332" s="2"/>
      <c r="C332" s="2"/>
    </row>
    <row r="333" spans="1:3" ht="13.2" x14ac:dyDescent="0.25">
      <c r="A333" s="2"/>
      <c r="B333" s="2"/>
      <c r="C333" s="2"/>
    </row>
    <row r="334" spans="1:3" ht="13.2" x14ac:dyDescent="0.25">
      <c r="A334" s="2"/>
      <c r="B334" s="2"/>
      <c r="C334" s="2"/>
    </row>
    <row r="335" spans="1:3" ht="13.2" x14ac:dyDescent="0.25">
      <c r="A335" s="2"/>
      <c r="B335" s="2"/>
      <c r="C335" s="2"/>
    </row>
    <row r="336" spans="1:3" ht="13.2" x14ac:dyDescent="0.25">
      <c r="A336" s="2"/>
      <c r="B336" s="2"/>
      <c r="C336" s="2"/>
    </row>
    <row r="337" spans="1:3" ht="13.2" x14ac:dyDescent="0.25">
      <c r="A337" s="2"/>
      <c r="B337" s="2"/>
      <c r="C337" s="2"/>
    </row>
    <row r="338" spans="1:3" ht="13.2" x14ac:dyDescent="0.25">
      <c r="A338" s="2"/>
      <c r="B338" s="2"/>
      <c r="C338" s="2"/>
    </row>
    <row r="339" spans="1:3" ht="13.2" x14ac:dyDescent="0.25">
      <c r="A339" s="2"/>
      <c r="B339" s="2"/>
      <c r="C339" s="2"/>
    </row>
    <row r="340" spans="1:3" ht="13.2" x14ac:dyDescent="0.25">
      <c r="A340" s="2"/>
      <c r="B340" s="2"/>
      <c r="C340" s="2"/>
    </row>
    <row r="341" spans="1:3" ht="13.2" x14ac:dyDescent="0.25">
      <c r="A341" s="2"/>
      <c r="B341" s="2"/>
      <c r="C341" s="2"/>
    </row>
    <row r="342" spans="1:3" ht="13.2" x14ac:dyDescent="0.25">
      <c r="A342" s="2"/>
      <c r="B342" s="2"/>
      <c r="C342" s="2"/>
    </row>
    <row r="343" spans="1:3" ht="13.2" x14ac:dyDescent="0.25">
      <c r="A343" s="2"/>
      <c r="B343" s="2"/>
      <c r="C343" s="2"/>
    </row>
    <row r="344" spans="1:3" ht="13.2" x14ac:dyDescent="0.25">
      <c r="A344" s="2"/>
      <c r="B344" s="2"/>
      <c r="C344" s="2"/>
    </row>
    <row r="345" spans="1:3" ht="13.2" x14ac:dyDescent="0.25">
      <c r="A345" s="2"/>
      <c r="B345" s="2"/>
      <c r="C345" s="2"/>
    </row>
    <row r="346" spans="1:3" ht="13.2" x14ac:dyDescent="0.25">
      <c r="A346" s="2"/>
      <c r="B346" s="2"/>
      <c r="C346" s="2"/>
    </row>
    <row r="347" spans="1:3" ht="13.2" x14ac:dyDescent="0.25">
      <c r="A347" s="2"/>
      <c r="B347" s="2"/>
      <c r="C347" s="2"/>
    </row>
    <row r="348" spans="1:3" ht="13.2" x14ac:dyDescent="0.25">
      <c r="A348" s="2"/>
      <c r="B348" s="2"/>
      <c r="C348" s="2"/>
    </row>
    <row r="349" spans="1:3" ht="13.2" x14ac:dyDescent="0.25">
      <c r="A349" s="2"/>
      <c r="B349" s="2"/>
      <c r="C349" s="2"/>
    </row>
    <row r="350" spans="1:3" ht="13.2" x14ac:dyDescent="0.25">
      <c r="A350" s="2"/>
      <c r="B350" s="2"/>
      <c r="C350" s="2"/>
    </row>
    <row r="351" spans="1:3" ht="13.2" x14ac:dyDescent="0.25">
      <c r="A351" s="2"/>
      <c r="B351" s="2"/>
      <c r="C351" s="2"/>
    </row>
    <row r="352" spans="1:3" ht="13.2" x14ac:dyDescent="0.25">
      <c r="A352" s="2"/>
      <c r="B352" s="2"/>
      <c r="C352" s="2"/>
    </row>
    <row r="353" spans="1:3" ht="13.2" x14ac:dyDescent="0.25">
      <c r="A353" s="2"/>
      <c r="B353" s="2"/>
      <c r="C353" s="2"/>
    </row>
    <row r="354" spans="1:3" ht="13.2" x14ac:dyDescent="0.25">
      <c r="A354" s="2"/>
      <c r="B354" s="2"/>
      <c r="C354" s="2"/>
    </row>
    <row r="355" spans="1:3" ht="13.2" x14ac:dyDescent="0.25">
      <c r="A355" s="2"/>
      <c r="B355" s="2"/>
      <c r="C355" s="2"/>
    </row>
    <row r="356" spans="1:3" ht="13.2" x14ac:dyDescent="0.25">
      <c r="A356" s="2"/>
      <c r="B356" s="2"/>
      <c r="C356" s="2"/>
    </row>
    <row r="357" spans="1:3" ht="13.2" x14ac:dyDescent="0.25">
      <c r="A357" s="2"/>
      <c r="B357" s="2"/>
      <c r="C357" s="2"/>
    </row>
    <row r="358" spans="1:3" ht="13.2" x14ac:dyDescent="0.25">
      <c r="A358" s="2"/>
      <c r="B358" s="2"/>
      <c r="C358" s="2"/>
    </row>
    <row r="359" spans="1:3" ht="13.2" x14ac:dyDescent="0.25">
      <c r="A359" s="2"/>
      <c r="B359" s="2"/>
      <c r="C359" s="2"/>
    </row>
    <row r="360" spans="1:3" ht="13.2" x14ac:dyDescent="0.25">
      <c r="A360" s="2"/>
      <c r="B360" s="2"/>
      <c r="C360" s="2"/>
    </row>
    <row r="361" spans="1:3" ht="13.2" x14ac:dyDescent="0.25">
      <c r="A361" s="2"/>
      <c r="B361" s="2"/>
      <c r="C361" s="2"/>
    </row>
    <row r="362" spans="1:3" ht="13.2" x14ac:dyDescent="0.25">
      <c r="A362" s="2"/>
      <c r="B362" s="2"/>
      <c r="C362" s="2"/>
    </row>
    <row r="363" spans="1:3" ht="13.2" x14ac:dyDescent="0.25">
      <c r="A363" s="2"/>
      <c r="B363" s="2"/>
      <c r="C363" s="2"/>
    </row>
    <row r="364" spans="1:3" ht="13.2" x14ac:dyDescent="0.25">
      <c r="A364" s="2"/>
      <c r="B364" s="2"/>
      <c r="C364" s="2"/>
    </row>
    <row r="365" spans="1:3" ht="13.2" x14ac:dyDescent="0.25">
      <c r="A365" s="2"/>
      <c r="B365" s="2"/>
      <c r="C365" s="2"/>
    </row>
    <row r="366" spans="1:3" ht="13.2" x14ac:dyDescent="0.25">
      <c r="A366" s="2"/>
      <c r="B366" s="2"/>
      <c r="C366" s="2"/>
    </row>
    <row r="367" spans="1:3" ht="13.2" x14ac:dyDescent="0.25">
      <c r="A367" s="2"/>
      <c r="B367" s="2"/>
      <c r="C367" s="2"/>
    </row>
    <row r="368" spans="1:3" ht="13.2" x14ac:dyDescent="0.25">
      <c r="A368" s="2"/>
      <c r="B368" s="2"/>
      <c r="C368" s="2"/>
    </row>
    <row r="369" spans="1:3" ht="13.2" x14ac:dyDescent="0.25">
      <c r="A369" s="2"/>
      <c r="B369" s="2"/>
      <c r="C369" s="2"/>
    </row>
    <row r="370" spans="1:3" ht="13.2" x14ac:dyDescent="0.25">
      <c r="A370" s="2"/>
      <c r="B370" s="2"/>
      <c r="C370" s="2"/>
    </row>
    <row r="371" spans="1:3" ht="13.2" x14ac:dyDescent="0.25">
      <c r="A371" s="2"/>
      <c r="B371" s="2"/>
      <c r="C371" s="2"/>
    </row>
    <row r="372" spans="1:3" ht="13.2" x14ac:dyDescent="0.25">
      <c r="A372" s="2"/>
      <c r="B372" s="2"/>
      <c r="C372" s="2"/>
    </row>
    <row r="373" spans="1:3" ht="13.2" x14ac:dyDescent="0.25">
      <c r="A373" s="2"/>
      <c r="B373" s="2"/>
      <c r="C373" s="2"/>
    </row>
    <row r="374" spans="1:3" ht="13.2" x14ac:dyDescent="0.25">
      <c r="A374" s="2"/>
      <c r="B374" s="2"/>
      <c r="C374" s="2"/>
    </row>
    <row r="375" spans="1:3" ht="13.2" x14ac:dyDescent="0.25">
      <c r="A375" s="2"/>
      <c r="B375" s="2"/>
      <c r="C375" s="2"/>
    </row>
    <row r="376" spans="1:3" ht="13.2" x14ac:dyDescent="0.25">
      <c r="A376" s="2"/>
      <c r="B376" s="2"/>
      <c r="C376" s="2"/>
    </row>
    <row r="377" spans="1:3" ht="13.2" x14ac:dyDescent="0.25">
      <c r="A377" s="2"/>
      <c r="B377" s="2"/>
      <c r="C377" s="2"/>
    </row>
    <row r="378" spans="1:3" ht="13.2" x14ac:dyDescent="0.25">
      <c r="A378" s="2"/>
      <c r="B378" s="2"/>
      <c r="C378" s="2"/>
    </row>
    <row r="379" spans="1:3" ht="13.2" x14ac:dyDescent="0.25">
      <c r="A379" s="2"/>
      <c r="B379" s="2"/>
      <c r="C379" s="2"/>
    </row>
    <row r="380" spans="1:3" ht="13.2" x14ac:dyDescent="0.25">
      <c r="A380" s="2"/>
      <c r="B380" s="2"/>
      <c r="C380" s="2"/>
    </row>
    <row r="381" spans="1:3" ht="13.2" x14ac:dyDescent="0.25">
      <c r="A381" s="2"/>
      <c r="B381" s="2"/>
      <c r="C381" s="2"/>
    </row>
    <row r="382" spans="1:3" ht="13.2" x14ac:dyDescent="0.25">
      <c r="A382" s="2"/>
      <c r="B382" s="2"/>
      <c r="C382" s="2"/>
    </row>
    <row r="383" spans="1:3" ht="13.2" x14ac:dyDescent="0.25">
      <c r="A383" s="2"/>
      <c r="B383" s="2"/>
      <c r="C383" s="2"/>
    </row>
    <row r="384" spans="1:3" ht="13.2" x14ac:dyDescent="0.25">
      <c r="A384" s="2"/>
      <c r="B384" s="2"/>
      <c r="C384" s="2"/>
    </row>
    <row r="385" spans="1:3" ht="13.2" x14ac:dyDescent="0.25">
      <c r="A385" s="2"/>
      <c r="B385" s="2"/>
      <c r="C385" s="2"/>
    </row>
    <row r="386" spans="1:3" ht="13.2" x14ac:dyDescent="0.25">
      <c r="A386" s="2"/>
      <c r="B386" s="2"/>
      <c r="C386" s="2"/>
    </row>
    <row r="387" spans="1:3" ht="13.2" x14ac:dyDescent="0.25">
      <c r="A387" s="2"/>
      <c r="B387" s="2"/>
      <c r="C387" s="2"/>
    </row>
    <row r="388" spans="1:3" ht="13.2" x14ac:dyDescent="0.25">
      <c r="A388" s="2"/>
      <c r="B388" s="2"/>
      <c r="C388" s="2"/>
    </row>
    <row r="389" spans="1:3" ht="13.2" x14ac:dyDescent="0.25">
      <c r="A389" s="2"/>
      <c r="B389" s="2"/>
      <c r="C389" s="2"/>
    </row>
    <row r="390" spans="1:3" ht="13.2" x14ac:dyDescent="0.25">
      <c r="A390" s="2"/>
      <c r="B390" s="2"/>
      <c r="C390" s="2"/>
    </row>
    <row r="391" spans="1:3" ht="13.2" x14ac:dyDescent="0.25">
      <c r="A391" s="2"/>
      <c r="B391" s="2"/>
      <c r="C391" s="2"/>
    </row>
    <row r="392" spans="1:3" ht="13.2" x14ac:dyDescent="0.25">
      <c r="A392" s="2"/>
      <c r="B392" s="2"/>
      <c r="C392" s="2"/>
    </row>
    <row r="393" spans="1:3" ht="13.2" x14ac:dyDescent="0.25">
      <c r="A393" s="2"/>
      <c r="B393" s="2"/>
      <c r="C393" s="2"/>
    </row>
    <row r="394" spans="1:3" ht="13.2" x14ac:dyDescent="0.25">
      <c r="A394" s="2"/>
      <c r="B394" s="2"/>
      <c r="C394" s="2"/>
    </row>
    <row r="395" spans="1:3" ht="13.2" x14ac:dyDescent="0.25">
      <c r="A395" s="2"/>
      <c r="B395" s="2"/>
      <c r="C395" s="2"/>
    </row>
    <row r="396" spans="1:3" ht="13.2" x14ac:dyDescent="0.25">
      <c r="A396" s="2"/>
      <c r="B396" s="2"/>
      <c r="C396" s="2"/>
    </row>
    <row r="397" spans="1:3" ht="13.2" x14ac:dyDescent="0.25">
      <c r="A397" s="2"/>
      <c r="B397" s="2"/>
      <c r="C397" s="2"/>
    </row>
    <row r="398" spans="1:3" ht="13.2" x14ac:dyDescent="0.25">
      <c r="A398" s="2"/>
      <c r="B398" s="2"/>
      <c r="C398" s="2"/>
    </row>
    <row r="399" spans="1:3" ht="13.2" x14ac:dyDescent="0.25">
      <c r="A399" s="2"/>
      <c r="B399" s="2"/>
      <c r="C399" s="2"/>
    </row>
    <row r="400" spans="1:3" ht="13.2" x14ac:dyDescent="0.25">
      <c r="A400" s="2"/>
      <c r="B400" s="2"/>
      <c r="C400" s="2"/>
    </row>
    <row r="401" spans="1:3" ht="13.2" x14ac:dyDescent="0.25">
      <c r="A401" s="2"/>
      <c r="B401" s="2"/>
      <c r="C401" s="2"/>
    </row>
    <row r="402" spans="1:3" ht="13.2" x14ac:dyDescent="0.25">
      <c r="A402" s="2"/>
      <c r="B402" s="2"/>
      <c r="C402" s="2"/>
    </row>
    <row r="403" spans="1:3" ht="13.2" x14ac:dyDescent="0.25">
      <c r="A403" s="2"/>
      <c r="B403" s="2"/>
      <c r="C403" s="2"/>
    </row>
    <row r="404" spans="1:3" ht="13.2" x14ac:dyDescent="0.25">
      <c r="A404" s="2"/>
      <c r="B404" s="2"/>
      <c r="C404" s="2"/>
    </row>
    <row r="405" spans="1:3" ht="13.2" x14ac:dyDescent="0.25">
      <c r="A405" s="2"/>
      <c r="B405" s="2"/>
      <c r="C405" s="2"/>
    </row>
    <row r="406" spans="1:3" ht="13.2" x14ac:dyDescent="0.25">
      <c r="A406" s="2"/>
      <c r="B406" s="2"/>
      <c r="C406" s="2"/>
    </row>
    <row r="407" spans="1:3" ht="13.2" x14ac:dyDescent="0.25">
      <c r="A407" s="2"/>
      <c r="B407" s="2"/>
      <c r="C407" s="2"/>
    </row>
    <row r="408" spans="1:3" ht="13.2" x14ac:dyDescent="0.25">
      <c r="A408" s="2"/>
      <c r="B408" s="2"/>
      <c r="C408" s="2"/>
    </row>
    <row r="409" spans="1:3" ht="13.2" x14ac:dyDescent="0.25">
      <c r="A409" s="2"/>
      <c r="B409" s="2"/>
      <c r="C409" s="2"/>
    </row>
    <row r="410" spans="1:3" ht="13.2" x14ac:dyDescent="0.25">
      <c r="A410" s="2"/>
      <c r="B410" s="2"/>
      <c r="C410" s="2"/>
    </row>
    <row r="411" spans="1:3" ht="13.2" x14ac:dyDescent="0.25">
      <c r="A411" s="2"/>
      <c r="B411" s="2"/>
      <c r="C411" s="2"/>
    </row>
    <row r="412" spans="1:3" ht="13.2" x14ac:dyDescent="0.25">
      <c r="A412" s="2"/>
      <c r="B412" s="2"/>
      <c r="C412" s="2"/>
    </row>
    <row r="413" spans="1:3" ht="13.2" x14ac:dyDescent="0.25">
      <c r="A413" s="2"/>
      <c r="B413" s="2"/>
      <c r="C413" s="2"/>
    </row>
    <row r="414" spans="1:3" ht="13.2" x14ac:dyDescent="0.25">
      <c r="A414" s="2"/>
      <c r="B414" s="2"/>
      <c r="C414" s="2"/>
    </row>
    <row r="415" spans="1:3" ht="13.2" x14ac:dyDescent="0.25">
      <c r="A415" s="2"/>
      <c r="B415" s="2"/>
      <c r="C415" s="2"/>
    </row>
    <row r="416" spans="1:3" ht="13.2" x14ac:dyDescent="0.25">
      <c r="A416" s="2"/>
      <c r="B416" s="2"/>
      <c r="C416" s="2"/>
    </row>
    <row r="417" spans="1:3" ht="13.2" x14ac:dyDescent="0.25">
      <c r="A417" s="2"/>
      <c r="B417" s="2"/>
      <c r="C417" s="2"/>
    </row>
    <row r="418" spans="1:3" ht="13.2" x14ac:dyDescent="0.25">
      <c r="A418" s="2"/>
      <c r="B418" s="2"/>
      <c r="C418" s="2"/>
    </row>
    <row r="419" spans="1:3" ht="13.2" x14ac:dyDescent="0.25">
      <c r="A419" s="2"/>
      <c r="B419" s="2"/>
      <c r="C419" s="2"/>
    </row>
    <row r="420" spans="1:3" ht="13.2" x14ac:dyDescent="0.25">
      <c r="A420" s="2"/>
      <c r="B420" s="2"/>
      <c r="C420" s="2"/>
    </row>
    <row r="421" spans="1:3" ht="13.2" x14ac:dyDescent="0.25">
      <c r="A421" s="2"/>
      <c r="B421" s="2"/>
      <c r="C421" s="2"/>
    </row>
    <row r="422" spans="1:3" ht="13.2" x14ac:dyDescent="0.25">
      <c r="A422" s="2"/>
      <c r="B422" s="2"/>
      <c r="C422" s="2"/>
    </row>
    <row r="423" spans="1:3" ht="13.2" x14ac:dyDescent="0.25">
      <c r="A423" s="2"/>
      <c r="B423" s="2"/>
      <c r="C423" s="2"/>
    </row>
    <row r="424" spans="1:3" ht="13.2" x14ac:dyDescent="0.25">
      <c r="A424" s="2"/>
      <c r="B424" s="2"/>
      <c r="C424" s="2"/>
    </row>
    <row r="425" spans="1:3" ht="13.2" x14ac:dyDescent="0.25">
      <c r="A425" s="2"/>
      <c r="B425" s="2"/>
      <c r="C425" s="2"/>
    </row>
    <row r="426" spans="1:3" ht="13.2" x14ac:dyDescent="0.25">
      <c r="A426" s="2"/>
      <c r="B426" s="2"/>
      <c r="C426" s="2"/>
    </row>
    <row r="427" spans="1:3" ht="13.2" x14ac:dyDescent="0.25">
      <c r="A427" s="2"/>
      <c r="B427" s="2"/>
      <c r="C427" s="2"/>
    </row>
    <row r="428" spans="1:3" ht="13.2" x14ac:dyDescent="0.25">
      <c r="A428" s="2"/>
      <c r="B428" s="2"/>
      <c r="C428" s="2"/>
    </row>
    <row r="429" spans="1:3" ht="13.2" x14ac:dyDescent="0.25">
      <c r="A429" s="2"/>
      <c r="B429" s="2"/>
      <c r="C429" s="2"/>
    </row>
    <row r="430" spans="1:3" ht="13.2" x14ac:dyDescent="0.25">
      <c r="A430" s="2"/>
      <c r="B430" s="2"/>
      <c r="C430" s="2"/>
    </row>
    <row r="431" spans="1:3" ht="13.2" x14ac:dyDescent="0.25">
      <c r="A431" s="2"/>
      <c r="B431" s="2"/>
      <c r="C431" s="2"/>
    </row>
    <row r="432" spans="1:3" ht="13.2" x14ac:dyDescent="0.25">
      <c r="A432" s="2"/>
      <c r="B432" s="2"/>
      <c r="C432" s="2"/>
    </row>
    <row r="433" spans="1:3" ht="13.2" x14ac:dyDescent="0.25">
      <c r="A433" s="2"/>
      <c r="B433" s="2"/>
      <c r="C433" s="2"/>
    </row>
    <row r="434" spans="1:3" ht="13.2" x14ac:dyDescent="0.25">
      <c r="A434" s="2"/>
      <c r="B434" s="2"/>
      <c r="C434" s="2"/>
    </row>
    <row r="435" spans="1:3" ht="13.2" x14ac:dyDescent="0.25">
      <c r="A435" s="2"/>
      <c r="B435" s="2"/>
      <c r="C435" s="2"/>
    </row>
    <row r="436" spans="1:3" ht="13.2" x14ac:dyDescent="0.25">
      <c r="A436" s="2"/>
      <c r="B436" s="2"/>
      <c r="C436" s="2"/>
    </row>
    <row r="437" spans="1:3" ht="13.2" x14ac:dyDescent="0.25">
      <c r="A437" s="2"/>
      <c r="B437" s="2"/>
      <c r="C437" s="2"/>
    </row>
    <row r="438" spans="1:3" ht="13.2" x14ac:dyDescent="0.25">
      <c r="A438" s="2"/>
      <c r="B438" s="2"/>
      <c r="C438" s="2"/>
    </row>
    <row r="439" spans="1:3" ht="13.2" x14ac:dyDescent="0.25">
      <c r="A439" s="2"/>
      <c r="B439" s="2"/>
      <c r="C439" s="2"/>
    </row>
    <row r="440" spans="1:3" ht="13.2" x14ac:dyDescent="0.25">
      <c r="A440" s="2"/>
      <c r="B440" s="2"/>
      <c r="C440" s="2"/>
    </row>
    <row r="441" spans="1:3" ht="13.2" x14ac:dyDescent="0.25">
      <c r="A441" s="2"/>
      <c r="B441" s="2"/>
      <c r="C441" s="2"/>
    </row>
    <row r="442" spans="1:3" ht="13.2" x14ac:dyDescent="0.25">
      <c r="A442" s="2"/>
      <c r="B442" s="2"/>
      <c r="C442" s="2"/>
    </row>
    <row r="443" spans="1:3" ht="13.2" x14ac:dyDescent="0.25">
      <c r="A443" s="2"/>
      <c r="B443" s="2"/>
      <c r="C443" s="2"/>
    </row>
    <row r="444" spans="1:3" ht="13.2" x14ac:dyDescent="0.25">
      <c r="A444" s="2"/>
      <c r="B444" s="2"/>
      <c r="C444" s="2"/>
    </row>
    <row r="445" spans="1:3" ht="13.2" x14ac:dyDescent="0.25">
      <c r="A445" s="2"/>
      <c r="B445" s="2"/>
      <c r="C445" s="2"/>
    </row>
    <row r="446" spans="1:3" ht="13.2" x14ac:dyDescent="0.25">
      <c r="A446" s="2"/>
      <c r="B446" s="2"/>
      <c r="C446" s="2"/>
    </row>
    <row r="447" spans="1:3" ht="13.2" x14ac:dyDescent="0.25">
      <c r="A447" s="2"/>
      <c r="B447" s="2"/>
      <c r="C447" s="2"/>
    </row>
    <row r="448" spans="1:3" ht="13.2" x14ac:dyDescent="0.25">
      <c r="A448" s="2"/>
      <c r="B448" s="2"/>
      <c r="C448" s="2"/>
    </row>
    <row r="449" spans="1:3" ht="13.2" x14ac:dyDescent="0.25">
      <c r="A449" s="2"/>
      <c r="B449" s="2"/>
      <c r="C449" s="2"/>
    </row>
    <row r="450" spans="1:3" ht="13.2" x14ac:dyDescent="0.25">
      <c r="A450" s="2"/>
      <c r="B450" s="2"/>
      <c r="C450" s="2"/>
    </row>
    <row r="451" spans="1:3" ht="13.2" x14ac:dyDescent="0.25">
      <c r="A451" s="2"/>
      <c r="B451" s="2"/>
      <c r="C451" s="2"/>
    </row>
    <row r="452" spans="1:3" ht="13.2" x14ac:dyDescent="0.25">
      <c r="A452" s="2"/>
      <c r="B452" s="2"/>
      <c r="C452" s="2"/>
    </row>
    <row r="453" spans="1:3" ht="13.2" x14ac:dyDescent="0.25">
      <c r="A453" s="2"/>
      <c r="B453" s="2"/>
      <c r="C453" s="2"/>
    </row>
    <row r="454" spans="1:3" ht="13.2" x14ac:dyDescent="0.25">
      <c r="A454" s="2"/>
      <c r="B454" s="2"/>
      <c r="C454" s="2"/>
    </row>
    <row r="455" spans="1:3" ht="13.2" x14ac:dyDescent="0.25">
      <c r="A455" s="2"/>
      <c r="B455" s="2"/>
      <c r="C455" s="2"/>
    </row>
    <row r="456" spans="1:3" ht="13.2" x14ac:dyDescent="0.25">
      <c r="A456" s="2"/>
      <c r="B456" s="2"/>
      <c r="C456" s="2"/>
    </row>
    <row r="457" spans="1:3" ht="13.2" x14ac:dyDescent="0.25">
      <c r="A457" s="2"/>
      <c r="B457" s="2"/>
      <c r="C457" s="2"/>
    </row>
    <row r="458" spans="1:3" ht="13.2" x14ac:dyDescent="0.25">
      <c r="A458" s="2"/>
      <c r="B458" s="2"/>
      <c r="C458" s="2"/>
    </row>
    <row r="459" spans="1:3" ht="13.2" x14ac:dyDescent="0.25">
      <c r="A459" s="2"/>
      <c r="B459" s="2"/>
      <c r="C459" s="2"/>
    </row>
    <row r="460" spans="1:3" ht="13.2" x14ac:dyDescent="0.25">
      <c r="A460" s="2"/>
      <c r="B460" s="2"/>
      <c r="C460" s="2"/>
    </row>
    <row r="461" spans="1:3" ht="13.2" x14ac:dyDescent="0.25">
      <c r="A461" s="2"/>
      <c r="B461" s="2"/>
      <c r="C461" s="2"/>
    </row>
    <row r="462" spans="1:3" ht="13.2" x14ac:dyDescent="0.25">
      <c r="A462" s="2"/>
      <c r="B462" s="2"/>
      <c r="C462" s="2"/>
    </row>
    <row r="463" spans="1:3" ht="13.2" x14ac:dyDescent="0.25">
      <c r="A463" s="2"/>
      <c r="B463" s="2"/>
      <c r="C463" s="2"/>
    </row>
    <row r="464" spans="1:3" ht="13.2" x14ac:dyDescent="0.25">
      <c r="A464" s="2"/>
      <c r="B464" s="2"/>
      <c r="C464" s="2"/>
    </row>
    <row r="465" spans="1:3" ht="13.2" x14ac:dyDescent="0.25">
      <c r="A465" s="2"/>
      <c r="B465" s="2"/>
      <c r="C465" s="2"/>
    </row>
    <row r="466" spans="1:3" ht="13.2" x14ac:dyDescent="0.25">
      <c r="A466" s="2"/>
      <c r="B466" s="2"/>
      <c r="C466" s="2"/>
    </row>
    <row r="467" spans="1:3" ht="13.2" x14ac:dyDescent="0.25">
      <c r="A467" s="2"/>
      <c r="B467" s="2"/>
      <c r="C467" s="2"/>
    </row>
    <row r="468" spans="1:3" ht="13.2" x14ac:dyDescent="0.25">
      <c r="A468" s="2"/>
      <c r="B468" s="2"/>
      <c r="C468" s="2"/>
    </row>
    <row r="469" spans="1:3" ht="13.2" x14ac:dyDescent="0.25">
      <c r="A469" s="2"/>
      <c r="B469" s="2"/>
      <c r="C469" s="2"/>
    </row>
    <row r="470" spans="1:3" ht="13.2" x14ac:dyDescent="0.25">
      <c r="A470" s="2"/>
      <c r="B470" s="2"/>
      <c r="C470" s="2"/>
    </row>
    <row r="471" spans="1:3" ht="13.2" x14ac:dyDescent="0.25">
      <c r="A471" s="2"/>
      <c r="B471" s="2"/>
      <c r="C471" s="2"/>
    </row>
    <row r="472" spans="1:3" ht="13.2" x14ac:dyDescent="0.25">
      <c r="A472" s="2"/>
      <c r="B472" s="2"/>
      <c r="C472" s="2"/>
    </row>
    <row r="473" spans="1:3" ht="13.2" x14ac:dyDescent="0.25">
      <c r="A473" s="2"/>
      <c r="B473" s="2"/>
      <c r="C473" s="2"/>
    </row>
    <row r="474" spans="1:3" ht="13.2" x14ac:dyDescent="0.25">
      <c r="A474" s="2"/>
      <c r="B474" s="2"/>
      <c r="C474" s="2"/>
    </row>
    <row r="475" spans="1:3" ht="13.2" x14ac:dyDescent="0.25">
      <c r="A475" s="2"/>
      <c r="B475" s="2"/>
      <c r="C475" s="2"/>
    </row>
    <row r="476" spans="1:3" ht="13.2" x14ac:dyDescent="0.25">
      <c r="A476" s="2"/>
      <c r="B476" s="2"/>
      <c r="C476" s="2"/>
    </row>
    <row r="477" spans="1:3" ht="13.2" x14ac:dyDescent="0.25">
      <c r="A477" s="2"/>
      <c r="B477" s="2"/>
      <c r="C477" s="2"/>
    </row>
    <row r="478" spans="1:3" ht="13.2" x14ac:dyDescent="0.25">
      <c r="A478" s="2"/>
      <c r="B478" s="2"/>
      <c r="C478" s="2"/>
    </row>
    <row r="479" spans="1:3" ht="13.2" x14ac:dyDescent="0.25">
      <c r="A479" s="2"/>
      <c r="B479" s="2"/>
      <c r="C479" s="2"/>
    </row>
    <row r="480" spans="1:3" ht="13.2" x14ac:dyDescent="0.25">
      <c r="A480" s="2"/>
      <c r="B480" s="2"/>
      <c r="C480" s="2"/>
    </row>
    <row r="481" spans="1:3" ht="13.2" x14ac:dyDescent="0.25">
      <c r="A481" s="2"/>
      <c r="B481" s="2"/>
      <c r="C481" s="2"/>
    </row>
    <row r="482" spans="1:3" ht="13.2" x14ac:dyDescent="0.25">
      <c r="A482" s="2"/>
      <c r="B482" s="2"/>
      <c r="C482" s="2"/>
    </row>
    <row r="483" spans="1:3" ht="13.2" x14ac:dyDescent="0.25">
      <c r="A483" s="2"/>
      <c r="B483" s="2"/>
      <c r="C483" s="2"/>
    </row>
    <row r="484" spans="1:3" ht="13.2" x14ac:dyDescent="0.25">
      <c r="A484" s="2"/>
      <c r="B484" s="2"/>
      <c r="C484" s="2"/>
    </row>
    <row r="485" spans="1:3" ht="13.2" x14ac:dyDescent="0.25">
      <c r="A485" s="2"/>
      <c r="B485" s="2"/>
      <c r="C485" s="2"/>
    </row>
    <row r="486" spans="1:3" ht="13.2" x14ac:dyDescent="0.25">
      <c r="A486" s="2"/>
      <c r="B486" s="2"/>
      <c r="C486" s="2"/>
    </row>
    <row r="487" spans="1:3" ht="13.2" x14ac:dyDescent="0.25">
      <c r="A487" s="2"/>
      <c r="B487" s="2"/>
      <c r="C487" s="2"/>
    </row>
    <row r="488" spans="1:3" ht="13.2" x14ac:dyDescent="0.25">
      <c r="A488" s="2"/>
      <c r="B488" s="2"/>
      <c r="C488" s="2"/>
    </row>
    <row r="489" spans="1:3" ht="13.2" x14ac:dyDescent="0.25">
      <c r="A489" s="2"/>
      <c r="B489" s="2"/>
      <c r="C489" s="2"/>
    </row>
    <row r="490" spans="1:3" ht="13.2" x14ac:dyDescent="0.25">
      <c r="A490" s="2"/>
      <c r="B490" s="2"/>
      <c r="C490" s="2"/>
    </row>
    <row r="491" spans="1:3" ht="13.2" x14ac:dyDescent="0.25">
      <c r="A491" s="2"/>
      <c r="B491" s="2"/>
      <c r="C491" s="2"/>
    </row>
    <row r="492" spans="1:3" ht="13.2" x14ac:dyDescent="0.25">
      <c r="A492" s="2"/>
      <c r="B492" s="2"/>
      <c r="C492" s="2"/>
    </row>
    <row r="493" spans="1:3" ht="13.2" x14ac:dyDescent="0.25">
      <c r="A493" s="2"/>
      <c r="B493" s="2"/>
      <c r="C493" s="2"/>
    </row>
    <row r="494" spans="1:3" ht="13.2" x14ac:dyDescent="0.25">
      <c r="A494" s="2"/>
      <c r="B494" s="2"/>
      <c r="C494" s="2"/>
    </row>
    <row r="495" spans="1:3" ht="13.2" x14ac:dyDescent="0.25">
      <c r="A495" s="2"/>
      <c r="B495" s="2"/>
      <c r="C495" s="2"/>
    </row>
    <row r="496" spans="1:3" ht="13.2" x14ac:dyDescent="0.25">
      <c r="A496" s="2"/>
      <c r="B496" s="2"/>
      <c r="C496" s="2"/>
    </row>
    <row r="497" spans="1:3" ht="13.2" x14ac:dyDescent="0.25">
      <c r="A497" s="2"/>
      <c r="B497" s="2"/>
      <c r="C497" s="2"/>
    </row>
    <row r="498" spans="1:3" ht="13.2" x14ac:dyDescent="0.25">
      <c r="A498" s="2"/>
      <c r="B498" s="2"/>
      <c r="C498" s="2"/>
    </row>
    <row r="499" spans="1:3" ht="13.2" x14ac:dyDescent="0.25">
      <c r="A499" s="2"/>
      <c r="B499" s="2"/>
      <c r="C499" s="2"/>
    </row>
    <row r="500" spans="1:3" ht="13.2" x14ac:dyDescent="0.25">
      <c r="A500" s="2"/>
      <c r="B500" s="2"/>
      <c r="C500" s="2"/>
    </row>
    <row r="501" spans="1:3" ht="13.2" x14ac:dyDescent="0.25">
      <c r="A501" s="2"/>
      <c r="B501" s="2"/>
      <c r="C501" s="2"/>
    </row>
    <row r="502" spans="1:3" ht="13.2" x14ac:dyDescent="0.25">
      <c r="A502" s="2"/>
      <c r="B502" s="2"/>
      <c r="C502" s="2"/>
    </row>
    <row r="503" spans="1:3" ht="13.2" x14ac:dyDescent="0.25">
      <c r="A503" s="2"/>
      <c r="B503" s="2"/>
      <c r="C503" s="2"/>
    </row>
    <row r="504" spans="1:3" ht="13.2" x14ac:dyDescent="0.25">
      <c r="A504" s="2"/>
      <c r="B504" s="2"/>
      <c r="C504" s="2"/>
    </row>
    <row r="505" spans="1:3" ht="13.2" x14ac:dyDescent="0.25">
      <c r="A505" s="2"/>
      <c r="B505" s="2"/>
      <c r="C505" s="2"/>
    </row>
    <row r="506" spans="1:3" ht="13.2" x14ac:dyDescent="0.25">
      <c r="A506" s="2"/>
      <c r="B506" s="2"/>
      <c r="C506" s="2"/>
    </row>
    <row r="507" spans="1:3" ht="13.2" x14ac:dyDescent="0.25">
      <c r="A507" s="2"/>
      <c r="B507" s="2"/>
      <c r="C507" s="2"/>
    </row>
    <row r="508" spans="1:3" ht="13.2" x14ac:dyDescent="0.25">
      <c r="A508" s="2"/>
      <c r="B508" s="2"/>
      <c r="C508" s="2"/>
    </row>
    <row r="509" spans="1:3" ht="13.2" x14ac:dyDescent="0.25">
      <c r="A509" s="2"/>
      <c r="B509" s="2"/>
      <c r="C509" s="2"/>
    </row>
    <row r="510" spans="1:3" ht="13.2" x14ac:dyDescent="0.25">
      <c r="A510" s="2"/>
      <c r="B510" s="2"/>
      <c r="C510" s="2"/>
    </row>
    <row r="511" spans="1:3" ht="13.2" x14ac:dyDescent="0.25">
      <c r="A511" s="2"/>
      <c r="B511" s="2"/>
      <c r="C511" s="2"/>
    </row>
    <row r="512" spans="1:3" ht="13.2" x14ac:dyDescent="0.25">
      <c r="A512" s="2"/>
      <c r="B512" s="2"/>
      <c r="C512" s="2"/>
    </row>
    <row r="513" spans="1:3" ht="13.2" x14ac:dyDescent="0.25">
      <c r="A513" s="2"/>
      <c r="B513" s="2"/>
      <c r="C513" s="2"/>
    </row>
    <row r="514" spans="1:3" ht="13.2" x14ac:dyDescent="0.25">
      <c r="A514" s="2"/>
      <c r="B514" s="2"/>
      <c r="C514" s="2"/>
    </row>
    <row r="515" spans="1:3" ht="13.2" x14ac:dyDescent="0.25">
      <c r="A515" s="2"/>
      <c r="B515" s="2"/>
      <c r="C515" s="2"/>
    </row>
    <row r="516" spans="1:3" ht="13.2" x14ac:dyDescent="0.25">
      <c r="A516" s="2"/>
      <c r="B516" s="2"/>
      <c r="C516" s="2"/>
    </row>
    <row r="517" spans="1:3" ht="13.2" x14ac:dyDescent="0.25">
      <c r="A517" s="2"/>
      <c r="B517" s="2"/>
      <c r="C517" s="2"/>
    </row>
    <row r="518" spans="1:3" ht="13.2" x14ac:dyDescent="0.25">
      <c r="A518" s="2"/>
      <c r="B518" s="2"/>
      <c r="C518" s="2"/>
    </row>
    <row r="519" spans="1:3" ht="13.2" x14ac:dyDescent="0.25">
      <c r="A519" s="2"/>
      <c r="B519" s="2"/>
      <c r="C519" s="2"/>
    </row>
    <row r="520" spans="1:3" ht="13.2" x14ac:dyDescent="0.25">
      <c r="A520" s="2"/>
      <c r="B520" s="2"/>
      <c r="C520" s="2"/>
    </row>
    <row r="521" spans="1:3" ht="13.2" x14ac:dyDescent="0.25">
      <c r="A521" s="2"/>
      <c r="B521" s="2"/>
      <c r="C521" s="2"/>
    </row>
    <row r="522" spans="1:3" ht="13.2" x14ac:dyDescent="0.25">
      <c r="A522" s="2"/>
      <c r="B522" s="2"/>
      <c r="C522" s="2"/>
    </row>
    <row r="523" spans="1:3" ht="13.2" x14ac:dyDescent="0.25">
      <c r="A523" s="2"/>
      <c r="B523" s="2"/>
      <c r="C523" s="2"/>
    </row>
    <row r="524" spans="1:3" ht="13.2" x14ac:dyDescent="0.25">
      <c r="A524" s="2"/>
      <c r="B524" s="2"/>
      <c r="C524" s="2"/>
    </row>
    <row r="525" spans="1:3" ht="13.2" x14ac:dyDescent="0.25">
      <c r="A525" s="2"/>
      <c r="B525" s="2"/>
      <c r="C525" s="2"/>
    </row>
    <row r="526" spans="1:3" ht="13.2" x14ac:dyDescent="0.25">
      <c r="A526" s="2"/>
      <c r="B526" s="2"/>
      <c r="C526" s="2"/>
    </row>
    <row r="527" spans="1:3" ht="13.2" x14ac:dyDescent="0.25">
      <c r="A527" s="2"/>
      <c r="B527" s="2"/>
      <c r="C527" s="2"/>
    </row>
    <row r="528" spans="1:3" ht="13.2" x14ac:dyDescent="0.25">
      <c r="A528" s="2"/>
      <c r="B528" s="2"/>
      <c r="C528" s="2"/>
    </row>
    <row r="529" spans="1:3" ht="13.2" x14ac:dyDescent="0.25">
      <c r="A529" s="2"/>
      <c r="B529" s="2"/>
      <c r="C529" s="2"/>
    </row>
    <row r="530" spans="1:3" ht="13.2" x14ac:dyDescent="0.25">
      <c r="A530" s="2"/>
      <c r="B530" s="2"/>
      <c r="C530" s="2"/>
    </row>
    <row r="531" spans="1:3" ht="13.2" x14ac:dyDescent="0.25">
      <c r="A531" s="2"/>
      <c r="B531" s="2"/>
      <c r="C531" s="2"/>
    </row>
    <row r="532" spans="1:3" ht="13.2" x14ac:dyDescent="0.25">
      <c r="A532" s="2"/>
      <c r="B532" s="2"/>
      <c r="C532" s="2"/>
    </row>
    <row r="533" spans="1:3" ht="13.2" x14ac:dyDescent="0.25">
      <c r="A533" s="2"/>
      <c r="B533" s="2"/>
      <c r="C533" s="2"/>
    </row>
    <row r="534" spans="1:3" ht="13.2" x14ac:dyDescent="0.25">
      <c r="A534" s="2"/>
      <c r="B534" s="2"/>
      <c r="C534" s="2"/>
    </row>
    <row r="535" spans="1:3" ht="13.2" x14ac:dyDescent="0.25">
      <c r="A535" s="2"/>
      <c r="B535" s="2"/>
      <c r="C535" s="2"/>
    </row>
    <row r="536" spans="1:3" ht="13.2" x14ac:dyDescent="0.25">
      <c r="A536" s="2"/>
      <c r="B536" s="2"/>
      <c r="C536" s="2"/>
    </row>
    <row r="537" spans="1:3" ht="13.2" x14ac:dyDescent="0.25">
      <c r="A537" s="2"/>
      <c r="B537" s="2"/>
      <c r="C537" s="2"/>
    </row>
    <row r="538" spans="1:3" ht="13.2" x14ac:dyDescent="0.25">
      <c r="A538" s="2"/>
      <c r="B538" s="2"/>
      <c r="C538" s="2"/>
    </row>
    <row r="539" spans="1:3" ht="13.2" x14ac:dyDescent="0.25">
      <c r="A539" s="2"/>
      <c r="B539" s="2"/>
      <c r="C539" s="2"/>
    </row>
    <row r="540" spans="1:3" ht="13.2" x14ac:dyDescent="0.25">
      <c r="A540" s="2"/>
      <c r="B540" s="2"/>
      <c r="C540" s="2"/>
    </row>
    <row r="541" spans="1:3" ht="13.2" x14ac:dyDescent="0.25">
      <c r="A541" s="2"/>
      <c r="B541" s="2"/>
      <c r="C541" s="2"/>
    </row>
    <row r="542" spans="1:3" ht="13.2" x14ac:dyDescent="0.25">
      <c r="A542" s="2"/>
      <c r="B542" s="2"/>
      <c r="C542" s="2"/>
    </row>
    <row r="543" spans="1:3" ht="13.2" x14ac:dyDescent="0.25">
      <c r="A543" s="2"/>
      <c r="B543" s="2"/>
      <c r="C543" s="2"/>
    </row>
    <row r="544" spans="1:3" ht="13.2" x14ac:dyDescent="0.25">
      <c r="A544" s="2"/>
      <c r="B544" s="2"/>
      <c r="C544" s="2"/>
    </row>
    <row r="545" spans="1:3" ht="13.2" x14ac:dyDescent="0.25">
      <c r="A545" s="2"/>
      <c r="B545" s="2"/>
      <c r="C545" s="2"/>
    </row>
    <row r="546" spans="1:3" ht="13.2" x14ac:dyDescent="0.25">
      <c r="A546" s="2"/>
      <c r="B546" s="2"/>
      <c r="C546" s="2"/>
    </row>
    <row r="547" spans="1:3" ht="13.2" x14ac:dyDescent="0.25">
      <c r="A547" s="2"/>
      <c r="B547" s="2"/>
      <c r="C547" s="2"/>
    </row>
    <row r="548" spans="1:3" ht="13.2" x14ac:dyDescent="0.25">
      <c r="A548" s="2"/>
      <c r="B548" s="2"/>
      <c r="C548" s="2"/>
    </row>
    <row r="549" spans="1:3" ht="13.2" x14ac:dyDescent="0.25">
      <c r="A549" s="2"/>
      <c r="B549" s="2"/>
      <c r="C549" s="2"/>
    </row>
    <row r="550" spans="1:3" ht="13.2" x14ac:dyDescent="0.25">
      <c r="A550" s="2"/>
      <c r="B550" s="2"/>
      <c r="C550" s="2"/>
    </row>
    <row r="551" spans="1:3" ht="13.2" x14ac:dyDescent="0.25">
      <c r="A551" s="2"/>
      <c r="B551" s="2"/>
      <c r="C551" s="2"/>
    </row>
    <row r="552" spans="1:3" ht="13.2" x14ac:dyDescent="0.25">
      <c r="A552" s="2"/>
      <c r="B552" s="2"/>
      <c r="C552" s="2"/>
    </row>
    <row r="553" spans="1:3" ht="13.2" x14ac:dyDescent="0.25">
      <c r="A553" s="2"/>
      <c r="B553" s="2"/>
      <c r="C553" s="2"/>
    </row>
    <row r="554" spans="1:3" ht="13.2" x14ac:dyDescent="0.25">
      <c r="A554" s="2"/>
      <c r="B554" s="2"/>
      <c r="C554" s="2"/>
    </row>
    <row r="555" spans="1:3" ht="13.2" x14ac:dyDescent="0.25">
      <c r="A555" s="2"/>
      <c r="B555" s="2"/>
      <c r="C555" s="2"/>
    </row>
    <row r="556" spans="1:3" ht="13.2" x14ac:dyDescent="0.25">
      <c r="A556" s="2"/>
      <c r="B556" s="2"/>
      <c r="C556" s="2"/>
    </row>
    <row r="557" spans="1:3" ht="13.2" x14ac:dyDescent="0.25">
      <c r="A557" s="2"/>
      <c r="B557" s="2"/>
      <c r="C557" s="2"/>
    </row>
    <row r="558" spans="1:3" ht="13.2" x14ac:dyDescent="0.25">
      <c r="A558" s="2"/>
      <c r="B558" s="2"/>
      <c r="C558" s="2"/>
    </row>
    <row r="559" spans="1:3" ht="13.2" x14ac:dyDescent="0.25">
      <c r="A559" s="2"/>
      <c r="B559" s="2"/>
      <c r="C559" s="2"/>
    </row>
    <row r="560" spans="1:3" ht="13.2" x14ac:dyDescent="0.25">
      <c r="A560" s="2"/>
      <c r="B560" s="2"/>
      <c r="C560" s="2"/>
    </row>
    <row r="561" spans="1:3" ht="13.2" x14ac:dyDescent="0.25">
      <c r="A561" s="2"/>
      <c r="B561" s="2"/>
      <c r="C561" s="2"/>
    </row>
    <row r="562" spans="1:3" ht="13.2" x14ac:dyDescent="0.25">
      <c r="A562" s="2"/>
      <c r="B562" s="2"/>
      <c r="C562" s="2"/>
    </row>
    <row r="563" spans="1:3" ht="13.2" x14ac:dyDescent="0.25">
      <c r="A563" s="2"/>
      <c r="B563" s="2"/>
      <c r="C563" s="2"/>
    </row>
    <row r="564" spans="1:3" ht="13.2" x14ac:dyDescent="0.25">
      <c r="A564" s="2"/>
      <c r="B564" s="2"/>
      <c r="C564" s="2"/>
    </row>
    <row r="565" spans="1:3" ht="13.2" x14ac:dyDescent="0.25">
      <c r="A565" s="2"/>
      <c r="B565" s="2"/>
      <c r="C565" s="2"/>
    </row>
    <row r="566" spans="1:3" ht="13.2" x14ac:dyDescent="0.25">
      <c r="A566" s="2"/>
      <c r="B566" s="2"/>
      <c r="C566" s="2"/>
    </row>
    <row r="567" spans="1:3" ht="13.2" x14ac:dyDescent="0.25">
      <c r="A567" s="2"/>
      <c r="B567" s="2"/>
      <c r="C567" s="2"/>
    </row>
    <row r="568" spans="1:3" ht="13.2" x14ac:dyDescent="0.25">
      <c r="A568" s="2"/>
      <c r="B568" s="2"/>
      <c r="C568" s="2"/>
    </row>
    <row r="569" spans="1:3" ht="13.2" x14ac:dyDescent="0.25">
      <c r="A569" s="2"/>
      <c r="B569" s="2"/>
      <c r="C569" s="2"/>
    </row>
    <row r="570" spans="1:3" ht="13.2" x14ac:dyDescent="0.25">
      <c r="A570" s="2"/>
      <c r="B570" s="2"/>
      <c r="C570" s="2"/>
    </row>
    <row r="571" spans="1:3" ht="13.2" x14ac:dyDescent="0.25">
      <c r="A571" s="2"/>
      <c r="B571" s="2"/>
      <c r="C571" s="2"/>
    </row>
    <row r="572" spans="1:3" ht="13.2" x14ac:dyDescent="0.25">
      <c r="A572" s="2"/>
      <c r="B572" s="2"/>
      <c r="C572" s="2"/>
    </row>
    <row r="573" spans="1:3" ht="13.2" x14ac:dyDescent="0.25">
      <c r="A573" s="2"/>
      <c r="B573" s="2"/>
      <c r="C573" s="2"/>
    </row>
    <row r="574" spans="1:3" ht="13.2" x14ac:dyDescent="0.25">
      <c r="A574" s="2"/>
      <c r="B574" s="2"/>
      <c r="C574" s="2"/>
    </row>
    <row r="575" spans="1:3" ht="13.2" x14ac:dyDescent="0.25">
      <c r="A575" s="2"/>
      <c r="B575" s="2"/>
      <c r="C575" s="2"/>
    </row>
    <row r="576" spans="1:3" ht="13.2" x14ac:dyDescent="0.25">
      <c r="A576" s="2"/>
      <c r="B576" s="2"/>
      <c r="C576" s="2"/>
    </row>
    <row r="577" spans="1:3" ht="13.2" x14ac:dyDescent="0.25">
      <c r="A577" s="2"/>
      <c r="B577" s="2"/>
      <c r="C577" s="2"/>
    </row>
    <row r="578" spans="1:3" ht="13.2" x14ac:dyDescent="0.25">
      <c r="A578" s="2"/>
      <c r="B578" s="2"/>
      <c r="C578" s="2"/>
    </row>
    <row r="579" spans="1:3" ht="13.2" x14ac:dyDescent="0.25">
      <c r="A579" s="2"/>
      <c r="B579" s="2"/>
      <c r="C579" s="2"/>
    </row>
    <row r="580" spans="1:3" ht="13.2" x14ac:dyDescent="0.25">
      <c r="A580" s="2"/>
      <c r="B580" s="2"/>
      <c r="C580" s="2"/>
    </row>
    <row r="581" spans="1:3" ht="13.2" x14ac:dyDescent="0.25">
      <c r="A581" s="2"/>
      <c r="B581" s="2"/>
      <c r="C581" s="2"/>
    </row>
    <row r="582" spans="1:3" ht="13.2" x14ac:dyDescent="0.25">
      <c r="A582" s="2"/>
      <c r="B582" s="2"/>
      <c r="C582" s="2"/>
    </row>
    <row r="583" spans="1:3" ht="13.2" x14ac:dyDescent="0.25">
      <c r="A583" s="2"/>
      <c r="B583" s="2"/>
      <c r="C583" s="2"/>
    </row>
    <row r="584" spans="1:3" ht="13.2" x14ac:dyDescent="0.25">
      <c r="A584" s="2"/>
      <c r="B584" s="2"/>
      <c r="C584" s="2"/>
    </row>
    <row r="585" spans="1:3" ht="13.2" x14ac:dyDescent="0.25">
      <c r="A585" s="2"/>
      <c r="B585" s="2"/>
      <c r="C585" s="2"/>
    </row>
    <row r="586" spans="1:3" ht="13.2" x14ac:dyDescent="0.25">
      <c r="A586" s="2"/>
      <c r="B586" s="2"/>
      <c r="C586" s="2"/>
    </row>
    <row r="587" spans="1:3" ht="13.2" x14ac:dyDescent="0.25">
      <c r="A587" s="2"/>
      <c r="B587" s="2"/>
      <c r="C587" s="2"/>
    </row>
    <row r="588" spans="1:3" ht="13.2" x14ac:dyDescent="0.25">
      <c r="A588" s="2"/>
      <c r="B588" s="2"/>
      <c r="C588" s="2"/>
    </row>
    <row r="589" spans="1:3" ht="13.2" x14ac:dyDescent="0.25">
      <c r="A589" s="2"/>
      <c r="B589" s="2"/>
      <c r="C589" s="2"/>
    </row>
    <row r="590" spans="1:3" ht="13.2" x14ac:dyDescent="0.25">
      <c r="A590" s="2"/>
      <c r="B590" s="2"/>
      <c r="C590" s="2"/>
    </row>
    <row r="591" spans="1:3" ht="13.2" x14ac:dyDescent="0.25">
      <c r="A591" s="2"/>
      <c r="B591" s="2"/>
      <c r="C591" s="2"/>
    </row>
    <row r="592" spans="1:3" ht="13.2" x14ac:dyDescent="0.25">
      <c r="A592" s="2"/>
      <c r="B592" s="2"/>
      <c r="C592" s="2"/>
    </row>
    <row r="593" spans="1:3" ht="13.2" x14ac:dyDescent="0.25">
      <c r="A593" s="2"/>
      <c r="B593" s="2"/>
      <c r="C593" s="2"/>
    </row>
    <row r="594" spans="1:3" ht="13.2" x14ac:dyDescent="0.25">
      <c r="A594" s="2"/>
      <c r="B594" s="2"/>
      <c r="C594" s="2"/>
    </row>
    <row r="595" spans="1:3" ht="13.2" x14ac:dyDescent="0.25">
      <c r="A595" s="2"/>
      <c r="B595" s="2"/>
      <c r="C595" s="2"/>
    </row>
    <row r="596" spans="1:3" ht="13.2" x14ac:dyDescent="0.25">
      <c r="A596" s="2"/>
      <c r="B596" s="2"/>
      <c r="C596" s="2"/>
    </row>
    <row r="597" spans="1:3" ht="13.2" x14ac:dyDescent="0.25">
      <c r="A597" s="2"/>
      <c r="B597" s="2"/>
      <c r="C597" s="2"/>
    </row>
    <row r="598" spans="1:3" ht="13.2" x14ac:dyDescent="0.25">
      <c r="A598" s="2"/>
      <c r="B598" s="2"/>
      <c r="C598" s="2"/>
    </row>
    <row r="599" spans="1:3" ht="13.2" x14ac:dyDescent="0.25">
      <c r="A599" s="2"/>
      <c r="B599" s="2"/>
      <c r="C599" s="2"/>
    </row>
    <row r="600" spans="1:3" ht="13.2" x14ac:dyDescent="0.25">
      <c r="A600" s="2"/>
      <c r="B600" s="2"/>
      <c r="C600" s="2"/>
    </row>
    <row r="601" spans="1:3" ht="13.2" x14ac:dyDescent="0.25">
      <c r="A601" s="2"/>
      <c r="B601" s="2"/>
      <c r="C601" s="2"/>
    </row>
    <row r="602" spans="1:3" ht="13.2" x14ac:dyDescent="0.25">
      <c r="A602" s="2"/>
      <c r="B602" s="2"/>
      <c r="C602" s="2"/>
    </row>
    <row r="603" spans="1:3" ht="13.2" x14ac:dyDescent="0.25">
      <c r="A603" s="2"/>
      <c r="B603" s="2"/>
      <c r="C603" s="2"/>
    </row>
    <row r="604" spans="1:3" ht="13.2" x14ac:dyDescent="0.25">
      <c r="A604" s="2"/>
      <c r="B604" s="2"/>
      <c r="C604" s="2"/>
    </row>
    <row r="605" spans="1:3" ht="13.2" x14ac:dyDescent="0.25">
      <c r="A605" s="2"/>
      <c r="B605" s="2"/>
      <c r="C605" s="2"/>
    </row>
    <row r="606" spans="1:3" ht="13.2" x14ac:dyDescent="0.25">
      <c r="A606" s="2"/>
      <c r="B606" s="2"/>
      <c r="C606" s="2"/>
    </row>
    <row r="607" spans="1:3" ht="13.2" x14ac:dyDescent="0.25">
      <c r="A607" s="2"/>
      <c r="B607" s="2"/>
      <c r="C607" s="2"/>
    </row>
    <row r="608" spans="1:3" ht="13.2" x14ac:dyDescent="0.25">
      <c r="A608" s="2"/>
      <c r="B608" s="2"/>
      <c r="C608" s="2"/>
    </row>
    <row r="609" spans="1:3" ht="13.2" x14ac:dyDescent="0.25">
      <c r="A609" s="2"/>
      <c r="B609" s="2"/>
      <c r="C609" s="2"/>
    </row>
    <row r="610" spans="1:3" ht="13.2" x14ac:dyDescent="0.25">
      <c r="A610" s="2"/>
      <c r="B610" s="2"/>
      <c r="C610" s="2"/>
    </row>
    <row r="611" spans="1:3" ht="13.2" x14ac:dyDescent="0.25">
      <c r="A611" s="2"/>
      <c r="B611" s="2"/>
      <c r="C611" s="2"/>
    </row>
    <row r="612" spans="1:3" ht="13.2" x14ac:dyDescent="0.25">
      <c r="A612" s="2"/>
      <c r="B612" s="2"/>
      <c r="C612" s="2"/>
    </row>
    <row r="613" spans="1:3" ht="13.2" x14ac:dyDescent="0.25">
      <c r="A613" s="2"/>
      <c r="B613" s="2"/>
      <c r="C613" s="2"/>
    </row>
    <row r="614" spans="1:3" ht="13.2" x14ac:dyDescent="0.25">
      <c r="A614" s="2"/>
      <c r="B614" s="2"/>
      <c r="C614" s="2"/>
    </row>
    <row r="615" spans="1:3" ht="13.2" x14ac:dyDescent="0.25">
      <c r="A615" s="2"/>
      <c r="B615" s="2"/>
      <c r="C615" s="2"/>
    </row>
    <row r="616" spans="1:3" ht="13.2" x14ac:dyDescent="0.25">
      <c r="A616" s="2"/>
      <c r="B616" s="2"/>
      <c r="C616" s="2"/>
    </row>
    <row r="617" spans="1:3" ht="13.2" x14ac:dyDescent="0.25">
      <c r="A617" s="2"/>
      <c r="B617" s="2"/>
      <c r="C617" s="2"/>
    </row>
    <row r="618" spans="1:3" ht="13.2" x14ac:dyDescent="0.25">
      <c r="A618" s="2"/>
      <c r="B618" s="2"/>
      <c r="C618" s="2"/>
    </row>
    <row r="619" spans="1:3" ht="13.2" x14ac:dyDescent="0.25">
      <c r="A619" s="2"/>
      <c r="B619" s="2"/>
      <c r="C619" s="2"/>
    </row>
    <row r="620" spans="1:3" ht="13.2" x14ac:dyDescent="0.25">
      <c r="A620" s="2"/>
      <c r="B620" s="2"/>
      <c r="C620" s="2"/>
    </row>
    <row r="621" spans="1:3" ht="13.2" x14ac:dyDescent="0.25">
      <c r="A621" s="2"/>
      <c r="B621" s="2"/>
      <c r="C621" s="2"/>
    </row>
    <row r="622" spans="1:3" ht="13.2" x14ac:dyDescent="0.25">
      <c r="A622" s="2"/>
      <c r="B622" s="2"/>
      <c r="C622" s="2"/>
    </row>
    <row r="623" spans="1:3" ht="13.2" x14ac:dyDescent="0.25">
      <c r="A623" s="2"/>
      <c r="B623" s="2"/>
      <c r="C623" s="2"/>
    </row>
    <row r="624" spans="1:3" ht="13.2" x14ac:dyDescent="0.25">
      <c r="A624" s="2"/>
      <c r="B624" s="2"/>
      <c r="C624" s="2"/>
    </row>
    <row r="625" spans="1:3" ht="13.2" x14ac:dyDescent="0.25">
      <c r="A625" s="2"/>
      <c r="B625" s="2"/>
      <c r="C625" s="2"/>
    </row>
    <row r="626" spans="1:3" ht="13.2" x14ac:dyDescent="0.25">
      <c r="A626" s="2"/>
      <c r="B626" s="2"/>
      <c r="C626" s="2"/>
    </row>
    <row r="627" spans="1:3" ht="13.2" x14ac:dyDescent="0.25">
      <c r="A627" s="2"/>
      <c r="B627" s="2"/>
      <c r="C627" s="2"/>
    </row>
    <row r="628" spans="1:3" ht="13.2" x14ac:dyDescent="0.25">
      <c r="A628" s="2"/>
      <c r="B628" s="2"/>
      <c r="C628" s="2"/>
    </row>
    <row r="629" spans="1:3" ht="13.2" x14ac:dyDescent="0.25">
      <c r="A629" s="2"/>
      <c r="B629" s="2"/>
      <c r="C629" s="2"/>
    </row>
    <row r="630" spans="1:3" ht="13.2" x14ac:dyDescent="0.25">
      <c r="A630" s="2"/>
      <c r="B630" s="2"/>
      <c r="C630" s="2"/>
    </row>
    <row r="631" spans="1:3" ht="13.2" x14ac:dyDescent="0.25">
      <c r="A631" s="2"/>
      <c r="B631" s="2"/>
      <c r="C631" s="2"/>
    </row>
    <row r="632" spans="1:3" ht="13.2" x14ac:dyDescent="0.25">
      <c r="A632" s="2"/>
      <c r="B632" s="2"/>
      <c r="C632" s="2"/>
    </row>
    <row r="633" spans="1:3" ht="13.2" x14ac:dyDescent="0.25">
      <c r="A633" s="2"/>
      <c r="B633" s="2"/>
      <c r="C633" s="2"/>
    </row>
    <row r="634" spans="1:3" ht="13.2" x14ac:dyDescent="0.25">
      <c r="A634" s="2"/>
      <c r="B634" s="2"/>
      <c r="C634" s="2"/>
    </row>
    <row r="635" spans="1:3" ht="13.2" x14ac:dyDescent="0.25">
      <c r="A635" s="2"/>
      <c r="B635" s="2"/>
      <c r="C635" s="2"/>
    </row>
    <row r="636" spans="1:3" ht="13.2" x14ac:dyDescent="0.25">
      <c r="A636" s="2"/>
      <c r="B636" s="2"/>
      <c r="C636" s="2"/>
    </row>
    <row r="637" spans="1:3" ht="13.2" x14ac:dyDescent="0.25">
      <c r="A637" s="2"/>
      <c r="B637" s="2"/>
      <c r="C637" s="2"/>
    </row>
    <row r="638" spans="1:3" ht="13.2" x14ac:dyDescent="0.25">
      <c r="A638" s="2"/>
      <c r="B638" s="2"/>
      <c r="C638" s="2"/>
    </row>
    <row r="639" spans="1:3" ht="13.2" x14ac:dyDescent="0.25">
      <c r="A639" s="2"/>
      <c r="B639" s="2"/>
      <c r="C639" s="2"/>
    </row>
    <row r="640" spans="1:3" ht="13.2" x14ac:dyDescent="0.25">
      <c r="A640" s="2"/>
      <c r="B640" s="2"/>
      <c r="C640" s="2"/>
    </row>
    <row r="641" spans="1:3" ht="13.2" x14ac:dyDescent="0.25">
      <c r="A641" s="2"/>
      <c r="B641" s="2"/>
      <c r="C641" s="2"/>
    </row>
    <row r="642" spans="1:3" ht="13.2" x14ac:dyDescent="0.25">
      <c r="A642" s="2"/>
      <c r="B642" s="2"/>
      <c r="C642" s="2"/>
    </row>
    <row r="643" spans="1:3" ht="13.2" x14ac:dyDescent="0.25">
      <c r="A643" s="2"/>
      <c r="B643" s="2"/>
      <c r="C643" s="2"/>
    </row>
    <row r="644" spans="1:3" ht="13.2" x14ac:dyDescent="0.25">
      <c r="A644" s="2"/>
      <c r="B644" s="2"/>
      <c r="C644" s="2"/>
    </row>
    <row r="645" spans="1:3" ht="13.2" x14ac:dyDescent="0.25">
      <c r="A645" s="2"/>
      <c r="B645" s="2"/>
      <c r="C645" s="2"/>
    </row>
    <row r="646" spans="1:3" ht="13.2" x14ac:dyDescent="0.25">
      <c r="A646" s="2"/>
      <c r="B646" s="2"/>
      <c r="C646" s="2"/>
    </row>
    <row r="647" spans="1:3" ht="13.2" x14ac:dyDescent="0.25">
      <c r="A647" s="2"/>
      <c r="B647" s="2"/>
      <c r="C647" s="2"/>
    </row>
    <row r="648" spans="1:3" ht="13.2" x14ac:dyDescent="0.25">
      <c r="A648" s="2"/>
      <c r="B648" s="2"/>
      <c r="C648" s="2"/>
    </row>
    <row r="649" spans="1:3" ht="13.2" x14ac:dyDescent="0.25">
      <c r="A649" s="2"/>
      <c r="B649" s="2"/>
      <c r="C649" s="2"/>
    </row>
    <row r="650" spans="1:3" ht="13.2" x14ac:dyDescent="0.25">
      <c r="A650" s="2"/>
      <c r="B650" s="2"/>
      <c r="C650" s="2"/>
    </row>
    <row r="651" spans="1:3" ht="13.2" x14ac:dyDescent="0.25">
      <c r="A651" s="2"/>
      <c r="B651" s="2"/>
      <c r="C651" s="2"/>
    </row>
    <row r="652" spans="1:3" ht="13.2" x14ac:dyDescent="0.25">
      <c r="A652" s="2"/>
      <c r="B652" s="2"/>
      <c r="C652" s="2"/>
    </row>
    <row r="653" spans="1:3" ht="13.2" x14ac:dyDescent="0.25">
      <c r="A653" s="2"/>
      <c r="B653" s="2"/>
      <c r="C653" s="2"/>
    </row>
    <row r="654" spans="1:3" ht="13.2" x14ac:dyDescent="0.25">
      <c r="A654" s="2"/>
      <c r="B654" s="2"/>
      <c r="C654" s="2"/>
    </row>
    <row r="655" spans="1:3" ht="13.2" x14ac:dyDescent="0.25">
      <c r="A655" s="2"/>
      <c r="B655" s="2"/>
      <c r="C655" s="2"/>
    </row>
    <row r="656" spans="1:3" ht="13.2" x14ac:dyDescent="0.25">
      <c r="A656" s="2"/>
      <c r="B656" s="2"/>
      <c r="C656" s="2"/>
    </row>
    <row r="657" spans="1:3" ht="13.2" x14ac:dyDescent="0.25">
      <c r="A657" s="2"/>
      <c r="B657" s="2"/>
      <c r="C657" s="2"/>
    </row>
    <row r="658" spans="1:3" ht="13.2" x14ac:dyDescent="0.25">
      <c r="A658" s="2"/>
      <c r="B658" s="2"/>
      <c r="C658" s="2"/>
    </row>
    <row r="659" spans="1:3" ht="13.2" x14ac:dyDescent="0.25">
      <c r="A659" s="2"/>
      <c r="B659" s="2"/>
      <c r="C659" s="2"/>
    </row>
    <row r="660" spans="1:3" ht="13.2" x14ac:dyDescent="0.25">
      <c r="A660" s="2"/>
      <c r="B660" s="2"/>
      <c r="C660" s="2"/>
    </row>
    <row r="661" spans="1:3" ht="13.2" x14ac:dyDescent="0.25">
      <c r="A661" s="2"/>
      <c r="B661" s="2"/>
      <c r="C661" s="2"/>
    </row>
    <row r="662" spans="1:3" ht="13.2" x14ac:dyDescent="0.25">
      <c r="A662" s="2"/>
      <c r="B662" s="2"/>
      <c r="C662" s="2"/>
    </row>
    <row r="663" spans="1:3" ht="13.2" x14ac:dyDescent="0.25">
      <c r="A663" s="2"/>
      <c r="B663" s="2"/>
      <c r="C663" s="2"/>
    </row>
    <row r="664" spans="1:3" ht="13.2" x14ac:dyDescent="0.25">
      <c r="A664" s="2"/>
      <c r="B664" s="2"/>
      <c r="C664" s="2"/>
    </row>
    <row r="665" spans="1:3" ht="13.2" x14ac:dyDescent="0.25">
      <c r="A665" s="2"/>
      <c r="B665" s="2"/>
      <c r="C665" s="2"/>
    </row>
    <row r="666" spans="1:3" ht="13.2" x14ac:dyDescent="0.25">
      <c r="A666" s="2"/>
      <c r="B666" s="2"/>
      <c r="C666" s="2"/>
    </row>
    <row r="667" spans="1:3" ht="13.2" x14ac:dyDescent="0.25">
      <c r="A667" s="2"/>
      <c r="B667" s="2"/>
      <c r="C667" s="2"/>
    </row>
    <row r="668" spans="1:3" ht="13.2" x14ac:dyDescent="0.25">
      <c r="A668" s="2"/>
      <c r="B668" s="2"/>
      <c r="C668" s="2"/>
    </row>
    <row r="669" spans="1:3" ht="13.2" x14ac:dyDescent="0.25">
      <c r="A669" s="2"/>
      <c r="B669" s="2"/>
      <c r="C669" s="2"/>
    </row>
    <row r="670" spans="1:3" ht="13.2" x14ac:dyDescent="0.25">
      <c r="A670" s="2"/>
      <c r="B670" s="2"/>
      <c r="C670" s="2"/>
    </row>
    <row r="671" spans="1:3" ht="13.2" x14ac:dyDescent="0.25">
      <c r="A671" s="2"/>
      <c r="B671" s="2"/>
      <c r="C671" s="2"/>
    </row>
    <row r="672" spans="1:3" ht="13.2" x14ac:dyDescent="0.25">
      <c r="A672" s="2"/>
      <c r="B672" s="2"/>
      <c r="C672" s="2"/>
    </row>
    <row r="673" spans="1:3" ht="13.2" x14ac:dyDescent="0.25">
      <c r="A673" s="2"/>
      <c r="B673" s="2"/>
      <c r="C673" s="2"/>
    </row>
    <row r="674" spans="1:3" ht="13.2" x14ac:dyDescent="0.25">
      <c r="A674" s="2"/>
      <c r="B674" s="2"/>
      <c r="C674" s="2"/>
    </row>
    <row r="675" spans="1:3" ht="13.2" x14ac:dyDescent="0.25">
      <c r="A675" s="2"/>
      <c r="B675" s="2"/>
      <c r="C675" s="2"/>
    </row>
    <row r="676" spans="1:3" ht="13.2" x14ac:dyDescent="0.25">
      <c r="A676" s="2"/>
      <c r="B676" s="2"/>
      <c r="C676" s="2"/>
    </row>
    <row r="677" spans="1:3" ht="13.2" x14ac:dyDescent="0.25">
      <c r="A677" s="2"/>
      <c r="B677" s="2"/>
      <c r="C677" s="2"/>
    </row>
    <row r="678" spans="1:3" ht="13.2" x14ac:dyDescent="0.25">
      <c r="A678" s="2"/>
      <c r="B678" s="2"/>
      <c r="C678" s="2"/>
    </row>
    <row r="679" spans="1:3" ht="13.2" x14ac:dyDescent="0.25">
      <c r="A679" s="2"/>
      <c r="B679" s="2"/>
      <c r="C679" s="2"/>
    </row>
    <row r="680" spans="1:3" ht="13.2" x14ac:dyDescent="0.25">
      <c r="A680" s="2"/>
      <c r="B680" s="2"/>
      <c r="C680" s="2"/>
    </row>
    <row r="681" spans="1:3" ht="13.2" x14ac:dyDescent="0.25">
      <c r="A681" s="2"/>
      <c r="B681" s="2"/>
      <c r="C681" s="2"/>
    </row>
    <row r="682" spans="1:3" ht="13.2" x14ac:dyDescent="0.25">
      <c r="A682" s="2"/>
      <c r="B682" s="2"/>
      <c r="C682" s="2"/>
    </row>
    <row r="683" spans="1:3" ht="13.2" x14ac:dyDescent="0.25">
      <c r="A683" s="2"/>
      <c r="B683" s="2"/>
      <c r="C683" s="2"/>
    </row>
    <row r="684" spans="1:3" ht="13.2" x14ac:dyDescent="0.25">
      <c r="A684" s="2"/>
      <c r="B684" s="2"/>
      <c r="C684" s="2"/>
    </row>
    <row r="685" spans="1:3" ht="13.2" x14ac:dyDescent="0.25">
      <c r="A685" s="2"/>
      <c r="B685" s="2"/>
      <c r="C685" s="2"/>
    </row>
    <row r="686" spans="1:3" ht="13.2" x14ac:dyDescent="0.25">
      <c r="A686" s="2"/>
      <c r="B686" s="2"/>
      <c r="C686" s="2"/>
    </row>
    <row r="687" spans="1:3" ht="13.2" x14ac:dyDescent="0.25">
      <c r="A687" s="2"/>
      <c r="B687" s="2"/>
      <c r="C687" s="2"/>
    </row>
    <row r="688" spans="1:3" ht="13.2" x14ac:dyDescent="0.25">
      <c r="A688" s="2"/>
      <c r="B688" s="2"/>
      <c r="C688" s="2"/>
    </row>
    <row r="689" spans="1:3" ht="13.2" x14ac:dyDescent="0.25">
      <c r="A689" s="2"/>
      <c r="B689" s="2"/>
      <c r="C689" s="2"/>
    </row>
    <row r="690" spans="1:3" ht="13.2" x14ac:dyDescent="0.25">
      <c r="A690" s="2"/>
      <c r="B690" s="2"/>
      <c r="C690" s="2"/>
    </row>
    <row r="691" spans="1:3" ht="13.2" x14ac:dyDescent="0.25">
      <c r="A691" s="2"/>
      <c r="B691" s="2"/>
      <c r="C691" s="2"/>
    </row>
    <row r="692" spans="1:3" ht="13.2" x14ac:dyDescent="0.25">
      <c r="A692" s="2"/>
      <c r="B692" s="2"/>
      <c r="C692" s="2"/>
    </row>
    <row r="693" spans="1:3" ht="13.2" x14ac:dyDescent="0.25">
      <c r="A693" s="2"/>
      <c r="B693" s="2"/>
      <c r="C693" s="2"/>
    </row>
    <row r="694" spans="1:3" ht="13.2" x14ac:dyDescent="0.25">
      <c r="A694" s="2"/>
      <c r="B694" s="2"/>
      <c r="C694" s="2"/>
    </row>
    <row r="695" spans="1:3" ht="13.2" x14ac:dyDescent="0.25">
      <c r="A695" s="2"/>
      <c r="B695" s="2"/>
      <c r="C695" s="2"/>
    </row>
    <row r="696" spans="1:3" ht="13.2" x14ac:dyDescent="0.25">
      <c r="A696" s="2"/>
      <c r="B696" s="2"/>
      <c r="C696" s="2"/>
    </row>
    <row r="697" spans="1:3" ht="13.2" x14ac:dyDescent="0.25">
      <c r="A697" s="2"/>
      <c r="B697" s="2"/>
      <c r="C697" s="2"/>
    </row>
    <row r="698" spans="1:3" ht="13.2" x14ac:dyDescent="0.25">
      <c r="A698" s="2"/>
      <c r="B698" s="2"/>
      <c r="C698" s="2"/>
    </row>
    <row r="699" spans="1:3" ht="13.2" x14ac:dyDescent="0.25">
      <c r="A699" s="2"/>
      <c r="B699" s="2"/>
      <c r="C699" s="2"/>
    </row>
    <row r="700" spans="1:3" ht="13.2" x14ac:dyDescent="0.25">
      <c r="A700" s="2"/>
      <c r="B700" s="2"/>
      <c r="C700" s="2"/>
    </row>
    <row r="701" spans="1:3" ht="13.2" x14ac:dyDescent="0.25">
      <c r="A701" s="2"/>
      <c r="B701" s="2"/>
      <c r="C701" s="2"/>
    </row>
    <row r="702" spans="1:3" ht="13.2" x14ac:dyDescent="0.25">
      <c r="A702" s="2"/>
      <c r="B702" s="2"/>
      <c r="C702" s="2"/>
    </row>
    <row r="703" spans="1:3" ht="13.2" x14ac:dyDescent="0.25">
      <c r="A703" s="2"/>
      <c r="B703" s="2"/>
      <c r="C703" s="2"/>
    </row>
    <row r="704" spans="1:3" ht="13.2" x14ac:dyDescent="0.25">
      <c r="A704" s="2"/>
      <c r="B704" s="2"/>
      <c r="C704" s="2"/>
    </row>
    <row r="705" spans="1:3" ht="13.2" x14ac:dyDescent="0.25">
      <c r="A705" s="2"/>
      <c r="B705" s="2"/>
      <c r="C705" s="2"/>
    </row>
    <row r="706" spans="1:3" ht="13.2" x14ac:dyDescent="0.25">
      <c r="A706" s="2"/>
      <c r="B706" s="2"/>
      <c r="C706" s="2"/>
    </row>
    <row r="707" spans="1:3" ht="13.2" x14ac:dyDescent="0.25">
      <c r="A707" s="2"/>
      <c r="B707" s="2"/>
      <c r="C707" s="2"/>
    </row>
    <row r="708" spans="1:3" ht="13.2" x14ac:dyDescent="0.25">
      <c r="A708" s="2"/>
      <c r="B708" s="2"/>
      <c r="C708" s="2"/>
    </row>
    <row r="709" spans="1:3" ht="13.2" x14ac:dyDescent="0.25">
      <c r="A709" s="2"/>
      <c r="B709" s="2"/>
      <c r="C709" s="2"/>
    </row>
    <row r="710" spans="1:3" ht="13.2" x14ac:dyDescent="0.25">
      <c r="A710" s="2"/>
      <c r="B710" s="2"/>
      <c r="C710" s="2"/>
    </row>
    <row r="711" spans="1:3" ht="13.2" x14ac:dyDescent="0.25">
      <c r="A711" s="2"/>
      <c r="B711" s="2"/>
      <c r="C711" s="2"/>
    </row>
    <row r="712" spans="1:3" ht="13.2" x14ac:dyDescent="0.25">
      <c r="A712" s="2"/>
      <c r="B712" s="2"/>
      <c r="C712" s="2"/>
    </row>
    <row r="713" spans="1:3" ht="13.2" x14ac:dyDescent="0.25">
      <c r="A713" s="2"/>
      <c r="B713" s="2"/>
      <c r="C713" s="2"/>
    </row>
    <row r="714" spans="1:3" ht="13.2" x14ac:dyDescent="0.25">
      <c r="A714" s="2"/>
      <c r="B714" s="2"/>
      <c r="C714" s="2"/>
    </row>
    <row r="715" spans="1:3" ht="13.2" x14ac:dyDescent="0.25">
      <c r="A715" s="2"/>
      <c r="B715" s="2"/>
      <c r="C715" s="2"/>
    </row>
    <row r="716" spans="1:3" ht="13.2" x14ac:dyDescent="0.25">
      <c r="A716" s="2"/>
      <c r="B716" s="2"/>
      <c r="C716" s="2"/>
    </row>
    <row r="717" spans="1:3" ht="13.2" x14ac:dyDescent="0.25">
      <c r="A717" s="2"/>
      <c r="B717" s="2"/>
      <c r="C717" s="2"/>
    </row>
    <row r="718" spans="1:3" ht="13.2" x14ac:dyDescent="0.25">
      <c r="A718" s="2"/>
      <c r="B718" s="2"/>
      <c r="C718" s="2"/>
    </row>
    <row r="719" spans="1:3" ht="13.2" x14ac:dyDescent="0.25">
      <c r="A719" s="2"/>
      <c r="B719" s="2"/>
      <c r="C719" s="2"/>
    </row>
    <row r="720" spans="1:3" ht="13.2" x14ac:dyDescent="0.25">
      <c r="A720" s="2"/>
      <c r="B720" s="2"/>
      <c r="C720" s="2"/>
    </row>
    <row r="721" spans="1:3" ht="13.2" x14ac:dyDescent="0.25">
      <c r="A721" s="2"/>
      <c r="B721" s="2"/>
      <c r="C721" s="2"/>
    </row>
    <row r="722" spans="1:3" ht="13.2" x14ac:dyDescent="0.25">
      <c r="A722" s="2"/>
      <c r="B722" s="2"/>
      <c r="C722" s="2"/>
    </row>
    <row r="723" spans="1:3" ht="13.2" x14ac:dyDescent="0.25">
      <c r="A723" s="2"/>
      <c r="B723" s="2"/>
      <c r="C723" s="2"/>
    </row>
    <row r="724" spans="1:3" ht="13.2" x14ac:dyDescent="0.25">
      <c r="A724" s="2"/>
      <c r="B724" s="2"/>
      <c r="C724" s="2"/>
    </row>
    <row r="725" spans="1:3" ht="13.2" x14ac:dyDescent="0.25">
      <c r="A725" s="2"/>
      <c r="B725" s="2"/>
      <c r="C725" s="2"/>
    </row>
    <row r="726" spans="1:3" ht="13.2" x14ac:dyDescent="0.25">
      <c r="A726" s="2"/>
      <c r="B726" s="2"/>
      <c r="C726" s="2"/>
    </row>
    <row r="727" spans="1:3" ht="13.2" x14ac:dyDescent="0.25">
      <c r="A727" s="2"/>
      <c r="B727" s="2"/>
      <c r="C727" s="2"/>
    </row>
    <row r="728" spans="1:3" ht="13.2" x14ac:dyDescent="0.25">
      <c r="A728" s="2"/>
      <c r="B728" s="2"/>
      <c r="C728" s="2"/>
    </row>
    <row r="729" spans="1:3" ht="13.2" x14ac:dyDescent="0.25">
      <c r="A729" s="2"/>
      <c r="B729" s="2"/>
      <c r="C729" s="2"/>
    </row>
    <row r="730" spans="1:3" ht="13.2" x14ac:dyDescent="0.25">
      <c r="A730" s="2"/>
      <c r="B730" s="2"/>
      <c r="C730" s="2"/>
    </row>
    <row r="731" spans="1:3" ht="13.2" x14ac:dyDescent="0.25">
      <c r="A731" s="2"/>
      <c r="B731" s="2"/>
      <c r="C731" s="2"/>
    </row>
    <row r="732" spans="1:3" ht="13.2" x14ac:dyDescent="0.25">
      <c r="A732" s="2"/>
      <c r="B732" s="2"/>
      <c r="C732" s="2"/>
    </row>
    <row r="733" spans="1:3" ht="13.2" x14ac:dyDescent="0.25">
      <c r="A733" s="2"/>
      <c r="B733" s="2"/>
      <c r="C733" s="2"/>
    </row>
    <row r="734" spans="1:3" ht="13.2" x14ac:dyDescent="0.25">
      <c r="A734" s="2"/>
      <c r="B734" s="2"/>
      <c r="C734" s="2"/>
    </row>
    <row r="735" spans="1:3" ht="13.2" x14ac:dyDescent="0.25">
      <c r="A735" s="2"/>
      <c r="B735" s="2"/>
      <c r="C735" s="2"/>
    </row>
    <row r="736" spans="1:3" ht="13.2" x14ac:dyDescent="0.25">
      <c r="A736" s="2"/>
      <c r="B736" s="2"/>
      <c r="C736" s="2"/>
    </row>
    <row r="737" spans="1:3" ht="13.2" x14ac:dyDescent="0.25">
      <c r="A737" s="2"/>
      <c r="B737" s="2"/>
      <c r="C737" s="2"/>
    </row>
    <row r="738" spans="1:3" ht="13.2" x14ac:dyDescent="0.25">
      <c r="A738" s="2"/>
      <c r="B738" s="2"/>
      <c r="C738" s="2"/>
    </row>
    <row r="739" spans="1:3" ht="13.2" x14ac:dyDescent="0.25">
      <c r="A739" s="2"/>
      <c r="B739" s="2"/>
      <c r="C739" s="2"/>
    </row>
    <row r="740" spans="1:3" ht="13.2" x14ac:dyDescent="0.25">
      <c r="A740" s="2"/>
      <c r="B740" s="2"/>
      <c r="C740" s="2"/>
    </row>
    <row r="741" spans="1:3" ht="13.2" x14ac:dyDescent="0.25">
      <c r="A741" s="2"/>
      <c r="B741" s="2"/>
      <c r="C741" s="2"/>
    </row>
    <row r="742" spans="1:3" ht="13.2" x14ac:dyDescent="0.25">
      <c r="A742" s="2"/>
      <c r="B742" s="2"/>
      <c r="C742" s="2"/>
    </row>
    <row r="743" spans="1:3" ht="13.2" x14ac:dyDescent="0.25">
      <c r="A743" s="2"/>
      <c r="B743" s="2"/>
      <c r="C743" s="2"/>
    </row>
    <row r="744" spans="1:3" ht="13.2" x14ac:dyDescent="0.25">
      <c r="A744" s="2"/>
      <c r="B744" s="2"/>
      <c r="C744" s="2"/>
    </row>
    <row r="745" spans="1:3" ht="13.2" x14ac:dyDescent="0.25">
      <c r="A745" s="2"/>
      <c r="B745" s="2"/>
      <c r="C745" s="2"/>
    </row>
    <row r="746" spans="1:3" ht="13.2" x14ac:dyDescent="0.25">
      <c r="A746" s="2"/>
      <c r="B746" s="2"/>
      <c r="C746" s="2"/>
    </row>
    <row r="747" spans="1:3" ht="13.2" x14ac:dyDescent="0.25">
      <c r="A747" s="2"/>
      <c r="B747" s="2"/>
      <c r="C747" s="2"/>
    </row>
    <row r="748" spans="1:3" ht="13.2" x14ac:dyDescent="0.25">
      <c r="A748" s="2"/>
      <c r="B748" s="2"/>
      <c r="C748" s="2"/>
    </row>
    <row r="749" spans="1:3" ht="13.2" x14ac:dyDescent="0.25">
      <c r="A749" s="2"/>
      <c r="B749" s="2"/>
      <c r="C749" s="2"/>
    </row>
    <row r="750" spans="1:3" ht="13.2" x14ac:dyDescent="0.25">
      <c r="A750" s="2"/>
      <c r="B750" s="2"/>
      <c r="C750" s="2"/>
    </row>
    <row r="751" spans="1:3" ht="13.2" x14ac:dyDescent="0.25">
      <c r="A751" s="2"/>
      <c r="B751" s="2"/>
      <c r="C751" s="2"/>
    </row>
    <row r="752" spans="1:3" ht="13.2" x14ac:dyDescent="0.25">
      <c r="A752" s="2"/>
      <c r="B752" s="2"/>
      <c r="C752" s="2"/>
    </row>
    <row r="753" spans="1:3" ht="13.2" x14ac:dyDescent="0.25">
      <c r="A753" s="2"/>
      <c r="B753" s="2"/>
      <c r="C753" s="2"/>
    </row>
    <row r="754" spans="1:3" ht="13.2" x14ac:dyDescent="0.25">
      <c r="A754" s="2"/>
      <c r="B754" s="2"/>
      <c r="C754" s="2"/>
    </row>
    <row r="755" spans="1:3" ht="13.2" x14ac:dyDescent="0.25">
      <c r="A755" s="2"/>
      <c r="B755" s="2"/>
      <c r="C755" s="2"/>
    </row>
    <row r="756" spans="1:3" ht="13.2" x14ac:dyDescent="0.25">
      <c r="A756" s="2"/>
      <c r="B756" s="2"/>
      <c r="C756" s="2"/>
    </row>
    <row r="757" spans="1:3" ht="13.2" x14ac:dyDescent="0.25">
      <c r="A757" s="2"/>
      <c r="B757" s="2"/>
      <c r="C757" s="2"/>
    </row>
    <row r="758" spans="1:3" ht="13.2" x14ac:dyDescent="0.25">
      <c r="A758" s="2"/>
      <c r="B758" s="2"/>
      <c r="C758" s="2"/>
    </row>
    <row r="759" spans="1:3" ht="13.2" x14ac:dyDescent="0.25">
      <c r="A759" s="2"/>
      <c r="B759" s="2"/>
      <c r="C759" s="2"/>
    </row>
    <row r="760" spans="1:3" ht="13.2" x14ac:dyDescent="0.25">
      <c r="A760" s="2"/>
      <c r="B760" s="2"/>
      <c r="C760" s="2"/>
    </row>
    <row r="761" spans="1:3" ht="13.2" x14ac:dyDescent="0.25">
      <c r="A761" s="2"/>
      <c r="B761" s="2"/>
      <c r="C761" s="2"/>
    </row>
    <row r="762" spans="1:3" ht="13.2" x14ac:dyDescent="0.25">
      <c r="A762" s="2"/>
      <c r="B762" s="2"/>
      <c r="C762" s="2"/>
    </row>
    <row r="763" spans="1:3" ht="13.2" x14ac:dyDescent="0.25">
      <c r="A763" s="2"/>
      <c r="B763" s="2"/>
      <c r="C763" s="2"/>
    </row>
    <row r="764" spans="1:3" ht="13.2" x14ac:dyDescent="0.25">
      <c r="A764" s="2"/>
      <c r="B764" s="2"/>
      <c r="C764" s="2"/>
    </row>
    <row r="765" spans="1:3" ht="13.2" x14ac:dyDescent="0.25">
      <c r="A765" s="2"/>
      <c r="B765" s="2"/>
      <c r="C765" s="2"/>
    </row>
    <row r="766" spans="1:3" ht="13.2" x14ac:dyDescent="0.25">
      <c r="A766" s="2"/>
      <c r="B766" s="2"/>
      <c r="C766" s="2"/>
    </row>
    <row r="767" spans="1:3" ht="13.2" x14ac:dyDescent="0.25">
      <c r="A767" s="2"/>
      <c r="B767" s="2"/>
      <c r="C767" s="2"/>
    </row>
    <row r="768" spans="1:3" ht="13.2" x14ac:dyDescent="0.25">
      <c r="A768" s="2"/>
      <c r="B768" s="2"/>
      <c r="C768" s="2"/>
    </row>
    <row r="769" spans="1:3" ht="13.2" x14ac:dyDescent="0.25">
      <c r="A769" s="2"/>
      <c r="B769" s="2"/>
      <c r="C769" s="2"/>
    </row>
    <row r="770" spans="1:3" ht="13.2" x14ac:dyDescent="0.25">
      <c r="A770" s="2"/>
      <c r="B770" s="2"/>
      <c r="C770" s="2"/>
    </row>
    <row r="771" spans="1:3" ht="13.2" x14ac:dyDescent="0.25">
      <c r="A771" s="2"/>
      <c r="B771" s="2"/>
      <c r="C771" s="2"/>
    </row>
    <row r="772" spans="1:3" ht="13.2" x14ac:dyDescent="0.25">
      <c r="A772" s="2"/>
      <c r="B772" s="2"/>
      <c r="C772" s="2"/>
    </row>
    <row r="773" spans="1:3" ht="13.2" x14ac:dyDescent="0.25">
      <c r="A773" s="2"/>
      <c r="B773" s="2"/>
      <c r="C773" s="2"/>
    </row>
    <row r="774" spans="1:3" ht="13.2" x14ac:dyDescent="0.25">
      <c r="A774" s="2"/>
      <c r="B774" s="2"/>
      <c r="C774" s="2"/>
    </row>
    <row r="775" spans="1:3" ht="13.2" x14ac:dyDescent="0.25">
      <c r="A775" s="2"/>
      <c r="B775" s="2"/>
      <c r="C775" s="2"/>
    </row>
    <row r="776" spans="1:3" ht="13.2" x14ac:dyDescent="0.25">
      <c r="A776" s="2"/>
      <c r="B776" s="2"/>
      <c r="C776" s="2"/>
    </row>
    <row r="777" spans="1:3" ht="13.2" x14ac:dyDescent="0.25">
      <c r="A777" s="2"/>
      <c r="B777" s="2"/>
      <c r="C777" s="2"/>
    </row>
    <row r="778" spans="1:3" ht="13.2" x14ac:dyDescent="0.25">
      <c r="A778" s="2"/>
      <c r="B778" s="2"/>
      <c r="C778" s="2"/>
    </row>
    <row r="779" spans="1:3" ht="13.2" x14ac:dyDescent="0.25">
      <c r="A779" s="2"/>
      <c r="B779" s="2"/>
      <c r="C779" s="2"/>
    </row>
    <row r="780" spans="1:3" ht="13.2" x14ac:dyDescent="0.25">
      <c r="A780" s="2"/>
      <c r="B780" s="2"/>
      <c r="C780" s="2"/>
    </row>
    <row r="781" spans="1:3" ht="13.2" x14ac:dyDescent="0.25">
      <c r="A781" s="2"/>
      <c r="B781" s="2"/>
      <c r="C781" s="2"/>
    </row>
    <row r="782" spans="1:3" ht="13.2" x14ac:dyDescent="0.25">
      <c r="A782" s="2"/>
      <c r="B782" s="2"/>
      <c r="C782" s="2"/>
    </row>
    <row r="783" spans="1:3" ht="13.2" x14ac:dyDescent="0.25">
      <c r="A783" s="2"/>
      <c r="B783" s="2"/>
      <c r="C783" s="2"/>
    </row>
    <row r="784" spans="1:3" ht="13.2" x14ac:dyDescent="0.25">
      <c r="A784" s="2"/>
      <c r="B784" s="2"/>
      <c r="C784" s="2"/>
    </row>
    <row r="785" spans="1:3" ht="13.2" x14ac:dyDescent="0.25">
      <c r="A785" s="2"/>
      <c r="B785" s="2"/>
      <c r="C785" s="2"/>
    </row>
    <row r="786" spans="1:3" ht="13.2" x14ac:dyDescent="0.25">
      <c r="A786" s="2"/>
      <c r="B786" s="2"/>
      <c r="C786" s="2"/>
    </row>
    <row r="787" spans="1:3" ht="13.2" x14ac:dyDescent="0.25">
      <c r="A787" s="2"/>
      <c r="B787" s="2"/>
      <c r="C787" s="2"/>
    </row>
    <row r="788" spans="1:3" ht="13.2" x14ac:dyDescent="0.25">
      <c r="A788" s="2"/>
      <c r="B788" s="2"/>
      <c r="C788" s="2"/>
    </row>
    <row r="789" spans="1:3" ht="13.2" x14ac:dyDescent="0.25">
      <c r="A789" s="2"/>
      <c r="B789" s="2"/>
      <c r="C789" s="2"/>
    </row>
    <row r="790" spans="1:3" ht="13.2" x14ac:dyDescent="0.25">
      <c r="A790" s="2"/>
      <c r="B790" s="2"/>
      <c r="C790" s="2"/>
    </row>
    <row r="791" spans="1:3" ht="13.2" x14ac:dyDescent="0.25">
      <c r="A791" s="2"/>
      <c r="B791" s="2"/>
      <c r="C791" s="2"/>
    </row>
    <row r="792" spans="1:3" ht="13.2" x14ac:dyDescent="0.25">
      <c r="A792" s="2"/>
      <c r="B792" s="2"/>
      <c r="C792" s="2"/>
    </row>
    <row r="793" spans="1:3" ht="13.2" x14ac:dyDescent="0.25">
      <c r="A793" s="2"/>
      <c r="B793" s="2"/>
      <c r="C793" s="2"/>
    </row>
    <row r="794" spans="1:3" ht="13.2" x14ac:dyDescent="0.25">
      <c r="A794" s="2"/>
      <c r="B794" s="2"/>
      <c r="C794" s="2"/>
    </row>
    <row r="795" spans="1:3" ht="13.2" x14ac:dyDescent="0.25">
      <c r="A795" s="2"/>
      <c r="B795" s="2"/>
      <c r="C795" s="2"/>
    </row>
    <row r="796" spans="1:3" ht="13.2" x14ac:dyDescent="0.25">
      <c r="A796" s="2"/>
      <c r="B796" s="2"/>
      <c r="C796" s="2"/>
    </row>
    <row r="797" spans="1:3" ht="13.2" x14ac:dyDescent="0.25">
      <c r="A797" s="2"/>
      <c r="B797" s="2"/>
      <c r="C797" s="2"/>
    </row>
    <row r="798" spans="1:3" ht="13.2" x14ac:dyDescent="0.25">
      <c r="A798" s="2"/>
      <c r="B798" s="2"/>
      <c r="C798" s="2"/>
    </row>
    <row r="799" spans="1:3" ht="13.2" x14ac:dyDescent="0.25">
      <c r="A799" s="2"/>
      <c r="B799" s="2"/>
      <c r="C799" s="2"/>
    </row>
    <row r="800" spans="1:3" ht="13.2" x14ac:dyDescent="0.25">
      <c r="A800" s="2"/>
      <c r="B800" s="2"/>
      <c r="C800" s="2"/>
    </row>
    <row r="801" spans="1:3" ht="13.2" x14ac:dyDescent="0.25">
      <c r="A801" s="2"/>
      <c r="B801" s="2"/>
      <c r="C801" s="2"/>
    </row>
    <row r="802" spans="1:3" ht="13.2" x14ac:dyDescent="0.25">
      <c r="A802" s="2"/>
      <c r="B802" s="2"/>
      <c r="C802" s="2"/>
    </row>
    <row r="803" spans="1:3" ht="13.2" x14ac:dyDescent="0.25">
      <c r="A803" s="2"/>
      <c r="B803" s="2"/>
      <c r="C803" s="2"/>
    </row>
    <row r="804" spans="1:3" ht="13.2" x14ac:dyDescent="0.25">
      <c r="A804" s="2"/>
      <c r="B804" s="2"/>
      <c r="C804" s="2"/>
    </row>
    <row r="805" spans="1:3" ht="13.2" x14ac:dyDescent="0.25">
      <c r="A805" s="2"/>
      <c r="B805" s="2"/>
      <c r="C805" s="2"/>
    </row>
    <row r="806" spans="1:3" ht="13.2" x14ac:dyDescent="0.25">
      <c r="A806" s="2"/>
      <c r="B806" s="2"/>
      <c r="C806" s="2"/>
    </row>
    <row r="807" spans="1:3" ht="13.2" x14ac:dyDescent="0.25">
      <c r="A807" s="2"/>
      <c r="B807" s="2"/>
      <c r="C807" s="2"/>
    </row>
    <row r="808" spans="1:3" ht="13.2" x14ac:dyDescent="0.25">
      <c r="A808" s="2"/>
      <c r="B808" s="2"/>
      <c r="C808" s="2"/>
    </row>
    <row r="809" spans="1:3" ht="13.2" x14ac:dyDescent="0.25">
      <c r="A809" s="2"/>
      <c r="B809" s="2"/>
      <c r="C809" s="2"/>
    </row>
    <row r="810" spans="1:3" ht="13.2" x14ac:dyDescent="0.25">
      <c r="A810" s="2"/>
      <c r="B810" s="2"/>
      <c r="C810" s="2"/>
    </row>
    <row r="811" spans="1:3" ht="13.2" x14ac:dyDescent="0.25">
      <c r="A811" s="2"/>
      <c r="B811" s="2"/>
      <c r="C811" s="2"/>
    </row>
    <row r="812" spans="1:3" ht="13.2" x14ac:dyDescent="0.25">
      <c r="A812" s="2"/>
      <c r="B812" s="2"/>
      <c r="C812" s="2"/>
    </row>
    <row r="813" spans="1:3" ht="13.2" x14ac:dyDescent="0.25">
      <c r="A813" s="2"/>
      <c r="B813" s="2"/>
      <c r="C813" s="2"/>
    </row>
    <row r="814" spans="1:3" ht="13.2" x14ac:dyDescent="0.25">
      <c r="A814" s="2"/>
      <c r="B814" s="2"/>
      <c r="C814" s="2"/>
    </row>
    <row r="815" spans="1:3" ht="13.2" x14ac:dyDescent="0.25">
      <c r="A815" s="2"/>
      <c r="B815" s="2"/>
      <c r="C815" s="2"/>
    </row>
    <row r="816" spans="1:3" ht="13.2" x14ac:dyDescent="0.25">
      <c r="A816" s="2"/>
      <c r="B816" s="2"/>
      <c r="C816" s="2"/>
    </row>
    <row r="817" spans="1:3" ht="13.2" x14ac:dyDescent="0.25">
      <c r="A817" s="2"/>
      <c r="B817" s="2"/>
      <c r="C817" s="2"/>
    </row>
    <row r="818" spans="1:3" ht="13.2" x14ac:dyDescent="0.25">
      <c r="A818" s="2"/>
      <c r="B818" s="2"/>
      <c r="C818" s="2"/>
    </row>
    <row r="819" spans="1:3" ht="13.2" x14ac:dyDescent="0.25">
      <c r="A819" s="2"/>
      <c r="B819" s="2"/>
      <c r="C819" s="2"/>
    </row>
    <row r="820" spans="1:3" ht="13.2" x14ac:dyDescent="0.25">
      <c r="A820" s="2"/>
      <c r="B820" s="2"/>
      <c r="C820" s="2"/>
    </row>
    <row r="821" spans="1:3" ht="13.2" x14ac:dyDescent="0.25">
      <c r="A821" s="2"/>
      <c r="B821" s="2"/>
      <c r="C821" s="2"/>
    </row>
    <row r="822" spans="1:3" ht="13.2" x14ac:dyDescent="0.25">
      <c r="A822" s="2"/>
      <c r="B822" s="2"/>
      <c r="C822" s="2"/>
    </row>
    <row r="823" spans="1:3" ht="13.2" x14ac:dyDescent="0.25">
      <c r="A823" s="2"/>
      <c r="B823" s="2"/>
      <c r="C823" s="2"/>
    </row>
    <row r="824" spans="1:3" ht="13.2" x14ac:dyDescent="0.25">
      <c r="A824" s="2"/>
      <c r="B824" s="2"/>
      <c r="C824" s="2"/>
    </row>
    <row r="825" spans="1:3" ht="13.2" x14ac:dyDescent="0.25">
      <c r="A825" s="2"/>
      <c r="B825" s="2"/>
      <c r="C825" s="2"/>
    </row>
    <row r="826" spans="1:3" ht="13.2" x14ac:dyDescent="0.25">
      <c r="A826" s="2"/>
      <c r="B826" s="2"/>
      <c r="C826" s="2"/>
    </row>
    <row r="827" spans="1:3" ht="13.2" x14ac:dyDescent="0.25">
      <c r="A827" s="2"/>
      <c r="B827" s="2"/>
      <c r="C827" s="2"/>
    </row>
    <row r="828" spans="1:3" ht="13.2" x14ac:dyDescent="0.25">
      <c r="A828" s="2"/>
      <c r="B828" s="2"/>
      <c r="C828" s="2"/>
    </row>
    <row r="829" spans="1:3" ht="13.2" x14ac:dyDescent="0.25">
      <c r="A829" s="2"/>
      <c r="B829" s="2"/>
      <c r="C829" s="2"/>
    </row>
    <row r="830" spans="1:3" ht="13.2" x14ac:dyDescent="0.25">
      <c r="A830" s="2"/>
      <c r="B830" s="2"/>
      <c r="C830" s="2"/>
    </row>
    <row r="831" spans="1:3" ht="13.2" x14ac:dyDescent="0.25">
      <c r="A831" s="2"/>
      <c r="B831" s="2"/>
      <c r="C831" s="2"/>
    </row>
    <row r="832" spans="1:3" ht="13.2" x14ac:dyDescent="0.25">
      <c r="A832" s="2"/>
      <c r="B832" s="2"/>
      <c r="C832" s="2"/>
    </row>
    <row r="833" spans="1:3" ht="13.2" x14ac:dyDescent="0.25">
      <c r="A833" s="2"/>
      <c r="B833" s="2"/>
      <c r="C833" s="2"/>
    </row>
    <row r="834" spans="1:3" ht="13.2" x14ac:dyDescent="0.25">
      <c r="A834" s="2"/>
      <c r="B834" s="2"/>
      <c r="C834" s="2"/>
    </row>
    <row r="835" spans="1:3" ht="13.2" x14ac:dyDescent="0.25">
      <c r="A835" s="2"/>
      <c r="B835" s="2"/>
      <c r="C835" s="2"/>
    </row>
    <row r="836" spans="1:3" ht="13.2" x14ac:dyDescent="0.25">
      <c r="A836" s="2"/>
      <c r="B836" s="2"/>
      <c r="C836" s="2"/>
    </row>
    <row r="837" spans="1:3" ht="13.2" x14ac:dyDescent="0.25">
      <c r="A837" s="2"/>
      <c r="B837" s="2"/>
      <c r="C837" s="2"/>
    </row>
    <row r="838" spans="1:3" ht="13.2" x14ac:dyDescent="0.25">
      <c r="A838" s="2"/>
      <c r="B838" s="2"/>
      <c r="C838" s="2"/>
    </row>
    <row r="839" spans="1:3" ht="13.2" x14ac:dyDescent="0.25">
      <c r="A839" s="2"/>
      <c r="B839" s="2"/>
      <c r="C839" s="2"/>
    </row>
    <row r="840" spans="1:3" ht="13.2" x14ac:dyDescent="0.25">
      <c r="A840" s="2"/>
      <c r="B840" s="2"/>
      <c r="C840" s="2"/>
    </row>
    <row r="841" spans="1:3" ht="13.2" x14ac:dyDescent="0.25">
      <c r="A841" s="2"/>
      <c r="B841" s="2"/>
      <c r="C841" s="2"/>
    </row>
    <row r="842" spans="1:3" ht="13.2" x14ac:dyDescent="0.25">
      <c r="A842" s="2"/>
      <c r="B842" s="2"/>
      <c r="C842" s="2"/>
    </row>
    <row r="843" spans="1:3" ht="13.2" x14ac:dyDescent="0.25">
      <c r="A843" s="2"/>
      <c r="B843" s="2"/>
      <c r="C843" s="2"/>
    </row>
    <row r="844" spans="1:3" ht="13.2" x14ac:dyDescent="0.25">
      <c r="A844" s="2"/>
      <c r="B844" s="2"/>
      <c r="C844" s="2"/>
    </row>
    <row r="845" spans="1:3" ht="13.2" x14ac:dyDescent="0.25">
      <c r="A845" s="2"/>
      <c r="B845" s="2"/>
      <c r="C845" s="2"/>
    </row>
    <row r="846" spans="1:3" ht="13.2" x14ac:dyDescent="0.25">
      <c r="A846" s="2"/>
      <c r="B846" s="2"/>
      <c r="C846" s="2"/>
    </row>
    <row r="847" spans="1:3" ht="13.2" x14ac:dyDescent="0.25">
      <c r="A847" s="2"/>
      <c r="B847" s="2"/>
      <c r="C847" s="2"/>
    </row>
    <row r="848" spans="1:3" ht="13.2" x14ac:dyDescent="0.25">
      <c r="A848" s="2"/>
      <c r="B848" s="2"/>
      <c r="C848" s="2"/>
    </row>
    <row r="849" spans="1:3" ht="13.2" x14ac:dyDescent="0.25">
      <c r="A849" s="2"/>
      <c r="B849" s="2"/>
      <c r="C849" s="2"/>
    </row>
    <row r="850" spans="1:3" ht="13.2" x14ac:dyDescent="0.25">
      <c r="A850" s="2"/>
      <c r="B850" s="2"/>
      <c r="C850" s="2"/>
    </row>
    <row r="851" spans="1:3" ht="13.2" x14ac:dyDescent="0.25">
      <c r="A851" s="2"/>
      <c r="B851" s="2"/>
      <c r="C851" s="2"/>
    </row>
    <row r="852" spans="1:3" ht="13.2" x14ac:dyDescent="0.25">
      <c r="A852" s="2"/>
      <c r="B852" s="2"/>
      <c r="C852" s="2"/>
    </row>
    <row r="853" spans="1:3" ht="13.2" x14ac:dyDescent="0.25">
      <c r="A853" s="2"/>
      <c r="B853" s="2"/>
      <c r="C853" s="2"/>
    </row>
    <row r="854" spans="1:3" ht="13.2" x14ac:dyDescent="0.25">
      <c r="A854" s="2"/>
      <c r="B854" s="2"/>
      <c r="C854" s="2"/>
    </row>
    <row r="855" spans="1:3" ht="13.2" x14ac:dyDescent="0.25">
      <c r="A855" s="2"/>
      <c r="B855" s="2"/>
      <c r="C855" s="2"/>
    </row>
    <row r="856" spans="1:3" ht="13.2" x14ac:dyDescent="0.25">
      <c r="A856" s="2"/>
      <c r="B856" s="2"/>
      <c r="C856" s="2"/>
    </row>
    <row r="857" spans="1:3" ht="13.2" x14ac:dyDescent="0.25">
      <c r="A857" s="2"/>
      <c r="B857" s="2"/>
      <c r="C857" s="2"/>
    </row>
    <row r="858" spans="1:3" ht="13.2" x14ac:dyDescent="0.25">
      <c r="A858" s="2"/>
      <c r="B858" s="2"/>
      <c r="C858" s="2"/>
    </row>
    <row r="859" spans="1:3" ht="13.2" x14ac:dyDescent="0.25">
      <c r="A859" s="2"/>
      <c r="B859" s="2"/>
      <c r="C859" s="2"/>
    </row>
    <row r="860" spans="1:3" ht="13.2" x14ac:dyDescent="0.25">
      <c r="A860" s="2"/>
      <c r="B860" s="2"/>
      <c r="C860" s="2"/>
    </row>
    <row r="861" spans="1:3" ht="13.2" x14ac:dyDescent="0.25">
      <c r="A861" s="2"/>
      <c r="B861" s="2"/>
      <c r="C861" s="2"/>
    </row>
    <row r="862" spans="1:3" ht="13.2" x14ac:dyDescent="0.25">
      <c r="A862" s="2"/>
      <c r="B862" s="2"/>
      <c r="C862" s="2"/>
    </row>
    <row r="863" spans="1:3" ht="13.2" x14ac:dyDescent="0.25">
      <c r="A863" s="2"/>
      <c r="B863" s="2"/>
      <c r="C863" s="2"/>
    </row>
    <row r="864" spans="1:3" ht="13.2" x14ac:dyDescent="0.25">
      <c r="A864" s="2"/>
      <c r="B864" s="2"/>
      <c r="C864" s="2"/>
    </row>
    <row r="865" spans="1:3" ht="13.2" x14ac:dyDescent="0.25">
      <c r="A865" s="2"/>
      <c r="B865" s="2"/>
      <c r="C865" s="2"/>
    </row>
    <row r="866" spans="1:3" ht="13.2" x14ac:dyDescent="0.25">
      <c r="A866" s="2"/>
      <c r="B866" s="2"/>
      <c r="C866" s="2"/>
    </row>
    <row r="867" spans="1:3" ht="13.2" x14ac:dyDescent="0.25">
      <c r="A867" s="2"/>
      <c r="B867" s="2"/>
      <c r="C867" s="2"/>
    </row>
    <row r="868" spans="1:3" ht="13.2" x14ac:dyDescent="0.25">
      <c r="A868" s="2"/>
      <c r="B868" s="2"/>
      <c r="C868" s="2"/>
    </row>
    <row r="869" spans="1:3" ht="13.2" x14ac:dyDescent="0.25">
      <c r="A869" s="2"/>
      <c r="B869" s="2"/>
      <c r="C869" s="2"/>
    </row>
    <row r="870" spans="1:3" ht="13.2" x14ac:dyDescent="0.25">
      <c r="A870" s="2"/>
      <c r="B870" s="2"/>
      <c r="C870" s="2"/>
    </row>
    <row r="871" spans="1:3" ht="13.2" x14ac:dyDescent="0.25">
      <c r="A871" s="2"/>
      <c r="B871" s="2"/>
      <c r="C871" s="2"/>
    </row>
    <row r="872" spans="1:3" ht="13.2" x14ac:dyDescent="0.25">
      <c r="A872" s="2"/>
      <c r="B872" s="2"/>
      <c r="C872" s="2"/>
    </row>
    <row r="873" spans="1:3" ht="13.2" x14ac:dyDescent="0.25">
      <c r="A873" s="2"/>
      <c r="B873" s="2"/>
      <c r="C873" s="2"/>
    </row>
    <row r="874" spans="1:3" ht="13.2" x14ac:dyDescent="0.25">
      <c r="A874" s="2"/>
      <c r="B874" s="2"/>
      <c r="C874" s="2"/>
    </row>
    <row r="875" spans="1:3" ht="13.2" x14ac:dyDescent="0.25">
      <c r="A875" s="2"/>
      <c r="B875" s="2"/>
      <c r="C875" s="2"/>
    </row>
    <row r="876" spans="1:3" ht="13.2" x14ac:dyDescent="0.25">
      <c r="A876" s="2"/>
      <c r="B876" s="2"/>
      <c r="C876" s="2"/>
    </row>
    <row r="877" spans="1:3" ht="13.2" x14ac:dyDescent="0.25">
      <c r="A877" s="2"/>
      <c r="B877" s="2"/>
      <c r="C877" s="2"/>
    </row>
    <row r="878" spans="1:3" ht="13.2" x14ac:dyDescent="0.25">
      <c r="A878" s="2"/>
      <c r="B878" s="2"/>
      <c r="C878" s="2"/>
    </row>
    <row r="879" spans="1:3" ht="13.2" x14ac:dyDescent="0.25">
      <c r="A879" s="2"/>
      <c r="B879" s="2"/>
      <c r="C879" s="2"/>
    </row>
    <row r="880" spans="1:3" ht="13.2" x14ac:dyDescent="0.25">
      <c r="A880" s="2"/>
      <c r="B880" s="2"/>
      <c r="C880" s="2"/>
    </row>
    <row r="881" spans="1:3" ht="13.2" x14ac:dyDescent="0.25">
      <c r="A881" s="2"/>
      <c r="B881" s="2"/>
      <c r="C881" s="2"/>
    </row>
    <row r="882" spans="1:3" ht="13.2" x14ac:dyDescent="0.25">
      <c r="A882" s="2"/>
      <c r="B882" s="2"/>
      <c r="C882" s="2"/>
    </row>
    <row r="883" spans="1:3" ht="13.2" x14ac:dyDescent="0.25">
      <c r="A883" s="2"/>
      <c r="B883" s="2"/>
      <c r="C883" s="2"/>
    </row>
    <row r="884" spans="1:3" ht="13.2" x14ac:dyDescent="0.25">
      <c r="A884" s="2"/>
      <c r="B884" s="2"/>
      <c r="C884" s="2"/>
    </row>
    <row r="885" spans="1:3" ht="13.2" x14ac:dyDescent="0.25">
      <c r="A885" s="2"/>
      <c r="B885" s="2"/>
      <c r="C885" s="2"/>
    </row>
    <row r="886" spans="1:3" ht="13.2" x14ac:dyDescent="0.25">
      <c r="A886" s="2"/>
      <c r="B886" s="2"/>
      <c r="C886" s="2"/>
    </row>
    <row r="887" spans="1:3" ht="13.2" x14ac:dyDescent="0.25">
      <c r="A887" s="2"/>
      <c r="B887" s="2"/>
      <c r="C887" s="2"/>
    </row>
    <row r="888" spans="1:3" ht="13.2" x14ac:dyDescent="0.25">
      <c r="A888" s="2"/>
      <c r="B888" s="2"/>
      <c r="C888" s="2"/>
    </row>
    <row r="889" spans="1:3" ht="13.2" x14ac:dyDescent="0.25">
      <c r="A889" s="2"/>
      <c r="B889" s="2"/>
      <c r="C889" s="2"/>
    </row>
    <row r="890" spans="1:3" ht="13.2" x14ac:dyDescent="0.25">
      <c r="A890" s="2"/>
      <c r="B890" s="2"/>
      <c r="C890" s="2"/>
    </row>
    <row r="891" spans="1:3" ht="13.2" x14ac:dyDescent="0.25">
      <c r="A891" s="2"/>
      <c r="B891" s="2"/>
      <c r="C891" s="2"/>
    </row>
    <row r="892" spans="1:3" ht="13.2" x14ac:dyDescent="0.25">
      <c r="A892" s="2"/>
      <c r="B892" s="2"/>
      <c r="C892" s="2"/>
    </row>
    <row r="893" spans="1:3" ht="13.2" x14ac:dyDescent="0.25">
      <c r="A893" s="2"/>
      <c r="B893" s="2"/>
      <c r="C893" s="2"/>
    </row>
    <row r="894" spans="1:3" ht="13.2" x14ac:dyDescent="0.25">
      <c r="A894" s="2"/>
      <c r="B894" s="2"/>
      <c r="C894" s="2"/>
    </row>
    <row r="895" spans="1:3" ht="13.2" x14ac:dyDescent="0.25">
      <c r="A895" s="2"/>
      <c r="B895" s="2"/>
      <c r="C895" s="2"/>
    </row>
    <row r="896" spans="1:3" ht="13.2" x14ac:dyDescent="0.25">
      <c r="A896" s="2"/>
      <c r="B896" s="2"/>
      <c r="C896" s="2"/>
    </row>
    <row r="897" spans="1:3" ht="13.2" x14ac:dyDescent="0.25">
      <c r="A897" s="2"/>
      <c r="B897" s="2"/>
      <c r="C897" s="2"/>
    </row>
    <row r="898" spans="1:3" ht="13.2" x14ac:dyDescent="0.25">
      <c r="A898" s="2"/>
      <c r="B898" s="2"/>
      <c r="C898" s="2"/>
    </row>
    <row r="899" spans="1:3" ht="13.2" x14ac:dyDescent="0.25">
      <c r="A899" s="2"/>
      <c r="B899" s="2"/>
      <c r="C899" s="2"/>
    </row>
    <row r="900" spans="1:3" ht="13.2" x14ac:dyDescent="0.25">
      <c r="A900" s="2"/>
      <c r="B900" s="2"/>
      <c r="C900" s="2"/>
    </row>
    <row r="901" spans="1:3" ht="13.2" x14ac:dyDescent="0.25">
      <c r="A901" s="2"/>
      <c r="B901" s="2"/>
      <c r="C901" s="2"/>
    </row>
    <row r="902" spans="1:3" ht="13.2" x14ac:dyDescent="0.25">
      <c r="A902" s="2"/>
      <c r="B902" s="2"/>
      <c r="C902" s="2"/>
    </row>
    <row r="903" spans="1:3" ht="13.2" x14ac:dyDescent="0.25">
      <c r="A903" s="2"/>
      <c r="B903" s="2"/>
      <c r="C903" s="2"/>
    </row>
    <row r="904" spans="1:3" ht="13.2" x14ac:dyDescent="0.25">
      <c r="A904" s="2"/>
      <c r="B904" s="2"/>
      <c r="C904" s="2"/>
    </row>
    <row r="905" spans="1:3" ht="13.2" x14ac:dyDescent="0.25">
      <c r="A905" s="2"/>
      <c r="B905" s="2"/>
      <c r="C905" s="2"/>
    </row>
    <row r="906" spans="1:3" ht="13.2" x14ac:dyDescent="0.25">
      <c r="A906" s="2"/>
      <c r="B906" s="2"/>
      <c r="C906" s="2"/>
    </row>
    <row r="907" spans="1:3" ht="13.2" x14ac:dyDescent="0.25">
      <c r="A907" s="2"/>
      <c r="B907" s="2"/>
      <c r="C907" s="2"/>
    </row>
    <row r="908" spans="1:3" ht="13.2" x14ac:dyDescent="0.25">
      <c r="A908" s="2"/>
      <c r="B908" s="2"/>
      <c r="C908" s="2"/>
    </row>
    <row r="909" spans="1:3" ht="13.2" x14ac:dyDescent="0.25">
      <c r="A909" s="2"/>
      <c r="B909" s="2"/>
      <c r="C909" s="2"/>
    </row>
    <row r="910" spans="1:3" ht="13.2" x14ac:dyDescent="0.25">
      <c r="A910" s="2"/>
      <c r="B910" s="2"/>
      <c r="C910" s="2"/>
    </row>
    <row r="911" spans="1:3" ht="13.2" x14ac:dyDescent="0.25">
      <c r="A911" s="2"/>
      <c r="B911" s="2"/>
      <c r="C911" s="2"/>
    </row>
    <row r="912" spans="1:3" ht="13.2" x14ac:dyDescent="0.25">
      <c r="A912" s="2"/>
      <c r="B912" s="2"/>
      <c r="C912" s="2"/>
    </row>
    <row r="913" spans="1:3" ht="13.2" x14ac:dyDescent="0.25">
      <c r="A913" s="2"/>
      <c r="B913" s="2"/>
      <c r="C913" s="2"/>
    </row>
    <row r="914" spans="1:3" ht="13.2" x14ac:dyDescent="0.25">
      <c r="A914" s="2"/>
      <c r="B914" s="2"/>
      <c r="C914" s="2"/>
    </row>
    <row r="915" spans="1:3" ht="13.2" x14ac:dyDescent="0.25">
      <c r="A915" s="2"/>
      <c r="B915" s="2"/>
      <c r="C915" s="2"/>
    </row>
    <row r="916" spans="1:3" ht="13.2" x14ac:dyDescent="0.25">
      <c r="A916" s="2"/>
      <c r="B916" s="2"/>
      <c r="C916" s="2"/>
    </row>
    <row r="917" spans="1:3" ht="13.2" x14ac:dyDescent="0.25">
      <c r="A917" s="2"/>
      <c r="B917" s="2"/>
      <c r="C917" s="2"/>
    </row>
    <row r="918" spans="1:3" ht="13.2" x14ac:dyDescent="0.25">
      <c r="A918" s="2"/>
      <c r="B918" s="2"/>
      <c r="C918" s="2"/>
    </row>
    <row r="919" spans="1:3" ht="13.2" x14ac:dyDescent="0.25">
      <c r="A919" s="2"/>
      <c r="B919" s="2"/>
      <c r="C919" s="2"/>
    </row>
    <row r="920" spans="1:3" ht="13.2" x14ac:dyDescent="0.25">
      <c r="A920" s="2"/>
      <c r="B920" s="2"/>
      <c r="C920" s="2"/>
    </row>
    <row r="921" spans="1:3" ht="13.2" x14ac:dyDescent="0.25">
      <c r="A921" s="2"/>
      <c r="B921" s="2"/>
      <c r="C921" s="2"/>
    </row>
    <row r="922" spans="1:3" ht="13.2" x14ac:dyDescent="0.25">
      <c r="A922" s="2"/>
      <c r="B922" s="2"/>
      <c r="C922" s="2"/>
    </row>
    <row r="923" spans="1:3" ht="13.2" x14ac:dyDescent="0.25">
      <c r="A923" s="2"/>
      <c r="B923" s="2"/>
      <c r="C923" s="2"/>
    </row>
    <row r="924" spans="1:3" ht="13.2" x14ac:dyDescent="0.25">
      <c r="A924" s="2"/>
      <c r="B924" s="2"/>
      <c r="C924" s="2"/>
    </row>
    <row r="925" spans="1:3" ht="13.2" x14ac:dyDescent="0.25">
      <c r="A925" s="2"/>
      <c r="B925" s="2"/>
      <c r="C925" s="2"/>
    </row>
    <row r="926" spans="1:3" ht="13.2" x14ac:dyDescent="0.25">
      <c r="A926" s="2"/>
      <c r="B926" s="2"/>
      <c r="C926" s="2"/>
    </row>
    <row r="927" spans="1:3" ht="13.2" x14ac:dyDescent="0.25">
      <c r="A927" s="2"/>
      <c r="B927" s="2"/>
      <c r="C927" s="2"/>
    </row>
    <row r="928" spans="1:3" ht="13.2" x14ac:dyDescent="0.25">
      <c r="A928" s="2"/>
      <c r="B928" s="2"/>
      <c r="C928" s="2"/>
    </row>
    <row r="929" spans="1:3" ht="13.2" x14ac:dyDescent="0.25">
      <c r="A929" s="2"/>
      <c r="B929" s="2"/>
      <c r="C929" s="2"/>
    </row>
    <row r="930" spans="1:3" ht="13.2" x14ac:dyDescent="0.25">
      <c r="A930" s="2"/>
      <c r="B930" s="2"/>
      <c r="C930" s="2"/>
    </row>
    <row r="931" spans="1:3" ht="13.2" x14ac:dyDescent="0.25">
      <c r="A931" s="2"/>
      <c r="B931" s="2"/>
      <c r="C931" s="2"/>
    </row>
    <row r="932" spans="1:3" ht="13.2" x14ac:dyDescent="0.25">
      <c r="A932" s="2"/>
      <c r="B932" s="2"/>
      <c r="C932" s="2"/>
    </row>
    <row r="933" spans="1:3" ht="13.2" x14ac:dyDescent="0.25">
      <c r="A933" s="2"/>
      <c r="B933" s="2"/>
      <c r="C933" s="2"/>
    </row>
    <row r="934" spans="1:3" ht="13.2" x14ac:dyDescent="0.25">
      <c r="A934" s="2"/>
      <c r="B934" s="2"/>
      <c r="C934" s="2"/>
    </row>
    <row r="935" spans="1:3" ht="13.2" x14ac:dyDescent="0.25">
      <c r="A935" s="2"/>
      <c r="B935" s="2"/>
      <c r="C935" s="2"/>
    </row>
    <row r="936" spans="1:3" ht="13.2" x14ac:dyDescent="0.25">
      <c r="A936" s="2"/>
      <c r="B936" s="2"/>
      <c r="C936" s="2"/>
    </row>
    <row r="937" spans="1:3" ht="13.2" x14ac:dyDescent="0.25">
      <c r="A937" s="2"/>
      <c r="B937" s="2"/>
      <c r="C937" s="2"/>
    </row>
    <row r="938" spans="1:3" ht="13.2" x14ac:dyDescent="0.25">
      <c r="A938" s="2"/>
      <c r="B938" s="2"/>
      <c r="C938" s="2"/>
    </row>
    <row r="939" spans="1:3" ht="13.2" x14ac:dyDescent="0.25">
      <c r="A939" s="2"/>
      <c r="B939" s="2"/>
      <c r="C939" s="2"/>
    </row>
    <row r="940" spans="1:3" ht="13.2" x14ac:dyDescent="0.25">
      <c r="A940" s="2"/>
      <c r="B940" s="2"/>
      <c r="C940" s="2"/>
    </row>
    <row r="941" spans="1:3" ht="13.2" x14ac:dyDescent="0.25">
      <c r="A941" s="2"/>
      <c r="B941" s="2"/>
      <c r="C941" s="2"/>
    </row>
    <row r="942" spans="1:3" ht="13.2" x14ac:dyDescent="0.25">
      <c r="A942" s="2"/>
      <c r="B942" s="2"/>
      <c r="C942" s="2"/>
    </row>
    <row r="943" spans="1:3" ht="13.2" x14ac:dyDescent="0.25">
      <c r="A943" s="2"/>
      <c r="B943" s="2"/>
      <c r="C943" s="2"/>
    </row>
    <row r="944" spans="1:3" ht="13.2" x14ac:dyDescent="0.25">
      <c r="A944" s="2"/>
      <c r="B944" s="2"/>
      <c r="C944" s="2"/>
    </row>
    <row r="945" spans="1:3" ht="13.2" x14ac:dyDescent="0.25">
      <c r="A945" s="2"/>
      <c r="B945" s="2"/>
      <c r="C945" s="2"/>
    </row>
    <row r="946" spans="1:3" ht="13.2" x14ac:dyDescent="0.25">
      <c r="A946" s="2"/>
      <c r="B946" s="2"/>
      <c r="C946" s="2"/>
    </row>
    <row r="947" spans="1:3" ht="13.2" x14ac:dyDescent="0.25">
      <c r="A947" s="2"/>
      <c r="B947" s="2"/>
      <c r="C947" s="2"/>
    </row>
    <row r="948" spans="1:3" ht="13.2" x14ac:dyDescent="0.25">
      <c r="A948" s="2"/>
      <c r="B948" s="2"/>
      <c r="C948" s="2"/>
    </row>
    <row r="949" spans="1:3" ht="13.2" x14ac:dyDescent="0.25">
      <c r="A949" s="2"/>
      <c r="B949" s="2"/>
      <c r="C949" s="2"/>
    </row>
    <row r="950" spans="1:3" ht="13.2" x14ac:dyDescent="0.25">
      <c r="A950" s="2"/>
      <c r="B950" s="2"/>
      <c r="C950" s="2"/>
    </row>
    <row r="951" spans="1:3" ht="13.2" x14ac:dyDescent="0.25">
      <c r="A951" s="2"/>
      <c r="B951" s="2"/>
      <c r="C951" s="2"/>
    </row>
    <row r="952" spans="1:3" ht="13.2" x14ac:dyDescent="0.25">
      <c r="A952" s="2"/>
      <c r="B952" s="2"/>
      <c r="C952" s="2"/>
    </row>
    <row r="953" spans="1:3" ht="13.2" x14ac:dyDescent="0.25">
      <c r="A953" s="2"/>
      <c r="B953" s="2"/>
      <c r="C953" s="2"/>
    </row>
    <row r="954" spans="1:3" ht="13.2" x14ac:dyDescent="0.25">
      <c r="A954" s="2"/>
      <c r="B954" s="2"/>
      <c r="C954" s="2"/>
    </row>
    <row r="955" spans="1:3" ht="13.2" x14ac:dyDescent="0.25">
      <c r="A955" s="2"/>
      <c r="B955" s="2"/>
      <c r="C955" s="2"/>
    </row>
    <row r="956" spans="1:3" ht="13.2" x14ac:dyDescent="0.25">
      <c r="A956" s="2"/>
      <c r="B956" s="2"/>
      <c r="C956" s="2"/>
    </row>
    <row r="957" spans="1:3" ht="13.2" x14ac:dyDescent="0.25">
      <c r="A957" s="2"/>
      <c r="B957" s="2"/>
      <c r="C957" s="2"/>
    </row>
    <row r="958" spans="1:3" ht="13.2" x14ac:dyDescent="0.25">
      <c r="A958" s="2"/>
      <c r="B958" s="2"/>
      <c r="C958" s="2"/>
    </row>
    <row r="959" spans="1:3" ht="13.2" x14ac:dyDescent="0.25">
      <c r="A959" s="2"/>
      <c r="B959" s="2"/>
      <c r="C959" s="2"/>
    </row>
    <row r="960" spans="1:3" ht="13.2" x14ac:dyDescent="0.25">
      <c r="A960" s="2"/>
      <c r="B960" s="2"/>
      <c r="C960" s="2"/>
    </row>
    <row r="961" spans="1:3" ht="13.2" x14ac:dyDescent="0.25">
      <c r="A961" s="2"/>
      <c r="B961" s="2"/>
      <c r="C961" s="2"/>
    </row>
    <row r="962" spans="1:3" ht="13.2" x14ac:dyDescent="0.25">
      <c r="A962" s="2"/>
      <c r="B962" s="2"/>
      <c r="C962" s="2"/>
    </row>
    <row r="963" spans="1:3" ht="13.2" x14ac:dyDescent="0.25">
      <c r="A963" s="2"/>
      <c r="B963" s="2"/>
      <c r="C963" s="2"/>
    </row>
    <row r="964" spans="1:3" ht="13.2" x14ac:dyDescent="0.25">
      <c r="A964" s="2"/>
      <c r="B964" s="2"/>
      <c r="C964" s="2"/>
    </row>
    <row r="965" spans="1:3" ht="13.2" x14ac:dyDescent="0.25">
      <c r="A965" s="2"/>
      <c r="B965" s="2"/>
      <c r="C965" s="2"/>
    </row>
    <row r="966" spans="1:3" ht="13.2" x14ac:dyDescent="0.25">
      <c r="A966" s="2"/>
      <c r="B966" s="2"/>
      <c r="C966" s="2"/>
    </row>
    <row r="967" spans="1:3" ht="13.2" x14ac:dyDescent="0.25">
      <c r="A967" s="2"/>
      <c r="B967" s="2"/>
      <c r="C967" s="2"/>
    </row>
    <row r="968" spans="1:3" ht="13.2" x14ac:dyDescent="0.25">
      <c r="A968" s="2"/>
      <c r="B968" s="2"/>
      <c r="C968" s="2"/>
    </row>
    <row r="969" spans="1:3" ht="13.2" x14ac:dyDescent="0.25">
      <c r="A969" s="2"/>
      <c r="B969" s="2"/>
      <c r="C969" s="2"/>
    </row>
    <row r="970" spans="1:3" ht="13.2" x14ac:dyDescent="0.25">
      <c r="A970" s="2"/>
      <c r="B970" s="2"/>
      <c r="C970" s="2"/>
    </row>
    <row r="971" spans="1:3" ht="13.2" x14ac:dyDescent="0.25">
      <c r="A971" s="2"/>
      <c r="B971" s="2"/>
      <c r="C971" s="2"/>
    </row>
    <row r="972" spans="1:3" ht="13.2" x14ac:dyDescent="0.25">
      <c r="A972" s="2"/>
      <c r="B972" s="2"/>
      <c r="C972" s="2"/>
    </row>
    <row r="973" spans="1:3" ht="13.2" x14ac:dyDescent="0.25">
      <c r="A973" s="2"/>
      <c r="B973" s="2"/>
      <c r="C973" s="2"/>
    </row>
    <row r="974" spans="1:3" ht="13.2" x14ac:dyDescent="0.25">
      <c r="A974" s="2"/>
      <c r="B974" s="2"/>
      <c r="C974" s="2"/>
    </row>
    <row r="975" spans="1:3" ht="13.2" x14ac:dyDescent="0.25">
      <c r="A975" s="2"/>
      <c r="B975" s="2"/>
      <c r="C975" s="2"/>
    </row>
    <row r="976" spans="1:3" ht="13.2" x14ac:dyDescent="0.25">
      <c r="A976" s="2"/>
      <c r="B976" s="2"/>
      <c r="C976" s="2"/>
    </row>
    <row r="977" spans="1:3" ht="13.2" x14ac:dyDescent="0.25">
      <c r="A977" s="2"/>
      <c r="B977" s="2"/>
      <c r="C977" s="2"/>
    </row>
    <row r="978" spans="1:3" ht="13.2" x14ac:dyDescent="0.25">
      <c r="A978" s="2"/>
      <c r="B978" s="2"/>
      <c r="C978" s="2"/>
    </row>
    <row r="979" spans="1:3" ht="13.2" x14ac:dyDescent="0.25">
      <c r="A979" s="2"/>
      <c r="B979" s="2"/>
      <c r="C979" s="2"/>
    </row>
    <row r="980" spans="1:3" ht="13.2" x14ac:dyDescent="0.25">
      <c r="A980" s="2"/>
      <c r="B980" s="2"/>
      <c r="C980" s="2"/>
    </row>
    <row r="981" spans="1:3" ht="13.2" x14ac:dyDescent="0.25">
      <c r="A981" s="2"/>
      <c r="B981" s="2"/>
      <c r="C981" s="2"/>
    </row>
    <row r="982" spans="1:3" ht="13.2" x14ac:dyDescent="0.25">
      <c r="A982" s="2"/>
      <c r="B982" s="2"/>
      <c r="C982" s="2"/>
    </row>
    <row r="983" spans="1:3" ht="13.2" x14ac:dyDescent="0.25">
      <c r="A983" s="2"/>
      <c r="B983" s="2"/>
      <c r="C983" s="2"/>
    </row>
    <row r="984" spans="1:3" ht="13.2" x14ac:dyDescent="0.25">
      <c r="A984" s="2"/>
      <c r="B984" s="2"/>
      <c r="C984" s="2"/>
    </row>
    <row r="985" spans="1:3" ht="13.2" x14ac:dyDescent="0.25">
      <c r="A985" s="2"/>
      <c r="B985" s="2"/>
      <c r="C985" s="2"/>
    </row>
    <row r="986" spans="1:3" ht="13.2" x14ac:dyDescent="0.25">
      <c r="A986" s="2"/>
      <c r="B986" s="2"/>
      <c r="C986" s="2"/>
    </row>
    <row r="987" spans="1:3" ht="13.2" x14ac:dyDescent="0.25">
      <c r="A987" s="2"/>
      <c r="B987" s="2"/>
      <c r="C987" s="2"/>
    </row>
    <row r="988" spans="1:3" ht="13.2" x14ac:dyDescent="0.25">
      <c r="A988" s="2"/>
      <c r="B988" s="2"/>
      <c r="C988" s="2"/>
    </row>
    <row r="989" spans="1:3" ht="13.2" x14ac:dyDescent="0.25">
      <c r="A989" s="2"/>
      <c r="B989" s="2"/>
      <c r="C989" s="2"/>
    </row>
    <row r="990" spans="1:3" ht="13.2" x14ac:dyDescent="0.25">
      <c r="A990" s="2"/>
      <c r="B990" s="2"/>
      <c r="C990" s="2"/>
    </row>
    <row r="991" spans="1:3" ht="13.2" x14ac:dyDescent="0.25">
      <c r="A991" s="2"/>
      <c r="B991" s="2"/>
      <c r="C991" s="2"/>
    </row>
    <row r="992" spans="1:3" ht="13.2" x14ac:dyDescent="0.25">
      <c r="A992" s="2"/>
      <c r="B992" s="2"/>
      <c r="C992" s="2"/>
    </row>
    <row r="993" spans="1:3" ht="13.2" x14ac:dyDescent="0.25">
      <c r="A993" s="2"/>
      <c r="B993" s="2"/>
      <c r="C993" s="2"/>
    </row>
    <row r="994" spans="1:3" ht="13.2" x14ac:dyDescent="0.25">
      <c r="A994" s="2"/>
      <c r="B994" s="2"/>
      <c r="C994" s="2"/>
    </row>
    <row r="995" spans="1:3" ht="13.2" x14ac:dyDescent="0.25">
      <c r="A995" s="2"/>
      <c r="B995" s="2"/>
      <c r="C995" s="2"/>
    </row>
    <row r="996" spans="1:3" ht="13.2" x14ac:dyDescent="0.25">
      <c r="A996" s="2"/>
      <c r="B996" s="2"/>
      <c r="C996" s="2"/>
    </row>
    <row r="997" spans="1:3" ht="13.2" x14ac:dyDescent="0.25">
      <c r="A997" s="2"/>
      <c r="B997" s="2"/>
      <c r="C997" s="2"/>
    </row>
    <row r="998" spans="1:3" ht="13.2" x14ac:dyDescent="0.25">
      <c r="A998" s="2"/>
      <c r="B998" s="2"/>
      <c r="C998" s="2"/>
    </row>
    <row r="999" spans="1:3" ht="13.2" x14ac:dyDescent="0.25">
      <c r="A999" s="2"/>
      <c r="B999" s="2"/>
      <c r="C999" s="2"/>
    </row>
    <row r="1000" spans="1:3" ht="13.2" x14ac:dyDescent="0.25">
      <c r="A1000" s="2"/>
      <c r="B1000" s="2"/>
      <c r="C1000" s="2"/>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04DE-6614-498F-BC47-47006C8EA1F4}">
  <sheetPr>
    <outlinePr summaryBelow="0" summaryRight="0"/>
  </sheetPr>
  <dimension ref="A1:I1000"/>
  <sheetViews>
    <sheetView workbookViewId="0">
      <selection activeCell="K35" sqref="K35"/>
    </sheetView>
  </sheetViews>
  <sheetFormatPr defaultColWidth="12.6640625" defaultRowHeight="15.75" customHeight="1" x14ac:dyDescent="0.25"/>
  <cols>
    <col min="1" max="1" width="8.88671875" bestFit="1" customWidth="1"/>
    <col min="2" max="2" width="7.77734375" bestFit="1" customWidth="1"/>
    <col min="3" max="3" width="12.21875" bestFit="1" customWidth="1"/>
  </cols>
  <sheetData>
    <row r="1" spans="1:9" ht="13.2" x14ac:dyDescent="0.25">
      <c r="A1" s="13" t="s">
        <v>21</v>
      </c>
      <c r="B1" s="8" t="s">
        <v>22</v>
      </c>
      <c r="C1" s="14" t="s">
        <v>23</v>
      </c>
      <c r="D1" s="12" t="s">
        <v>3</v>
      </c>
      <c r="E1" s="12" t="s">
        <v>4</v>
      </c>
      <c r="F1" s="12" t="s">
        <v>5</v>
      </c>
      <c r="G1" s="12" t="s">
        <v>6</v>
      </c>
      <c r="H1" s="12" t="s">
        <v>7</v>
      </c>
      <c r="I1" s="12" t="s">
        <v>8</v>
      </c>
    </row>
    <row r="2" spans="1:9" ht="13.2" x14ac:dyDescent="0.25">
      <c r="A2" s="6" t="s">
        <v>24</v>
      </c>
      <c r="B2" s="6" t="s">
        <v>25</v>
      </c>
      <c r="C2">
        <v>4400</v>
      </c>
      <c r="D2" s="15">
        <f t="shared" ref="D2:D33" si="0">ROUND(AVERAGE($C$2:$C$65),1)</f>
        <v>4417.8</v>
      </c>
      <c r="E2" s="15">
        <f t="shared" ref="E2:E33" si="1">ROUND(D2+(2.66*H2),1)</f>
        <v>4922.7</v>
      </c>
      <c r="F2" s="15">
        <f t="shared" ref="F2:F33" si="2">ROUND(D2-(2.66*H2),1)</f>
        <v>3912.9</v>
      </c>
      <c r="G2" s="15"/>
      <c r="H2" s="15">
        <f t="shared" ref="H2:H33" si="3">ROUND(AVERAGE($G$3:$G$65),1)</f>
        <v>189.8</v>
      </c>
      <c r="I2" s="15">
        <f t="shared" ref="I2:I33" si="4">ROUND(3.268*H2,1)</f>
        <v>620.29999999999995</v>
      </c>
    </row>
    <row r="3" spans="1:9" ht="13.2" x14ac:dyDescent="0.25">
      <c r="A3" s="6" t="s">
        <v>24</v>
      </c>
      <c r="B3" s="6" t="s">
        <v>26</v>
      </c>
      <c r="C3">
        <v>4565</v>
      </c>
      <c r="D3" s="15">
        <f t="shared" si="0"/>
        <v>4417.8</v>
      </c>
      <c r="E3" s="15">
        <f t="shared" si="1"/>
        <v>4922.7</v>
      </c>
      <c r="F3" s="15">
        <f t="shared" si="2"/>
        <v>3912.9</v>
      </c>
      <c r="G3" s="15">
        <f t="shared" ref="G3:G33" si="5">ROUND(ABS(C2-C3),1)</f>
        <v>165</v>
      </c>
      <c r="H3" s="15">
        <f t="shared" si="3"/>
        <v>189.8</v>
      </c>
      <c r="I3" s="15">
        <f t="shared" si="4"/>
        <v>620.29999999999995</v>
      </c>
    </row>
    <row r="4" spans="1:9" ht="13.2" x14ac:dyDescent="0.25">
      <c r="A4" s="6" t="s">
        <v>24</v>
      </c>
      <c r="B4" s="6" t="s">
        <v>27</v>
      </c>
      <c r="C4">
        <v>4495</v>
      </c>
      <c r="D4" s="15">
        <f t="shared" si="0"/>
        <v>4417.8</v>
      </c>
      <c r="E4" s="15">
        <f t="shared" si="1"/>
        <v>4922.7</v>
      </c>
      <c r="F4" s="15">
        <f t="shared" si="2"/>
        <v>3912.9</v>
      </c>
      <c r="G4" s="15">
        <f t="shared" si="5"/>
        <v>70</v>
      </c>
      <c r="H4" s="15">
        <f t="shared" si="3"/>
        <v>189.8</v>
      </c>
      <c r="I4" s="15">
        <f t="shared" si="4"/>
        <v>620.29999999999995</v>
      </c>
    </row>
    <row r="5" spans="1:9" ht="13.2" x14ac:dyDescent="0.25">
      <c r="A5" s="6" t="s">
        <v>24</v>
      </c>
      <c r="B5" s="6" t="s">
        <v>28</v>
      </c>
      <c r="C5">
        <v>4325</v>
      </c>
      <c r="D5" s="15">
        <f t="shared" si="0"/>
        <v>4417.8</v>
      </c>
      <c r="E5" s="15">
        <f t="shared" si="1"/>
        <v>4922.7</v>
      </c>
      <c r="F5" s="15">
        <f t="shared" si="2"/>
        <v>3912.9</v>
      </c>
      <c r="G5" s="15">
        <f t="shared" si="5"/>
        <v>170</v>
      </c>
      <c r="H5" s="15">
        <f t="shared" si="3"/>
        <v>189.8</v>
      </c>
      <c r="I5" s="15">
        <f t="shared" si="4"/>
        <v>620.29999999999995</v>
      </c>
    </row>
    <row r="6" spans="1:9" ht="13.2" x14ac:dyDescent="0.25">
      <c r="A6" s="6" t="s">
        <v>24</v>
      </c>
      <c r="B6" s="6" t="s">
        <v>29</v>
      </c>
      <c r="C6">
        <v>4385</v>
      </c>
      <c r="D6" s="15">
        <f t="shared" si="0"/>
        <v>4417.8</v>
      </c>
      <c r="E6" s="15">
        <f t="shared" si="1"/>
        <v>4922.7</v>
      </c>
      <c r="F6" s="15">
        <f t="shared" si="2"/>
        <v>3912.9</v>
      </c>
      <c r="G6" s="15">
        <f t="shared" si="5"/>
        <v>60</v>
      </c>
      <c r="H6" s="15">
        <f t="shared" si="3"/>
        <v>189.8</v>
      </c>
      <c r="I6" s="15">
        <f t="shared" si="4"/>
        <v>620.29999999999995</v>
      </c>
    </row>
    <row r="7" spans="1:9" ht="13.2" x14ac:dyDescent="0.25">
      <c r="A7" s="6" t="s">
        <v>24</v>
      </c>
      <c r="B7" s="6" t="s">
        <v>30</v>
      </c>
      <c r="C7">
        <v>4545</v>
      </c>
      <c r="D7" s="15">
        <f t="shared" si="0"/>
        <v>4417.8</v>
      </c>
      <c r="E7" s="15">
        <f t="shared" si="1"/>
        <v>4922.7</v>
      </c>
      <c r="F7" s="15">
        <f t="shared" si="2"/>
        <v>3912.9</v>
      </c>
      <c r="G7" s="15">
        <f t="shared" si="5"/>
        <v>160</v>
      </c>
      <c r="H7" s="15">
        <f t="shared" si="3"/>
        <v>189.8</v>
      </c>
      <c r="I7" s="15">
        <f t="shared" si="4"/>
        <v>620.29999999999995</v>
      </c>
    </row>
    <row r="8" spans="1:9" ht="13.2" x14ac:dyDescent="0.25">
      <c r="A8" s="6" t="s">
        <v>24</v>
      </c>
      <c r="B8" s="6" t="s">
        <v>31</v>
      </c>
      <c r="C8">
        <v>4235</v>
      </c>
      <c r="D8" s="15">
        <f t="shared" si="0"/>
        <v>4417.8</v>
      </c>
      <c r="E8" s="15">
        <f t="shared" si="1"/>
        <v>4922.7</v>
      </c>
      <c r="F8" s="15">
        <f t="shared" si="2"/>
        <v>3912.9</v>
      </c>
      <c r="G8" s="15">
        <f t="shared" si="5"/>
        <v>310</v>
      </c>
      <c r="H8" s="15">
        <f t="shared" si="3"/>
        <v>189.8</v>
      </c>
      <c r="I8" s="15">
        <f t="shared" si="4"/>
        <v>620.29999999999995</v>
      </c>
    </row>
    <row r="9" spans="1:9" ht="13.2" x14ac:dyDescent="0.25">
      <c r="A9" s="6" t="s">
        <v>24</v>
      </c>
      <c r="B9" s="6" t="s">
        <v>32</v>
      </c>
      <c r="C9">
        <v>4370</v>
      </c>
      <c r="D9" s="15">
        <f t="shared" si="0"/>
        <v>4417.8</v>
      </c>
      <c r="E9" s="15">
        <f t="shared" si="1"/>
        <v>4922.7</v>
      </c>
      <c r="F9" s="15">
        <f t="shared" si="2"/>
        <v>3912.9</v>
      </c>
      <c r="G9" s="15">
        <f t="shared" si="5"/>
        <v>135</v>
      </c>
      <c r="H9" s="15">
        <f t="shared" si="3"/>
        <v>189.8</v>
      </c>
      <c r="I9" s="15">
        <f t="shared" si="4"/>
        <v>620.29999999999995</v>
      </c>
    </row>
    <row r="10" spans="1:9" ht="13.2" x14ac:dyDescent="0.25">
      <c r="A10" s="6" t="s">
        <v>24</v>
      </c>
      <c r="B10" s="6" t="s">
        <v>33</v>
      </c>
      <c r="C10">
        <v>4340</v>
      </c>
      <c r="D10" s="15">
        <f t="shared" si="0"/>
        <v>4417.8</v>
      </c>
      <c r="E10" s="15">
        <f t="shared" si="1"/>
        <v>4922.7</v>
      </c>
      <c r="F10" s="15">
        <f t="shared" si="2"/>
        <v>3912.9</v>
      </c>
      <c r="G10" s="15">
        <f t="shared" si="5"/>
        <v>30</v>
      </c>
      <c r="H10" s="15">
        <f t="shared" si="3"/>
        <v>189.8</v>
      </c>
      <c r="I10" s="15">
        <f t="shared" si="4"/>
        <v>620.29999999999995</v>
      </c>
    </row>
    <row r="11" spans="1:9" ht="13.2" x14ac:dyDescent="0.25">
      <c r="A11" s="6" t="s">
        <v>24</v>
      </c>
      <c r="B11" s="6" t="s">
        <v>34</v>
      </c>
      <c r="C11">
        <v>4500</v>
      </c>
      <c r="D11" s="15">
        <f t="shared" si="0"/>
        <v>4417.8</v>
      </c>
      <c r="E11" s="15">
        <f t="shared" si="1"/>
        <v>4922.7</v>
      </c>
      <c r="F11" s="15">
        <f t="shared" si="2"/>
        <v>3912.9</v>
      </c>
      <c r="G11" s="15">
        <f t="shared" si="5"/>
        <v>160</v>
      </c>
      <c r="H11" s="15">
        <f t="shared" si="3"/>
        <v>189.8</v>
      </c>
      <c r="I11" s="15">
        <f t="shared" si="4"/>
        <v>620.29999999999995</v>
      </c>
    </row>
    <row r="12" spans="1:9" ht="13.2" x14ac:dyDescent="0.25">
      <c r="A12" s="6" t="s">
        <v>24</v>
      </c>
      <c r="B12" s="6" t="s">
        <v>35</v>
      </c>
      <c r="C12">
        <v>4165</v>
      </c>
      <c r="D12" s="15">
        <f t="shared" si="0"/>
        <v>4417.8</v>
      </c>
      <c r="E12" s="15">
        <f t="shared" si="1"/>
        <v>4922.7</v>
      </c>
      <c r="F12" s="15">
        <f t="shared" si="2"/>
        <v>3912.9</v>
      </c>
      <c r="G12" s="15">
        <f t="shared" si="5"/>
        <v>335</v>
      </c>
      <c r="H12" s="15">
        <f t="shared" si="3"/>
        <v>189.8</v>
      </c>
      <c r="I12" s="15">
        <f t="shared" si="4"/>
        <v>620.29999999999995</v>
      </c>
    </row>
    <row r="13" spans="1:9" ht="13.2" x14ac:dyDescent="0.25">
      <c r="A13" s="6" t="s">
        <v>24</v>
      </c>
      <c r="B13" s="6" t="s">
        <v>36</v>
      </c>
      <c r="C13">
        <v>4000</v>
      </c>
      <c r="D13" s="15">
        <f t="shared" si="0"/>
        <v>4417.8</v>
      </c>
      <c r="E13" s="15">
        <f t="shared" si="1"/>
        <v>4922.7</v>
      </c>
      <c r="F13" s="15">
        <f t="shared" si="2"/>
        <v>3912.9</v>
      </c>
      <c r="G13" s="15">
        <f t="shared" si="5"/>
        <v>165</v>
      </c>
      <c r="H13" s="15">
        <f t="shared" si="3"/>
        <v>189.8</v>
      </c>
      <c r="I13" s="15">
        <f t="shared" si="4"/>
        <v>620.29999999999995</v>
      </c>
    </row>
    <row r="14" spans="1:9" ht="13.2" x14ac:dyDescent="0.25">
      <c r="A14" s="6" t="s">
        <v>24</v>
      </c>
      <c r="B14" s="6" t="s">
        <v>37</v>
      </c>
      <c r="C14">
        <v>4125</v>
      </c>
      <c r="D14" s="15">
        <f t="shared" si="0"/>
        <v>4417.8</v>
      </c>
      <c r="E14" s="15">
        <f t="shared" si="1"/>
        <v>4922.7</v>
      </c>
      <c r="F14" s="15">
        <f t="shared" si="2"/>
        <v>3912.9</v>
      </c>
      <c r="G14" s="15">
        <f t="shared" si="5"/>
        <v>125</v>
      </c>
      <c r="H14" s="15">
        <f t="shared" si="3"/>
        <v>189.8</v>
      </c>
      <c r="I14" s="15">
        <f t="shared" si="4"/>
        <v>620.29999999999995</v>
      </c>
    </row>
    <row r="15" spans="1:9" ht="13.2" x14ac:dyDescent="0.25">
      <c r="A15" s="6" t="s">
        <v>24</v>
      </c>
      <c r="B15" s="6" t="s">
        <v>38</v>
      </c>
      <c r="C15">
        <v>4445</v>
      </c>
      <c r="D15" s="15">
        <f t="shared" si="0"/>
        <v>4417.8</v>
      </c>
      <c r="E15" s="15">
        <f t="shared" si="1"/>
        <v>4922.7</v>
      </c>
      <c r="F15" s="15">
        <f t="shared" si="2"/>
        <v>3912.9</v>
      </c>
      <c r="G15" s="15">
        <f t="shared" si="5"/>
        <v>320</v>
      </c>
      <c r="H15" s="15">
        <f t="shared" si="3"/>
        <v>189.8</v>
      </c>
      <c r="I15" s="15">
        <f t="shared" si="4"/>
        <v>620.29999999999995</v>
      </c>
    </row>
    <row r="16" spans="1:9" ht="13.2" x14ac:dyDescent="0.25">
      <c r="A16" s="6" t="s">
        <v>24</v>
      </c>
      <c r="B16" s="6" t="s">
        <v>39</v>
      </c>
      <c r="C16">
        <v>4775</v>
      </c>
      <c r="D16" s="15">
        <f t="shared" si="0"/>
        <v>4417.8</v>
      </c>
      <c r="E16" s="15">
        <f t="shared" si="1"/>
        <v>4922.7</v>
      </c>
      <c r="F16" s="15">
        <f t="shared" si="2"/>
        <v>3912.9</v>
      </c>
      <c r="G16" s="15">
        <f t="shared" si="5"/>
        <v>330</v>
      </c>
      <c r="H16" s="15">
        <f t="shared" si="3"/>
        <v>189.8</v>
      </c>
      <c r="I16" s="15">
        <f t="shared" si="4"/>
        <v>620.29999999999995</v>
      </c>
    </row>
    <row r="17" spans="1:9" ht="13.2" x14ac:dyDescent="0.25">
      <c r="A17" s="6" t="s">
        <v>24</v>
      </c>
      <c r="B17" s="6" t="s">
        <v>40</v>
      </c>
      <c r="C17">
        <v>4615</v>
      </c>
      <c r="D17" s="15">
        <f t="shared" si="0"/>
        <v>4417.8</v>
      </c>
      <c r="E17" s="15">
        <f t="shared" si="1"/>
        <v>4922.7</v>
      </c>
      <c r="F17" s="15">
        <f t="shared" si="2"/>
        <v>3912.9</v>
      </c>
      <c r="G17" s="15">
        <f t="shared" si="5"/>
        <v>160</v>
      </c>
      <c r="H17" s="15">
        <f t="shared" si="3"/>
        <v>189.8</v>
      </c>
      <c r="I17" s="15">
        <f t="shared" si="4"/>
        <v>620.29999999999995</v>
      </c>
    </row>
    <row r="18" spans="1:9" ht="13.2" x14ac:dyDescent="0.25">
      <c r="A18" s="6" t="s">
        <v>24</v>
      </c>
      <c r="B18" s="6" t="s">
        <v>41</v>
      </c>
      <c r="C18">
        <v>4465</v>
      </c>
      <c r="D18" s="15">
        <f t="shared" si="0"/>
        <v>4417.8</v>
      </c>
      <c r="E18" s="15">
        <f t="shared" si="1"/>
        <v>4922.7</v>
      </c>
      <c r="F18" s="15">
        <f t="shared" si="2"/>
        <v>3912.9</v>
      </c>
      <c r="G18" s="15">
        <f t="shared" si="5"/>
        <v>150</v>
      </c>
      <c r="H18" s="15">
        <f t="shared" si="3"/>
        <v>189.8</v>
      </c>
      <c r="I18" s="15">
        <f t="shared" si="4"/>
        <v>620.29999999999995</v>
      </c>
    </row>
    <row r="19" spans="1:9" ht="13.2" x14ac:dyDescent="0.25">
      <c r="A19" s="6" t="s">
        <v>24</v>
      </c>
      <c r="B19" s="6" t="s">
        <v>42</v>
      </c>
      <c r="C19">
        <v>4375</v>
      </c>
      <c r="D19" s="15">
        <f t="shared" si="0"/>
        <v>4417.8</v>
      </c>
      <c r="E19" s="15">
        <f t="shared" si="1"/>
        <v>4922.7</v>
      </c>
      <c r="F19" s="15">
        <f t="shared" si="2"/>
        <v>3912.9</v>
      </c>
      <c r="G19" s="15">
        <f t="shared" si="5"/>
        <v>90</v>
      </c>
      <c r="H19" s="15">
        <f t="shared" si="3"/>
        <v>189.8</v>
      </c>
      <c r="I19" s="15">
        <f t="shared" si="4"/>
        <v>620.29999999999995</v>
      </c>
    </row>
    <row r="20" spans="1:9" ht="13.2" x14ac:dyDescent="0.25">
      <c r="A20" s="6" t="s">
        <v>24</v>
      </c>
      <c r="B20" s="6" t="s">
        <v>43</v>
      </c>
      <c r="C20">
        <v>4600</v>
      </c>
      <c r="D20" s="15">
        <f t="shared" si="0"/>
        <v>4417.8</v>
      </c>
      <c r="E20" s="15">
        <f t="shared" si="1"/>
        <v>4922.7</v>
      </c>
      <c r="F20" s="15">
        <f t="shared" si="2"/>
        <v>3912.9</v>
      </c>
      <c r="G20" s="15">
        <f t="shared" si="5"/>
        <v>225</v>
      </c>
      <c r="H20" s="15">
        <f t="shared" si="3"/>
        <v>189.8</v>
      </c>
      <c r="I20" s="15">
        <f t="shared" si="4"/>
        <v>620.29999999999995</v>
      </c>
    </row>
    <row r="21" spans="1:9" ht="13.2" x14ac:dyDescent="0.25">
      <c r="A21" s="6" t="s">
        <v>24</v>
      </c>
      <c r="B21" s="6" t="s">
        <v>44</v>
      </c>
      <c r="C21">
        <v>4260</v>
      </c>
      <c r="D21" s="15">
        <f t="shared" si="0"/>
        <v>4417.8</v>
      </c>
      <c r="E21" s="15">
        <f t="shared" si="1"/>
        <v>4922.7</v>
      </c>
      <c r="F21" s="15">
        <f t="shared" si="2"/>
        <v>3912.9</v>
      </c>
      <c r="G21" s="15">
        <f t="shared" si="5"/>
        <v>340</v>
      </c>
      <c r="H21" s="15">
        <f t="shared" si="3"/>
        <v>189.8</v>
      </c>
      <c r="I21" s="15">
        <f t="shared" si="4"/>
        <v>620.29999999999995</v>
      </c>
    </row>
    <row r="22" spans="1:9" ht="13.2" x14ac:dyDescent="0.25">
      <c r="A22" s="6" t="s">
        <v>24</v>
      </c>
      <c r="B22" s="6" t="s">
        <v>45</v>
      </c>
      <c r="C22">
        <v>4675</v>
      </c>
      <c r="D22" s="15">
        <f t="shared" si="0"/>
        <v>4417.8</v>
      </c>
      <c r="E22" s="15">
        <f t="shared" si="1"/>
        <v>4922.7</v>
      </c>
      <c r="F22" s="15">
        <f t="shared" si="2"/>
        <v>3912.9</v>
      </c>
      <c r="G22" s="15">
        <f t="shared" si="5"/>
        <v>415</v>
      </c>
      <c r="H22" s="15">
        <f t="shared" si="3"/>
        <v>189.8</v>
      </c>
      <c r="I22" s="15">
        <f t="shared" si="4"/>
        <v>620.29999999999995</v>
      </c>
    </row>
    <row r="23" spans="1:9" ht="13.2" x14ac:dyDescent="0.25">
      <c r="A23" s="6" t="s">
        <v>24</v>
      </c>
      <c r="B23" s="6" t="s">
        <v>46</v>
      </c>
      <c r="C23">
        <v>4800</v>
      </c>
      <c r="D23" s="15">
        <f t="shared" si="0"/>
        <v>4417.8</v>
      </c>
      <c r="E23" s="15">
        <f t="shared" si="1"/>
        <v>4922.7</v>
      </c>
      <c r="F23" s="15">
        <f t="shared" si="2"/>
        <v>3912.9</v>
      </c>
      <c r="G23" s="15">
        <f t="shared" si="5"/>
        <v>125</v>
      </c>
      <c r="H23" s="15">
        <f t="shared" si="3"/>
        <v>189.8</v>
      </c>
      <c r="I23" s="15">
        <f t="shared" si="4"/>
        <v>620.29999999999995</v>
      </c>
    </row>
    <row r="24" spans="1:9" ht="13.2" x14ac:dyDescent="0.25">
      <c r="A24" s="6" t="s">
        <v>24</v>
      </c>
      <c r="B24" s="6" t="s">
        <v>47</v>
      </c>
      <c r="C24">
        <v>4410</v>
      </c>
      <c r="D24" s="15">
        <f t="shared" si="0"/>
        <v>4417.8</v>
      </c>
      <c r="E24" s="15">
        <f t="shared" si="1"/>
        <v>4922.7</v>
      </c>
      <c r="F24" s="15">
        <f t="shared" si="2"/>
        <v>3912.9</v>
      </c>
      <c r="G24" s="15">
        <f t="shared" si="5"/>
        <v>390</v>
      </c>
      <c r="H24" s="15">
        <f t="shared" si="3"/>
        <v>189.8</v>
      </c>
      <c r="I24" s="15">
        <f t="shared" si="4"/>
        <v>620.29999999999995</v>
      </c>
    </row>
    <row r="25" spans="1:9" ht="13.2" x14ac:dyDescent="0.25">
      <c r="A25" s="6" t="s">
        <v>24</v>
      </c>
      <c r="B25" s="6" t="s">
        <v>48</v>
      </c>
      <c r="C25">
        <v>4675</v>
      </c>
      <c r="D25" s="15">
        <f t="shared" si="0"/>
        <v>4417.8</v>
      </c>
      <c r="E25" s="15">
        <f t="shared" si="1"/>
        <v>4922.7</v>
      </c>
      <c r="F25" s="15">
        <f t="shared" si="2"/>
        <v>3912.9</v>
      </c>
      <c r="G25" s="15">
        <f t="shared" si="5"/>
        <v>265</v>
      </c>
      <c r="H25" s="15">
        <f t="shared" si="3"/>
        <v>189.8</v>
      </c>
      <c r="I25" s="15">
        <f t="shared" si="4"/>
        <v>620.29999999999995</v>
      </c>
    </row>
    <row r="26" spans="1:9" ht="13.2" x14ac:dyDescent="0.25">
      <c r="A26" s="6" t="s">
        <v>24</v>
      </c>
      <c r="B26" s="6" t="s">
        <v>49</v>
      </c>
      <c r="C26">
        <v>4260</v>
      </c>
      <c r="D26" s="15">
        <f t="shared" si="0"/>
        <v>4417.8</v>
      </c>
      <c r="E26" s="15">
        <f t="shared" si="1"/>
        <v>4922.7</v>
      </c>
      <c r="F26" s="15">
        <f t="shared" si="2"/>
        <v>3912.9</v>
      </c>
      <c r="G26" s="15">
        <f t="shared" si="5"/>
        <v>415</v>
      </c>
      <c r="H26" s="15">
        <f t="shared" si="3"/>
        <v>189.8</v>
      </c>
      <c r="I26" s="15">
        <f t="shared" si="4"/>
        <v>620.29999999999995</v>
      </c>
    </row>
    <row r="27" spans="1:9" ht="13.2" x14ac:dyDescent="0.25">
      <c r="A27" s="6" t="s">
        <v>24</v>
      </c>
      <c r="B27" s="6" t="s">
        <v>50</v>
      </c>
      <c r="C27">
        <v>4000</v>
      </c>
      <c r="D27" s="15">
        <f t="shared" si="0"/>
        <v>4417.8</v>
      </c>
      <c r="E27" s="15">
        <f t="shared" si="1"/>
        <v>4922.7</v>
      </c>
      <c r="F27" s="15">
        <f t="shared" si="2"/>
        <v>3912.9</v>
      </c>
      <c r="G27" s="15">
        <f t="shared" si="5"/>
        <v>260</v>
      </c>
      <c r="H27" s="15">
        <f t="shared" si="3"/>
        <v>189.8</v>
      </c>
      <c r="I27" s="15">
        <f t="shared" si="4"/>
        <v>620.29999999999995</v>
      </c>
    </row>
    <row r="28" spans="1:9" ht="13.2" x14ac:dyDescent="0.25">
      <c r="A28" s="6" t="s">
        <v>24</v>
      </c>
      <c r="B28" s="6" t="s">
        <v>51</v>
      </c>
      <c r="C28">
        <v>4360</v>
      </c>
      <c r="D28" s="15">
        <f t="shared" si="0"/>
        <v>4417.8</v>
      </c>
      <c r="E28" s="15">
        <f t="shared" si="1"/>
        <v>4922.7</v>
      </c>
      <c r="F28" s="15">
        <f t="shared" si="2"/>
        <v>3912.9</v>
      </c>
      <c r="G28" s="15">
        <f t="shared" si="5"/>
        <v>360</v>
      </c>
      <c r="H28" s="15">
        <f t="shared" si="3"/>
        <v>189.8</v>
      </c>
      <c r="I28" s="15">
        <f t="shared" si="4"/>
        <v>620.29999999999995</v>
      </c>
    </row>
    <row r="29" spans="1:9" ht="13.2" x14ac:dyDescent="0.25">
      <c r="A29" s="6" t="s">
        <v>24</v>
      </c>
      <c r="B29" s="6" t="s">
        <v>52</v>
      </c>
      <c r="C29">
        <v>4500</v>
      </c>
      <c r="D29" s="15">
        <f t="shared" si="0"/>
        <v>4417.8</v>
      </c>
      <c r="E29" s="15">
        <f t="shared" si="1"/>
        <v>4922.7</v>
      </c>
      <c r="F29" s="15">
        <f t="shared" si="2"/>
        <v>3912.9</v>
      </c>
      <c r="G29" s="15">
        <f t="shared" si="5"/>
        <v>140</v>
      </c>
      <c r="H29" s="15">
        <f t="shared" si="3"/>
        <v>189.8</v>
      </c>
      <c r="I29" s="15">
        <f t="shared" si="4"/>
        <v>620.29999999999995</v>
      </c>
    </row>
    <row r="30" spans="1:9" ht="13.2" x14ac:dyDescent="0.25">
      <c r="A30" s="6" t="s">
        <v>24</v>
      </c>
      <c r="B30" s="6" t="s">
        <v>53</v>
      </c>
      <c r="C30">
        <v>4460</v>
      </c>
      <c r="D30" s="15">
        <f t="shared" si="0"/>
        <v>4417.8</v>
      </c>
      <c r="E30" s="15">
        <f t="shared" si="1"/>
        <v>4922.7</v>
      </c>
      <c r="F30" s="15">
        <f t="shared" si="2"/>
        <v>3912.9</v>
      </c>
      <c r="G30" s="15">
        <f t="shared" si="5"/>
        <v>40</v>
      </c>
      <c r="H30" s="15">
        <f t="shared" si="3"/>
        <v>189.8</v>
      </c>
      <c r="I30" s="15">
        <f t="shared" si="4"/>
        <v>620.29999999999995</v>
      </c>
    </row>
    <row r="31" spans="1:9" ht="13.2" x14ac:dyDescent="0.25">
      <c r="A31" s="6" t="s">
        <v>24</v>
      </c>
      <c r="B31" s="6" t="s">
        <v>54</v>
      </c>
      <c r="C31">
        <v>4360</v>
      </c>
      <c r="D31" s="15">
        <f t="shared" si="0"/>
        <v>4417.8</v>
      </c>
      <c r="E31" s="15">
        <f t="shared" si="1"/>
        <v>4922.7</v>
      </c>
      <c r="F31" s="15">
        <f t="shared" si="2"/>
        <v>3912.9</v>
      </c>
      <c r="G31" s="15">
        <f t="shared" si="5"/>
        <v>100</v>
      </c>
      <c r="H31" s="15">
        <f t="shared" si="3"/>
        <v>189.8</v>
      </c>
      <c r="I31" s="15">
        <f t="shared" si="4"/>
        <v>620.29999999999995</v>
      </c>
    </row>
    <row r="32" spans="1:9" ht="13.2" x14ac:dyDescent="0.25">
      <c r="A32" s="6" t="s">
        <v>24</v>
      </c>
      <c r="B32" s="6" t="s">
        <v>55</v>
      </c>
      <c r="C32">
        <v>4265</v>
      </c>
      <c r="D32" s="15">
        <f t="shared" si="0"/>
        <v>4417.8</v>
      </c>
      <c r="E32" s="15">
        <f t="shared" si="1"/>
        <v>4922.7</v>
      </c>
      <c r="F32" s="15">
        <f t="shared" si="2"/>
        <v>3912.9</v>
      </c>
      <c r="G32" s="15">
        <f t="shared" si="5"/>
        <v>95</v>
      </c>
      <c r="H32" s="15">
        <f t="shared" si="3"/>
        <v>189.8</v>
      </c>
      <c r="I32" s="15">
        <f t="shared" si="4"/>
        <v>620.29999999999995</v>
      </c>
    </row>
    <row r="33" spans="1:9" ht="13.2" x14ac:dyDescent="0.25">
      <c r="A33" s="6" t="s">
        <v>24</v>
      </c>
      <c r="B33" s="6" t="s">
        <v>56</v>
      </c>
      <c r="C33">
        <v>4635</v>
      </c>
      <c r="D33" s="15">
        <f t="shared" si="0"/>
        <v>4417.8</v>
      </c>
      <c r="E33" s="15">
        <f t="shared" si="1"/>
        <v>4922.7</v>
      </c>
      <c r="F33" s="15">
        <f t="shared" si="2"/>
        <v>3912.9</v>
      </c>
      <c r="G33" s="15">
        <f t="shared" si="5"/>
        <v>370</v>
      </c>
      <c r="H33" s="15">
        <f t="shared" si="3"/>
        <v>189.8</v>
      </c>
      <c r="I33" s="15">
        <f t="shared" si="4"/>
        <v>620.29999999999995</v>
      </c>
    </row>
    <row r="34" spans="1:9" ht="13.2" x14ac:dyDescent="0.25">
      <c r="A34" s="6" t="s">
        <v>24</v>
      </c>
      <c r="B34" s="6" t="s">
        <v>57</v>
      </c>
      <c r="C34">
        <v>4240</v>
      </c>
      <c r="D34" s="15">
        <f t="shared" ref="D34:D65" si="6">ROUND(AVERAGE($C$2:$C$65),1)</f>
        <v>4417.8</v>
      </c>
      <c r="E34" s="15">
        <f t="shared" ref="E34:E65" si="7">ROUND(D34+(2.66*H34),1)</f>
        <v>4922.7</v>
      </c>
      <c r="F34" s="15">
        <f t="shared" ref="F34:F65" si="8">ROUND(D34-(2.66*H34),1)</f>
        <v>3912.9</v>
      </c>
      <c r="G34" s="15">
        <f t="shared" ref="G34:G65" si="9">ROUND(ABS(C33-C34),1)</f>
        <v>395</v>
      </c>
      <c r="H34" s="15">
        <f t="shared" ref="H34:H65" si="10">ROUND(AVERAGE($G$3:$G$65),1)</f>
        <v>189.8</v>
      </c>
      <c r="I34" s="15">
        <f t="shared" ref="I34:I65" si="11">ROUND(3.268*H34,1)</f>
        <v>620.29999999999995</v>
      </c>
    </row>
    <row r="35" spans="1:9" ht="13.2" x14ac:dyDescent="0.25">
      <c r="A35" s="6" t="s">
        <v>24</v>
      </c>
      <c r="B35" s="6" t="s">
        <v>58</v>
      </c>
      <c r="C35">
        <v>4350</v>
      </c>
      <c r="D35" s="15">
        <f t="shared" si="6"/>
        <v>4417.8</v>
      </c>
      <c r="E35" s="15">
        <f t="shared" si="7"/>
        <v>4922.7</v>
      </c>
      <c r="F35" s="15">
        <f t="shared" si="8"/>
        <v>3912.9</v>
      </c>
      <c r="G35" s="15">
        <f t="shared" si="9"/>
        <v>110</v>
      </c>
      <c r="H35" s="15">
        <f t="shared" si="10"/>
        <v>189.8</v>
      </c>
      <c r="I35" s="15">
        <f t="shared" si="11"/>
        <v>620.29999999999995</v>
      </c>
    </row>
    <row r="36" spans="1:9" ht="13.2" x14ac:dyDescent="0.25">
      <c r="A36" s="6" t="s">
        <v>24</v>
      </c>
      <c r="B36" s="6" t="s">
        <v>59</v>
      </c>
      <c r="C36">
        <v>4220</v>
      </c>
      <c r="D36" s="15">
        <f t="shared" si="6"/>
        <v>4417.8</v>
      </c>
      <c r="E36" s="15">
        <f t="shared" si="7"/>
        <v>4922.7</v>
      </c>
      <c r="F36" s="15">
        <f t="shared" si="8"/>
        <v>3912.9</v>
      </c>
      <c r="G36" s="15">
        <f t="shared" si="9"/>
        <v>130</v>
      </c>
      <c r="H36" s="15">
        <f t="shared" si="10"/>
        <v>189.8</v>
      </c>
      <c r="I36" s="15">
        <f t="shared" si="11"/>
        <v>620.29999999999995</v>
      </c>
    </row>
    <row r="37" spans="1:9" ht="13.2" x14ac:dyDescent="0.25">
      <c r="A37" s="6" t="s">
        <v>24</v>
      </c>
      <c r="B37" s="6" t="s">
        <v>60</v>
      </c>
      <c r="C37">
        <v>4150</v>
      </c>
      <c r="D37" s="15">
        <f t="shared" si="6"/>
        <v>4417.8</v>
      </c>
      <c r="E37" s="15">
        <f t="shared" si="7"/>
        <v>4922.7</v>
      </c>
      <c r="F37" s="15">
        <f t="shared" si="8"/>
        <v>3912.9</v>
      </c>
      <c r="G37" s="15">
        <f t="shared" si="9"/>
        <v>70</v>
      </c>
      <c r="H37" s="15">
        <f t="shared" si="10"/>
        <v>189.8</v>
      </c>
      <c r="I37" s="15">
        <f t="shared" si="11"/>
        <v>620.29999999999995</v>
      </c>
    </row>
    <row r="38" spans="1:9" ht="13.2" x14ac:dyDescent="0.25">
      <c r="A38" s="6" t="s">
        <v>24</v>
      </c>
      <c r="B38" s="6" t="s">
        <v>61</v>
      </c>
      <c r="C38">
        <v>4520</v>
      </c>
      <c r="D38" s="15">
        <f t="shared" si="6"/>
        <v>4417.8</v>
      </c>
      <c r="E38" s="15">
        <f t="shared" si="7"/>
        <v>4922.7</v>
      </c>
      <c r="F38" s="15">
        <f t="shared" si="8"/>
        <v>3912.9</v>
      </c>
      <c r="G38" s="15">
        <f t="shared" si="9"/>
        <v>370</v>
      </c>
      <c r="H38" s="15">
        <f t="shared" si="10"/>
        <v>189.8</v>
      </c>
      <c r="I38" s="15">
        <f t="shared" si="11"/>
        <v>620.29999999999995</v>
      </c>
    </row>
    <row r="39" spans="1:9" ht="13.2" x14ac:dyDescent="0.25">
      <c r="A39" s="6" t="s">
        <v>24</v>
      </c>
      <c r="B39" s="6" t="s">
        <v>62</v>
      </c>
      <c r="C39">
        <v>4545</v>
      </c>
      <c r="D39" s="15">
        <f t="shared" si="6"/>
        <v>4417.8</v>
      </c>
      <c r="E39" s="15">
        <f t="shared" si="7"/>
        <v>4922.7</v>
      </c>
      <c r="F39" s="15">
        <f t="shared" si="8"/>
        <v>3912.9</v>
      </c>
      <c r="G39" s="15">
        <f t="shared" si="9"/>
        <v>25</v>
      </c>
      <c r="H39" s="15">
        <f t="shared" si="10"/>
        <v>189.8</v>
      </c>
      <c r="I39" s="15">
        <f t="shared" si="11"/>
        <v>620.29999999999995</v>
      </c>
    </row>
    <row r="40" spans="1:9" ht="13.2" x14ac:dyDescent="0.25">
      <c r="A40" s="6" t="s">
        <v>24</v>
      </c>
      <c r="B40" s="6" t="s">
        <v>63</v>
      </c>
      <c r="C40">
        <v>4650</v>
      </c>
      <c r="D40" s="15">
        <f t="shared" si="6"/>
        <v>4417.8</v>
      </c>
      <c r="E40" s="15">
        <f t="shared" si="7"/>
        <v>4922.7</v>
      </c>
      <c r="F40" s="15">
        <f t="shared" si="8"/>
        <v>3912.9</v>
      </c>
      <c r="G40" s="15">
        <f t="shared" si="9"/>
        <v>105</v>
      </c>
      <c r="H40" s="15">
        <f t="shared" si="10"/>
        <v>189.8</v>
      </c>
      <c r="I40" s="15">
        <f t="shared" si="11"/>
        <v>620.29999999999995</v>
      </c>
    </row>
    <row r="41" spans="1:9" ht="13.2" x14ac:dyDescent="0.25">
      <c r="A41" s="6" t="s">
        <v>24</v>
      </c>
      <c r="B41" s="6" t="s">
        <v>64</v>
      </c>
      <c r="C41">
        <v>4230</v>
      </c>
      <c r="D41" s="15">
        <f t="shared" si="6"/>
        <v>4417.8</v>
      </c>
      <c r="E41" s="15">
        <f t="shared" si="7"/>
        <v>4922.7</v>
      </c>
      <c r="F41" s="15">
        <f t="shared" si="8"/>
        <v>3912.9</v>
      </c>
      <c r="G41" s="15">
        <f t="shared" si="9"/>
        <v>420</v>
      </c>
      <c r="H41" s="15">
        <f t="shared" si="10"/>
        <v>189.8</v>
      </c>
      <c r="I41" s="15">
        <f t="shared" si="11"/>
        <v>620.29999999999995</v>
      </c>
    </row>
    <row r="42" spans="1:9" ht="13.2" x14ac:dyDescent="0.25">
      <c r="A42" s="6" t="s">
        <v>24</v>
      </c>
      <c r="B42" s="6" t="s">
        <v>65</v>
      </c>
      <c r="C42">
        <v>4320</v>
      </c>
      <c r="D42" s="15">
        <f t="shared" si="6"/>
        <v>4417.8</v>
      </c>
      <c r="E42" s="15">
        <f t="shared" si="7"/>
        <v>4922.7</v>
      </c>
      <c r="F42" s="15">
        <f t="shared" si="8"/>
        <v>3912.9</v>
      </c>
      <c r="G42" s="15">
        <f t="shared" si="9"/>
        <v>90</v>
      </c>
      <c r="H42" s="15">
        <f t="shared" si="10"/>
        <v>189.8</v>
      </c>
      <c r="I42" s="15">
        <f t="shared" si="11"/>
        <v>620.29999999999995</v>
      </c>
    </row>
    <row r="43" spans="1:9" ht="13.2" x14ac:dyDescent="0.25">
      <c r="A43" s="6" t="s">
        <v>24</v>
      </c>
      <c r="B43" s="6" t="s">
        <v>66</v>
      </c>
      <c r="C43">
        <v>4570</v>
      </c>
      <c r="D43" s="15">
        <f t="shared" si="6"/>
        <v>4417.8</v>
      </c>
      <c r="E43" s="15">
        <f t="shared" si="7"/>
        <v>4922.7</v>
      </c>
      <c r="F43" s="15">
        <f t="shared" si="8"/>
        <v>3912.9</v>
      </c>
      <c r="G43" s="15">
        <f t="shared" si="9"/>
        <v>250</v>
      </c>
      <c r="H43" s="15">
        <f t="shared" si="10"/>
        <v>189.8</v>
      </c>
      <c r="I43" s="15">
        <f t="shared" si="11"/>
        <v>620.29999999999995</v>
      </c>
    </row>
    <row r="44" spans="1:9" ht="13.2" x14ac:dyDescent="0.25">
      <c r="A44" s="6" t="s">
        <v>24</v>
      </c>
      <c r="B44" s="6" t="s">
        <v>67</v>
      </c>
      <c r="C44">
        <v>4380</v>
      </c>
      <c r="D44" s="15">
        <f t="shared" si="6"/>
        <v>4417.8</v>
      </c>
      <c r="E44" s="15">
        <f t="shared" si="7"/>
        <v>4922.7</v>
      </c>
      <c r="F44" s="15">
        <f t="shared" si="8"/>
        <v>3912.9</v>
      </c>
      <c r="G44" s="15">
        <f t="shared" si="9"/>
        <v>190</v>
      </c>
      <c r="H44" s="15">
        <f t="shared" si="10"/>
        <v>189.8</v>
      </c>
      <c r="I44" s="15">
        <f t="shared" si="11"/>
        <v>620.29999999999995</v>
      </c>
    </row>
    <row r="45" spans="1:9" ht="13.2" x14ac:dyDescent="0.25">
      <c r="A45" s="6" t="s">
        <v>24</v>
      </c>
      <c r="B45" s="6" t="s">
        <v>68</v>
      </c>
      <c r="C45">
        <v>4450</v>
      </c>
      <c r="D45" s="15">
        <f t="shared" si="6"/>
        <v>4417.8</v>
      </c>
      <c r="E45" s="15">
        <f t="shared" si="7"/>
        <v>4922.7</v>
      </c>
      <c r="F45" s="15">
        <f t="shared" si="8"/>
        <v>3912.9</v>
      </c>
      <c r="G45" s="15">
        <f t="shared" si="9"/>
        <v>70</v>
      </c>
      <c r="H45" s="15">
        <f t="shared" si="10"/>
        <v>189.8</v>
      </c>
      <c r="I45" s="15">
        <f t="shared" si="11"/>
        <v>620.29999999999995</v>
      </c>
    </row>
    <row r="46" spans="1:9" ht="13.2" x14ac:dyDescent="0.25">
      <c r="A46" s="6" t="s">
        <v>24</v>
      </c>
      <c r="B46" s="6" t="s">
        <v>69</v>
      </c>
      <c r="C46">
        <v>4340</v>
      </c>
      <c r="D46" s="15">
        <f t="shared" si="6"/>
        <v>4417.8</v>
      </c>
      <c r="E46" s="15">
        <f t="shared" si="7"/>
        <v>4922.7</v>
      </c>
      <c r="F46" s="15">
        <f t="shared" si="8"/>
        <v>3912.9</v>
      </c>
      <c r="G46" s="15">
        <f t="shared" si="9"/>
        <v>110</v>
      </c>
      <c r="H46" s="15">
        <f t="shared" si="10"/>
        <v>189.8</v>
      </c>
      <c r="I46" s="15">
        <f t="shared" si="11"/>
        <v>620.29999999999995</v>
      </c>
    </row>
    <row r="47" spans="1:9" ht="13.2" x14ac:dyDescent="0.25">
      <c r="A47" s="6" t="s">
        <v>24</v>
      </c>
      <c r="B47" s="6" t="s">
        <v>70</v>
      </c>
      <c r="C47">
        <v>4350</v>
      </c>
      <c r="D47" s="15">
        <f t="shared" si="6"/>
        <v>4417.8</v>
      </c>
      <c r="E47" s="15">
        <f t="shared" si="7"/>
        <v>4922.7</v>
      </c>
      <c r="F47" s="15">
        <f t="shared" si="8"/>
        <v>3912.9</v>
      </c>
      <c r="G47" s="15">
        <f t="shared" si="9"/>
        <v>10</v>
      </c>
      <c r="H47" s="15">
        <f t="shared" si="10"/>
        <v>189.8</v>
      </c>
      <c r="I47" s="15">
        <f t="shared" si="11"/>
        <v>620.29999999999995</v>
      </c>
    </row>
    <row r="48" spans="1:9" ht="13.2" x14ac:dyDescent="0.25">
      <c r="A48" s="6" t="s">
        <v>24</v>
      </c>
      <c r="B48" s="6" t="s">
        <v>71</v>
      </c>
      <c r="C48">
        <v>4660</v>
      </c>
      <c r="D48" s="15">
        <f t="shared" si="6"/>
        <v>4417.8</v>
      </c>
      <c r="E48" s="15">
        <f t="shared" si="7"/>
        <v>4922.7</v>
      </c>
      <c r="F48" s="15">
        <f t="shared" si="8"/>
        <v>3912.9</v>
      </c>
      <c r="G48" s="15">
        <f t="shared" si="9"/>
        <v>310</v>
      </c>
      <c r="H48" s="15">
        <f t="shared" si="10"/>
        <v>189.8</v>
      </c>
      <c r="I48" s="15">
        <f t="shared" si="11"/>
        <v>620.29999999999995</v>
      </c>
    </row>
    <row r="49" spans="1:9" ht="13.2" x14ac:dyDescent="0.25">
      <c r="A49" s="6" t="s">
        <v>24</v>
      </c>
      <c r="B49" s="6" t="s">
        <v>72</v>
      </c>
      <c r="C49">
        <v>4220</v>
      </c>
      <c r="D49" s="15">
        <f t="shared" si="6"/>
        <v>4417.8</v>
      </c>
      <c r="E49" s="15">
        <f t="shared" si="7"/>
        <v>4922.7</v>
      </c>
      <c r="F49" s="15">
        <f t="shared" si="8"/>
        <v>3912.9</v>
      </c>
      <c r="G49" s="15">
        <f t="shared" si="9"/>
        <v>440</v>
      </c>
      <c r="H49" s="15">
        <f t="shared" si="10"/>
        <v>189.8</v>
      </c>
      <c r="I49" s="15">
        <f t="shared" si="11"/>
        <v>620.29999999999995</v>
      </c>
    </row>
    <row r="50" spans="1:9" ht="13.2" x14ac:dyDescent="0.25">
      <c r="A50" s="6" t="s">
        <v>24</v>
      </c>
      <c r="B50" s="6" t="s">
        <v>73</v>
      </c>
      <c r="C50">
        <v>4310</v>
      </c>
      <c r="D50" s="15">
        <f t="shared" si="6"/>
        <v>4417.8</v>
      </c>
      <c r="E50" s="15">
        <f t="shared" si="7"/>
        <v>4922.7</v>
      </c>
      <c r="F50" s="15">
        <f t="shared" si="8"/>
        <v>3912.9</v>
      </c>
      <c r="G50" s="15">
        <f t="shared" si="9"/>
        <v>90</v>
      </c>
      <c r="H50" s="15">
        <f t="shared" si="10"/>
        <v>189.8</v>
      </c>
      <c r="I50" s="15">
        <f t="shared" si="11"/>
        <v>620.29999999999995</v>
      </c>
    </row>
    <row r="51" spans="1:9" ht="13.2" x14ac:dyDescent="0.25">
      <c r="A51" s="6" t="s">
        <v>24</v>
      </c>
      <c r="B51" s="6" t="s">
        <v>74</v>
      </c>
      <c r="C51">
        <v>4250</v>
      </c>
      <c r="D51" s="15">
        <f t="shared" si="6"/>
        <v>4417.8</v>
      </c>
      <c r="E51" s="15">
        <f t="shared" si="7"/>
        <v>4922.7</v>
      </c>
      <c r="F51" s="15">
        <f t="shared" si="8"/>
        <v>3912.9</v>
      </c>
      <c r="G51" s="15">
        <f t="shared" si="9"/>
        <v>60</v>
      </c>
      <c r="H51" s="15">
        <f t="shared" si="10"/>
        <v>189.8</v>
      </c>
      <c r="I51" s="15">
        <f t="shared" si="11"/>
        <v>620.29999999999995</v>
      </c>
    </row>
    <row r="52" spans="1:9" ht="13.2" x14ac:dyDescent="0.25">
      <c r="A52" s="6" t="s">
        <v>24</v>
      </c>
      <c r="B52" s="6" t="s">
        <v>75</v>
      </c>
      <c r="C52">
        <v>4315</v>
      </c>
      <c r="D52" s="15">
        <f t="shared" si="6"/>
        <v>4417.8</v>
      </c>
      <c r="E52" s="15">
        <f t="shared" si="7"/>
        <v>4922.7</v>
      </c>
      <c r="F52" s="15">
        <f t="shared" si="8"/>
        <v>3912.9</v>
      </c>
      <c r="G52" s="15">
        <f t="shared" si="9"/>
        <v>65</v>
      </c>
      <c r="H52" s="15">
        <f t="shared" si="10"/>
        <v>189.8</v>
      </c>
      <c r="I52" s="15">
        <f t="shared" si="11"/>
        <v>620.29999999999995</v>
      </c>
    </row>
    <row r="53" spans="1:9" ht="13.2" x14ac:dyDescent="0.25">
      <c r="A53" s="6" t="s">
        <v>24</v>
      </c>
      <c r="B53" s="6" t="s">
        <v>76</v>
      </c>
      <c r="C53">
        <v>4380</v>
      </c>
      <c r="D53" s="15">
        <f t="shared" si="6"/>
        <v>4417.8</v>
      </c>
      <c r="E53" s="15">
        <f t="shared" si="7"/>
        <v>4922.7</v>
      </c>
      <c r="F53" s="15">
        <f t="shared" si="8"/>
        <v>3912.9</v>
      </c>
      <c r="G53" s="15">
        <f t="shared" si="9"/>
        <v>65</v>
      </c>
      <c r="H53" s="15">
        <f t="shared" si="10"/>
        <v>189.8</v>
      </c>
      <c r="I53" s="15">
        <f t="shared" si="11"/>
        <v>620.29999999999995</v>
      </c>
    </row>
    <row r="54" spans="1:9" ht="13.2" x14ac:dyDescent="0.25">
      <c r="A54" s="6" t="s">
        <v>24</v>
      </c>
      <c r="B54" s="6" t="s">
        <v>77</v>
      </c>
      <c r="C54">
        <v>4490</v>
      </c>
      <c r="D54" s="15">
        <f t="shared" si="6"/>
        <v>4417.8</v>
      </c>
      <c r="E54" s="15">
        <f t="shared" si="7"/>
        <v>4922.7</v>
      </c>
      <c r="F54" s="15">
        <f t="shared" si="8"/>
        <v>3912.9</v>
      </c>
      <c r="G54" s="15">
        <f t="shared" si="9"/>
        <v>110</v>
      </c>
      <c r="H54" s="15">
        <f t="shared" si="10"/>
        <v>189.8</v>
      </c>
      <c r="I54" s="15">
        <f t="shared" si="11"/>
        <v>620.29999999999995</v>
      </c>
    </row>
    <row r="55" spans="1:9" ht="13.2" x14ac:dyDescent="0.25">
      <c r="A55" s="6" t="s">
        <v>24</v>
      </c>
      <c r="B55" s="6" t="s">
        <v>78</v>
      </c>
      <c r="C55">
        <v>4240</v>
      </c>
      <c r="D55" s="15">
        <f t="shared" si="6"/>
        <v>4417.8</v>
      </c>
      <c r="E55" s="15">
        <f t="shared" si="7"/>
        <v>4922.7</v>
      </c>
      <c r="F55" s="15">
        <f t="shared" si="8"/>
        <v>3912.9</v>
      </c>
      <c r="G55" s="15">
        <f t="shared" si="9"/>
        <v>250</v>
      </c>
      <c r="H55" s="15">
        <f t="shared" si="10"/>
        <v>189.8</v>
      </c>
      <c r="I55" s="15">
        <f t="shared" si="11"/>
        <v>620.29999999999995</v>
      </c>
    </row>
    <row r="56" spans="1:9" ht="13.2" x14ac:dyDescent="0.25">
      <c r="A56" s="6" t="s">
        <v>24</v>
      </c>
      <c r="B56" s="6" t="s">
        <v>79</v>
      </c>
      <c r="C56">
        <v>4350</v>
      </c>
      <c r="D56" s="15">
        <f t="shared" si="6"/>
        <v>4417.8</v>
      </c>
      <c r="E56" s="15">
        <f t="shared" si="7"/>
        <v>4922.7</v>
      </c>
      <c r="F56" s="15">
        <f t="shared" si="8"/>
        <v>3912.9</v>
      </c>
      <c r="G56" s="15">
        <f t="shared" si="9"/>
        <v>110</v>
      </c>
      <c r="H56" s="15">
        <f t="shared" si="10"/>
        <v>189.8</v>
      </c>
      <c r="I56" s="15">
        <f t="shared" si="11"/>
        <v>620.29999999999995</v>
      </c>
    </row>
    <row r="57" spans="1:9" ht="13.2" x14ac:dyDescent="0.25">
      <c r="A57" s="6" t="s">
        <v>24</v>
      </c>
      <c r="B57" s="6" t="s">
        <v>80</v>
      </c>
      <c r="C57">
        <v>4320</v>
      </c>
      <c r="D57" s="15">
        <f t="shared" si="6"/>
        <v>4417.8</v>
      </c>
      <c r="E57" s="15">
        <f t="shared" si="7"/>
        <v>4922.7</v>
      </c>
      <c r="F57" s="15">
        <f t="shared" si="8"/>
        <v>3912.9</v>
      </c>
      <c r="G57" s="15">
        <f t="shared" si="9"/>
        <v>30</v>
      </c>
      <c r="H57" s="15">
        <f t="shared" si="10"/>
        <v>189.8</v>
      </c>
      <c r="I57" s="15">
        <f t="shared" si="11"/>
        <v>620.29999999999995</v>
      </c>
    </row>
    <row r="58" spans="1:9" ht="13.2" x14ac:dyDescent="0.25">
      <c r="A58" s="6" t="s">
        <v>24</v>
      </c>
      <c r="B58" s="6" t="s">
        <v>81</v>
      </c>
      <c r="C58">
        <v>4475</v>
      </c>
      <c r="D58" s="15">
        <f t="shared" si="6"/>
        <v>4417.8</v>
      </c>
      <c r="E58" s="15">
        <f t="shared" si="7"/>
        <v>4922.7</v>
      </c>
      <c r="F58" s="15">
        <f t="shared" si="8"/>
        <v>3912.9</v>
      </c>
      <c r="G58" s="15">
        <f t="shared" si="9"/>
        <v>155</v>
      </c>
      <c r="H58" s="15">
        <f t="shared" si="10"/>
        <v>189.8</v>
      </c>
      <c r="I58" s="15">
        <f t="shared" si="11"/>
        <v>620.29999999999995</v>
      </c>
    </row>
    <row r="59" spans="1:9" ht="13.2" x14ac:dyDescent="0.25">
      <c r="A59" s="6" t="s">
        <v>24</v>
      </c>
      <c r="B59" s="6" t="s">
        <v>82</v>
      </c>
      <c r="C59">
        <v>4725</v>
      </c>
      <c r="D59" s="15">
        <f t="shared" si="6"/>
        <v>4417.8</v>
      </c>
      <c r="E59" s="15">
        <f t="shared" si="7"/>
        <v>4922.7</v>
      </c>
      <c r="F59" s="15">
        <f t="shared" si="8"/>
        <v>3912.9</v>
      </c>
      <c r="G59" s="15">
        <f t="shared" si="9"/>
        <v>250</v>
      </c>
      <c r="H59" s="15">
        <f t="shared" si="10"/>
        <v>189.8</v>
      </c>
      <c r="I59" s="15">
        <f t="shared" si="11"/>
        <v>620.29999999999995</v>
      </c>
    </row>
    <row r="60" spans="1:9" ht="13.2" x14ac:dyDescent="0.25">
      <c r="A60" s="6" t="s">
        <v>24</v>
      </c>
      <c r="B60" s="6" t="s">
        <v>83</v>
      </c>
      <c r="C60">
        <v>4540</v>
      </c>
      <c r="D60" s="15">
        <f t="shared" si="6"/>
        <v>4417.8</v>
      </c>
      <c r="E60" s="15">
        <f t="shared" si="7"/>
        <v>4922.7</v>
      </c>
      <c r="F60" s="15">
        <f t="shared" si="8"/>
        <v>3912.9</v>
      </c>
      <c r="G60" s="15">
        <f t="shared" si="9"/>
        <v>185</v>
      </c>
      <c r="H60" s="15">
        <f t="shared" si="10"/>
        <v>189.8</v>
      </c>
      <c r="I60" s="15">
        <f t="shared" si="11"/>
        <v>620.29999999999995</v>
      </c>
    </row>
    <row r="61" spans="1:9" ht="13.2" x14ac:dyDescent="0.25">
      <c r="A61" s="6" t="s">
        <v>24</v>
      </c>
      <c r="B61" s="6" t="s">
        <v>84</v>
      </c>
      <c r="C61">
        <v>4565</v>
      </c>
      <c r="D61" s="15">
        <f t="shared" si="6"/>
        <v>4417.8</v>
      </c>
      <c r="E61" s="15">
        <f t="shared" si="7"/>
        <v>4922.7</v>
      </c>
      <c r="F61" s="15">
        <f t="shared" si="8"/>
        <v>3912.9</v>
      </c>
      <c r="G61" s="15">
        <f t="shared" si="9"/>
        <v>25</v>
      </c>
      <c r="H61" s="15">
        <f t="shared" si="10"/>
        <v>189.8</v>
      </c>
      <c r="I61" s="15">
        <f t="shared" si="11"/>
        <v>620.29999999999995</v>
      </c>
    </row>
    <row r="62" spans="1:9" ht="13.2" x14ac:dyDescent="0.25">
      <c r="A62" s="6" t="s">
        <v>24</v>
      </c>
      <c r="B62" s="6" t="s">
        <v>85</v>
      </c>
      <c r="C62">
        <v>4210</v>
      </c>
      <c r="D62" s="15">
        <f t="shared" si="6"/>
        <v>4417.8</v>
      </c>
      <c r="E62" s="15">
        <f t="shared" si="7"/>
        <v>4922.7</v>
      </c>
      <c r="F62" s="15">
        <f t="shared" si="8"/>
        <v>3912.9</v>
      </c>
      <c r="G62" s="15">
        <f t="shared" si="9"/>
        <v>355</v>
      </c>
      <c r="H62" s="15">
        <f t="shared" si="10"/>
        <v>189.8</v>
      </c>
      <c r="I62" s="15">
        <f t="shared" si="11"/>
        <v>620.29999999999995</v>
      </c>
    </row>
    <row r="63" spans="1:9" ht="13.2" x14ac:dyDescent="0.25">
      <c r="A63" s="6" t="s">
        <v>24</v>
      </c>
      <c r="B63" s="6" t="s">
        <v>86</v>
      </c>
      <c r="C63">
        <v>4540</v>
      </c>
      <c r="D63" s="15">
        <f t="shared" si="6"/>
        <v>4417.8</v>
      </c>
      <c r="E63" s="15">
        <f t="shared" si="7"/>
        <v>4922.7</v>
      </c>
      <c r="F63" s="15">
        <f t="shared" si="8"/>
        <v>3912.9</v>
      </c>
      <c r="G63" s="15">
        <f t="shared" si="9"/>
        <v>330</v>
      </c>
      <c r="H63" s="15">
        <f t="shared" si="10"/>
        <v>189.8</v>
      </c>
      <c r="I63" s="15">
        <f t="shared" si="11"/>
        <v>620.29999999999995</v>
      </c>
    </row>
    <row r="64" spans="1:9" ht="13.2" x14ac:dyDescent="0.25">
      <c r="A64" s="6" t="s">
        <v>24</v>
      </c>
      <c r="B64" s="6" t="s">
        <v>87</v>
      </c>
      <c r="C64">
        <v>4600</v>
      </c>
      <c r="D64" s="15">
        <f t="shared" si="6"/>
        <v>4417.8</v>
      </c>
      <c r="E64" s="15">
        <f t="shared" si="7"/>
        <v>4922.7</v>
      </c>
      <c r="F64" s="15">
        <f t="shared" si="8"/>
        <v>3912.9</v>
      </c>
      <c r="G64" s="15">
        <f t="shared" si="9"/>
        <v>60</v>
      </c>
      <c r="H64" s="15">
        <f t="shared" si="10"/>
        <v>189.8</v>
      </c>
      <c r="I64" s="15">
        <f t="shared" si="11"/>
        <v>620.29999999999995</v>
      </c>
    </row>
    <row r="65" spans="1:9" ht="13.2" x14ac:dyDescent="0.25">
      <c r="A65" s="6" t="s">
        <v>24</v>
      </c>
      <c r="B65" s="6" t="s">
        <v>88</v>
      </c>
      <c r="C65">
        <v>4850</v>
      </c>
      <c r="D65" s="15">
        <f t="shared" si="6"/>
        <v>4417.8</v>
      </c>
      <c r="E65" s="15">
        <f t="shared" si="7"/>
        <v>4922.7</v>
      </c>
      <c r="F65" s="15">
        <f t="shared" si="8"/>
        <v>3912.9</v>
      </c>
      <c r="G65" s="15">
        <f t="shared" si="9"/>
        <v>250</v>
      </c>
      <c r="H65" s="15">
        <f t="shared" si="10"/>
        <v>189.8</v>
      </c>
      <c r="I65" s="15">
        <f t="shared" si="11"/>
        <v>620.29999999999995</v>
      </c>
    </row>
    <row r="66" spans="1:9" ht="13.2" x14ac:dyDescent="0.25">
      <c r="A66" s="2"/>
      <c r="B66" s="2"/>
      <c r="C66" s="2"/>
    </row>
    <row r="67" spans="1:9" ht="13.2" x14ac:dyDescent="0.25">
      <c r="A67" s="2"/>
      <c r="B67" s="2"/>
      <c r="C67" s="2"/>
    </row>
    <row r="68" spans="1:9" ht="13.2" x14ac:dyDescent="0.25">
      <c r="A68" s="2"/>
      <c r="B68" s="2"/>
      <c r="C68" s="2"/>
    </row>
    <row r="69" spans="1:9" ht="13.2" x14ac:dyDescent="0.25">
      <c r="A69" s="2"/>
      <c r="B69" s="2"/>
      <c r="C69" s="2"/>
    </row>
    <row r="70" spans="1:9" ht="13.2" x14ac:dyDescent="0.25">
      <c r="A70" s="2"/>
      <c r="B70" s="2"/>
      <c r="C70" s="2"/>
    </row>
    <row r="71" spans="1:9" ht="13.2" x14ac:dyDescent="0.25">
      <c r="A71" s="2"/>
      <c r="B71" s="2"/>
      <c r="C71" s="2"/>
    </row>
    <row r="72" spans="1:9" ht="13.2" x14ac:dyDescent="0.25">
      <c r="A72" s="2"/>
      <c r="B72" s="2"/>
      <c r="C72" s="2"/>
    </row>
    <row r="73" spans="1:9" ht="13.2" x14ac:dyDescent="0.25">
      <c r="A73" s="2"/>
      <c r="B73" s="2"/>
      <c r="C73" s="2"/>
    </row>
    <row r="74" spans="1:9" ht="13.2" x14ac:dyDescent="0.25">
      <c r="A74" s="2"/>
      <c r="B74" s="2"/>
      <c r="C74" s="2"/>
    </row>
    <row r="75" spans="1:9" ht="13.2" x14ac:dyDescent="0.25">
      <c r="A75" s="2"/>
      <c r="B75" s="2"/>
      <c r="C75" s="2"/>
    </row>
    <row r="76" spans="1:9" ht="13.2" x14ac:dyDescent="0.25">
      <c r="A76" s="2"/>
      <c r="B76" s="2"/>
      <c r="C76" s="2"/>
    </row>
    <row r="77" spans="1:9" ht="13.2" x14ac:dyDescent="0.25">
      <c r="A77" s="2"/>
      <c r="B77" s="2"/>
      <c r="C77" s="2"/>
    </row>
    <row r="78" spans="1:9" ht="13.2" x14ac:dyDescent="0.25">
      <c r="A78" s="2"/>
      <c r="B78" s="2"/>
      <c r="C78" s="2"/>
    </row>
    <row r="79" spans="1:9" ht="13.2" x14ac:dyDescent="0.25">
      <c r="A79" s="2"/>
      <c r="B79" s="2"/>
      <c r="C79" s="2"/>
    </row>
    <row r="80" spans="1:9" ht="13.2" x14ac:dyDescent="0.25">
      <c r="A80" s="2"/>
      <c r="B80" s="2"/>
      <c r="C80" s="2"/>
    </row>
    <row r="81" spans="1:3" ht="13.2" x14ac:dyDescent="0.25">
      <c r="A81" s="2"/>
      <c r="B81" s="2"/>
      <c r="C81" s="2"/>
    </row>
    <row r="82" spans="1:3" ht="13.2" x14ac:dyDescent="0.25">
      <c r="A82" s="2"/>
      <c r="B82" s="2"/>
      <c r="C82" s="2"/>
    </row>
    <row r="83" spans="1:3" ht="13.2" x14ac:dyDescent="0.25">
      <c r="A83" s="2"/>
      <c r="B83" s="2"/>
      <c r="C83" s="2"/>
    </row>
    <row r="84" spans="1:3" ht="13.2" x14ac:dyDescent="0.25">
      <c r="A84" s="2"/>
      <c r="B84" s="2"/>
      <c r="C84" s="2"/>
    </row>
    <row r="85" spans="1:3" ht="13.2" x14ac:dyDescent="0.25">
      <c r="A85" s="2"/>
      <c r="B85" s="2"/>
      <c r="C85" s="2"/>
    </row>
    <row r="86" spans="1:3" ht="13.2" x14ac:dyDescent="0.25">
      <c r="A86" s="2"/>
      <c r="B86" s="2"/>
      <c r="C86" s="2"/>
    </row>
    <row r="87" spans="1:3" ht="13.2" x14ac:dyDescent="0.25">
      <c r="A87" s="2"/>
      <c r="B87" s="2"/>
      <c r="C87" s="2"/>
    </row>
    <row r="88" spans="1:3" ht="13.2" x14ac:dyDescent="0.25">
      <c r="A88" s="2"/>
      <c r="B88" s="2"/>
      <c r="C88" s="2"/>
    </row>
    <row r="89" spans="1:3" ht="13.2" x14ac:dyDescent="0.25">
      <c r="A89" s="2"/>
      <c r="B89" s="2"/>
      <c r="C89" s="2"/>
    </row>
    <row r="90" spans="1:3" ht="13.2" x14ac:dyDescent="0.25">
      <c r="A90" s="2"/>
      <c r="B90" s="2"/>
      <c r="C90" s="2"/>
    </row>
    <row r="91" spans="1:3" ht="13.2" x14ac:dyDescent="0.25">
      <c r="A91" s="2"/>
      <c r="B91" s="2"/>
      <c r="C91" s="2"/>
    </row>
    <row r="92" spans="1:3" ht="13.2" x14ac:dyDescent="0.25">
      <c r="A92" s="2"/>
      <c r="B92" s="2"/>
      <c r="C92" s="2"/>
    </row>
    <row r="93" spans="1:3" ht="13.2" x14ac:dyDescent="0.25">
      <c r="A93" s="2"/>
      <c r="B93" s="2"/>
      <c r="C93" s="2"/>
    </row>
    <row r="94" spans="1:3" ht="13.2" x14ac:dyDescent="0.25">
      <c r="A94" s="2"/>
      <c r="B94" s="2"/>
      <c r="C94" s="2"/>
    </row>
    <row r="95" spans="1:3" ht="13.2" x14ac:dyDescent="0.25">
      <c r="A95" s="2"/>
      <c r="B95" s="2"/>
      <c r="C95" s="2"/>
    </row>
    <row r="96" spans="1:3" ht="13.2" x14ac:dyDescent="0.25">
      <c r="A96" s="2"/>
      <c r="B96" s="2"/>
      <c r="C96" s="2"/>
    </row>
    <row r="97" spans="1:3" ht="13.2" x14ac:dyDescent="0.25">
      <c r="A97" s="2"/>
      <c r="B97" s="2"/>
      <c r="C97" s="2"/>
    </row>
    <row r="98" spans="1:3" ht="13.2" x14ac:dyDescent="0.25">
      <c r="A98" s="2"/>
      <c r="B98" s="2"/>
      <c r="C98" s="2"/>
    </row>
    <row r="99" spans="1:3" ht="13.2" x14ac:dyDescent="0.25">
      <c r="A99" s="2"/>
      <c r="B99" s="2"/>
      <c r="C99" s="2"/>
    </row>
    <row r="100" spans="1:3" ht="13.2" x14ac:dyDescent="0.25">
      <c r="A100" s="2"/>
      <c r="B100" s="2"/>
      <c r="C100" s="2"/>
    </row>
    <row r="101" spans="1:3" ht="13.2" x14ac:dyDescent="0.25">
      <c r="A101" s="2"/>
      <c r="B101" s="2"/>
      <c r="C101" s="2"/>
    </row>
    <row r="102" spans="1:3" ht="13.2" x14ac:dyDescent="0.25">
      <c r="A102" s="2"/>
      <c r="B102" s="2"/>
      <c r="C102" s="2"/>
    </row>
    <row r="103" spans="1:3" ht="13.2" x14ac:dyDescent="0.25">
      <c r="A103" s="2"/>
      <c r="B103" s="2"/>
      <c r="C103" s="2"/>
    </row>
    <row r="104" spans="1:3" ht="13.2" x14ac:dyDescent="0.25">
      <c r="A104" s="2"/>
      <c r="B104" s="2"/>
      <c r="C104" s="2"/>
    </row>
    <row r="105" spans="1:3" ht="13.2" x14ac:dyDescent="0.25">
      <c r="A105" s="2"/>
      <c r="B105" s="2"/>
      <c r="C105" s="2"/>
    </row>
    <row r="106" spans="1:3" ht="13.2" x14ac:dyDescent="0.25">
      <c r="A106" s="2"/>
      <c r="B106" s="2"/>
      <c r="C106" s="2"/>
    </row>
    <row r="107" spans="1:3" ht="13.2" x14ac:dyDescent="0.25">
      <c r="A107" s="2"/>
      <c r="B107" s="2"/>
      <c r="C107" s="2"/>
    </row>
    <row r="108" spans="1:3" ht="13.2" x14ac:dyDescent="0.25">
      <c r="A108" s="2"/>
      <c r="B108" s="2"/>
      <c r="C108" s="2"/>
    </row>
    <row r="109" spans="1:3" ht="13.2" x14ac:dyDescent="0.25">
      <c r="A109" s="2"/>
      <c r="B109" s="2"/>
      <c r="C109" s="2"/>
    </row>
    <row r="110" spans="1:3" ht="13.2" x14ac:dyDescent="0.25">
      <c r="A110" s="2"/>
      <c r="B110" s="2"/>
      <c r="C110" s="2"/>
    </row>
    <row r="111" spans="1:3" ht="13.2" x14ac:dyDescent="0.25">
      <c r="A111" s="2"/>
      <c r="B111" s="2"/>
      <c r="C111" s="2"/>
    </row>
    <row r="112" spans="1:3" ht="13.2" x14ac:dyDescent="0.25">
      <c r="A112" s="2"/>
      <c r="B112" s="2"/>
      <c r="C112" s="2"/>
    </row>
    <row r="113" spans="1:3" ht="13.2" x14ac:dyDescent="0.25">
      <c r="A113" s="2"/>
      <c r="B113" s="2"/>
      <c r="C113" s="2"/>
    </row>
    <row r="114" spans="1:3" ht="13.2" x14ac:dyDescent="0.25">
      <c r="A114" s="2"/>
      <c r="B114" s="2"/>
      <c r="C114" s="2"/>
    </row>
    <row r="115" spans="1:3" ht="13.2" x14ac:dyDescent="0.25">
      <c r="A115" s="2"/>
      <c r="B115" s="2"/>
      <c r="C115" s="2"/>
    </row>
    <row r="116" spans="1:3" ht="13.2" x14ac:dyDescent="0.25">
      <c r="A116" s="2"/>
      <c r="B116" s="2"/>
      <c r="C116" s="2"/>
    </row>
    <row r="117" spans="1:3" ht="13.2" x14ac:dyDescent="0.25">
      <c r="A117" s="2"/>
      <c r="B117" s="2"/>
      <c r="C117" s="2"/>
    </row>
    <row r="118" spans="1:3" ht="13.2" x14ac:dyDescent="0.25">
      <c r="A118" s="2"/>
      <c r="B118" s="2"/>
      <c r="C118" s="2"/>
    </row>
    <row r="119" spans="1:3" ht="13.2" x14ac:dyDescent="0.25">
      <c r="A119" s="2"/>
      <c r="B119" s="2"/>
      <c r="C119" s="2"/>
    </row>
    <row r="120" spans="1:3" ht="13.2" x14ac:dyDescent="0.25">
      <c r="A120" s="2"/>
      <c r="B120" s="2"/>
      <c r="C120" s="2"/>
    </row>
    <row r="121" spans="1:3" ht="13.2" x14ac:dyDescent="0.25">
      <c r="A121" s="2"/>
      <c r="B121" s="2"/>
      <c r="C121" s="2"/>
    </row>
    <row r="122" spans="1:3" ht="13.2" x14ac:dyDescent="0.25">
      <c r="A122" s="2"/>
      <c r="B122" s="2"/>
      <c r="C122" s="2"/>
    </row>
    <row r="123" spans="1:3" ht="13.2" x14ac:dyDescent="0.25">
      <c r="A123" s="2"/>
      <c r="B123" s="2"/>
      <c r="C123" s="2"/>
    </row>
    <row r="124" spans="1:3" ht="13.2" x14ac:dyDescent="0.25">
      <c r="A124" s="2"/>
      <c r="B124" s="2"/>
      <c r="C124" s="2"/>
    </row>
    <row r="125" spans="1:3" ht="13.2" x14ac:dyDescent="0.25">
      <c r="A125" s="2"/>
      <c r="B125" s="2"/>
      <c r="C125" s="2"/>
    </row>
    <row r="126" spans="1:3" ht="13.2" x14ac:dyDescent="0.25">
      <c r="A126" s="2"/>
      <c r="B126" s="2"/>
      <c r="C126" s="2"/>
    </row>
    <row r="127" spans="1:3" ht="13.2" x14ac:dyDescent="0.25">
      <c r="A127" s="2"/>
      <c r="B127" s="2"/>
      <c r="C127" s="2"/>
    </row>
    <row r="128" spans="1:3" ht="13.2" x14ac:dyDescent="0.25">
      <c r="A128" s="2"/>
      <c r="B128" s="2"/>
      <c r="C128" s="2"/>
    </row>
    <row r="129" spans="1:3" ht="13.2" x14ac:dyDescent="0.25">
      <c r="A129" s="2"/>
      <c r="B129" s="2"/>
      <c r="C129" s="2"/>
    </row>
    <row r="130" spans="1:3" ht="13.2" x14ac:dyDescent="0.25">
      <c r="A130" s="2"/>
      <c r="B130" s="2"/>
      <c r="C130" s="2"/>
    </row>
    <row r="131" spans="1:3" ht="13.2" x14ac:dyDescent="0.25">
      <c r="A131" s="2"/>
      <c r="B131" s="2"/>
      <c r="C131" s="2"/>
    </row>
    <row r="132" spans="1:3" ht="13.2" x14ac:dyDescent="0.25">
      <c r="A132" s="2"/>
      <c r="B132" s="2"/>
      <c r="C132" s="2"/>
    </row>
    <row r="133" spans="1:3" ht="13.2" x14ac:dyDescent="0.25">
      <c r="A133" s="2"/>
      <c r="B133" s="2"/>
      <c r="C133" s="2"/>
    </row>
    <row r="134" spans="1:3" ht="13.2" x14ac:dyDescent="0.25">
      <c r="A134" s="2"/>
      <c r="B134" s="2"/>
      <c r="C134" s="2"/>
    </row>
    <row r="135" spans="1:3" ht="13.2" x14ac:dyDescent="0.25">
      <c r="A135" s="2"/>
      <c r="B135" s="2"/>
      <c r="C135" s="2"/>
    </row>
    <row r="136" spans="1:3" ht="13.2" x14ac:dyDescent="0.25">
      <c r="A136" s="2"/>
      <c r="B136" s="2"/>
      <c r="C136" s="2"/>
    </row>
    <row r="137" spans="1:3" ht="13.2" x14ac:dyDescent="0.25">
      <c r="A137" s="2"/>
      <c r="B137" s="2"/>
      <c r="C137" s="2"/>
    </row>
    <row r="138" spans="1:3" ht="13.2" x14ac:dyDescent="0.25">
      <c r="A138" s="2"/>
      <c r="B138" s="2"/>
      <c r="C138" s="2"/>
    </row>
    <row r="139" spans="1:3" ht="13.2" x14ac:dyDescent="0.25">
      <c r="A139" s="2"/>
      <c r="B139" s="2"/>
      <c r="C139" s="2"/>
    </row>
    <row r="140" spans="1:3" ht="13.2" x14ac:dyDescent="0.25">
      <c r="A140" s="2"/>
      <c r="B140" s="2"/>
      <c r="C140" s="2"/>
    </row>
    <row r="141" spans="1:3" ht="13.2" x14ac:dyDescent="0.25">
      <c r="A141" s="2"/>
      <c r="B141" s="2"/>
      <c r="C141" s="2"/>
    </row>
    <row r="142" spans="1:3" ht="13.2" x14ac:dyDescent="0.25">
      <c r="A142" s="2"/>
      <c r="B142" s="2"/>
      <c r="C142" s="2"/>
    </row>
    <row r="143" spans="1:3" ht="13.2" x14ac:dyDescent="0.25">
      <c r="A143" s="2"/>
      <c r="B143" s="2"/>
      <c r="C143" s="2"/>
    </row>
    <row r="144" spans="1:3" ht="13.2" x14ac:dyDescent="0.25">
      <c r="A144" s="2"/>
      <c r="B144" s="2"/>
      <c r="C144" s="2"/>
    </row>
    <row r="145" spans="1:3" ht="13.2" x14ac:dyDescent="0.25">
      <c r="A145" s="2"/>
      <c r="B145" s="2"/>
      <c r="C145" s="2"/>
    </row>
    <row r="146" spans="1:3" ht="13.2" x14ac:dyDescent="0.25">
      <c r="A146" s="2"/>
      <c r="B146" s="2"/>
      <c r="C146" s="2"/>
    </row>
    <row r="147" spans="1:3" ht="13.2" x14ac:dyDescent="0.25">
      <c r="A147" s="2"/>
      <c r="B147" s="2"/>
      <c r="C147" s="2"/>
    </row>
    <row r="148" spans="1:3" ht="13.2" x14ac:dyDescent="0.25">
      <c r="A148" s="2"/>
      <c r="B148" s="2"/>
      <c r="C148" s="2"/>
    </row>
    <row r="149" spans="1:3" ht="13.2" x14ac:dyDescent="0.25">
      <c r="A149" s="2"/>
      <c r="B149" s="2"/>
      <c r="C149" s="2"/>
    </row>
    <row r="150" spans="1:3" ht="13.2" x14ac:dyDescent="0.25">
      <c r="A150" s="2"/>
      <c r="B150" s="2"/>
      <c r="C150" s="2"/>
    </row>
    <row r="151" spans="1:3" ht="13.2" x14ac:dyDescent="0.25">
      <c r="A151" s="2"/>
      <c r="B151" s="2"/>
      <c r="C151" s="2"/>
    </row>
    <row r="152" spans="1:3" ht="13.2" x14ac:dyDescent="0.25">
      <c r="A152" s="2"/>
      <c r="B152" s="2"/>
      <c r="C152" s="2"/>
    </row>
    <row r="153" spans="1:3" ht="13.2" x14ac:dyDescent="0.25">
      <c r="A153" s="2"/>
      <c r="B153" s="2"/>
      <c r="C153" s="2"/>
    </row>
    <row r="154" spans="1:3" ht="13.2" x14ac:dyDescent="0.25">
      <c r="A154" s="2"/>
      <c r="B154" s="2"/>
      <c r="C154" s="2"/>
    </row>
    <row r="155" spans="1:3" ht="13.2" x14ac:dyDescent="0.25">
      <c r="A155" s="2"/>
      <c r="B155" s="2"/>
      <c r="C155" s="2"/>
    </row>
    <row r="156" spans="1:3" ht="13.2" x14ac:dyDescent="0.25">
      <c r="A156" s="2"/>
      <c r="B156" s="2"/>
      <c r="C156" s="2"/>
    </row>
    <row r="157" spans="1:3" ht="13.2" x14ac:dyDescent="0.25">
      <c r="A157" s="2"/>
      <c r="B157" s="2"/>
      <c r="C157" s="2"/>
    </row>
    <row r="158" spans="1:3" ht="13.2" x14ac:dyDescent="0.25">
      <c r="A158" s="2"/>
      <c r="B158" s="2"/>
      <c r="C158" s="2"/>
    </row>
    <row r="159" spans="1:3" ht="13.2" x14ac:dyDescent="0.25">
      <c r="A159" s="2"/>
      <c r="B159" s="2"/>
      <c r="C159" s="2"/>
    </row>
    <row r="160" spans="1:3" ht="13.2" x14ac:dyDescent="0.25">
      <c r="A160" s="2"/>
      <c r="B160" s="2"/>
      <c r="C160" s="2"/>
    </row>
    <row r="161" spans="1:3" ht="13.2" x14ac:dyDescent="0.25">
      <c r="A161" s="2"/>
      <c r="B161" s="2"/>
      <c r="C161" s="2"/>
    </row>
    <row r="162" spans="1:3" ht="13.2" x14ac:dyDescent="0.25">
      <c r="A162" s="2"/>
      <c r="B162" s="2"/>
      <c r="C162" s="2"/>
    </row>
    <row r="163" spans="1:3" ht="13.2" x14ac:dyDescent="0.25">
      <c r="A163" s="2"/>
      <c r="B163" s="2"/>
      <c r="C163" s="2"/>
    </row>
    <row r="164" spans="1:3" ht="13.2" x14ac:dyDescent="0.25">
      <c r="A164" s="2"/>
      <c r="B164" s="2"/>
      <c r="C164" s="2"/>
    </row>
    <row r="165" spans="1:3" ht="13.2" x14ac:dyDescent="0.25">
      <c r="A165" s="2"/>
      <c r="B165" s="2"/>
      <c r="C165" s="2"/>
    </row>
    <row r="166" spans="1:3" ht="13.2" x14ac:dyDescent="0.25">
      <c r="A166" s="2"/>
      <c r="B166" s="2"/>
      <c r="C166" s="2"/>
    </row>
    <row r="167" spans="1:3" ht="13.2" x14ac:dyDescent="0.25">
      <c r="A167" s="2"/>
      <c r="B167" s="2"/>
      <c r="C167" s="2"/>
    </row>
    <row r="168" spans="1:3" ht="13.2" x14ac:dyDescent="0.25">
      <c r="A168" s="2"/>
      <c r="B168" s="2"/>
      <c r="C168" s="2"/>
    </row>
    <row r="169" spans="1:3" ht="13.2" x14ac:dyDescent="0.25">
      <c r="A169" s="2"/>
      <c r="B169" s="2"/>
      <c r="C169" s="2"/>
    </row>
    <row r="170" spans="1:3" ht="13.2" x14ac:dyDescent="0.25">
      <c r="A170" s="2"/>
      <c r="B170" s="2"/>
      <c r="C170" s="2"/>
    </row>
    <row r="171" spans="1:3" ht="13.2" x14ac:dyDescent="0.25">
      <c r="A171" s="2"/>
      <c r="B171" s="2"/>
      <c r="C171" s="2"/>
    </row>
    <row r="172" spans="1:3" ht="13.2" x14ac:dyDescent="0.25">
      <c r="A172" s="2"/>
      <c r="B172" s="2"/>
      <c r="C172" s="2"/>
    </row>
    <row r="173" spans="1:3" ht="13.2" x14ac:dyDescent="0.25">
      <c r="A173" s="2"/>
      <c r="B173" s="2"/>
      <c r="C173" s="2"/>
    </row>
    <row r="174" spans="1:3" ht="13.2" x14ac:dyDescent="0.25">
      <c r="A174" s="2"/>
      <c r="B174" s="2"/>
      <c r="C174" s="2"/>
    </row>
    <row r="175" spans="1:3" ht="13.2" x14ac:dyDescent="0.25">
      <c r="A175" s="2"/>
      <c r="B175" s="2"/>
      <c r="C175" s="2"/>
    </row>
    <row r="176" spans="1:3" ht="13.2" x14ac:dyDescent="0.25">
      <c r="A176" s="2"/>
      <c r="B176" s="2"/>
      <c r="C176" s="2"/>
    </row>
    <row r="177" spans="1:3" ht="13.2" x14ac:dyDescent="0.25">
      <c r="A177" s="2"/>
      <c r="B177" s="2"/>
      <c r="C177" s="2"/>
    </row>
    <row r="178" spans="1:3" ht="13.2" x14ac:dyDescent="0.25">
      <c r="A178" s="2"/>
      <c r="B178" s="2"/>
      <c r="C178" s="2"/>
    </row>
    <row r="179" spans="1:3" ht="13.2" x14ac:dyDescent="0.25">
      <c r="A179" s="2"/>
      <c r="B179" s="2"/>
      <c r="C179" s="2"/>
    </row>
    <row r="180" spans="1:3" ht="13.2" x14ac:dyDescent="0.25">
      <c r="A180" s="2"/>
      <c r="B180" s="2"/>
      <c r="C180" s="2"/>
    </row>
    <row r="181" spans="1:3" ht="13.2" x14ac:dyDescent="0.25">
      <c r="A181" s="2"/>
      <c r="B181" s="2"/>
      <c r="C181" s="2"/>
    </row>
    <row r="182" spans="1:3" ht="13.2" x14ac:dyDescent="0.25">
      <c r="A182" s="2"/>
      <c r="B182" s="2"/>
      <c r="C182" s="2"/>
    </row>
    <row r="183" spans="1:3" ht="13.2" x14ac:dyDescent="0.25">
      <c r="A183" s="2"/>
      <c r="B183" s="2"/>
      <c r="C183" s="2"/>
    </row>
    <row r="184" spans="1:3" ht="13.2" x14ac:dyDescent="0.25">
      <c r="A184" s="2"/>
      <c r="B184" s="2"/>
      <c r="C184" s="2"/>
    </row>
    <row r="185" spans="1:3" ht="13.2" x14ac:dyDescent="0.25">
      <c r="A185" s="2"/>
      <c r="B185" s="2"/>
      <c r="C185" s="2"/>
    </row>
    <row r="186" spans="1:3" ht="13.2" x14ac:dyDescent="0.25">
      <c r="A186" s="2"/>
      <c r="B186" s="2"/>
      <c r="C186" s="2"/>
    </row>
    <row r="187" spans="1:3" ht="13.2" x14ac:dyDescent="0.25">
      <c r="A187" s="2"/>
      <c r="B187" s="2"/>
      <c r="C187" s="2"/>
    </row>
    <row r="188" spans="1:3" ht="13.2" x14ac:dyDescent="0.25">
      <c r="A188" s="2"/>
      <c r="B188" s="2"/>
      <c r="C188" s="2"/>
    </row>
    <row r="189" spans="1:3" ht="13.2" x14ac:dyDescent="0.25">
      <c r="A189" s="2"/>
      <c r="B189" s="2"/>
      <c r="C189" s="2"/>
    </row>
    <row r="190" spans="1:3" ht="13.2" x14ac:dyDescent="0.25">
      <c r="A190" s="2"/>
      <c r="B190" s="2"/>
      <c r="C190" s="2"/>
    </row>
    <row r="191" spans="1:3" ht="13.2" x14ac:dyDescent="0.25">
      <c r="A191" s="2"/>
      <c r="B191" s="2"/>
      <c r="C191" s="2"/>
    </row>
    <row r="192" spans="1:3" ht="13.2" x14ac:dyDescent="0.25">
      <c r="A192" s="2"/>
      <c r="B192" s="2"/>
      <c r="C192" s="2"/>
    </row>
    <row r="193" spans="1:3" ht="13.2" x14ac:dyDescent="0.25">
      <c r="A193" s="2"/>
      <c r="B193" s="2"/>
      <c r="C193" s="2"/>
    </row>
    <row r="194" spans="1:3" ht="13.2" x14ac:dyDescent="0.25">
      <c r="A194" s="2"/>
      <c r="B194" s="2"/>
      <c r="C194" s="2"/>
    </row>
    <row r="195" spans="1:3" ht="13.2" x14ac:dyDescent="0.25">
      <c r="A195" s="2"/>
      <c r="B195" s="2"/>
      <c r="C195" s="2"/>
    </row>
    <row r="196" spans="1:3" ht="13.2" x14ac:dyDescent="0.25">
      <c r="A196" s="2"/>
      <c r="B196" s="2"/>
      <c r="C196" s="2"/>
    </row>
    <row r="197" spans="1:3" ht="13.2" x14ac:dyDescent="0.25">
      <c r="A197" s="2"/>
      <c r="B197" s="2"/>
      <c r="C197" s="2"/>
    </row>
    <row r="198" spans="1:3" ht="13.2" x14ac:dyDescent="0.25">
      <c r="A198" s="2"/>
      <c r="B198" s="2"/>
      <c r="C198" s="2"/>
    </row>
    <row r="199" spans="1:3" ht="13.2" x14ac:dyDescent="0.25">
      <c r="A199" s="2"/>
      <c r="B199" s="2"/>
      <c r="C199" s="2"/>
    </row>
    <row r="200" spans="1:3" ht="13.2" x14ac:dyDescent="0.25">
      <c r="A200" s="2"/>
      <c r="B200" s="2"/>
      <c r="C200" s="2"/>
    </row>
    <row r="201" spans="1:3" ht="13.2" x14ac:dyDescent="0.25">
      <c r="A201" s="2"/>
      <c r="B201" s="2"/>
      <c r="C201" s="2"/>
    </row>
    <row r="202" spans="1:3" ht="13.2" x14ac:dyDescent="0.25">
      <c r="A202" s="2"/>
      <c r="B202" s="2"/>
      <c r="C202" s="2"/>
    </row>
    <row r="203" spans="1:3" ht="13.2" x14ac:dyDescent="0.25">
      <c r="A203" s="2"/>
      <c r="B203" s="2"/>
      <c r="C203" s="2"/>
    </row>
    <row r="204" spans="1:3" ht="13.2" x14ac:dyDescent="0.25">
      <c r="A204" s="2"/>
      <c r="B204" s="2"/>
      <c r="C204" s="2"/>
    </row>
    <row r="205" spans="1:3" ht="13.2" x14ac:dyDescent="0.25">
      <c r="A205" s="2"/>
      <c r="B205" s="2"/>
      <c r="C205" s="2"/>
    </row>
    <row r="206" spans="1:3" ht="13.2" x14ac:dyDescent="0.25">
      <c r="A206" s="2"/>
      <c r="B206" s="2"/>
      <c r="C206" s="2"/>
    </row>
    <row r="207" spans="1:3" ht="13.2" x14ac:dyDescent="0.25">
      <c r="A207" s="2"/>
      <c r="B207" s="2"/>
      <c r="C207" s="2"/>
    </row>
    <row r="208" spans="1:3" ht="13.2" x14ac:dyDescent="0.25">
      <c r="A208" s="2"/>
      <c r="B208" s="2"/>
      <c r="C208" s="2"/>
    </row>
    <row r="209" spans="1:3" ht="13.2" x14ac:dyDescent="0.25">
      <c r="A209" s="2"/>
      <c r="B209" s="2"/>
      <c r="C209" s="2"/>
    </row>
    <row r="210" spans="1:3" ht="13.2" x14ac:dyDescent="0.25">
      <c r="A210" s="2"/>
      <c r="B210" s="2"/>
      <c r="C210" s="2"/>
    </row>
    <row r="211" spans="1:3" ht="13.2" x14ac:dyDescent="0.25">
      <c r="A211" s="2"/>
      <c r="B211" s="2"/>
      <c r="C211" s="2"/>
    </row>
    <row r="212" spans="1:3" ht="13.2" x14ac:dyDescent="0.25">
      <c r="A212" s="2"/>
      <c r="B212" s="2"/>
      <c r="C212" s="2"/>
    </row>
    <row r="213" spans="1:3" ht="13.2" x14ac:dyDescent="0.25">
      <c r="A213" s="2"/>
      <c r="B213" s="2"/>
      <c r="C213" s="2"/>
    </row>
    <row r="214" spans="1:3" ht="13.2" x14ac:dyDescent="0.25">
      <c r="A214" s="2"/>
      <c r="B214" s="2"/>
      <c r="C214" s="2"/>
    </row>
    <row r="215" spans="1:3" ht="13.2" x14ac:dyDescent="0.25">
      <c r="A215" s="2"/>
      <c r="B215" s="2"/>
      <c r="C215" s="2"/>
    </row>
    <row r="216" spans="1:3" ht="13.2" x14ac:dyDescent="0.25">
      <c r="A216" s="2"/>
      <c r="B216" s="2"/>
      <c r="C216" s="2"/>
    </row>
    <row r="217" spans="1:3" ht="13.2" x14ac:dyDescent="0.25">
      <c r="A217" s="2"/>
      <c r="B217" s="2"/>
      <c r="C217" s="2"/>
    </row>
    <row r="218" spans="1:3" ht="13.2" x14ac:dyDescent="0.25">
      <c r="A218" s="2"/>
      <c r="B218" s="2"/>
      <c r="C218" s="2"/>
    </row>
    <row r="219" spans="1:3" ht="13.2" x14ac:dyDescent="0.25">
      <c r="A219" s="2"/>
      <c r="B219" s="2"/>
      <c r="C219" s="2"/>
    </row>
    <row r="220" spans="1:3" ht="13.2" x14ac:dyDescent="0.25">
      <c r="A220" s="2"/>
      <c r="B220" s="2"/>
      <c r="C220" s="2"/>
    </row>
    <row r="221" spans="1:3" ht="13.2" x14ac:dyDescent="0.25">
      <c r="A221" s="2"/>
      <c r="B221" s="2"/>
      <c r="C221" s="2"/>
    </row>
    <row r="222" spans="1:3" ht="13.2" x14ac:dyDescent="0.25">
      <c r="A222" s="2"/>
      <c r="B222" s="2"/>
      <c r="C222" s="2"/>
    </row>
    <row r="223" spans="1:3" ht="13.2" x14ac:dyDescent="0.25">
      <c r="A223" s="2"/>
      <c r="B223" s="2"/>
      <c r="C223" s="2"/>
    </row>
    <row r="224" spans="1:3" ht="13.2" x14ac:dyDescent="0.25">
      <c r="A224" s="2"/>
      <c r="B224" s="2"/>
      <c r="C224" s="2"/>
    </row>
    <row r="225" spans="1:3" ht="13.2" x14ac:dyDescent="0.25">
      <c r="A225" s="2"/>
      <c r="B225" s="2"/>
      <c r="C225" s="2"/>
    </row>
    <row r="226" spans="1:3" ht="13.2" x14ac:dyDescent="0.25">
      <c r="A226" s="2"/>
      <c r="B226" s="2"/>
      <c r="C226" s="2"/>
    </row>
    <row r="227" spans="1:3" ht="13.2" x14ac:dyDescent="0.25">
      <c r="A227" s="2"/>
      <c r="B227" s="2"/>
      <c r="C227" s="2"/>
    </row>
    <row r="228" spans="1:3" ht="13.2" x14ac:dyDescent="0.25">
      <c r="A228" s="2"/>
      <c r="B228" s="2"/>
      <c r="C228" s="2"/>
    </row>
    <row r="229" spans="1:3" ht="13.2" x14ac:dyDescent="0.25">
      <c r="A229" s="2"/>
      <c r="B229" s="2"/>
      <c r="C229" s="2"/>
    </row>
    <row r="230" spans="1:3" ht="13.2" x14ac:dyDescent="0.25">
      <c r="A230" s="2"/>
      <c r="B230" s="2"/>
      <c r="C230" s="2"/>
    </row>
    <row r="231" spans="1:3" ht="13.2" x14ac:dyDescent="0.25">
      <c r="A231" s="2"/>
      <c r="B231" s="2"/>
      <c r="C231" s="2"/>
    </row>
    <row r="232" spans="1:3" ht="13.2" x14ac:dyDescent="0.25">
      <c r="A232" s="2"/>
      <c r="B232" s="2"/>
      <c r="C232" s="2"/>
    </row>
    <row r="233" spans="1:3" ht="13.2" x14ac:dyDescent="0.25">
      <c r="A233" s="2"/>
      <c r="B233" s="2"/>
      <c r="C233" s="2"/>
    </row>
    <row r="234" spans="1:3" ht="13.2" x14ac:dyDescent="0.25">
      <c r="A234" s="2"/>
      <c r="B234" s="2"/>
      <c r="C234" s="2"/>
    </row>
    <row r="235" spans="1:3" ht="13.2" x14ac:dyDescent="0.25">
      <c r="A235" s="2"/>
      <c r="B235" s="2"/>
      <c r="C235" s="2"/>
    </row>
    <row r="236" spans="1:3" ht="13.2" x14ac:dyDescent="0.25">
      <c r="A236" s="2"/>
      <c r="B236" s="2"/>
      <c r="C236" s="2"/>
    </row>
    <row r="237" spans="1:3" ht="13.2" x14ac:dyDescent="0.25">
      <c r="A237" s="2"/>
      <c r="B237" s="2"/>
      <c r="C237" s="2"/>
    </row>
    <row r="238" spans="1:3" ht="13.2" x14ac:dyDescent="0.25">
      <c r="A238" s="2"/>
      <c r="B238" s="2"/>
      <c r="C238" s="2"/>
    </row>
    <row r="239" spans="1:3" ht="13.2" x14ac:dyDescent="0.25">
      <c r="A239" s="2"/>
      <c r="B239" s="2"/>
      <c r="C239" s="2"/>
    </row>
    <row r="240" spans="1:3" ht="13.2" x14ac:dyDescent="0.25">
      <c r="A240" s="2"/>
      <c r="B240" s="2"/>
      <c r="C240" s="2"/>
    </row>
    <row r="241" spans="1:3" ht="13.2" x14ac:dyDescent="0.25">
      <c r="A241" s="2"/>
      <c r="B241" s="2"/>
      <c r="C241" s="2"/>
    </row>
    <row r="242" spans="1:3" ht="13.2" x14ac:dyDescent="0.25">
      <c r="A242" s="2"/>
      <c r="B242" s="2"/>
      <c r="C242" s="2"/>
    </row>
    <row r="243" spans="1:3" ht="13.2" x14ac:dyDescent="0.25">
      <c r="A243" s="2"/>
      <c r="B243" s="2"/>
      <c r="C243" s="2"/>
    </row>
    <row r="244" spans="1:3" ht="13.2" x14ac:dyDescent="0.25">
      <c r="A244" s="2"/>
      <c r="B244" s="2"/>
      <c r="C244" s="2"/>
    </row>
    <row r="245" spans="1:3" ht="13.2" x14ac:dyDescent="0.25">
      <c r="A245" s="2"/>
      <c r="B245" s="2"/>
      <c r="C245" s="2"/>
    </row>
    <row r="246" spans="1:3" ht="13.2" x14ac:dyDescent="0.25">
      <c r="A246" s="2"/>
      <c r="B246" s="2"/>
      <c r="C246" s="2"/>
    </row>
    <row r="247" spans="1:3" ht="13.2" x14ac:dyDescent="0.25">
      <c r="A247" s="2"/>
      <c r="B247" s="2"/>
      <c r="C247" s="2"/>
    </row>
    <row r="248" spans="1:3" ht="13.2" x14ac:dyDescent="0.25">
      <c r="A248" s="2"/>
      <c r="B248" s="2"/>
      <c r="C248" s="2"/>
    </row>
    <row r="249" spans="1:3" ht="13.2" x14ac:dyDescent="0.25">
      <c r="A249" s="2"/>
      <c r="B249" s="2"/>
      <c r="C249" s="2"/>
    </row>
    <row r="250" spans="1:3" ht="13.2" x14ac:dyDescent="0.25">
      <c r="A250" s="2"/>
      <c r="B250" s="2"/>
      <c r="C250" s="2"/>
    </row>
    <row r="251" spans="1:3" ht="13.2" x14ac:dyDescent="0.25">
      <c r="A251" s="2"/>
      <c r="B251" s="2"/>
      <c r="C251" s="2"/>
    </row>
    <row r="252" spans="1:3" ht="13.2" x14ac:dyDescent="0.25">
      <c r="A252" s="2"/>
      <c r="B252" s="2"/>
      <c r="C252" s="2"/>
    </row>
    <row r="253" spans="1:3" ht="13.2" x14ac:dyDescent="0.25">
      <c r="A253" s="2"/>
      <c r="B253" s="2"/>
      <c r="C253" s="2"/>
    </row>
    <row r="254" spans="1:3" ht="13.2" x14ac:dyDescent="0.25">
      <c r="A254" s="2"/>
      <c r="B254" s="2"/>
      <c r="C254" s="2"/>
    </row>
    <row r="255" spans="1:3" ht="13.2" x14ac:dyDescent="0.25">
      <c r="A255" s="2"/>
      <c r="B255" s="2"/>
      <c r="C255" s="2"/>
    </row>
    <row r="256" spans="1:3" ht="13.2" x14ac:dyDescent="0.25">
      <c r="A256" s="2"/>
      <c r="B256" s="2"/>
      <c r="C256" s="2"/>
    </row>
    <row r="257" spans="1:3" ht="13.2" x14ac:dyDescent="0.25">
      <c r="A257" s="2"/>
      <c r="B257" s="2"/>
      <c r="C257" s="2"/>
    </row>
    <row r="258" spans="1:3" ht="13.2" x14ac:dyDescent="0.25">
      <c r="A258" s="2"/>
      <c r="B258" s="2"/>
      <c r="C258" s="2"/>
    </row>
    <row r="259" spans="1:3" ht="13.2" x14ac:dyDescent="0.25">
      <c r="A259" s="2"/>
      <c r="B259" s="2"/>
      <c r="C259" s="2"/>
    </row>
    <row r="260" spans="1:3" ht="13.2" x14ac:dyDescent="0.25">
      <c r="A260" s="2"/>
      <c r="B260" s="2"/>
      <c r="C260" s="2"/>
    </row>
    <row r="261" spans="1:3" ht="13.2" x14ac:dyDescent="0.25">
      <c r="A261" s="2"/>
      <c r="B261" s="2"/>
      <c r="C261" s="2"/>
    </row>
    <row r="262" spans="1:3" ht="13.2" x14ac:dyDescent="0.25">
      <c r="A262" s="2"/>
      <c r="B262" s="2"/>
      <c r="C262" s="2"/>
    </row>
    <row r="263" spans="1:3" ht="13.2" x14ac:dyDescent="0.25">
      <c r="A263" s="2"/>
      <c r="B263" s="2"/>
      <c r="C263" s="2"/>
    </row>
    <row r="264" spans="1:3" ht="13.2" x14ac:dyDescent="0.25">
      <c r="A264" s="2"/>
      <c r="B264" s="2"/>
      <c r="C264" s="2"/>
    </row>
    <row r="265" spans="1:3" ht="13.2" x14ac:dyDescent="0.25">
      <c r="A265" s="2"/>
      <c r="B265" s="2"/>
      <c r="C265" s="2"/>
    </row>
    <row r="266" spans="1:3" ht="13.2" x14ac:dyDescent="0.25">
      <c r="A266" s="2"/>
      <c r="B266" s="2"/>
      <c r="C266" s="2"/>
    </row>
    <row r="267" spans="1:3" ht="13.2" x14ac:dyDescent="0.25">
      <c r="A267" s="2"/>
      <c r="B267" s="2"/>
      <c r="C267" s="2"/>
    </row>
    <row r="268" spans="1:3" ht="13.2" x14ac:dyDescent="0.25">
      <c r="A268" s="2"/>
      <c r="B268" s="2"/>
      <c r="C268" s="2"/>
    </row>
    <row r="269" spans="1:3" ht="13.2" x14ac:dyDescent="0.25">
      <c r="A269" s="2"/>
      <c r="B269" s="2"/>
      <c r="C269" s="2"/>
    </row>
    <row r="270" spans="1:3" ht="13.2" x14ac:dyDescent="0.25">
      <c r="A270" s="2"/>
      <c r="B270" s="2"/>
      <c r="C270" s="2"/>
    </row>
    <row r="271" spans="1:3" ht="13.2" x14ac:dyDescent="0.25">
      <c r="A271" s="2"/>
      <c r="B271" s="2"/>
      <c r="C271" s="2"/>
    </row>
    <row r="272" spans="1:3" ht="13.2" x14ac:dyDescent="0.25">
      <c r="A272" s="2"/>
      <c r="B272" s="2"/>
      <c r="C272" s="2"/>
    </row>
    <row r="273" spans="1:3" ht="13.2" x14ac:dyDescent="0.25">
      <c r="A273" s="2"/>
      <c r="B273" s="2"/>
      <c r="C273" s="2"/>
    </row>
    <row r="274" spans="1:3" ht="13.2" x14ac:dyDescent="0.25">
      <c r="A274" s="2"/>
      <c r="B274" s="2"/>
      <c r="C274" s="2"/>
    </row>
    <row r="275" spans="1:3" ht="13.2" x14ac:dyDescent="0.25">
      <c r="A275" s="2"/>
      <c r="B275" s="2"/>
      <c r="C275" s="2"/>
    </row>
    <row r="276" spans="1:3" ht="13.2" x14ac:dyDescent="0.25">
      <c r="A276" s="2"/>
      <c r="B276" s="2"/>
      <c r="C276" s="2"/>
    </row>
    <row r="277" spans="1:3" ht="13.2" x14ac:dyDescent="0.25">
      <c r="A277" s="2"/>
      <c r="B277" s="2"/>
      <c r="C277" s="2"/>
    </row>
    <row r="278" spans="1:3" ht="13.2" x14ac:dyDescent="0.25">
      <c r="A278" s="2"/>
      <c r="B278" s="2"/>
      <c r="C278" s="2"/>
    </row>
    <row r="279" spans="1:3" ht="13.2" x14ac:dyDescent="0.25">
      <c r="A279" s="2"/>
      <c r="B279" s="2"/>
      <c r="C279" s="2"/>
    </row>
    <row r="280" spans="1:3" ht="13.2" x14ac:dyDescent="0.25">
      <c r="A280" s="2"/>
      <c r="B280" s="2"/>
      <c r="C280" s="2"/>
    </row>
    <row r="281" spans="1:3" ht="13.2" x14ac:dyDescent="0.25">
      <c r="A281" s="2"/>
      <c r="B281" s="2"/>
      <c r="C281" s="2"/>
    </row>
    <row r="282" spans="1:3" ht="13.2" x14ac:dyDescent="0.25">
      <c r="A282" s="2"/>
      <c r="B282" s="2"/>
      <c r="C282" s="2"/>
    </row>
    <row r="283" spans="1:3" ht="13.2" x14ac:dyDescent="0.25">
      <c r="A283" s="2"/>
      <c r="B283" s="2"/>
      <c r="C283" s="2"/>
    </row>
    <row r="284" spans="1:3" ht="13.2" x14ac:dyDescent="0.25">
      <c r="A284" s="2"/>
      <c r="B284" s="2"/>
      <c r="C284" s="2"/>
    </row>
    <row r="285" spans="1:3" ht="13.2" x14ac:dyDescent="0.25">
      <c r="A285" s="2"/>
      <c r="B285" s="2"/>
      <c r="C285" s="2"/>
    </row>
    <row r="286" spans="1:3" ht="13.2" x14ac:dyDescent="0.25">
      <c r="A286" s="2"/>
      <c r="B286" s="2"/>
      <c r="C286" s="2"/>
    </row>
    <row r="287" spans="1:3" ht="13.2" x14ac:dyDescent="0.25">
      <c r="A287" s="2"/>
      <c r="B287" s="2"/>
      <c r="C287" s="2"/>
    </row>
    <row r="288" spans="1:3" ht="13.2" x14ac:dyDescent="0.25">
      <c r="A288" s="2"/>
      <c r="B288" s="2"/>
      <c r="C288" s="2"/>
    </row>
    <row r="289" spans="1:3" ht="13.2" x14ac:dyDescent="0.25">
      <c r="A289" s="2"/>
      <c r="B289" s="2"/>
      <c r="C289" s="2"/>
    </row>
    <row r="290" spans="1:3" ht="13.2" x14ac:dyDescent="0.25">
      <c r="A290" s="2"/>
      <c r="B290" s="2"/>
      <c r="C290" s="2"/>
    </row>
    <row r="291" spans="1:3" ht="13.2" x14ac:dyDescent="0.25">
      <c r="A291" s="2"/>
      <c r="B291" s="2"/>
      <c r="C291" s="2"/>
    </row>
    <row r="292" spans="1:3" ht="13.2" x14ac:dyDescent="0.25">
      <c r="A292" s="2"/>
      <c r="B292" s="2"/>
      <c r="C292" s="2"/>
    </row>
    <row r="293" spans="1:3" ht="13.2" x14ac:dyDescent="0.25">
      <c r="A293" s="2"/>
      <c r="B293" s="2"/>
      <c r="C293" s="2"/>
    </row>
    <row r="294" spans="1:3" ht="13.2" x14ac:dyDescent="0.25">
      <c r="A294" s="2"/>
      <c r="B294" s="2"/>
      <c r="C294" s="2"/>
    </row>
    <row r="295" spans="1:3" ht="13.2" x14ac:dyDescent="0.25">
      <c r="A295" s="2"/>
      <c r="B295" s="2"/>
      <c r="C295" s="2"/>
    </row>
    <row r="296" spans="1:3" ht="13.2" x14ac:dyDescent="0.25">
      <c r="A296" s="2"/>
      <c r="B296" s="2"/>
      <c r="C296" s="2"/>
    </row>
    <row r="297" spans="1:3" ht="13.2" x14ac:dyDescent="0.25">
      <c r="A297" s="2"/>
      <c r="B297" s="2"/>
      <c r="C297" s="2"/>
    </row>
    <row r="298" spans="1:3" ht="13.2" x14ac:dyDescent="0.25">
      <c r="A298" s="2"/>
      <c r="B298" s="2"/>
      <c r="C298" s="2"/>
    </row>
    <row r="299" spans="1:3" ht="13.2" x14ac:dyDescent="0.25">
      <c r="A299" s="2"/>
      <c r="B299" s="2"/>
      <c r="C299" s="2"/>
    </row>
    <row r="300" spans="1:3" ht="13.2" x14ac:dyDescent="0.25">
      <c r="A300" s="2"/>
      <c r="B300" s="2"/>
      <c r="C300" s="2"/>
    </row>
    <row r="301" spans="1:3" ht="13.2" x14ac:dyDescent="0.25">
      <c r="A301" s="2"/>
      <c r="B301" s="2"/>
      <c r="C301" s="2"/>
    </row>
    <row r="302" spans="1:3" ht="13.2" x14ac:dyDescent="0.25">
      <c r="A302" s="2"/>
      <c r="B302" s="2"/>
      <c r="C302" s="2"/>
    </row>
    <row r="303" spans="1:3" ht="13.2" x14ac:dyDescent="0.25">
      <c r="A303" s="2"/>
      <c r="B303" s="2"/>
      <c r="C303" s="2"/>
    </row>
    <row r="304" spans="1:3" ht="13.2" x14ac:dyDescent="0.25">
      <c r="A304" s="2"/>
      <c r="B304" s="2"/>
      <c r="C304" s="2"/>
    </row>
    <row r="305" spans="1:3" ht="13.2" x14ac:dyDescent="0.25">
      <c r="A305" s="2"/>
      <c r="B305" s="2"/>
      <c r="C305" s="2"/>
    </row>
    <row r="306" spans="1:3" ht="13.2" x14ac:dyDescent="0.25">
      <c r="A306" s="2"/>
      <c r="B306" s="2"/>
      <c r="C306" s="2"/>
    </row>
    <row r="307" spans="1:3" ht="13.2" x14ac:dyDescent="0.25">
      <c r="A307" s="2"/>
      <c r="B307" s="2"/>
      <c r="C307" s="2"/>
    </row>
    <row r="308" spans="1:3" ht="13.2" x14ac:dyDescent="0.25">
      <c r="A308" s="2"/>
      <c r="B308" s="2"/>
      <c r="C308" s="2"/>
    </row>
    <row r="309" spans="1:3" ht="13.2" x14ac:dyDescent="0.25">
      <c r="A309" s="2"/>
      <c r="B309" s="2"/>
      <c r="C309" s="2"/>
    </row>
    <row r="310" spans="1:3" ht="13.2" x14ac:dyDescent="0.25">
      <c r="A310" s="2"/>
      <c r="B310" s="2"/>
      <c r="C310" s="2"/>
    </row>
    <row r="311" spans="1:3" ht="13.2" x14ac:dyDescent="0.25">
      <c r="A311" s="2"/>
      <c r="B311" s="2"/>
      <c r="C311" s="2"/>
    </row>
    <row r="312" spans="1:3" ht="13.2" x14ac:dyDescent="0.25">
      <c r="A312" s="2"/>
      <c r="B312" s="2"/>
      <c r="C312" s="2"/>
    </row>
    <row r="313" spans="1:3" ht="13.2" x14ac:dyDescent="0.25">
      <c r="A313" s="2"/>
      <c r="B313" s="2"/>
      <c r="C313" s="2"/>
    </row>
    <row r="314" spans="1:3" ht="13.2" x14ac:dyDescent="0.25">
      <c r="A314" s="2"/>
      <c r="B314" s="2"/>
      <c r="C314" s="2"/>
    </row>
    <row r="315" spans="1:3" ht="13.2" x14ac:dyDescent="0.25">
      <c r="A315" s="2"/>
      <c r="B315" s="2"/>
      <c r="C315" s="2"/>
    </row>
    <row r="316" spans="1:3" ht="13.2" x14ac:dyDescent="0.25">
      <c r="A316" s="2"/>
      <c r="B316" s="2"/>
      <c r="C316" s="2"/>
    </row>
    <row r="317" spans="1:3" ht="13.2" x14ac:dyDescent="0.25">
      <c r="A317" s="2"/>
      <c r="B317" s="2"/>
      <c r="C317" s="2"/>
    </row>
    <row r="318" spans="1:3" ht="13.2" x14ac:dyDescent="0.25">
      <c r="A318" s="2"/>
      <c r="B318" s="2"/>
      <c r="C318" s="2"/>
    </row>
    <row r="319" spans="1:3" ht="13.2" x14ac:dyDescent="0.25">
      <c r="A319" s="2"/>
      <c r="B319" s="2"/>
      <c r="C319" s="2"/>
    </row>
    <row r="320" spans="1:3" ht="13.2" x14ac:dyDescent="0.25">
      <c r="A320" s="2"/>
      <c r="B320" s="2"/>
      <c r="C320" s="2"/>
    </row>
    <row r="321" spans="1:3" ht="13.2" x14ac:dyDescent="0.25">
      <c r="A321" s="2"/>
      <c r="B321" s="2"/>
      <c r="C321" s="2"/>
    </row>
    <row r="322" spans="1:3" ht="13.2" x14ac:dyDescent="0.25">
      <c r="A322" s="2"/>
      <c r="B322" s="2"/>
      <c r="C322" s="2"/>
    </row>
    <row r="323" spans="1:3" ht="13.2" x14ac:dyDescent="0.25">
      <c r="A323" s="2"/>
      <c r="B323" s="2"/>
      <c r="C323" s="2"/>
    </row>
    <row r="324" spans="1:3" ht="13.2" x14ac:dyDescent="0.25">
      <c r="A324" s="2"/>
      <c r="B324" s="2"/>
      <c r="C324" s="2"/>
    </row>
    <row r="325" spans="1:3" ht="13.2" x14ac:dyDescent="0.25">
      <c r="A325" s="2"/>
      <c r="B325" s="2"/>
      <c r="C325" s="2"/>
    </row>
    <row r="326" spans="1:3" ht="13.2" x14ac:dyDescent="0.25">
      <c r="A326" s="2"/>
      <c r="B326" s="2"/>
      <c r="C326" s="2"/>
    </row>
    <row r="327" spans="1:3" ht="13.2" x14ac:dyDescent="0.25">
      <c r="A327" s="2"/>
      <c r="B327" s="2"/>
      <c r="C327" s="2"/>
    </row>
    <row r="328" spans="1:3" ht="13.2" x14ac:dyDescent="0.25">
      <c r="A328" s="2"/>
      <c r="B328" s="2"/>
      <c r="C328" s="2"/>
    </row>
    <row r="329" spans="1:3" ht="13.2" x14ac:dyDescent="0.25">
      <c r="A329" s="2"/>
      <c r="B329" s="2"/>
      <c r="C329" s="2"/>
    </row>
    <row r="330" spans="1:3" ht="13.2" x14ac:dyDescent="0.25">
      <c r="A330" s="2"/>
      <c r="B330" s="2"/>
      <c r="C330" s="2"/>
    </row>
    <row r="331" spans="1:3" ht="13.2" x14ac:dyDescent="0.25">
      <c r="A331" s="2"/>
      <c r="B331" s="2"/>
      <c r="C331" s="2"/>
    </row>
    <row r="332" spans="1:3" ht="13.2" x14ac:dyDescent="0.25">
      <c r="A332" s="2"/>
      <c r="B332" s="2"/>
      <c r="C332" s="2"/>
    </row>
    <row r="333" spans="1:3" ht="13.2" x14ac:dyDescent="0.25">
      <c r="A333" s="2"/>
      <c r="B333" s="2"/>
      <c r="C333" s="2"/>
    </row>
    <row r="334" spans="1:3" ht="13.2" x14ac:dyDescent="0.25">
      <c r="A334" s="2"/>
      <c r="B334" s="2"/>
      <c r="C334" s="2"/>
    </row>
    <row r="335" spans="1:3" ht="13.2" x14ac:dyDescent="0.25">
      <c r="A335" s="2"/>
      <c r="B335" s="2"/>
      <c r="C335" s="2"/>
    </row>
    <row r="336" spans="1:3" ht="13.2" x14ac:dyDescent="0.25">
      <c r="A336" s="2"/>
      <c r="B336" s="2"/>
      <c r="C336" s="2"/>
    </row>
    <row r="337" spans="1:3" ht="13.2" x14ac:dyDescent="0.25">
      <c r="A337" s="2"/>
      <c r="B337" s="2"/>
      <c r="C337" s="2"/>
    </row>
    <row r="338" spans="1:3" ht="13.2" x14ac:dyDescent="0.25">
      <c r="A338" s="2"/>
      <c r="B338" s="2"/>
      <c r="C338" s="2"/>
    </row>
    <row r="339" spans="1:3" ht="13.2" x14ac:dyDescent="0.25">
      <c r="A339" s="2"/>
      <c r="B339" s="2"/>
      <c r="C339" s="2"/>
    </row>
    <row r="340" spans="1:3" ht="13.2" x14ac:dyDescent="0.25">
      <c r="A340" s="2"/>
      <c r="B340" s="2"/>
      <c r="C340" s="2"/>
    </row>
    <row r="341" spans="1:3" ht="13.2" x14ac:dyDescent="0.25">
      <c r="A341" s="2"/>
      <c r="B341" s="2"/>
      <c r="C341" s="2"/>
    </row>
    <row r="342" spans="1:3" ht="13.2" x14ac:dyDescent="0.25">
      <c r="A342" s="2"/>
      <c r="B342" s="2"/>
      <c r="C342" s="2"/>
    </row>
    <row r="343" spans="1:3" ht="13.2" x14ac:dyDescent="0.25">
      <c r="A343" s="2"/>
      <c r="B343" s="2"/>
      <c r="C343" s="2"/>
    </row>
    <row r="344" spans="1:3" ht="13.2" x14ac:dyDescent="0.25">
      <c r="A344" s="2"/>
      <c r="B344" s="2"/>
      <c r="C344" s="2"/>
    </row>
    <row r="345" spans="1:3" ht="13.2" x14ac:dyDescent="0.25">
      <c r="A345" s="2"/>
      <c r="B345" s="2"/>
      <c r="C345" s="2"/>
    </row>
    <row r="346" spans="1:3" ht="13.2" x14ac:dyDescent="0.25">
      <c r="A346" s="2"/>
      <c r="B346" s="2"/>
      <c r="C346" s="2"/>
    </row>
    <row r="347" spans="1:3" ht="13.2" x14ac:dyDescent="0.25">
      <c r="A347" s="2"/>
      <c r="B347" s="2"/>
      <c r="C347" s="2"/>
    </row>
    <row r="348" spans="1:3" ht="13.2" x14ac:dyDescent="0.25">
      <c r="A348" s="2"/>
      <c r="B348" s="2"/>
      <c r="C348" s="2"/>
    </row>
    <row r="349" spans="1:3" ht="13.2" x14ac:dyDescent="0.25">
      <c r="A349" s="2"/>
      <c r="B349" s="2"/>
      <c r="C349" s="2"/>
    </row>
    <row r="350" spans="1:3" ht="13.2" x14ac:dyDescent="0.25">
      <c r="A350" s="2"/>
      <c r="B350" s="2"/>
      <c r="C350" s="2"/>
    </row>
    <row r="351" spans="1:3" ht="13.2" x14ac:dyDescent="0.25">
      <c r="A351" s="2"/>
      <c r="B351" s="2"/>
      <c r="C351" s="2"/>
    </row>
    <row r="352" spans="1:3" ht="13.2" x14ac:dyDescent="0.25">
      <c r="A352" s="2"/>
      <c r="B352" s="2"/>
      <c r="C352" s="2"/>
    </row>
    <row r="353" spans="1:3" ht="13.2" x14ac:dyDescent="0.25">
      <c r="A353" s="2"/>
      <c r="B353" s="2"/>
      <c r="C353" s="2"/>
    </row>
    <row r="354" spans="1:3" ht="13.2" x14ac:dyDescent="0.25">
      <c r="A354" s="2"/>
      <c r="B354" s="2"/>
      <c r="C354" s="2"/>
    </row>
    <row r="355" spans="1:3" ht="13.2" x14ac:dyDescent="0.25">
      <c r="A355" s="2"/>
      <c r="B355" s="2"/>
      <c r="C355" s="2"/>
    </row>
    <row r="356" spans="1:3" ht="13.2" x14ac:dyDescent="0.25">
      <c r="A356" s="2"/>
      <c r="B356" s="2"/>
      <c r="C356" s="2"/>
    </row>
    <row r="357" spans="1:3" ht="13.2" x14ac:dyDescent="0.25">
      <c r="A357" s="2"/>
      <c r="B357" s="2"/>
      <c r="C357" s="2"/>
    </row>
    <row r="358" spans="1:3" ht="13.2" x14ac:dyDescent="0.25">
      <c r="A358" s="2"/>
      <c r="B358" s="2"/>
      <c r="C358" s="2"/>
    </row>
    <row r="359" spans="1:3" ht="13.2" x14ac:dyDescent="0.25">
      <c r="A359" s="2"/>
      <c r="B359" s="2"/>
      <c r="C359" s="2"/>
    </row>
    <row r="360" spans="1:3" ht="13.2" x14ac:dyDescent="0.25">
      <c r="A360" s="2"/>
      <c r="B360" s="2"/>
      <c r="C360" s="2"/>
    </row>
    <row r="361" spans="1:3" ht="13.2" x14ac:dyDescent="0.25">
      <c r="A361" s="2"/>
      <c r="B361" s="2"/>
      <c r="C361" s="2"/>
    </row>
    <row r="362" spans="1:3" ht="13.2" x14ac:dyDescent="0.25">
      <c r="A362" s="2"/>
      <c r="B362" s="2"/>
      <c r="C362" s="2"/>
    </row>
    <row r="363" spans="1:3" ht="13.2" x14ac:dyDescent="0.25">
      <c r="A363" s="2"/>
      <c r="B363" s="2"/>
      <c r="C363" s="2"/>
    </row>
    <row r="364" spans="1:3" ht="13.2" x14ac:dyDescent="0.25">
      <c r="A364" s="2"/>
      <c r="B364" s="2"/>
      <c r="C364" s="2"/>
    </row>
    <row r="365" spans="1:3" ht="13.2" x14ac:dyDescent="0.25">
      <c r="A365" s="2"/>
      <c r="B365" s="2"/>
      <c r="C365" s="2"/>
    </row>
    <row r="366" spans="1:3" ht="13.2" x14ac:dyDescent="0.25">
      <c r="A366" s="2"/>
      <c r="B366" s="2"/>
      <c r="C366" s="2"/>
    </row>
    <row r="367" spans="1:3" ht="13.2" x14ac:dyDescent="0.25">
      <c r="A367" s="2"/>
      <c r="B367" s="2"/>
      <c r="C367" s="2"/>
    </row>
    <row r="368" spans="1:3" ht="13.2" x14ac:dyDescent="0.25">
      <c r="A368" s="2"/>
      <c r="B368" s="2"/>
      <c r="C368" s="2"/>
    </row>
    <row r="369" spans="1:3" ht="13.2" x14ac:dyDescent="0.25">
      <c r="A369" s="2"/>
      <c r="B369" s="2"/>
      <c r="C369" s="2"/>
    </row>
    <row r="370" spans="1:3" ht="13.2" x14ac:dyDescent="0.25">
      <c r="A370" s="2"/>
      <c r="B370" s="2"/>
      <c r="C370" s="2"/>
    </row>
    <row r="371" spans="1:3" ht="13.2" x14ac:dyDescent="0.25">
      <c r="A371" s="2"/>
      <c r="B371" s="2"/>
      <c r="C371" s="2"/>
    </row>
    <row r="372" spans="1:3" ht="13.2" x14ac:dyDescent="0.25">
      <c r="A372" s="2"/>
      <c r="B372" s="2"/>
      <c r="C372" s="2"/>
    </row>
    <row r="373" spans="1:3" ht="13.2" x14ac:dyDescent="0.25">
      <c r="A373" s="2"/>
      <c r="B373" s="2"/>
      <c r="C373" s="2"/>
    </row>
    <row r="374" spans="1:3" ht="13.2" x14ac:dyDescent="0.25">
      <c r="A374" s="2"/>
      <c r="B374" s="2"/>
      <c r="C374" s="2"/>
    </row>
    <row r="375" spans="1:3" ht="13.2" x14ac:dyDescent="0.25">
      <c r="A375" s="2"/>
      <c r="B375" s="2"/>
      <c r="C375" s="2"/>
    </row>
    <row r="376" spans="1:3" ht="13.2" x14ac:dyDescent="0.25">
      <c r="A376" s="2"/>
      <c r="B376" s="2"/>
      <c r="C376" s="2"/>
    </row>
    <row r="377" spans="1:3" ht="13.2" x14ac:dyDescent="0.25">
      <c r="A377" s="2"/>
      <c r="B377" s="2"/>
      <c r="C377" s="2"/>
    </row>
    <row r="378" spans="1:3" ht="13.2" x14ac:dyDescent="0.25">
      <c r="A378" s="2"/>
      <c r="B378" s="2"/>
      <c r="C378" s="2"/>
    </row>
    <row r="379" spans="1:3" ht="13.2" x14ac:dyDescent="0.25">
      <c r="A379" s="2"/>
      <c r="B379" s="2"/>
      <c r="C379" s="2"/>
    </row>
    <row r="380" spans="1:3" ht="13.2" x14ac:dyDescent="0.25">
      <c r="A380" s="2"/>
      <c r="B380" s="2"/>
      <c r="C380" s="2"/>
    </row>
    <row r="381" spans="1:3" ht="13.2" x14ac:dyDescent="0.25">
      <c r="A381" s="2"/>
      <c r="B381" s="2"/>
      <c r="C381" s="2"/>
    </row>
    <row r="382" spans="1:3" ht="13.2" x14ac:dyDescent="0.25">
      <c r="A382" s="2"/>
      <c r="B382" s="2"/>
      <c r="C382" s="2"/>
    </row>
    <row r="383" spans="1:3" ht="13.2" x14ac:dyDescent="0.25">
      <c r="A383" s="2"/>
      <c r="B383" s="2"/>
      <c r="C383" s="2"/>
    </row>
    <row r="384" spans="1:3" ht="13.2" x14ac:dyDescent="0.25">
      <c r="A384" s="2"/>
      <c r="B384" s="2"/>
      <c r="C384" s="2"/>
    </row>
    <row r="385" spans="1:3" ht="13.2" x14ac:dyDescent="0.25">
      <c r="A385" s="2"/>
      <c r="B385" s="2"/>
      <c r="C385" s="2"/>
    </row>
    <row r="386" spans="1:3" ht="13.2" x14ac:dyDescent="0.25">
      <c r="A386" s="2"/>
      <c r="B386" s="2"/>
      <c r="C386" s="2"/>
    </row>
    <row r="387" spans="1:3" ht="13.2" x14ac:dyDescent="0.25">
      <c r="A387" s="2"/>
      <c r="B387" s="2"/>
      <c r="C387" s="2"/>
    </row>
    <row r="388" spans="1:3" ht="13.2" x14ac:dyDescent="0.25">
      <c r="A388" s="2"/>
      <c r="B388" s="2"/>
      <c r="C388" s="2"/>
    </row>
    <row r="389" spans="1:3" ht="13.2" x14ac:dyDescent="0.25">
      <c r="A389" s="2"/>
      <c r="B389" s="2"/>
      <c r="C389" s="2"/>
    </row>
    <row r="390" spans="1:3" ht="13.2" x14ac:dyDescent="0.25">
      <c r="A390" s="2"/>
      <c r="B390" s="2"/>
      <c r="C390" s="2"/>
    </row>
    <row r="391" spans="1:3" ht="13.2" x14ac:dyDescent="0.25">
      <c r="A391" s="2"/>
      <c r="B391" s="2"/>
      <c r="C391" s="2"/>
    </row>
    <row r="392" spans="1:3" ht="13.2" x14ac:dyDescent="0.25">
      <c r="A392" s="2"/>
      <c r="B392" s="2"/>
      <c r="C392" s="2"/>
    </row>
    <row r="393" spans="1:3" ht="13.2" x14ac:dyDescent="0.25">
      <c r="A393" s="2"/>
      <c r="B393" s="2"/>
      <c r="C393" s="2"/>
    </row>
    <row r="394" spans="1:3" ht="13.2" x14ac:dyDescent="0.25">
      <c r="A394" s="2"/>
      <c r="B394" s="2"/>
      <c r="C394" s="2"/>
    </row>
    <row r="395" spans="1:3" ht="13.2" x14ac:dyDescent="0.25">
      <c r="A395" s="2"/>
      <c r="B395" s="2"/>
      <c r="C395" s="2"/>
    </row>
    <row r="396" spans="1:3" ht="13.2" x14ac:dyDescent="0.25">
      <c r="A396" s="2"/>
      <c r="B396" s="2"/>
      <c r="C396" s="2"/>
    </row>
    <row r="397" spans="1:3" ht="13.2" x14ac:dyDescent="0.25">
      <c r="A397" s="2"/>
      <c r="B397" s="2"/>
      <c r="C397" s="2"/>
    </row>
    <row r="398" spans="1:3" ht="13.2" x14ac:dyDescent="0.25">
      <c r="A398" s="2"/>
      <c r="B398" s="2"/>
      <c r="C398" s="2"/>
    </row>
    <row r="399" spans="1:3" ht="13.2" x14ac:dyDescent="0.25">
      <c r="A399" s="2"/>
      <c r="B399" s="2"/>
      <c r="C399" s="2"/>
    </row>
    <row r="400" spans="1:3" ht="13.2" x14ac:dyDescent="0.25">
      <c r="A400" s="2"/>
      <c r="B400" s="2"/>
      <c r="C400" s="2"/>
    </row>
    <row r="401" spans="1:3" ht="13.2" x14ac:dyDescent="0.25">
      <c r="A401" s="2"/>
      <c r="B401" s="2"/>
      <c r="C401" s="2"/>
    </row>
    <row r="402" spans="1:3" ht="13.2" x14ac:dyDescent="0.25">
      <c r="A402" s="2"/>
      <c r="B402" s="2"/>
      <c r="C402" s="2"/>
    </row>
    <row r="403" spans="1:3" ht="13.2" x14ac:dyDescent="0.25">
      <c r="A403" s="2"/>
      <c r="B403" s="2"/>
      <c r="C403" s="2"/>
    </row>
    <row r="404" spans="1:3" ht="13.2" x14ac:dyDescent="0.25">
      <c r="A404" s="2"/>
      <c r="B404" s="2"/>
      <c r="C404" s="2"/>
    </row>
    <row r="405" spans="1:3" ht="13.2" x14ac:dyDescent="0.25">
      <c r="A405" s="2"/>
      <c r="B405" s="2"/>
      <c r="C405" s="2"/>
    </row>
    <row r="406" spans="1:3" ht="13.2" x14ac:dyDescent="0.25">
      <c r="A406" s="2"/>
      <c r="B406" s="2"/>
      <c r="C406" s="2"/>
    </row>
    <row r="407" spans="1:3" ht="13.2" x14ac:dyDescent="0.25">
      <c r="A407" s="2"/>
      <c r="B407" s="2"/>
      <c r="C407" s="2"/>
    </row>
    <row r="408" spans="1:3" ht="13.2" x14ac:dyDescent="0.25">
      <c r="A408" s="2"/>
      <c r="B408" s="2"/>
      <c r="C408" s="2"/>
    </row>
    <row r="409" spans="1:3" ht="13.2" x14ac:dyDescent="0.25">
      <c r="A409" s="2"/>
      <c r="B409" s="2"/>
      <c r="C409" s="2"/>
    </row>
    <row r="410" spans="1:3" ht="13.2" x14ac:dyDescent="0.25">
      <c r="A410" s="2"/>
      <c r="B410" s="2"/>
      <c r="C410" s="2"/>
    </row>
    <row r="411" spans="1:3" ht="13.2" x14ac:dyDescent="0.25">
      <c r="A411" s="2"/>
      <c r="B411" s="2"/>
      <c r="C411" s="2"/>
    </row>
    <row r="412" spans="1:3" ht="13.2" x14ac:dyDescent="0.25">
      <c r="A412" s="2"/>
      <c r="B412" s="2"/>
      <c r="C412" s="2"/>
    </row>
    <row r="413" spans="1:3" ht="13.2" x14ac:dyDescent="0.25">
      <c r="A413" s="2"/>
      <c r="B413" s="2"/>
      <c r="C413" s="2"/>
    </row>
    <row r="414" spans="1:3" ht="13.2" x14ac:dyDescent="0.25">
      <c r="A414" s="2"/>
      <c r="B414" s="2"/>
      <c r="C414" s="2"/>
    </row>
    <row r="415" spans="1:3" ht="13.2" x14ac:dyDescent="0.25">
      <c r="A415" s="2"/>
      <c r="B415" s="2"/>
      <c r="C415" s="2"/>
    </row>
    <row r="416" spans="1:3" ht="13.2" x14ac:dyDescent="0.25">
      <c r="A416" s="2"/>
      <c r="B416" s="2"/>
      <c r="C416" s="2"/>
    </row>
    <row r="417" spans="1:3" ht="13.2" x14ac:dyDescent="0.25">
      <c r="A417" s="2"/>
      <c r="B417" s="2"/>
      <c r="C417" s="2"/>
    </row>
    <row r="418" spans="1:3" ht="13.2" x14ac:dyDescent="0.25">
      <c r="A418" s="2"/>
      <c r="B418" s="2"/>
      <c r="C418" s="2"/>
    </row>
    <row r="419" spans="1:3" ht="13.2" x14ac:dyDescent="0.25">
      <c r="A419" s="2"/>
      <c r="B419" s="2"/>
      <c r="C419" s="2"/>
    </row>
    <row r="420" spans="1:3" ht="13.2" x14ac:dyDescent="0.25">
      <c r="A420" s="2"/>
      <c r="B420" s="2"/>
      <c r="C420" s="2"/>
    </row>
    <row r="421" spans="1:3" ht="13.2" x14ac:dyDescent="0.25">
      <c r="A421" s="2"/>
      <c r="B421" s="2"/>
      <c r="C421" s="2"/>
    </row>
    <row r="422" spans="1:3" ht="13.2" x14ac:dyDescent="0.25">
      <c r="A422" s="2"/>
      <c r="B422" s="2"/>
      <c r="C422" s="2"/>
    </row>
    <row r="423" spans="1:3" ht="13.2" x14ac:dyDescent="0.25">
      <c r="A423" s="2"/>
      <c r="B423" s="2"/>
      <c r="C423" s="2"/>
    </row>
    <row r="424" spans="1:3" ht="13.2" x14ac:dyDescent="0.25">
      <c r="A424" s="2"/>
      <c r="B424" s="2"/>
      <c r="C424" s="2"/>
    </row>
    <row r="425" spans="1:3" ht="13.2" x14ac:dyDescent="0.25">
      <c r="A425" s="2"/>
      <c r="B425" s="2"/>
      <c r="C425" s="2"/>
    </row>
    <row r="426" spans="1:3" ht="13.2" x14ac:dyDescent="0.25">
      <c r="A426" s="2"/>
      <c r="B426" s="2"/>
      <c r="C426" s="2"/>
    </row>
    <row r="427" spans="1:3" ht="13.2" x14ac:dyDescent="0.25">
      <c r="A427" s="2"/>
      <c r="B427" s="2"/>
      <c r="C427" s="2"/>
    </row>
    <row r="428" spans="1:3" ht="13.2" x14ac:dyDescent="0.25">
      <c r="A428" s="2"/>
      <c r="B428" s="2"/>
      <c r="C428" s="2"/>
    </row>
    <row r="429" spans="1:3" ht="13.2" x14ac:dyDescent="0.25">
      <c r="A429" s="2"/>
      <c r="B429" s="2"/>
      <c r="C429" s="2"/>
    </row>
    <row r="430" spans="1:3" ht="13.2" x14ac:dyDescent="0.25">
      <c r="A430" s="2"/>
      <c r="B430" s="2"/>
      <c r="C430" s="2"/>
    </row>
    <row r="431" spans="1:3" ht="13.2" x14ac:dyDescent="0.25">
      <c r="A431" s="2"/>
      <c r="B431" s="2"/>
      <c r="C431" s="2"/>
    </row>
    <row r="432" spans="1:3" ht="13.2" x14ac:dyDescent="0.25">
      <c r="A432" s="2"/>
      <c r="B432" s="2"/>
      <c r="C432" s="2"/>
    </row>
    <row r="433" spans="1:3" ht="13.2" x14ac:dyDescent="0.25">
      <c r="A433" s="2"/>
      <c r="B433" s="2"/>
      <c r="C433" s="2"/>
    </row>
    <row r="434" spans="1:3" ht="13.2" x14ac:dyDescent="0.25">
      <c r="A434" s="2"/>
      <c r="B434" s="2"/>
      <c r="C434" s="2"/>
    </row>
    <row r="435" spans="1:3" ht="13.2" x14ac:dyDescent="0.25">
      <c r="A435" s="2"/>
      <c r="B435" s="2"/>
      <c r="C435" s="2"/>
    </row>
    <row r="436" spans="1:3" ht="13.2" x14ac:dyDescent="0.25">
      <c r="A436" s="2"/>
      <c r="B436" s="2"/>
      <c r="C436" s="2"/>
    </row>
    <row r="437" spans="1:3" ht="13.2" x14ac:dyDescent="0.25">
      <c r="A437" s="2"/>
      <c r="B437" s="2"/>
      <c r="C437" s="2"/>
    </row>
    <row r="438" spans="1:3" ht="13.2" x14ac:dyDescent="0.25">
      <c r="A438" s="2"/>
      <c r="B438" s="2"/>
      <c r="C438" s="2"/>
    </row>
    <row r="439" spans="1:3" ht="13.2" x14ac:dyDescent="0.25">
      <c r="A439" s="2"/>
      <c r="B439" s="2"/>
      <c r="C439" s="2"/>
    </row>
    <row r="440" spans="1:3" ht="13.2" x14ac:dyDescent="0.25">
      <c r="A440" s="2"/>
      <c r="B440" s="2"/>
      <c r="C440" s="2"/>
    </row>
    <row r="441" spans="1:3" ht="13.2" x14ac:dyDescent="0.25">
      <c r="A441" s="2"/>
      <c r="B441" s="2"/>
      <c r="C441" s="2"/>
    </row>
    <row r="442" spans="1:3" ht="13.2" x14ac:dyDescent="0.25">
      <c r="A442" s="2"/>
      <c r="B442" s="2"/>
      <c r="C442" s="2"/>
    </row>
    <row r="443" spans="1:3" ht="13.2" x14ac:dyDescent="0.25">
      <c r="A443" s="2"/>
      <c r="B443" s="2"/>
      <c r="C443" s="2"/>
    </row>
    <row r="444" spans="1:3" ht="13.2" x14ac:dyDescent="0.25">
      <c r="A444" s="2"/>
      <c r="B444" s="2"/>
      <c r="C444" s="2"/>
    </row>
    <row r="445" spans="1:3" ht="13.2" x14ac:dyDescent="0.25">
      <c r="A445" s="2"/>
      <c r="B445" s="2"/>
      <c r="C445" s="2"/>
    </row>
    <row r="446" spans="1:3" ht="13.2" x14ac:dyDescent="0.25">
      <c r="A446" s="2"/>
      <c r="B446" s="2"/>
      <c r="C446" s="2"/>
    </row>
    <row r="447" spans="1:3" ht="13.2" x14ac:dyDescent="0.25">
      <c r="A447" s="2"/>
      <c r="B447" s="2"/>
      <c r="C447" s="2"/>
    </row>
    <row r="448" spans="1:3" ht="13.2" x14ac:dyDescent="0.25">
      <c r="A448" s="2"/>
      <c r="B448" s="2"/>
      <c r="C448" s="2"/>
    </row>
    <row r="449" spans="1:3" ht="13.2" x14ac:dyDescent="0.25">
      <c r="A449" s="2"/>
      <c r="B449" s="2"/>
      <c r="C449" s="2"/>
    </row>
    <row r="450" spans="1:3" ht="13.2" x14ac:dyDescent="0.25">
      <c r="A450" s="2"/>
      <c r="B450" s="2"/>
      <c r="C450" s="2"/>
    </row>
    <row r="451" spans="1:3" ht="13.2" x14ac:dyDescent="0.25">
      <c r="A451" s="2"/>
      <c r="B451" s="2"/>
      <c r="C451" s="2"/>
    </row>
    <row r="452" spans="1:3" ht="13.2" x14ac:dyDescent="0.25">
      <c r="A452" s="2"/>
      <c r="B452" s="2"/>
      <c r="C452" s="2"/>
    </row>
    <row r="453" spans="1:3" ht="13.2" x14ac:dyDescent="0.25">
      <c r="A453" s="2"/>
      <c r="B453" s="2"/>
      <c r="C453" s="2"/>
    </row>
    <row r="454" spans="1:3" ht="13.2" x14ac:dyDescent="0.25">
      <c r="A454" s="2"/>
      <c r="B454" s="2"/>
      <c r="C454" s="2"/>
    </row>
    <row r="455" spans="1:3" ht="13.2" x14ac:dyDescent="0.25">
      <c r="A455" s="2"/>
      <c r="B455" s="2"/>
      <c r="C455" s="2"/>
    </row>
    <row r="456" spans="1:3" ht="13.2" x14ac:dyDescent="0.25">
      <c r="A456" s="2"/>
      <c r="B456" s="2"/>
      <c r="C456" s="2"/>
    </row>
    <row r="457" spans="1:3" ht="13.2" x14ac:dyDescent="0.25">
      <c r="A457" s="2"/>
      <c r="B457" s="2"/>
      <c r="C457" s="2"/>
    </row>
    <row r="458" spans="1:3" ht="13.2" x14ac:dyDescent="0.25">
      <c r="A458" s="2"/>
      <c r="B458" s="2"/>
      <c r="C458" s="2"/>
    </row>
    <row r="459" spans="1:3" ht="13.2" x14ac:dyDescent="0.25">
      <c r="A459" s="2"/>
      <c r="B459" s="2"/>
      <c r="C459" s="2"/>
    </row>
    <row r="460" spans="1:3" ht="13.2" x14ac:dyDescent="0.25">
      <c r="A460" s="2"/>
      <c r="B460" s="2"/>
      <c r="C460" s="2"/>
    </row>
    <row r="461" spans="1:3" ht="13.2" x14ac:dyDescent="0.25">
      <c r="A461" s="2"/>
      <c r="B461" s="2"/>
      <c r="C461" s="2"/>
    </row>
    <row r="462" spans="1:3" ht="13.2" x14ac:dyDescent="0.25">
      <c r="A462" s="2"/>
      <c r="B462" s="2"/>
      <c r="C462" s="2"/>
    </row>
    <row r="463" spans="1:3" ht="13.2" x14ac:dyDescent="0.25">
      <c r="A463" s="2"/>
      <c r="B463" s="2"/>
      <c r="C463" s="2"/>
    </row>
    <row r="464" spans="1:3" ht="13.2" x14ac:dyDescent="0.25">
      <c r="A464" s="2"/>
      <c r="B464" s="2"/>
      <c r="C464" s="2"/>
    </row>
    <row r="465" spans="1:3" ht="13.2" x14ac:dyDescent="0.25">
      <c r="A465" s="2"/>
      <c r="B465" s="2"/>
      <c r="C465" s="2"/>
    </row>
    <row r="466" spans="1:3" ht="13.2" x14ac:dyDescent="0.25">
      <c r="A466" s="2"/>
      <c r="B466" s="2"/>
      <c r="C466" s="2"/>
    </row>
    <row r="467" spans="1:3" ht="13.2" x14ac:dyDescent="0.25">
      <c r="A467" s="2"/>
      <c r="B467" s="2"/>
      <c r="C467" s="2"/>
    </row>
    <row r="468" spans="1:3" ht="13.2" x14ac:dyDescent="0.25">
      <c r="A468" s="2"/>
      <c r="B468" s="2"/>
      <c r="C468" s="2"/>
    </row>
    <row r="469" spans="1:3" ht="13.2" x14ac:dyDescent="0.25">
      <c r="A469" s="2"/>
      <c r="B469" s="2"/>
      <c r="C469" s="2"/>
    </row>
    <row r="470" spans="1:3" ht="13.2" x14ac:dyDescent="0.25">
      <c r="A470" s="2"/>
      <c r="B470" s="2"/>
      <c r="C470" s="2"/>
    </row>
    <row r="471" spans="1:3" ht="13.2" x14ac:dyDescent="0.25">
      <c r="A471" s="2"/>
      <c r="B471" s="2"/>
      <c r="C471" s="2"/>
    </row>
    <row r="472" spans="1:3" ht="13.2" x14ac:dyDescent="0.25">
      <c r="A472" s="2"/>
      <c r="B472" s="2"/>
      <c r="C472" s="2"/>
    </row>
    <row r="473" spans="1:3" ht="13.2" x14ac:dyDescent="0.25">
      <c r="A473" s="2"/>
      <c r="B473" s="2"/>
      <c r="C473" s="2"/>
    </row>
    <row r="474" spans="1:3" ht="13.2" x14ac:dyDescent="0.25">
      <c r="A474" s="2"/>
      <c r="B474" s="2"/>
      <c r="C474" s="2"/>
    </row>
    <row r="475" spans="1:3" ht="13.2" x14ac:dyDescent="0.25">
      <c r="A475" s="2"/>
      <c r="B475" s="2"/>
      <c r="C475" s="2"/>
    </row>
    <row r="476" spans="1:3" ht="13.2" x14ac:dyDescent="0.25">
      <c r="A476" s="2"/>
      <c r="B476" s="2"/>
      <c r="C476" s="2"/>
    </row>
    <row r="477" spans="1:3" ht="13.2" x14ac:dyDescent="0.25">
      <c r="A477" s="2"/>
      <c r="B477" s="2"/>
      <c r="C477" s="2"/>
    </row>
    <row r="478" spans="1:3" ht="13.2" x14ac:dyDescent="0.25">
      <c r="A478" s="2"/>
      <c r="B478" s="2"/>
      <c r="C478" s="2"/>
    </row>
    <row r="479" spans="1:3" ht="13.2" x14ac:dyDescent="0.25">
      <c r="A479" s="2"/>
      <c r="B479" s="2"/>
      <c r="C479" s="2"/>
    </row>
    <row r="480" spans="1:3" ht="13.2" x14ac:dyDescent="0.25">
      <c r="A480" s="2"/>
      <c r="B480" s="2"/>
      <c r="C480" s="2"/>
    </row>
    <row r="481" spans="1:3" ht="13.2" x14ac:dyDescent="0.25">
      <c r="A481" s="2"/>
      <c r="B481" s="2"/>
      <c r="C481" s="2"/>
    </row>
    <row r="482" spans="1:3" ht="13.2" x14ac:dyDescent="0.25">
      <c r="A482" s="2"/>
      <c r="B482" s="2"/>
      <c r="C482" s="2"/>
    </row>
    <row r="483" spans="1:3" ht="13.2" x14ac:dyDescent="0.25">
      <c r="A483" s="2"/>
      <c r="B483" s="2"/>
      <c r="C483" s="2"/>
    </row>
    <row r="484" spans="1:3" ht="13.2" x14ac:dyDescent="0.25">
      <c r="A484" s="2"/>
      <c r="B484" s="2"/>
      <c r="C484" s="2"/>
    </row>
    <row r="485" spans="1:3" ht="13.2" x14ac:dyDescent="0.25">
      <c r="A485" s="2"/>
      <c r="B485" s="2"/>
      <c r="C485" s="2"/>
    </row>
    <row r="486" spans="1:3" ht="13.2" x14ac:dyDescent="0.25">
      <c r="A486" s="2"/>
      <c r="B486" s="2"/>
      <c r="C486" s="2"/>
    </row>
    <row r="487" spans="1:3" ht="13.2" x14ac:dyDescent="0.25">
      <c r="A487" s="2"/>
      <c r="B487" s="2"/>
      <c r="C487" s="2"/>
    </row>
    <row r="488" spans="1:3" ht="13.2" x14ac:dyDescent="0.25">
      <c r="A488" s="2"/>
      <c r="B488" s="2"/>
      <c r="C488" s="2"/>
    </row>
    <row r="489" spans="1:3" ht="13.2" x14ac:dyDescent="0.25">
      <c r="A489" s="2"/>
      <c r="B489" s="2"/>
      <c r="C489" s="2"/>
    </row>
    <row r="490" spans="1:3" ht="13.2" x14ac:dyDescent="0.25">
      <c r="A490" s="2"/>
      <c r="B490" s="2"/>
      <c r="C490" s="2"/>
    </row>
    <row r="491" spans="1:3" ht="13.2" x14ac:dyDescent="0.25">
      <c r="A491" s="2"/>
      <c r="B491" s="2"/>
      <c r="C491" s="2"/>
    </row>
    <row r="492" spans="1:3" ht="13.2" x14ac:dyDescent="0.25">
      <c r="A492" s="2"/>
      <c r="B492" s="2"/>
      <c r="C492" s="2"/>
    </row>
    <row r="493" spans="1:3" ht="13.2" x14ac:dyDescent="0.25">
      <c r="A493" s="2"/>
      <c r="B493" s="2"/>
      <c r="C493" s="2"/>
    </row>
    <row r="494" spans="1:3" ht="13.2" x14ac:dyDescent="0.25">
      <c r="A494" s="2"/>
      <c r="B494" s="2"/>
      <c r="C494" s="2"/>
    </row>
    <row r="495" spans="1:3" ht="13.2" x14ac:dyDescent="0.25">
      <c r="A495" s="2"/>
      <c r="B495" s="2"/>
      <c r="C495" s="2"/>
    </row>
    <row r="496" spans="1:3" ht="13.2" x14ac:dyDescent="0.25">
      <c r="A496" s="2"/>
      <c r="B496" s="2"/>
      <c r="C496" s="2"/>
    </row>
    <row r="497" spans="1:3" ht="13.2" x14ac:dyDescent="0.25">
      <c r="A497" s="2"/>
      <c r="B497" s="2"/>
      <c r="C497" s="2"/>
    </row>
    <row r="498" spans="1:3" ht="13.2" x14ac:dyDescent="0.25">
      <c r="A498" s="2"/>
      <c r="B498" s="2"/>
      <c r="C498" s="2"/>
    </row>
    <row r="499" spans="1:3" ht="13.2" x14ac:dyDescent="0.25">
      <c r="A499" s="2"/>
      <c r="B499" s="2"/>
      <c r="C499" s="2"/>
    </row>
    <row r="500" spans="1:3" ht="13.2" x14ac:dyDescent="0.25">
      <c r="A500" s="2"/>
      <c r="B500" s="2"/>
      <c r="C500" s="2"/>
    </row>
    <row r="501" spans="1:3" ht="13.2" x14ac:dyDescent="0.25">
      <c r="A501" s="2"/>
      <c r="B501" s="2"/>
      <c r="C501" s="2"/>
    </row>
    <row r="502" spans="1:3" ht="13.2" x14ac:dyDescent="0.25">
      <c r="A502" s="2"/>
      <c r="B502" s="2"/>
      <c r="C502" s="2"/>
    </row>
    <row r="503" spans="1:3" ht="13.2" x14ac:dyDescent="0.25">
      <c r="A503" s="2"/>
      <c r="B503" s="2"/>
      <c r="C503" s="2"/>
    </row>
    <row r="504" spans="1:3" ht="13.2" x14ac:dyDescent="0.25">
      <c r="A504" s="2"/>
      <c r="B504" s="2"/>
      <c r="C504" s="2"/>
    </row>
    <row r="505" spans="1:3" ht="13.2" x14ac:dyDescent="0.25">
      <c r="A505" s="2"/>
      <c r="B505" s="2"/>
      <c r="C505" s="2"/>
    </row>
    <row r="506" spans="1:3" ht="13.2" x14ac:dyDescent="0.25">
      <c r="A506" s="2"/>
      <c r="B506" s="2"/>
      <c r="C506" s="2"/>
    </row>
    <row r="507" spans="1:3" ht="13.2" x14ac:dyDescent="0.25">
      <c r="A507" s="2"/>
      <c r="B507" s="2"/>
      <c r="C507" s="2"/>
    </row>
    <row r="508" spans="1:3" ht="13.2" x14ac:dyDescent="0.25">
      <c r="A508" s="2"/>
      <c r="B508" s="2"/>
      <c r="C508" s="2"/>
    </row>
    <row r="509" spans="1:3" ht="13.2" x14ac:dyDescent="0.25">
      <c r="A509" s="2"/>
      <c r="B509" s="2"/>
      <c r="C509" s="2"/>
    </row>
    <row r="510" spans="1:3" ht="13.2" x14ac:dyDescent="0.25">
      <c r="A510" s="2"/>
      <c r="B510" s="2"/>
      <c r="C510" s="2"/>
    </row>
    <row r="511" spans="1:3" ht="13.2" x14ac:dyDescent="0.25">
      <c r="A511" s="2"/>
      <c r="B511" s="2"/>
      <c r="C511" s="2"/>
    </row>
    <row r="512" spans="1:3" ht="13.2" x14ac:dyDescent="0.25">
      <c r="A512" s="2"/>
      <c r="B512" s="2"/>
      <c r="C512" s="2"/>
    </row>
    <row r="513" spans="1:3" ht="13.2" x14ac:dyDescent="0.25">
      <c r="A513" s="2"/>
      <c r="B513" s="2"/>
      <c r="C513" s="2"/>
    </row>
    <row r="514" spans="1:3" ht="13.2" x14ac:dyDescent="0.25">
      <c r="A514" s="2"/>
      <c r="B514" s="2"/>
      <c r="C514" s="2"/>
    </row>
    <row r="515" spans="1:3" ht="13.2" x14ac:dyDescent="0.25">
      <c r="A515" s="2"/>
      <c r="B515" s="2"/>
      <c r="C515" s="2"/>
    </row>
    <row r="516" spans="1:3" ht="13.2" x14ac:dyDescent="0.25">
      <c r="A516" s="2"/>
      <c r="B516" s="2"/>
      <c r="C516" s="2"/>
    </row>
    <row r="517" spans="1:3" ht="13.2" x14ac:dyDescent="0.25">
      <c r="A517" s="2"/>
      <c r="B517" s="2"/>
      <c r="C517" s="2"/>
    </row>
    <row r="518" spans="1:3" ht="13.2" x14ac:dyDescent="0.25">
      <c r="A518" s="2"/>
      <c r="B518" s="2"/>
      <c r="C518" s="2"/>
    </row>
    <row r="519" spans="1:3" ht="13.2" x14ac:dyDescent="0.25">
      <c r="A519" s="2"/>
      <c r="B519" s="2"/>
      <c r="C519" s="2"/>
    </row>
    <row r="520" spans="1:3" ht="13.2" x14ac:dyDescent="0.25">
      <c r="A520" s="2"/>
      <c r="B520" s="2"/>
      <c r="C520" s="2"/>
    </row>
    <row r="521" spans="1:3" ht="13.2" x14ac:dyDescent="0.25">
      <c r="A521" s="2"/>
      <c r="B521" s="2"/>
      <c r="C521" s="2"/>
    </row>
    <row r="522" spans="1:3" ht="13.2" x14ac:dyDescent="0.25">
      <c r="A522" s="2"/>
      <c r="B522" s="2"/>
      <c r="C522" s="2"/>
    </row>
    <row r="523" spans="1:3" ht="13.2" x14ac:dyDescent="0.25">
      <c r="A523" s="2"/>
      <c r="B523" s="2"/>
      <c r="C523" s="2"/>
    </row>
    <row r="524" spans="1:3" ht="13.2" x14ac:dyDescent="0.25">
      <c r="A524" s="2"/>
      <c r="B524" s="2"/>
      <c r="C524" s="2"/>
    </row>
    <row r="525" spans="1:3" ht="13.2" x14ac:dyDescent="0.25">
      <c r="A525" s="2"/>
      <c r="B525" s="2"/>
      <c r="C525" s="2"/>
    </row>
    <row r="526" spans="1:3" ht="13.2" x14ac:dyDescent="0.25">
      <c r="A526" s="2"/>
      <c r="B526" s="2"/>
      <c r="C526" s="2"/>
    </row>
    <row r="527" spans="1:3" ht="13.2" x14ac:dyDescent="0.25">
      <c r="A527" s="2"/>
      <c r="B527" s="2"/>
      <c r="C527" s="2"/>
    </row>
    <row r="528" spans="1:3" ht="13.2" x14ac:dyDescent="0.25">
      <c r="A528" s="2"/>
      <c r="B528" s="2"/>
      <c r="C528" s="2"/>
    </row>
    <row r="529" spans="1:3" ht="13.2" x14ac:dyDescent="0.25">
      <c r="A529" s="2"/>
      <c r="B529" s="2"/>
      <c r="C529" s="2"/>
    </row>
    <row r="530" spans="1:3" ht="13.2" x14ac:dyDescent="0.25">
      <c r="A530" s="2"/>
      <c r="B530" s="2"/>
      <c r="C530" s="2"/>
    </row>
    <row r="531" spans="1:3" ht="13.2" x14ac:dyDescent="0.25">
      <c r="A531" s="2"/>
      <c r="B531" s="2"/>
      <c r="C531" s="2"/>
    </row>
    <row r="532" spans="1:3" ht="13.2" x14ac:dyDescent="0.25">
      <c r="A532" s="2"/>
      <c r="B532" s="2"/>
      <c r="C532" s="2"/>
    </row>
    <row r="533" spans="1:3" ht="13.2" x14ac:dyDescent="0.25">
      <c r="A533" s="2"/>
      <c r="B533" s="2"/>
      <c r="C533" s="2"/>
    </row>
    <row r="534" spans="1:3" ht="13.2" x14ac:dyDescent="0.25">
      <c r="A534" s="2"/>
      <c r="B534" s="2"/>
      <c r="C534" s="2"/>
    </row>
    <row r="535" spans="1:3" ht="13.2" x14ac:dyDescent="0.25">
      <c r="A535" s="2"/>
      <c r="B535" s="2"/>
      <c r="C535" s="2"/>
    </row>
    <row r="536" spans="1:3" ht="13.2" x14ac:dyDescent="0.25">
      <c r="A536" s="2"/>
      <c r="B536" s="2"/>
      <c r="C536" s="2"/>
    </row>
    <row r="537" spans="1:3" ht="13.2" x14ac:dyDescent="0.25">
      <c r="A537" s="2"/>
      <c r="B537" s="2"/>
      <c r="C537" s="2"/>
    </row>
    <row r="538" spans="1:3" ht="13.2" x14ac:dyDescent="0.25">
      <c r="A538" s="2"/>
      <c r="B538" s="2"/>
      <c r="C538" s="2"/>
    </row>
    <row r="539" spans="1:3" ht="13.2" x14ac:dyDescent="0.25">
      <c r="A539" s="2"/>
      <c r="B539" s="2"/>
      <c r="C539" s="2"/>
    </row>
    <row r="540" spans="1:3" ht="13.2" x14ac:dyDescent="0.25">
      <c r="A540" s="2"/>
      <c r="B540" s="2"/>
      <c r="C540" s="2"/>
    </row>
    <row r="541" spans="1:3" ht="13.2" x14ac:dyDescent="0.25">
      <c r="A541" s="2"/>
      <c r="B541" s="2"/>
      <c r="C541" s="2"/>
    </row>
    <row r="542" spans="1:3" ht="13.2" x14ac:dyDescent="0.25">
      <c r="A542" s="2"/>
      <c r="B542" s="2"/>
      <c r="C542" s="2"/>
    </row>
    <row r="543" spans="1:3" ht="13.2" x14ac:dyDescent="0.25">
      <c r="A543" s="2"/>
      <c r="B543" s="2"/>
      <c r="C543" s="2"/>
    </row>
    <row r="544" spans="1:3" ht="13.2" x14ac:dyDescent="0.25">
      <c r="A544" s="2"/>
      <c r="B544" s="2"/>
      <c r="C544" s="2"/>
    </row>
    <row r="545" spans="1:3" ht="13.2" x14ac:dyDescent="0.25">
      <c r="A545" s="2"/>
      <c r="B545" s="2"/>
      <c r="C545" s="2"/>
    </row>
    <row r="546" spans="1:3" ht="13.2" x14ac:dyDescent="0.25">
      <c r="A546" s="2"/>
      <c r="B546" s="2"/>
      <c r="C546" s="2"/>
    </row>
    <row r="547" spans="1:3" ht="13.2" x14ac:dyDescent="0.25">
      <c r="A547" s="2"/>
      <c r="B547" s="2"/>
      <c r="C547" s="2"/>
    </row>
    <row r="548" spans="1:3" ht="13.2" x14ac:dyDescent="0.25">
      <c r="A548" s="2"/>
      <c r="B548" s="2"/>
      <c r="C548" s="2"/>
    </row>
    <row r="549" spans="1:3" ht="13.2" x14ac:dyDescent="0.25">
      <c r="A549" s="2"/>
      <c r="B549" s="2"/>
      <c r="C549" s="2"/>
    </row>
    <row r="550" spans="1:3" ht="13.2" x14ac:dyDescent="0.25">
      <c r="A550" s="2"/>
      <c r="B550" s="2"/>
      <c r="C550" s="2"/>
    </row>
    <row r="551" spans="1:3" ht="13.2" x14ac:dyDescent="0.25">
      <c r="A551" s="2"/>
      <c r="B551" s="2"/>
      <c r="C551" s="2"/>
    </row>
    <row r="552" spans="1:3" ht="13.2" x14ac:dyDescent="0.25">
      <c r="A552" s="2"/>
      <c r="B552" s="2"/>
      <c r="C552" s="2"/>
    </row>
    <row r="553" spans="1:3" ht="13.2" x14ac:dyDescent="0.25">
      <c r="A553" s="2"/>
      <c r="B553" s="2"/>
      <c r="C553" s="2"/>
    </row>
    <row r="554" spans="1:3" ht="13.2" x14ac:dyDescent="0.25">
      <c r="A554" s="2"/>
      <c r="B554" s="2"/>
      <c r="C554" s="2"/>
    </row>
    <row r="555" spans="1:3" ht="13.2" x14ac:dyDescent="0.25">
      <c r="A555" s="2"/>
      <c r="B555" s="2"/>
      <c r="C555" s="2"/>
    </row>
    <row r="556" spans="1:3" ht="13.2" x14ac:dyDescent="0.25">
      <c r="A556" s="2"/>
      <c r="B556" s="2"/>
      <c r="C556" s="2"/>
    </row>
    <row r="557" spans="1:3" ht="13.2" x14ac:dyDescent="0.25">
      <c r="A557" s="2"/>
      <c r="B557" s="2"/>
      <c r="C557" s="2"/>
    </row>
    <row r="558" spans="1:3" ht="13.2" x14ac:dyDescent="0.25">
      <c r="A558" s="2"/>
      <c r="B558" s="2"/>
      <c r="C558" s="2"/>
    </row>
    <row r="559" spans="1:3" ht="13.2" x14ac:dyDescent="0.25">
      <c r="A559" s="2"/>
      <c r="B559" s="2"/>
      <c r="C559" s="2"/>
    </row>
    <row r="560" spans="1:3" ht="13.2" x14ac:dyDescent="0.25">
      <c r="A560" s="2"/>
      <c r="B560" s="2"/>
      <c r="C560" s="2"/>
    </row>
    <row r="561" spans="1:3" ht="13.2" x14ac:dyDescent="0.25">
      <c r="A561" s="2"/>
      <c r="B561" s="2"/>
      <c r="C561" s="2"/>
    </row>
    <row r="562" spans="1:3" ht="13.2" x14ac:dyDescent="0.25">
      <c r="A562" s="2"/>
      <c r="B562" s="2"/>
      <c r="C562" s="2"/>
    </row>
    <row r="563" spans="1:3" ht="13.2" x14ac:dyDescent="0.25">
      <c r="A563" s="2"/>
      <c r="B563" s="2"/>
      <c r="C563" s="2"/>
    </row>
    <row r="564" spans="1:3" ht="13.2" x14ac:dyDescent="0.25">
      <c r="A564" s="2"/>
      <c r="B564" s="2"/>
      <c r="C564" s="2"/>
    </row>
    <row r="565" spans="1:3" ht="13.2" x14ac:dyDescent="0.25">
      <c r="A565" s="2"/>
      <c r="B565" s="2"/>
      <c r="C565" s="2"/>
    </row>
    <row r="566" spans="1:3" ht="13.2" x14ac:dyDescent="0.25">
      <c r="A566" s="2"/>
      <c r="B566" s="2"/>
      <c r="C566" s="2"/>
    </row>
    <row r="567" spans="1:3" ht="13.2" x14ac:dyDescent="0.25">
      <c r="A567" s="2"/>
      <c r="B567" s="2"/>
      <c r="C567" s="2"/>
    </row>
    <row r="568" spans="1:3" ht="13.2" x14ac:dyDescent="0.25">
      <c r="A568" s="2"/>
      <c r="B568" s="2"/>
      <c r="C568" s="2"/>
    </row>
    <row r="569" spans="1:3" ht="13.2" x14ac:dyDescent="0.25">
      <c r="A569" s="2"/>
      <c r="B569" s="2"/>
      <c r="C569" s="2"/>
    </row>
    <row r="570" spans="1:3" ht="13.2" x14ac:dyDescent="0.25">
      <c r="A570" s="2"/>
      <c r="B570" s="2"/>
      <c r="C570" s="2"/>
    </row>
    <row r="571" spans="1:3" ht="13.2" x14ac:dyDescent="0.25">
      <c r="A571" s="2"/>
      <c r="B571" s="2"/>
      <c r="C571" s="2"/>
    </row>
    <row r="572" spans="1:3" ht="13.2" x14ac:dyDescent="0.25">
      <c r="A572" s="2"/>
      <c r="B572" s="2"/>
      <c r="C572" s="2"/>
    </row>
    <row r="573" spans="1:3" ht="13.2" x14ac:dyDescent="0.25">
      <c r="A573" s="2"/>
      <c r="B573" s="2"/>
      <c r="C573" s="2"/>
    </row>
    <row r="574" spans="1:3" ht="13.2" x14ac:dyDescent="0.25">
      <c r="A574" s="2"/>
      <c r="B574" s="2"/>
      <c r="C574" s="2"/>
    </row>
    <row r="575" spans="1:3" ht="13.2" x14ac:dyDescent="0.25">
      <c r="A575" s="2"/>
      <c r="B575" s="2"/>
      <c r="C575" s="2"/>
    </row>
    <row r="576" spans="1:3" ht="13.2" x14ac:dyDescent="0.25">
      <c r="A576" s="2"/>
      <c r="B576" s="2"/>
      <c r="C576" s="2"/>
    </row>
    <row r="577" spans="1:3" ht="13.2" x14ac:dyDescent="0.25">
      <c r="A577" s="2"/>
      <c r="B577" s="2"/>
      <c r="C577" s="2"/>
    </row>
    <row r="578" spans="1:3" ht="13.2" x14ac:dyDescent="0.25">
      <c r="A578" s="2"/>
      <c r="B578" s="2"/>
      <c r="C578" s="2"/>
    </row>
    <row r="579" spans="1:3" ht="13.2" x14ac:dyDescent="0.25">
      <c r="A579" s="2"/>
      <c r="B579" s="2"/>
      <c r="C579" s="2"/>
    </row>
    <row r="580" spans="1:3" ht="13.2" x14ac:dyDescent="0.25">
      <c r="A580" s="2"/>
      <c r="B580" s="2"/>
      <c r="C580" s="2"/>
    </row>
    <row r="581" spans="1:3" ht="13.2" x14ac:dyDescent="0.25">
      <c r="A581" s="2"/>
      <c r="B581" s="2"/>
      <c r="C581" s="2"/>
    </row>
    <row r="582" spans="1:3" ht="13.2" x14ac:dyDescent="0.25">
      <c r="A582" s="2"/>
      <c r="B582" s="2"/>
      <c r="C582" s="2"/>
    </row>
    <row r="583" spans="1:3" ht="13.2" x14ac:dyDescent="0.25">
      <c r="A583" s="2"/>
      <c r="B583" s="2"/>
      <c r="C583" s="2"/>
    </row>
    <row r="584" spans="1:3" ht="13.2" x14ac:dyDescent="0.25">
      <c r="A584" s="2"/>
      <c r="B584" s="2"/>
      <c r="C584" s="2"/>
    </row>
    <row r="585" spans="1:3" ht="13.2" x14ac:dyDescent="0.25">
      <c r="A585" s="2"/>
      <c r="B585" s="2"/>
      <c r="C585" s="2"/>
    </row>
    <row r="586" spans="1:3" ht="13.2" x14ac:dyDescent="0.25">
      <c r="A586" s="2"/>
      <c r="B586" s="2"/>
      <c r="C586" s="2"/>
    </row>
    <row r="587" spans="1:3" ht="13.2" x14ac:dyDescent="0.25">
      <c r="A587" s="2"/>
      <c r="B587" s="2"/>
      <c r="C587" s="2"/>
    </row>
    <row r="588" spans="1:3" ht="13.2" x14ac:dyDescent="0.25">
      <c r="A588" s="2"/>
      <c r="B588" s="2"/>
      <c r="C588" s="2"/>
    </row>
    <row r="589" spans="1:3" ht="13.2" x14ac:dyDescent="0.25">
      <c r="A589" s="2"/>
      <c r="B589" s="2"/>
      <c r="C589" s="2"/>
    </row>
    <row r="590" spans="1:3" ht="13.2" x14ac:dyDescent="0.25">
      <c r="A590" s="2"/>
      <c r="B590" s="2"/>
      <c r="C590" s="2"/>
    </row>
    <row r="591" spans="1:3" ht="13.2" x14ac:dyDescent="0.25">
      <c r="A591" s="2"/>
      <c r="B591" s="2"/>
      <c r="C591" s="2"/>
    </row>
    <row r="592" spans="1:3" ht="13.2" x14ac:dyDescent="0.25">
      <c r="A592" s="2"/>
      <c r="B592" s="2"/>
      <c r="C592" s="2"/>
    </row>
    <row r="593" spans="1:3" ht="13.2" x14ac:dyDescent="0.25">
      <c r="A593" s="2"/>
      <c r="B593" s="2"/>
      <c r="C593" s="2"/>
    </row>
    <row r="594" spans="1:3" ht="13.2" x14ac:dyDescent="0.25">
      <c r="A594" s="2"/>
      <c r="B594" s="2"/>
      <c r="C594" s="2"/>
    </row>
    <row r="595" spans="1:3" ht="13.2" x14ac:dyDescent="0.25">
      <c r="A595" s="2"/>
      <c r="B595" s="2"/>
      <c r="C595" s="2"/>
    </row>
    <row r="596" spans="1:3" ht="13.2" x14ac:dyDescent="0.25">
      <c r="A596" s="2"/>
      <c r="B596" s="2"/>
      <c r="C596" s="2"/>
    </row>
    <row r="597" spans="1:3" ht="13.2" x14ac:dyDescent="0.25">
      <c r="A597" s="2"/>
      <c r="B597" s="2"/>
      <c r="C597" s="2"/>
    </row>
    <row r="598" spans="1:3" ht="13.2" x14ac:dyDescent="0.25">
      <c r="A598" s="2"/>
      <c r="B598" s="2"/>
      <c r="C598" s="2"/>
    </row>
    <row r="599" spans="1:3" ht="13.2" x14ac:dyDescent="0.25">
      <c r="A599" s="2"/>
      <c r="B599" s="2"/>
      <c r="C599" s="2"/>
    </row>
    <row r="600" spans="1:3" ht="13.2" x14ac:dyDescent="0.25">
      <c r="A600" s="2"/>
      <c r="B600" s="2"/>
      <c r="C600" s="2"/>
    </row>
    <row r="601" spans="1:3" ht="13.2" x14ac:dyDescent="0.25">
      <c r="A601" s="2"/>
      <c r="B601" s="2"/>
      <c r="C601" s="2"/>
    </row>
    <row r="602" spans="1:3" ht="13.2" x14ac:dyDescent="0.25">
      <c r="A602" s="2"/>
      <c r="B602" s="2"/>
      <c r="C602" s="2"/>
    </row>
    <row r="603" spans="1:3" ht="13.2" x14ac:dyDescent="0.25">
      <c r="A603" s="2"/>
      <c r="B603" s="2"/>
      <c r="C603" s="2"/>
    </row>
    <row r="604" spans="1:3" ht="13.2" x14ac:dyDescent="0.25">
      <c r="A604" s="2"/>
      <c r="B604" s="2"/>
      <c r="C604" s="2"/>
    </row>
    <row r="605" spans="1:3" ht="13.2" x14ac:dyDescent="0.25">
      <c r="A605" s="2"/>
      <c r="B605" s="2"/>
      <c r="C605" s="2"/>
    </row>
    <row r="606" spans="1:3" ht="13.2" x14ac:dyDescent="0.25">
      <c r="A606" s="2"/>
      <c r="B606" s="2"/>
      <c r="C606" s="2"/>
    </row>
    <row r="607" spans="1:3" ht="13.2" x14ac:dyDescent="0.25">
      <c r="A607" s="2"/>
      <c r="B607" s="2"/>
      <c r="C607" s="2"/>
    </row>
    <row r="608" spans="1:3" ht="13.2" x14ac:dyDescent="0.25">
      <c r="A608" s="2"/>
      <c r="B608" s="2"/>
      <c r="C608" s="2"/>
    </row>
    <row r="609" spans="1:3" ht="13.2" x14ac:dyDescent="0.25">
      <c r="A609" s="2"/>
      <c r="B609" s="2"/>
      <c r="C609" s="2"/>
    </row>
    <row r="610" spans="1:3" ht="13.2" x14ac:dyDescent="0.25">
      <c r="A610" s="2"/>
      <c r="B610" s="2"/>
      <c r="C610" s="2"/>
    </row>
    <row r="611" spans="1:3" ht="13.2" x14ac:dyDescent="0.25">
      <c r="A611" s="2"/>
      <c r="B611" s="2"/>
      <c r="C611" s="2"/>
    </row>
    <row r="612" spans="1:3" ht="13.2" x14ac:dyDescent="0.25">
      <c r="A612" s="2"/>
      <c r="B612" s="2"/>
      <c r="C612" s="2"/>
    </row>
    <row r="613" spans="1:3" ht="13.2" x14ac:dyDescent="0.25">
      <c r="A613" s="2"/>
      <c r="B613" s="2"/>
      <c r="C613" s="2"/>
    </row>
    <row r="614" spans="1:3" ht="13.2" x14ac:dyDescent="0.25">
      <c r="A614" s="2"/>
      <c r="B614" s="2"/>
      <c r="C614" s="2"/>
    </row>
    <row r="615" spans="1:3" ht="13.2" x14ac:dyDescent="0.25">
      <c r="A615" s="2"/>
      <c r="B615" s="2"/>
      <c r="C615" s="2"/>
    </row>
    <row r="616" spans="1:3" ht="13.2" x14ac:dyDescent="0.25">
      <c r="A616" s="2"/>
      <c r="B616" s="2"/>
      <c r="C616" s="2"/>
    </row>
    <row r="617" spans="1:3" ht="13.2" x14ac:dyDescent="0.25">
      <c r="A617" s="2"/>
      <c r="B617" s="2"/>
      <c r="C617" s="2"/>
    </row>
    <row r="618" spans="1:3" ht="13.2" x14ac:dyDescent="0.25">
      <c r="A618" s="2"/>
      <c r="B618" s="2"/>
      <c r="C618" s="2"/>
    </row>
    <row r="619" spans="1:3" ht="13.2" x14ac:dyDescent="0.25">
      <c r="A619" s="2"/>
      <c r="B619" s="2"/>
      <c r="C619" s="2"/>
    </row>
    <row r="620" spans="1:3" ht="13.2" x14ac:dyDescent="0.25">
      <c r="A620" s="2"/>
      <c r="B620" s="2"/>
      <c r="C620" s="2"/>
    </row>
    <row r="621" spans="1:3" ht="13.2" x14ac:dyDescent="0.25">
      <c r="A621" s="2"/>
      <c r="B621" s="2"/>
      <c r="C621" s="2"/>
    </row>
    <row r="622" spans="1:3" ht="13.2" x14ac:dyDescent="0.25">
      <c r="A622" s="2"/>
      <c r="B622" s="2"/>
      <c r="C622" s="2"/>
    </row>
    <row r="623" spans="1:3" ht="13.2" x14ac:dyDescent="0.25">
      <c r="A623" s="2"/>
      <c r="B623" s="2"/>
      <c r="C623" s="2"/>
    </row>
    <row r="624" spans="1:3" ht="13.2" x14ac:dyDescent="0.25">
      <c r="A624" s="2"/>
      <c r="B624" s="2"/>
      <c r="C624" s="2"/>
    </row>
    <row r="625" spans="1:3" ht="13.2" x14ac:dyDescent="0.25">
      <c r="A625" s="2"/>
      <c r="B625" s="2"/>
      <c r="C625" s="2"/>
    </row>
    <row r="626" spans="1:3" ht="13.2" x14ac:dyDescent="0.25">
      <c r="A626" s="2"/>
      <c r="B626" s="2"/>
      <c r="C626" s="2"/>
    </row>
    <row r="627" spans="1:3" ht="13.2" x14ac:dyDescent="0.25">
      <c r="A627" s="2"/>
      <c r="B627" s="2"/>
      <c r="C627" s="2"/>
    </row>
    <row r="628" spans="1:3" ht="13.2" x14ac:dyDescent="0.25">
      <c r="A628" s="2"/>
      <c r="B628" s="2"/>
      <c r="C628" s="2"/>
    </row>
    <row r="629" spans="1:3" ht="13.2" x14ac:dyDescent="0.25">
      <c r="A629" s="2"/>
      <c r="B629" s="2"/>
      <c r="C629" s="2"/>
    </row>
    <row r="630" spans="1:3" ht="13.2" x14ac:dyDescent="0.25">
      <c r="A630" s="2"/>
      <c r="B630" s="2"/>
      <c r="C630" s="2"/>
    </row>
    <row r="631" spans="1:3" ht="13.2" x14ac:dyDescent="0.25">
      <c r="A631" s="2"/>
      <c r="B631" s="2"/>
      <c r="C631" s="2"/>
    </row>
    <row r="632" spans="1:3" ht="13.2" x14ac:dyDescent="0.25">
      <c r="A632" s="2"/>
      <c r="B632" s="2"/>
      <c r="C632" s="2"/>
    </row>
    <row r="633" spans="1:3" ht="13.2" x14ac:dyDescent="0.25">
      <c r="A633" s="2"/>
      <c r="B633" s="2"/>
      <c r="C633" s="2"/>
    </row>
    <row r="634" spans="1:3" ht="13.2" x14ac:dyDescent="0.25">
      <c r="A634" s="2"/>
      <c r="B634" s="2"/>
      <c r="C634" s="2"/>
    </row>
    <row r="635" spans="1:3" ht="13.2" x14ac:dyDescent="0.25">
      <c r="A635" s="2"/>
      <c r="B635" s="2"/>
      <c r="C635" s="2"/>
    </row>
    <row r="636" spans="1:3" ht="13.2" x14ac:dyDescent="0.25">
      <c r="A636" s="2"/>
      <c r="B636" s="2"/>
      <c r="C636" s="2"/>
    </row>
    <row r="637" spans="1:3" ht="13.2" x14ac:dyDescent="0.25">
      <c r="A637" s="2"/>
      <c r="B637" s="2"/>
      <c r="C637" s="2"/>
    </row>
    <row r="638" spans="1:3" ht="13.2" x14ac:dyDescent="0.25">
      <c r="A638" s="2"/>
      <c r="B638" s="2"/>
      <c r="C638" s="2"/>
    </row>
    <row r="639" spans="1:3" ht="13.2" x14ac:dyDescent="0.25">
      <c r="A639" s="2"/>
      <c r="B639" s="2"/>
      <c r="C639" s="2"/>
    </row>
    <row r="640" spans="1:3" ht="13.2" x14ac:dyDescent="0.25">
      <c r="A640" s="2"/>
      <c r="B640" s="2"/>
      <c r="C640" s="2"/>
    </row>
    <row r="641" spans="1:3" ht="13.2" x14ac:dyDescent="0.25">
      <c r="A641" s="2"/>
      <c r="B641" s="2"/>
      <c r="C641" s="2"/>
    </row>
    <row r="642" spans="1:3" ht="13.2" x14ac:dyDescent="0.25">
      <c r="A642" s="2"/>
      <c r="B642" s="2"/>
      <c r="C642" s="2"/>
    </row>
    <row r="643" spans="1:3" ht="13.2" x14ac:dyDescent="0.25">
      <c r="A643" s="2"/>
      <c r="B643" s="2"/>
      <c r="C643" s="2"/>
    </row>
    <row r="644" spans="1:3" ht="13.2" x14ac:dyDescent="0.25">
      <c r="A644" s="2"/>
      <c r="B644" s="2"/>
      <c r="C644" s="2"/>
    </row>
    <row r="645" spans="1:3" ht="13.2" x14ac:dyDescent="0.25">
      <c r="A645" s="2"/>
      <c r="B645" s="2"/>
      <c r="C645" s="2"/>
    </row>
    <row r="646" spans="1:3" ht="13.2" x14ac:dyDescent="0.25">
      <c r="A646" s="2"/>
      <c r="B646" s="2"/>
      <c r="C646" s="2"/>
    </row>
    <row r="647" spans="1:3" ht="13.2" x14ac:dyDescent="0.25">
      <c r="A647" s="2"/>
      <c r="B647" s="2"/>
      <c r="C647" s="2"/>
    </row>
    <row r="648" spans="1:3" ht="13.2" x14ac:dyDescent="0.25">
      <c r="A648" s="2"/>
      <c r="B648" s="2"/>
      <c r="C648" s="2"/>
    </row>
    <row r="649" spans="1:3" ht="13.2" x14ac:dyDescent="0.25">
      <c r="A649" s="2"/>
      <c r="B649" s="2"/>
      <c r="C649" s="2"/>
    </row>
    <row r="650" spans="1:3" ht="13.2" x14ac:dyDescent="0.25">
      <c r="A650" s="2"/>
      <c r="B650" s="2"/>
      <c r="C650" s="2"/>
    </row>
    <row r="651" spans="1:3" ht="13.2" x14ac:dyDescent="0.25">
      <c r="A651" s="2"/>
      <c r="B651" s="2"/>
      <c r="C651" s="2"/>
    </row>
    <row r="652" spans="1:3" ht="13.2" x14ac:dyDescent="0.25">
      <c r="A652" s="2"/>
      <c r="B652" s="2"/>
      <c r="C652" s="2"/>
    </row>
    <row r="653" spans="1:3" ht="13.2" x14ac:dyDescent="0.25">
      <c r="A653" s="2"/>
      <c r="B653" s="2"/>
      <c r="C653" s="2"/>
    </row>
    <row r="654" spans="1:3" ht="13.2" x14ac:dyDescent="0.25">
      <c r="A654" s="2"/>
      <c r="B654" s="2"/>
      <c r="C654" s="2"/>
    </row>
    <row r="655" spans="1:3" ht="13.2" x14ac:dyDescent="0.25">
      <c r="A655" s="2"/>
      <c r="B655" s="2"/>
      <c r="C655" s="2"/>
    </row>
    <row r="656" spans="1:3" ht="13.2" x14ac:dyDescent="0.25">
      <c r="A656" s="2"/>
      <c r="B656" s="2"/>
      <c r="C656" s="2"/>
    </row>
    <row r="657" spans="1:3" ht="13.2" x14ac:dyDescent="0.25">
      <c r="A657" s="2"/>
      <c r="B657" s="2"/>
      <c r="C657" s="2"/>
    </row>
    <row r="658" spans="1:3" ht="13.2" x14ac:dyDescent="0.25">
      <c r="A658" s="2"/>
      <c r="B658" s="2"/>
      <c r="C658" s="2"/>
    </row>
    <row r="659" spans="1:3" ht="13.2" x14ac:dyDescent="0.25">
      <c r="A659" s="2"/>
      <c r="B659" s="2"/>
      <c r="C659" s="2"/>
    </row>
    <row r="660" spans="1:3" ht="13.2" x14ac:dyDescent="0.25">
      <c r="A660" s="2"/>
      <c r="B660" s="2"/>
      <c r="C660" s="2"/>
    </row>
    <row r="661" spans="1:3" ht="13.2" x14ac:dyDescent="0.25">
      <c r="A661" s="2"/>
      <c r="B661" s="2"/>
      <c r="C661" s="2"/>
    </row>
    <row r="662" spans="1:3" ht="13.2" x14ac:dyDescent="0.25">
      <c r="A662" s="2"/>
      <c r="B662" s="2"/>
      <c r="C662" s="2"/>
    </row>
    <row r="663" spans="1:3" ht="13.2" x14ac:dyDescent="0.25">
      <c r="A663" s="2"/>
      <c r="B663" s="2"/>
      <c r="C663" s="2"/>
    </row>
    <row r="664" spans="1:3" ht="13.2" x14ac:dyDescent="0.25">
      <c r="A664" s="2"/>
      <c r="B664" s="2"/>
      <c r="C664" s="2"/>
    </row>
    <row r="665" spans="1:3" ht="13.2" x14ac:dyDescent="0.25">
      <c r="A665" s="2"/>
      <c r="B665" s="2"/>
      <c r="C665" s="2"/>
    </row>
    <row r="666" spans="1:3" ht="13.2" x14ac:dyDescent="0.25">
      <c r="A666" s="2"/>
      <c r="B666" s="2"/>
      <c r="C666" s="2"/>
    </row>
    <row r="667" spans="1:3" ht="13.2" x14ac:dyDescent="0.25">
      <c r="A667" s="2"/>
      <c r="B667" s="2"/>
      <c r="C667" s="2"/>
    </row>
    <row r="668" spans="1:3" ht="13.2" x14ac:dyDescent="0.25">
      <c r="A668" s="2"/>
      <c r="B668" s="2"/>
      <c r="C668" s="2"/>
    </row>
    <row r="669" spans="1:3" ht="13.2" x14ac:dyDescent="0.25">
      <c r="A669" s="2"/>
      <c r="B669" s="2"/>
      <c r="C669" s="2"/>
    </row>
    <row r="670" spans="1:3" ht="13.2" x14ac:dyDescent="0.25">
      <c r="A670" s="2"/>
      <c r="B670" s="2"/>
      <c r="C670" s="2"/>
    </row>
    <row r="671" spans="1:3" ht="13.2" x14ac:dyDescent="0.25">
      <c r="A671" s="2"/>
      <c r="B671" s="2"/>
      <c r="C671" s="2"/>
    </row>
    <row r="672" spans="1:3" ht="13.2" x14ac:dyDescent="0.25">
      <c r="A672" s="2"/>
      <c r="B672" s="2"/>
      <c r="C672" s="2"/>
    </row>
    <row r="673" spans="1:3" ht="13.2" x14ac:dyDescent="0.25">
      <c r="A673" s="2"/>
      <c r="B673" s="2"/>
      <c r="C673" s="2"/>
    </row>
    <row r="674" spans="1:3" ht="13.2" x14ac:dyDescent="0.25">
      <c r="A674" s="2"/>
      <c r="B674" s="2"/>
      <c r="C674" s="2"/>
    </row>
    <row r="675" spans="1:3" ht="13.2" x14ac:dyDescent="0.25">
      <c r="A675" s="2"/>
      <c r="B675" s="2"/>
      <c r="C675" s="2"/>
    </row>
    <row r="676" spans="1:3" ht="13.2" x14ac:dyDescent="0.25">
      <c r="A676" s="2"/>
      <c r="B676" s="2"/>
      <c r="C676" s="2"/>
    </row>
    <row r="677" spans="1:3" ht="13.2" x14ac:dyDescent="0.25">
      <c r="A677" s="2"/>
      <c r="B677" s="2"/>
      <c r="C677" s="2"/>
    </row>
    <row r="678" spans="1:3" ht="13.2" x14ac:dyDescent="0.25">
      <c r="A678" s="2"/>
      <c r="B678" s="2"/>
      <c r="C678" s="2"/>
    </row>
    <row r="679" spans="1:3" ht="13.2" x14ac:dyDescent="0.25">
      <c r="A679" s="2"/>
      <c r="B679" s="2"/>
      <c r="C679" s="2"/>
    </row>
    <row r="680" spans="1:3" ht="13.2" x14ac:dyDescent="0.25">
      <c r="A680" s="2"/>
      <c r="B680" s="2"/>
      <c r="C680" s="2"/>
    </row>
    <row r="681" spans="1:3" ht="13.2" x14ac:dyDescent="0.25">
      <c r="A681" s="2"/>
      <c r="B681" s="2"/>
      <c r="C681" s="2"/>
    </row>
    <row r="682" spans="1:3" ht="13.2" x14ac:dyDescent="0.25">
      <c r="A682" s="2"/>
      <c r="B682" s="2"/>
      <c r="C682" s="2"/>
    </row>
    <row r="683" spans="1:3" ht="13.2" x14ac:dyDescent="0.25">
      <c r="A683" s="2"/>
      <c r="B683" s="2"/>
      <c r="C683" s="2"/>
    </row>
    <row r="684" spans="1:3" ht="13.2" x14ac:dyDescent="0.25">
      <c r="A684" s="2"/>
      <c r="B684" s="2"/>
      <c r="C684" s="2"/>
    </row>
    <row r="685" spans="1:3" ht="13.2" x14ac:dyDescent="0.25">
      <c r="A685" s="2"/>
      <c r="B685" s="2"/>
      <c r="C685" s="2"/>
    </row>
    <row r="686" spans="1:3" ht="13.2" x14ac:dyDescent="0.25">
      <c r="A686" s="2"/>
      <c r="B686" s="2"/>
      <c r="C686" s="2"/>
    </row>
    <row r="687" spans="1:3" ht="13.2" x14ac:dyDescent="0.25">
      <c r="A687" s="2"/>
      <c r="B687" s="2"/>
      <c r="C687" s="2"/>
    </row>
    <row r="688" spans="1:3" ht="13.2" x14ac:dyDescent="0.25">
      <c r="A688" s="2"/>
      <c r="B688" s="2"/>
      <c r="C688" s="2"/>
    </row>
    <row r="689" spans="1:3" ht="13.2" x14ac:dyDescent="0.25">
      <c r="A689" s="2"/>
      <c r="B689" s="2"/>
      <c r="C689" s="2"/>
    </row>
    <row r="690" spans="1:3" ht="13.2" x14ac:dyDescent="0.25">
      <c r="A690" s="2"/>
      <c r="B690" s="2"/>
      <c r="C690" s="2"/>
    </row>
    <row r="691" spans="1:3" ht="13.2" x14ac:dyDescent="0.25">
      <c r="A691" s="2"/>
      <c r="B691" s="2"/>
      <c r="C691" s="2"/>
    </row>
    <row r="692" spans="1:3" ht="13.2" x14ac:dyDescent="0.25">
      <c r="A692" s="2"/>
      <c r="B692" s="2"/>
      <c r="C692" s="2"/>
    </row>
    <row r="693" spans="1:3" ht="13.2" x14ac:dyDescent="0.25">
      <c r="A693" s="2"/>
      <c r="B693" s="2"/>
      <c r="C693" s="2"/>
    </row>
    <row r="694" spans="1:3" ht="13.2" x14ac:dyDescent="0.25">
      <c r="A694" s="2"/>
      <c r="B694" s="2"/>
      <c r="C694" s="2"/>
    </row>
    <row r="695" spans="1:3" ht="13.2" x14ac:dyDescent="0.25">
      <c r="A695" s="2"/>
      <c r="B695" s="2"/>
      <c r="C695" s="2"/>
    </row>
    <row r="696" spans="1:3" ht="13.2" x14ac:dyDescent="0.25">
      <c r="A696" s="2"/>
      <c r="B696" s="2"/>
      <c r="C696" s="2"/>
    </row>
    <row r="697" spans="1:3" ht="13.2" x14ac:dyDescent="0.25">
      <c r="A697" s="2"/>
      <c r="B697" s="2"/>
      <c r="C697" s="2"/>
    </row>
    <row r="698" spans="1:3" ht="13.2" x14ac:dyDescent="0.25">
      <c r="A698" s="2"/>
      <c r="B698" s="2"/>
      <c r="C698" s="2"/>
    </row>
    <row r="699" spans="1:3" ht="13.2" x14ac:dyDescent="0.25">
      <c r="A699" s="2"/>
      <c r="B699" s="2"/>
      <c r="C699" s="2"/>
    </row>
    <row r="700" spans="1:3" ht="13.2" x14ac:dyDescent="0.25">
      <c r="A700" s="2"/>
      <c r="B700" s="2"/>
      <c r="C700" s="2"/>
    </row>
    <row r="701" spans="1:3" ht="13.2" x14ac:dyDescent="0.25">
      <c r="A701" s="2"/>
      <c r="B701" s="2"/>
      <c r="C701" s="2"/>
    </row>
    <row r="702" spans="1:3" ht="13.2" x14ac:dyDescent="0.25">
      <c r="A702" s="2"/>
      <c r="B702" s="2"/>
      <c r="C702" s="2"/>
    </row>
    <row r="703" spans="1:3" ht="13.2" x14ac:dyDescent="0.25">
      <c r="A703" s="2"/>
      <c r="B703" s="2"/>
      <c r="C703" s="2"/>
    </row>
    <row r="704" spans="1:3" ht="13.2" x14ac:dyDescent="0.25">
      <c r="A704" s="2"/>
      <c r="B704" s="2"/>
      <c r="C704" s="2"/>
    </row>
    <row r="705" spans="1:3" ht="13.2" x14ac:dyDescent="0.25">
      <c r="A705" s="2"/>
      <c r="B705" s="2"/>
      <c r="C705" s="2"/>
    </row>
    <row r="706" spans="1:3" ht="13.2" x14ac:dyDescent="0.25">
      <c r="A706" s="2"/>
      <c r="B706" s="2"/>
      <c r="C706" s="2"/>
    </row>
    <row r="707" spans="1:3" ht="13.2" x14ac:dyDescent="0.25">
      <c r="A707" s="2"/>
      <c r="B707" s="2"/>
      <c r="C707" s="2"/>
    </row>
    <row r="708" spans="1:3" ht="13.2" x14ac:dyDescent="0.25">
      <c r="A708" s="2"/>
      <c r="B708" s="2"/>
      <c r="C708" s="2"/>
    </row>
    <row r="709" spans="1:3" ht="13.2" x14ac:dyDescent="0.25">
      <c r="A709" s="2"/>
      <c r="B709" s="2"/>
      <c r="C709" s="2"/>
    </row>
    <row r="710" spans="1:3" ht="13.2" x14ac:dyDescent="0.25">
      <c r="A710" s="2"/>
      <c r="B710" s="2"/>
      <c r="C710" s="2"/>
    </row>
    <row r="711" spans="1:3" ht="13.2" x14ac:dyDescent="0.25">
      <c r="A711" s="2"/>
      <c r="B711" s="2"/>
      <c r="C711" s="2"/>
    </row>
    <row r="712" spans="1:3" ht="13.2" x14ac:dyDescent="0.25">
      <c r="A712" s="2"/>
      <c r="B712" s="2"/>
      <c r="C712" s="2"/>
    </row>
    <row r="713" spans="1:3" ht="13.2" x14ac:dyDescent="0.25">
      <c r="A713" s="2"/>
      <c r="B713" s="2"/>
      <c r="C713" s="2"/>
    </row>
    <row r="714" spans="1:3" ht="13.2" x14ac:dyDescent="0.25">
      <c r="A714" s="2"/>
      <c r="B714" s="2"/>
      <c r="C714" s="2"/>
    </row>
    <row r="715" spans="1:3" ht="13.2" x14ac:dyDescent="0.25">
      <c r="A715" s="2"/>
      <c r="B715" s="2"/>
      <c r="C715" s="2"/>
    </row>
    <row r="716" spans="1:3" ht="13.2" x14ac:dyDescent="0.25">
      <c r="A716" s="2"/>
      <c r="B716" s="2"/>
      <c r="C716" s="2"/>
    </row>
    <row r="717" spans="1:3" ht="13.2" x14ac:dyDescent="0.25">
      <c r="A717" s="2"/>
      <c r="B717" s="2"/>
      <c r="C717" s="2"/>
    </row>
    <row r="718" spans="1:3" ht="13.2" x14ac:dyDescent="0.25">
      <c r="A718" s="2"/>
      <c r="B718" s="2"/>
      <c r="C718" s="2"/>
    </row>
    <row r="719" spans="1:3" ht="13.2" x14ac:dyDescent="0.25">
      <c r="A719" s="2"/>
      <c r="B719" s="2"/>
      <c r="C719" s="2"/>
    </row>
    <row r="720" spans="1:3" ht="13.2" x14ac:dyDescent="0.25">
      <c r="A720" s="2"/>
      <c r="B720" s="2"/>
      <c r="C720" s="2"/>
    </row>
    <row r="721" spans="1:3" ht="13.2" x14ac:dyDescent="0.25">
      <c r="A721" s="2"/>
      <c r="B721" s="2"/>
      <c r="C721" s="2"/>
    </row>
    <row r="722" spans="1:3" ht="13.2" x14ac:dyDescent="0.25">
      <c r="A722" s="2"/>
      <c r="B722" s="2"/>
      <c r="C722" s="2"/>
    </row>
    <row r="723" spans="1:3" ht="13.2" x14ac:dyDescent="0.25">
      <c r="A723" s="2"/>
      <c r="B723" s="2"/>
      <c r="C723" s="2"/>
    </row>
    <row r="724" spans="1:3" ht="13.2" x14ac:dyDescent="0.25">
      <c r="A724" s="2"/>
      <c r="B724" s="2"/>
      <c r="C724" s="2"/>
    </row>
    <row r="725" spans="1:3" ht="13.2" x14ac:dyDescent="0.25">
      <c r="A725" s="2"/>
      <c r="B725" s="2"/>
      <c r="C725" s="2"/>
    </row>
    <row r="726" spans="1:3" ht="13.2" x14ac:dyDescent="0.25">
      <c r="A726" s="2"/>
      <c r="B726" s="2"/>
      <c r="C726" s="2"/>
    </row>
    <row r="727" spans="1:3" ht="13.2" x14ac:dyDescent="0.25">
      <c r="A727" s="2"/>
      <c r="B727" s="2"/>
      <c r="C727" s="2"/>
    </row>
    <row r="728" spans="1:3" ht="13.2" x14ac:dyDescent="0.25">
      <c r="A728" s="2"/>
      <c r="B728" s="2"/>
      <c r="C728" s="2"/>
    </row>
    <row r="729" spans="1:3" ht="13.2" x14ac:dyDescent="0.25">
      <c r="A729" s="2"/>
      <c r="B729" s="2"/>
      <c r="C729" s="2"/>
    </row>
    <row r="730" spans="1:3" ht="13.2" x14ac:dyDescent="0.25">
      <c r="A730" s="2"/>
      <c r="B730" s="2"/>
      <c r="C730" s="2"/>
    </row>
    <row r="731" spans="1:3" ht="13.2" x14ac:dyDescent="0.25">
      <c r="A731" s="2"/>
      <c r="B731" s="2"/>
      <c r="C731" s="2"/>
    </row>
    <row r="732" spans="1:3" ht="13.2" x14ac:dyDescent="0.25">
      <c r="A732" s="2"/>
      <c r="B732" s="2"/>
      <c r="C732" s="2"/>
    </row>
    <row r="733" spans="1:3" ht="13.2" x14ac:dyDescent="0.25">
      <c r="A733" s="2"/>
      <c r="B733" s="2"/>
      <c r="C733" s="2"/>
    </row>
    <row r="734" spans="1:3" ht="13.2" x14ac:dyDescent="0.25">
      <c r="A734" s="2"/>
      <c r="B734" s="2"/>
      <c r="C734" s="2"/>
    </row>
    <row r="735" spans="1:3" ht="13.2" x14ac:dyDescent="0.25">
      <c r="A735" s="2"/>
      <c r="B735" s="2"/>
      <c r="C735" s="2"/>
    </row>
    <row r="736" spans="1:3" ht="13.2" x14ac:dyDescent="0.25">
      <c r="A736" s="2"/>
      <c r="B736" s="2"/>
      <c r="C736" s="2"/>
    </row>
    <row r="737" spans="1:3" ht="13.2" x14ac:dyDescent="0.25">
      <c r="A737" s="2"/>
      <c r="B737" s="2"/>
      <c r="C737" s="2"/>
    </row>
    <row r="738" spans="1:3" ht="13.2" x14ac:dyDescent="0.25">
      <c r="A738" s="2"/>
      <c r="B738" s="2"/>
      <c r="C738" s="2"/>
    </row>
    <row r="739" spans="1:3" ht="13.2" x14ac:dyDescent="0.25">
      <c r="A739" s="2"/>
      <c r="B739" s="2"/>
      <c r="C739" s="2"/>
    </row>
    <row r="740" spans="1:3" ht="13.2" x14ac:dyDescent="0.25">
      <c r="A740" s="2"/>
      <c r="B740" s="2"/>
      <c r="C740" s="2"/>
    </row>
    <row r="741" spans="1:3" ht="13.2" x14ac:dyDescent="0.25">
      <c r="A741" s="2"/>
      <c r="B741" s="2"/>
      <c r="C741" s="2"/>
    </row>
    <row r="742" spans="1:3" ht="13.2" x14ac:dyDescent="0.25">
      <c r="A742" s="2"/>
      <c r="B742" s="2"/>
      <c r="C742" s="2"/>
    </row>
    <row r="743" spans="1:3" ht="13.2" x14ac:dyDescent="0.25">
      <c r="A743" s="2"/>
      <c r="B743" s="2"/>
      <c r="C743" s="2"/>
    </row>
    <row r="744" spans="1:3" ht="13.2" x14ac:dyDescent="0.25">
      <c r="A744" s="2"/>
      <c r="B744" s="2"/>
      <c r="C744" s="2"/>
    </row>
    <row r="745" spans="1:3" ht="13.2" x14ac:dyDescent="0.25">
      <c r="A745" s="2"/>
      <c r="B745" s="2"/>
      <c r="C745" s="2"/>
    </row>
    <row r="746" spans="1:3" ht="13.2" x14ac:dyDescent="0.25">
      <c r="A746" s="2"/>
      <c r="B746" s="2"/>
      <c r="C746" s="2"/>
    </row>
    <row r="747" spans="1:3" ht="13.2" x14ac:dyDescent="0.25">
      <c r="A747" s="2"/>
      <c r="B747" s="2"/>
      <c r="C747" s="2"/>
    </row>
    <row r="748" spans="1:3" ht="13.2" x14ac:dyDescent="0.25">
      <c r="A748" s="2"/>
      <c r="B748" s="2"/>
      <c r="C748" s="2"/>
    </row>
    <row r="749" spans="1:3" ht="13.2" x14ac:dyDescent="0.25">
      <c r="A749" s="2"/>
      <c r="B749" s="2"/>
      <c r="C749" s="2"/>
    </row>
    <row r="750" spans="1:3" ht="13.2" x14ac:dyDescent="0.25">
      <c r="A750" s="2"/>
      <c r="B750" s="2"/>
      <c r="C750" s="2"/>
    </row>
    <row r="751" spans="1:3" ht="13.2" x14ac:dyDescent="0.25">
      <c r="A751" s="2"/>
      <c r="B751" s="2"/>
      <c r="C751" s="2"/>
    </row>
    <row r="752" spans="1:3" ht="13.2" x14ac:dyDescent="0.25">
      <c r="A752" s="2"/>
      <c r="B752" s="2"/>
      <c r="C752" s="2"/>
    </row>
    <row r="753" spans="1:3" ht="13.2" x14ac:dyDescent="0.25">
      <c r="A753" s="2"/>
      <c r="B753" s="2"/>
      <c r="C753" s="2"/>
    </row>
    <row r="754" spans="1:3" ht="13.2" x14ac:dyDescent="0.25">
      <c r="A754" s="2"/>
      <c r="B754" s="2"/>
      <c r="C754" s="2"/>
    </row>
    <row r="755" spans="1:3" ht="13.2" x14ac:dyDescent="0.25">
      <c r="A755" s="2"/>
      <c r="B755" s="2"/>
      <c r="C755" s="2"/>
    </row>
    <row r="756" spans="1:3" ht="13.2" x14ac:dyDescent="0.25">
      <c r="A756" s="2"/>
      <c r="B756" s="2"/>
      <c r="C756" s="2"/>
    </row>
    <row r="757" spans="1:3" ht="13.2" x14ac:dyDescent="0.25">
      <c r="A757" s="2"/>
      <c r="B757" s="2"/>
      <c r="C757" s="2"/>
    </row>
    <row r="758" spans="1:3" ht="13.2" x14ac:dyDescent="0.25">
      <c r="A758" s="2"/>
      <c r="B758" s="2"/>
      <c r="C758" s="2"/>
    </row>
    <row r="759" spans="1:3" ht="13.2" x14ac:dyDescent="0.25">
      <c r="A759" s="2"/>
      <c r="B759" s="2"/>
      <c r="C759" s="2"/>
    </row>
    <row r="760" spans="1:3" ht="13.2" x14ac:dyDescent="0.25">
      <c r="A760" s="2"/>
      <c r="B760" s="2"/>
      <c r="C760" s="2"/>
    </row>
    <row r="761" spans="1:3" ht="13.2" x14ac:dyDescent="0.25">
      <c r="A761" s="2"/>
      <c r="B761" s="2"/>
      <c r="C761" s="2"/>
    </row>
    <row r="762" spans="1:3" ht="13.2" x14ac:dyDescent="0.25">
      <c r="A762" s="2"/>
      <c r="B762" s="2"/>
      <c r="C762" s="2"/>
    </row>
    <row r="763" spans="1:3" ht="13.2" x14ac:dyDescent="0.25">
      <c r="A763" s="2"/>
      <c r="B763" s="2"/>
      <c r="C763" s="2"/>
    </row>
    <row r="764" spans="1:3" ht="13.2" x14ac:dyDescent="0.25">
      <c r="A764" s="2"/>
      <c r="B764" s="2"/>
      <c r="C764" s="2"/>
    </row>
    <row r="765" spans="1:3" ht="13.2" x14ac:dyDescent="0.25">
      <c r="A765" s="2"/>
      <c r="B765" s="2"/>
      <c r="C765" s="2"/>
    </row>
    <row r="766" spans="1:3" ht="13.2" x14ac:dyDescent="0.25">
      <c r="A766" s="2"/>
      <c r="B766" s="2"/>
      <c r="C766" s="2"/>
    </row>
    <row r="767" spans="1:3" ht="13.2" x14ac:dyDescent="0.25">
      <c r="A767" s="2"/>
      <c r="B767" s="2"/>
      <c r="C767" s="2"/>
    </row>
    <row r="768" spans="1:3" ht="13.2" x14ac:dyDescent="0.25">
      <c r="A768" s="2"/>
      <c r="B768" s="2"/>
      <c r="C768" s="2"/>
    </row>
    <row r="769" spans="1:3" ht="13.2" x14ac:dyDescent="0.25">
      <c r="A769" s="2"/>
      <c r="B769" s="2"/>
      <c r="C769" s="2"/>
    </row>
    <row r="770" spans="1:3" ht="13.2" x14ac:dyDescent="0.25">
      <c r="A770" s="2"/>
      <c r="B770" s="2"/>
      <c r="C770" s="2"/>
    </row>
    <row r="771" spans="1:3" ht="13.2" x14ac:dyDescent="0.25">
      <c r="A771" s="2"/>
      <c r="B771" s="2"/>
      <c r="C771" s="2"/>
    </row>
    <row r="772" spans="1:3" ht="13.2" x14ac:dyDescent="0.25">
      <c r="A772" s="2"/>
      <c r="B772" s="2"/>
      <c r="C772" s="2"/>
    </row>
    <row r="773" spans="1:3" ht="13.2" x14ac:dyDescent="0.25">
      <c r="A773" s="2"/>
      <c r="B773" s="2"/>
      <c r="C773" s="2"/>
    </row>
    <row r="774" spans="1:3" ht="13.2" x14ac:dyDescent="0.25">
      <c r="A774" s="2"/>
      <c r="B774" s="2"/>
      <c r="C774" s="2"/>
    </row>
    <row r="775" spans="1:3" ht="13.2" x14ac:dyDescent="0.25">
      <c r="A775" s="2"/>
      <c r="B775" s="2"/>
      <c r="C775" s="2"/>
    </row>
    <row r="776" spans="1:3" ht="13.2" x14ac:dyDescent="0.25">
      <c r="A776" s="2"/>
      <c r="B776" s="2"/>
      <c r="C776" s="2"/>
    </row>
    <row r="777" spans="1:3" ht="13.2" x14ac:dyDescent="0.25">
      <c r="A777" s="2"/>
      <c r="B777" s="2"/>
      <c r="C777" s="2"/>
    </row>
    <row r="778" spans="1:3" ht="13.2" x14ac:dyDescent="0.25">
      <c r="A778" s="2"/>
      <c r="B778" s="2"/>
      <c r="C778" s="2"/>
    </row>
    <row r="779" spans="1:3" ht="13.2" x14ac:dyDescent="0.25">
      <c r="A779" s="2"/>
      <c r="B779" s="2"/>
      <c r="C779" s="2"/>
    </row>
    <row r="780" spans="1:3" ht="13.2" x14ac:dyDescent="0.25">
      <c r="A780" s="2"/>
      <c r="B780" s="2"/>
      <c r="C780" s="2"/>
    </row>
    <row r="781" spans="1:3" ht="13.2" x14ac:dyDescent="0.25">
      <c r="A781" s="2"/>
      <c r="B781" s="2"/>
      <c r="C781" s="2"/>
    </row>
    <row r="782" spans="1:3" ht="13.2" x14ac:dyDescent="0.25">
      <c r="A782" s="2"/>
      <c r="B782" s="2"/>
      <c r="C782" s="2"/>
    </row>
    <row r="783" spans="1:3" ht="13.2" x14ac:dyDescent="0.25">
      <c r="A783" s="2"/>
      <c r="B783" s="2"/>
      <c r="C783" s="2"/>
    </row>
    <row r="784" spans="1:3" ht="13.2" x14ac:dyDescent="0.25">
      <c r="A784" s="2"/>
      <c r="B784" s="2"/>
      <c r="C784" s="2"/>
    </row>
    <row r="785" spans="1:3" ht="13.2" x14ac:dyDescent="0.25">
      <c r="A785" s="2"/>
      <c r="B785" s="2"/>
      <c r="C785" s="2"/>
    </row>
    <row r="786" spans="1:3" ht="13.2" x14ac:dyDescent="0.25">
      <c r="A786" s="2"/>
      <c r="B786" s="2"/>
      <c r="C786" s="2"/>
    </row>
    <row r="787" spans="1:3" ht="13.2" x14ac:dyDescent="0.25">
      <c r="A787" s="2"/>
      <c r="B787" s="2"/>
      <c r="C787" s="2"/>
    </row>
    <row r="788" spans="1:3" ht="13.2" x14ac:dyDescent="0.25">
      <c r="A788" s="2"/>
      <c r="B788" s="2"/>
      <c r="C788" s="2"/>
    </row>
    <row r="789" spans="1:3" ht="13.2" x14ac:dyDescent="0.25">
      <c r="A789" s="2"/>
      <c r="B789" s="2"/>
      <c r="C789" s="2"/>
    </row>
    <row r="790" spans="1:3" ht="13.2" x14ac:dyDescent="0.25">
      <c r="A790" s="2"/>
      <c r="B790" s="2"/>
      <c r="C790" s="2"/>
    </row>
    <row r="791" spans="1:3" ht="13.2" x14ac:dyDescent="0.25">
      <c r="A791" s="2"/>
      <c r="B791" s="2"/>
      <c r="C791" s="2"/>
    </row>
    <row r="792" spans="1:3" ht="13.2" x14ac:dyDescent="0.25">
      <c r="A792" s="2"/>
      <c r="B792" s="2"/>
      <c r="C792" s="2"/>
    </row>
    <row r="793" spans="1:3" ht="13.2" x14ac:dyDescent="0.25">
      <c r="A793" s="2"/>
      <c r="B793" s="2"/>
      <c r="C793" s="2"/>
    </row>
    <row r="794" spans="1:3" ht="13.2" x14ac:dyDescent="0.25">
      <c r="A794" s="2"/>
      <c r="B794" s="2"/>
      <c r="C794" s="2"/>
    </row>
    <row r="795" spans="1:3" ht="13.2" x14ac:dyDescent="0.25">
      <c r="A795" s="2"/>
      <c r="B795" s="2"/>
      <c r="C795" s="2"/>
    </row>
    <row r="796" spans="1:3" ht="13.2" x14ac:dyDescent="0.25">
      <c r="A796" s="2"/>
      <c r="B796" s="2"/>
      <c r="C796" s="2"/>
    </row>
    <row r="797" spans="1:3" ht="13.2" x14ac:dyDescent="0.25">
      <c r="A797" s="2"/>
      <c r="B797" s="2"/>
      <c r="C797" s="2"/>
    </row>
    <row r="798" spans="1:3" ht="13.2" x14ac:dyDescent="0.25">
      <c r="A798" s="2"/>
      <c r="B798" s="2"/>
      <c r="C798" s="2"/>
    </row>
    <row r="799" spans="1:3" ht="13.2" x14ac:dyDescent="0.25">
      <c r="A799" s="2"/>
      <c r="B799" s="2"/>
      <c r="C799" s="2"/>
    </row>
    <row r="800" spans="1:3" ht="13.2" x14ac:dyDescent="0.25">
      <c r="A800" s="2"/>
      <c r="B800" s="2"/>
      <c r="C800" s="2"/>
    </row>
    <row r="801" spans="1:3" ht="13.2" x14ac:dyDescent="0.25">
      <c r="A801" s="2"/>
      <c r="B801" s="2"/>
      <c r="C801" s="2"/>
    </row>
    <row r="802" spans="1:3" ht="13.2" x14ac:dyDescent="0.25">
      <c r="A802" s="2"/>
      <c r="B802" s="2"/>
      <c r="C802" s="2"/>
    </row>
    <row r="803" spans="1:3" ht="13.2" x14ac:dyDescent="0.25">
      <c r="A803" s="2"/>
      <c r="B803" s="2"/>
      <c r="C803" s="2"/>
    </row>
    <row r="804" spans="1:3" ht="13.2" x14ac:dyDescent="0.25">
      <c r="A804" s="2"/>
      <c r="B804" s="2"/>
      <c r="C804" s="2"/>
    </row>
    <row r="805" spans="1:3" ht="13.2" x14ac:dyDescent="0.25">
      <c r="A805" s="2"/>
      <c r="B805" s="2"/>
      <c r="C805" s="2"/>
    </row>
    <row r="806" spans="1:3" ht="13.2" x14ac:dyDescent="0.25">
      <c r="A806" s="2"/>
      <c r="B806" s="2"/>
      <c r="C806" s="2"/>
    </row>
    <row r="807" spans="1:3" ht="13.2" x14ac:dyDescent="0.25">
      <c r="A807" s="2"/>
      <c r="B807" s="2"/>
      <c r="C807" s="2"/>
    </row>
    <row r="808" spans="1:3" ht="13.2" x14ac:dyDescent="0.25">
      <c r="A808" s="2"/>
      <c r="B808" s="2"/>
      <c r="C808" s="2"/>
    </row>
    <row r="809" spans="1:3" ht="13.2" x14ac:dyDescent="0.25">
      <c r="A809" s="2"/>
      <c r="B809" s="2"/>
      <c r="C809" s="2"/>
    </row>
    <row r="810" spans="1:3" ht="13.2" x14ac:dyDescent="0.25">
      <c r="A810" s="2"/>
      <c r="B810" s="2"/>
      <c r="C810" s="2"/>
    </row>
    <row r="811" spans="1:3" ht="13.2" x14ac:dyDescent="0.25">
      <c r="A811" s="2"/>
      <c r="B811" s="2"/>
      <c r="C811" s="2"/>
    </row>
    <row r="812" spans="1:3" ht="13.2" x14ac:dyDescent="0.25">
      <c r="A812" s="2"/>
      <c r="B812" s="2"/>
      <c r="C812" s="2"/>
    </row>
    <row r="813" spans="1:3" ht="13.2" x14ac:dyDescent="0.25">
      <c r="A813" s="2"/>
      <c r="B813" s="2"/>
      <c r="C813" s="2"/>
    </row>
    <row r="814" spans="1:3" ht="13.2" x14ac:dyDescent="0.25">
      <c r="A814" s="2"/>
      <c r="B814" s="2"/>
      <c r="C814" s="2"/>
    </row>
    <row r="815" spans="1:3" ht="13.2" x14ac:dyDescent="0.25">
      <c r="A815" s="2"/>
      <c r="B815" s="2"/>
      <c r="C815" s="2"/>
    </row>
    <row r="816" spans="1:3" ht="13.2" x14ac:dyDescent="0.25">
      <c r="A816" s="2"/>
      <c r="B816" s="2"/>
      <c r="C816" s="2"/>
    </row>
    <row r="817" spans="1:3" ht="13.2" x14ac:dyDescent="0.25">
      <c r="A817" s="2"/>
      <c r="B817" s="2"/>
      <c r="C817" s="2"/>
    </row>
    <row r="818" spans="1:3" ht="13.2" x14ac:dyDescent="0.25">
      <c r="A818" s="2"/>
      <c r="B818" s="2"/>
      <c r="C818" s="2"/>
    </row>
    <row r="819" spans="1:3" ht="13.2" x14ac:dyDescent="0.25">
      <c r="A819" s="2"/>
      <c r="B819" s="2"/>
      <c r="C819" s="2"/>
    </row>
    <row r="820" spans="1:3" ht="13.2" x14ac:dyDescent="0.25">
      <c r="A820" s="2"/>
      <c r="B820" s="2"/>
      <c r="C820" s="2"/>
    </row>
    <row r="821" spans="1:3" ht="13.2" x14ac:dyDescent="0.25">
      <c r="A821" s="2"/>
      <c r="B821" s="2"/>
      <c r="C821" s="2"/>
    </row>
    <row r="822" spans="1:3" ht="13.2" x14ac:dyDescent="0.25">
      <c r="A822" s="2"/>
      <c r="B822" s="2"/>
      <c r="C822" s="2"/>
    </row>
    <row r="823" spans="1:3" ht="13.2" x14ac:dyDescent="0.25">
      <c r="A823" s="2"/>
      <c r="B823" s="2"/>
      <c r="C823" s="2"/>
    </row>
    <row r="824" spans="1:3" ht="13.2" x14ac:dyDescent="0.25">
      <c r="A824" s="2"/>
      <c r="B824" s="2"/>
      <c r="C824" s="2"/>
    </row>
    <row r="825" spans="1:3" ht="13.2" x14ac:dyDescent="0.25">
      <c r="A825" s="2"/>
      <c r="B825" s="2"/>
      <c r="C825" s="2"/>
    </row>
    <row r="826" spans="1:3" ht="13.2" x14ac:dyDescent="0.25">
      <c r="A826" s="2"/>
      <c r="B826" s="2"/>
      <c r="C826" s="2"/>
    </row>
    <row r="827" spans="1:3" ht="13.2" x14ac:dyDescent="0.25">
      <c r="A827" s="2"/>
      <c r="B827" s="2"/>
      <c r="C827" s="2"/>
    </row>
    <row r="828" spans="1:3" ht="13.2" x14ac:dyDescent="0.25">
      <c r="A828" s="2"/>
      <c r="B828" s="2"/>
      <c r="C828" s="2"/>
    </row>
    <row r="829" spans="1:3" ht="13.2" x14ac:dyDescent="0.25">
      <c r="A829" s="2"/>
      <c r="B829" s="2"/>
      <c r="C829" s="2"/>
    </row>
    <row r="830" spans="1:3" ht="13.2" x14ac:dyDescent="0.25">
      <c r="A830" s="2"/>
      <c r="B830" s="2"/>
      <c r="C830" s="2"/>
    </row>
    <row r="831" spans="1:3" ht="13.2" x14ac:dyDescent="0.25">
      <c r="A831" s="2"/>
      <c r="B831" s="2"/>
      <c r="C831" s="2"/>
    </row>
    <row r="832" spans="1:3" ht="13.2" x14ac:dyDescent="0.25">
      <c r="A832" s="2"/>
      <c r="B832" s="2"/>
      <c r="C832" s="2"/>
    </row>
    <row r="833" spans="1:3" ht="13.2" x14ac:dyDescent="0.25">
      <c r="A833" s="2"/>
      <c r="B833" s="2"/>
      <c r="C833" s="2"/>
    </row>
    <row r="834" spans="1:3" ht="13.2" x14ac:dyDescent="0.25">
      <c r="A834" s="2"/>
      <c r="B834" s="2"/>
      <c r="C834" s="2"/>
    </row>
    <row r="835" spans="1:3" ht="13.2" x14ac:dyDescent="0.25">
      <c r="A835" s="2"/>
      <c r="B835" s="2"/>
      <c r="C835" s="2"/>
    </row>
    <row r="836" spans="1:3" ht="13.2" x14ac:dyDescent="0.25">
      <c r="A836" s="2"/>
      <c r="B836" s="2"/>
      <c r="C836" s="2"/>
    </row>
    <row r="837" spans="1:3" ht="13.2" x14ac:dyDescent="0.25">
      <c r="A837" s="2"/>
      <c r="B837" s="2"/>
      <c r="C837" s="2"/>
    </row>
    <row r="838" spans="1:3" ht="13.2" x14ac:dyDescent="0.25">
      <c r="A838" s="2"/>
      <c r="B838" s="2"/>
      <c r="C838" s="2"/>
    </row>
    <row r="839" spans="1:3" ht="13.2" x14ac:dyDescent="0.25">
      <c r="A839" s="2"/>
      <c r="B839" s="2"/>
      <c r="C839" s="2"/>
    </row>
    <row r="840" spans="1:3" ht="13.2" x14ac:dyDescent="0.25">
      <c r="A840" s="2"/>
      <c r="B840" s="2"/>
      <c r="C840" s="2"/>
    </row>
    <row r="841" spans="1:3" ht="13.2" x14ac:dyDescent="0.25">
      <c r="A841" s="2"/>
      <c r="B841" s="2"/>
      <c r="C841" s="2"/>
    </row>
    <row r="842" spans="1:3" ht="13.2" x14ac:dyDescent="0.25">
      <c r="A842" s="2"/>
      <c r="B842" s="2"/>
      <c r="C842" s="2"/>
    </row>
    <row r="843" spans="1:3" ht="13.2" x14ac:dyDescent="0.25">
      <c r="A843" s="2"/>
      <c r="B843" s="2"/>
      <c r="C843" s="2"/>
    </row>
    <row r="844" spans="1:3" ht="13.2" x14ac:dyDescent="0.25">
      <c r="A844" s="2"/>
      <c r="B844" s="2"/>
      <c r="C844" s="2"/>
    </row>
    <row r="845" spans="1:3" ht="13.2" x14ac:dyDescent="0.25">
      <c r="A845" s="2"/>
      <c r="B845" s="2"/>
      <c r="C845" s="2"/>
    </row>
    <row r="846" spans="1:3" ht="13.2" x14ac:dyDescent="0.25">
      <c r="A846" s="2"/>
      <c r="B846" s="2"/>
      <c r="C846" s="2"/>
    </row>
    <row r="847" spans="1:3" ht="13.2" x14ac:dyDescent="0.25">
      <c r="A847" s="2"/>
      <c r="B847" s="2"/>
      <c r="C847" s="2"/>
    </row>
    <row r="848" spans="1:3" ht="13.2" x14ac:dyDescent="0.25">
      <c r="A848" s="2"/>
      <c r="B848" s="2"/>
      <c r="C848" s="2"/>
    </row>
    <row r="849" spans="1:3" ht="13.2" x14ac:dyDescent="0.25">
      <c r="A849" s="2"/>
      <c r="B849" s="2"/>
      <c r="C849" s="2"/>
    </row>
    <row r="850" spans="1:3" ht="13.2" x14ac:dyDescent="0.25">
      <c r="A850" s="2"/>
      <c r="B850" s="2"/>
      <c r="C850" s="2"/>
    </row>
    <row r="851" spans="1:3" ht="13.2" x14ac:dyDescent="0.25">
      <c r="A851" s="2"/>
      <c r="B851" s="2"/>
      <c r="C851" s="2"/>
    </row>
    <row r="852" spans="1:3" ht="13.2" x14ac:dyDescent="0.25">
      <c r="A852" s="2"/>
      <c r="B852" s="2"/>
      <c r="C852" s="2"/>
    </row>
    <row r="853" spans="1:3" ht="13.2" x14ac:dyDescent="0.25">
      <c r="A853" s="2"/>
      <c r="B853" s="2"/>
      <c r="C853" s="2"/>
    </row>
    <row r="854" spans="1:3" ht="13.2" x14ac:dyDescent="0.25">
      <c r="A854" s="2"/>
      <c r="B854" s="2"/>
      <c r="C854" s="2"/>
    </row>
    <row r="855" spans="1:3" ht="13.2" x14ac:dyDescent="0.25">
      <c r="A855" s="2"/>
      <c r="B855" s="2"/>
      <c r="C855" s="2"/>
    </row>
    <row r="856" spans="1:3" ht="13.2" x14ac:dyDescent="0.25">
      <c r="A856" s="2"/>
      <c r="B856" s="2"/>
      <c r="C856" s="2"/>
    </row>
    <row r="857" spans="1:3" ht="13.2" x14ac:dyDescent="0.25">
      <c r="A857" s="2"/>
      <c r="B857" s="2"/>
      <c r="C857" s="2"/>
    </row>
    <row r="858" spans="1:3" ht="13.2" x14ac:dyDescent="0.25">
      <c r="A858" s="2"/>
      <c r="B858" s="2"/>
      <c r="C858" s="2"/>
    </row>
    <row r="859" spans="1:3" ht="13.2" x14ac:dyDescent="0.25">
      <c r="A859" s="2"/>
      <c r="B859" s="2"/>
      <c r="C859" s="2"/>
    </row>
    <row r="860" spans="1:3" ht="13.2" x14ac:dyDescent="0.25">
      <c r="A860" s="2"/>
      <c r="B860" s="2"/>
      <c r="C860" s="2"/>
    </row>
    <row r="861" spans="1:3" ht="13.2" x14ac:dyDescent="0.25">
      <c r="A861" s="2"/>
      <c r="B861" s="2"/>
      <c r="C861" s="2"/>
    </row>
    <row r="862" spans="1:3" ht="13.2" x14ac:dyDescent="0.25">
      <c r="A862" s="2"/>
      <c r="B862" s="2"/>
      <c r="C862" s="2"/>
    </row>
    <row r="863" spans="1:3" ht="13.2" x14ac:dyDescent="0.25">
      <c r="A863" s="2"/>
      <c r="B863" s="2"/>
      <c r="C863" s="2"/>
    </row>
    <row r="864" spans="1:3" ht="13.2" x14ac:dyDescent="0.25">
      <c r="A864" s="2"/>
      <c r="B864" s="2"/>
      <c r="C864" s="2"/>
    </row>
    <row r="865" spans="1:3" ht="13.2" x14ac:dyDescent="0.25">
      <c r="A865" s="2"/>
      <c r="B865" s="2"/>
      <c r="C865" s="2"/>
    </row>
    <row r="866" spans="1:3" ht="13.2" x14ac:dyDescent="0.25">
      <c r="A866" s="2"/>
      <c r="B866" s="2"/>
      <c r="C866" s="2"/>
    </row>
    <row r="867" spans="1:3" ht="13.2" x14ac:dyDescent="0.25">
      <c r="A867" s="2"/>
      <c r="B867" s="2"/>
      <c r="C867" s="2"/>
    </row>
    <row r="868" spans="1:3" ht="13.2" x14ac:dyDescent="0.25">
      <c r="A868" s="2"/>
      <c r="B868" s="2"/>
      <c r="C868" s="2"/>
    </row>
    <row r="869" spans="1:3" ht="13.2" x14ac:dyDescent="0.25">
      <c r="A869" s="2"/>
      <c r="B869" s="2"/>
      <c r="C869" s="2"/>
    </row>
    <row r="870" spans="1:3" ht="13.2" x14ac:dyDescent="0.25">
      <c r="A870" s="2"/>
      <c r="B870" s="2"/>
      <c r="C870" s="2"/>
    </row>
    <row r="871" spans="1:3" ht="13.2" x14ac:dyDescent="0.25">
      <c r="A871" s="2"/>
      <c r="B871" s="2"/>
      <c r="C871" s="2"/>
    </row>
    <row r="872" spans="1:3" ht="13.2" x14ac:dyDescent="0.25">
      <c r="A872" s="2"/>
      <c r="B872" s="2"/>
      <c r="C872" s="2"/>
    </row>
    <row r="873" spans="1:3" ht="13.2" x14ac:dyDescent="0.25">
      <c r="A873" s="2"/>
      <c r="B873" s="2"/>
      <c r="C873" s="2"/>
    </row>
    <row r="874" spans="1:3" ht="13.2" x14ac:dyDescent="0.25">
      <c r="A874" s="2"/>
      <c r="B874" s="2"/>
      <c r="C874" s="2"/>
    </row>
    <row r="875" spans="1:3" ht="13.2" x14ac:dyDescent="0.25">
      <c r="A875" s="2"/>
      <c r="B875" s="2"/>
      <c r="C875" s="2"/>
    </row>
    <row r="876" spans="1:3" ht="13.2" x14ac:dyDescent="0.25">
      <c r="A876" s="2"/>
      <c r="B876" s="2"/>
      <c r="C876" s="2"/>
    </row>
    <row r="877" spans="1:3" ht="13.2" x14ac:dyDescent="0.25">
      <c r="A877" s="2"/>
      <c r="B877" s="2"/>
      <c r="C877" s="2"/>
    </row>
    <row r="878" spans="1:3" ht="13.2" x14ac:dyDescent="0.25">
      <c r="A878" s="2"/>
      <c r="B878" s="2"/>
      <c r="C878" s="2"/>
    </row>
    <row r="879" spans="1:3" ht="13.2" x14ac:dyDescent="0.25">
      <c r="A879" s="2"/>
      <c r="B879" s="2"/>
      <c r="C879" s="2"/>
    </row>
    <row r="880" spans="1:3" ht="13.2" x14ac:dyDescent="0.25">
      <c r="A880" s="2"/>
      <c r="B880" s="2"/>
      <c r="C880" s="2"/>
    </row>
    <row r="881" spans="1:3" ht="13.2" x14ac:dyDescent="0.25">
      <c r="A881" s="2"/>
      <c r="B881" s="2"/>
      <c r="C881" s="2"/>
    </row>
    <row r="882" spans="1:3" ht="13.2" x14ac:dyDescent="0.25">
      <c r="A882" s="2"/>
      <c r="B882" s="2"/>
      <c r="C882" s="2"/>
    </row>
    <row r="883" spans="1:3" ht="13.2" x14ac:dyDescent="0.25">
      <c r="A883" s="2"/>
      <c r="B883" s="2"/>
      <c r="C883" s="2"/>
    </row>
    <row r="884" spans="1:3" ht="13.2" x14ac:dyDescent="0.25">
      <c r="A884" s="2"/>
      <c r="B884" s="2"/>
      <c r="C884" s="2"/>
    </row>
    <row r="885" spans="1:3" ht="13.2" x14ac:dyDescent="0.25">
      <c r="A885" s="2"/>
      <c r="B885" s="2"/>
      <c r="C885" s="2"/>
    </row>
    <row r="886" spans="1:3" ht="13.2" x14ac:dyDescent="0.25">
      <c r="A886" s="2"/>
      <c r="B886" s="2"/>
      <c r="C886" s="2"/>
    </row>
    <row r="887" spans="1:3" ht="13.2" x14ac:dyDescent="0.25">
      <c r="A887" s="2"/>
      <c r="B887" s="2"/>
      <c r="C887" s="2"/>
    </row>
    <row r="888" spans="1:3" ht="13.2" x14ac:dyDescent="0.25">
      <c r="A888" s="2"/>
      <c r="B888" s="2"/>
      <c r="C888" s="2"/>
    </row>
    <row r="889" spans="1:3" ht="13.2" x14ac:dyDescent="0.25">
      <c r="A889" s="2"/>
      <c r="B889" s="2"/>
      <c r="C889" s="2"/>
    </row>
    <row r="890" spans="1:3" ht="13.2" x14ac:dyDescent="0.25">
      <c r="A890" s="2"/>
      <c r="B890" s="2"/>
      <c r="C890" s="2"/>
    </row>
    <row r="891" spans="1:3" ht="13.2" x14ac:dyDescent="0.25">
      <c r="A891" s="2"/>
      <c r="B891" s="2"/>
      <c r="C891" s="2"/>
    </row>
    <row r="892" spans="1:3" ht="13.2" x14ac:dyDescent="0.25">
      <c r="A892" s="2"/>
      <c r="B892" s="2"/>
      <c r="C892" s="2"/>
    </row>
    <row r="893" spans="1:3" ht="13.2" x14ac:dyDescent="0.25">
      <c r="A893" s="2"/>
      <c r="B893" s="2"/>
      <c r="C893" s="2"/>
    </row>
    <row r="894" spans="1:3" ht="13.2" x14ac:dyDescent="0.25">
      <c r="A894" s="2"/>
      <c r="B894" s="2"/>
      <c r="C894" s="2"/>
    </row>
    <row r="895" spans="1:3" ht="13.2" x14ac:dyDescent="0.25">
      <c r="A895" s="2"/>
      <c r="B895" s="2"/>
      <c r="C895" s="2"/>
    </row>
    <row r="896" spans="1:3" ht="13.2" x14ac:dyDescent="0.25">
      <c r="A896" s="2"/>
      <c r="B896" s="2"/>
      <c r="C896" s="2"/>
    </row>
    <row r="897" spans="1:3" ht="13.2" x14ac:dyDescent="0.25">
      <c r="A897" s="2"/>
      <c r="B897" s="2"/>
      <c r="C897" s="2"/>
    </row>
    <row r="898" spans="1:3" ht="13.2" x14ac:dyDescent="0.25">
      <c r="A898" s="2"/>
      <c r="B898" s="2"/>
      <c r="C898" s="2"/>
    </row>
    <row r="899" spans="1:3" ht="13.2" x14ac:dyDescent="0.25">
      <c r="A899" s="2"/>
      <c r="B899" s="2"/>
      <c r="C899" s="2"/>
    </row>
    <row r="900" spans="1:3" ht="13.2" x14ac:dyDescent="0.25">
      <c r="A900" s="2"/>
      <c r="B900" s="2"/>
      <c r="C900" s="2"/>
    </row>
    <row r="901" spans="1:3" ht="13.2" x14ac:dyDescent="0.25">
      <c r="A901" s="2"/>
      <c r="B901" s="2"/>
      <c r="C901" s="2"/>
    </row>
    <row r="902" spans="1:3" ht="13.2" x14ac:dyDescent="0.25">
      <c r="A902" s="2"/>
      <c r="B902" s="2"/>
      <c r="C902" s="2"/>
    </row>
    <row r="903" spans="1:3" ht="13.2" x14ac:dyDescent="0.25">
      <c r="A903" s="2"/>
      <c r="B903" s="2"/>
      <c r="C903" s="2"/>
    </row>
    <row r="904" spans="1:3" ht="13.2" x14ac:dyDescent="0.25">
      <c r="A904" s="2"/>
      <c r="B904" s="2"/>
      <c r="C904" s="2"/>
    </row>
    <row r="905" spans="1:3" ht="13.2" x14ac:dyDescent="0.25">
      <c r="A905" s="2"/>
      <c r="B905" s="2"/>
      <c r="C905" s="2"/>
    </row>
    <row r="906" spans="1:3" ht="13.2" x14ac:dyDescent="0.25">
      <c r="A906" s="2"/>
      <c r="B906" s="2"/>
      <c r="C906" s="2"/>
    </row>
    <row r="907" spans="1:3" ht="13.2" x14ac:dyDescent="0.25">
      <c r="A907" s="2"/>
      <c r="B907" s="2"/>
      <c r="C907" s="2"/>
    </row>
    <row r="908" spans="1:3" ht="13.2" x14ac:dyDescent="0.25">
      <c r="A908" s="2"/>
      <c r="B908" s="2"/>
      <c r="C908" s="2"/>
    </row>
    <row r="909" spans="1:3" ht="13.2" x14ac:dyDescent="0.25">
      <c r="A909" s="2"/>
      <c r="B909" s="2"/>
      <c r="C909" s="2"/>
    </row>
    <row r="910" spans="1:3" ht="13.2" x14ac:dyDescent="0.25">
      <c r="A910" s="2"/>
      <c r="B910" s="2"/>
      <c r="C910" s="2"/>
    </row>
    <row r="911" spans="1:3" ht="13.2" x14ac:dyDescent="0.25">
      <c r="A911" s="2"/>
      <c r="B911" s="2"/>
      <c r="C911" s="2"/>
    </row>
    <row r="912" spans="1:3" ht="13.2" x14ac:dyDescent="0.25">
      <c r="A912" s="2"/>
      <c r="B912" s="2"/>
      <c r="C912" s="2"/>
    </row>
    <row r="913" spans="1:3" ht="13.2" x14ac:dyDescent="0.25">
      <c r="A913" s="2"/>
      <c r="B913" s="2"/>
      <c r="C913" s="2"/>
    </row>
    <row r="914" spans="1:3" ht="13.2" x14ac:dyDescent="0.25">
      <c r="A914" s="2"/>
      <c r="B914" s="2"/>
      <c r="C914" s="2"/>
    </row>
    <row r="915" spans="1:3" ht="13.2" x14ac:dyDescent="0.25">
      <c r="A915" s="2"/>
      <c r="B915" s="2"/>
      <c r="C915" s="2"/>
    </row>
    <row r="916" spans="1:3" ht="13.2" x14ac:dyDescent="0.25">
      <c r="A916" s="2"/>
      <c r="B916" s="2"/>
      <c r="C916" s="2"/>
    </row>
    <row r="917" spans="1:3" ht="13.2" x14ac:dyDescent="0.25">
      <c r="A917" s="2"/>
      <c r="B917" s="2"/>
      <c r="C917" s="2"/>
    </row>
    <row r="918" spans="1:3" ht="13.2" x14ac:dyDescent="0.25">
      <c r="A918" s="2"/>
      <c r="B918" s="2"/>
      <c r="C918" s="2"/>
    </row>
    <row r="919" spans="1:3" ht="13.2" x14ac:dyDescent="0.25">
      <c r="A919" s="2"/>
      <c r="B919" s="2"/>
      <c r="C919" s="2"/>
    </row>
    <row r="920" spans="1:3" ht="13.2" x14ac:dyDescent="0.25">
      <c r="A920" s="2"/>
      <c r="B920" s="2"/>
      <c r="C920" s="2"/>
    </row>
    <row r="921" spans="1:3" ht="13.2" x14ac:dyDescent="0.25">
      <c r="A921" s="2"/>
      <c r="B921" s="2"/>
      <c r="C921" s="2"/>
    </row>
    <row r="922" spans="1:3" ht="13.2" x14ac:dyDescent="0.25">
      <c r="A922" s="2"/>
      <c r="B922" s="2"/>
      <c r="C922" s="2"/>
    </row>
    <row r="923" spans="1:3" ht="13.2" x14ac:dyDescent="0.25">
      <c r="A923" s="2"/>
      <c r="B923" s="2"/>
      <c r="C923" s="2"/>
    </row>
    <row r="924" spans="1:3" ht="13.2" x14ac:dyDescent="0.25">
      <c r="A924" s="2"/>
      <c r="B924" s="2"/>
      <c r="C924" s="2"/>
    </row>
    <row r="925" spans="1:3" ht="13.2" x14ac:dyDescent="0.25">
      <c r="A925" s="2"/>
      <c r="B925" s="2"/>
      <c r="C925" s="2"/>
    </row>
    <row r="926" spans="1:3" ht="13.2" x14ac:dyDescent="0.25">
      <c r="A926" s="2"/>
      <c r="B926" s="2"/>
      <c r="C926" s="2"/>
    </row>
    <row r="927" spans="1:3" ht="13.2" x14ac:dyDescent="0.25">
      <c r="A927" s="2"/>
      <c r="B927" s="2"/>
      <c r="C927" s="2"/>
    </row>
    <row r="928" spans="1:3" ht="13.2" x14ac:dyDescent="0.25">
      <c r="A928" s="2"/>
      <c r="B928" s="2"/>
      <c r="C928" s="2"/>
    </row>
    <row r="929" spans="1:3" ht="13.2" x14ac:dyDescent="0.25">
      <c r="A929" s="2"/>
      <c r="B929" s="2"/>
      <c r="C929" s="2"/>
    </row>
    <row r="930" spans="1:3" ht="13.2" x14ac:dyDescent="0.25">
      <c r="A930" s="2"/>
      <c r="B930" s="2"/>
      <c r="C930" s="2"/>
    </row>
    <row r="931" spans="1:3" ht="13.2" x14ac:dyDescent="0.25">
      <c r="A931" s="2"/>
      <c r="B931" s="2"/>
      <c r="C931" s="2"/>
    </row>
    <row r="932" spans="1:3" ht="13.2" x14ac:dyDescent="0.25">
      <c r="A932" s="2"/>
      <c r="B932" s="2"/>
      <c r="C932" s="2"/>
    </row>
    <row r="933" spans="1:3" ht="13.2" x14ac:dyDescent="0.25">
      <c r="A933" s="2"/>
      <c r="B933" s="2"/>
      <c r="C933" s="2"/>
    </row>
    <row r="934" spans="1:3" ht="13.2" x14ac:dyDescent="0.25">
      <c r="A934" s="2"/>
      <c r="B934" s="2"/>
      <c r="C934" s="2"/>
    </row>
    <row r="935" spans="1:3" ht="13.2" x14ac:dyDescent="0.25">
      <c r="A935" s="2"/>
      <c r="B935" s="2"/>
      <c r="C935" s="2"/>
    </row>
    <row r="936" spans="1:3" ht="13.2" x14ac:dyDescent="0.25">
      <c r="A936" s="2"/>
      <c r="B936" s="2"/>
      <c r="C936" s="2"/>
    </row>
    <row r="937" spans="1:3" ht="13.2" x14ac:dyDescent="0.25">
      <c r="A937" s="2"/>
      <c r="B937" s="2"/>
      <c r="C937" s="2"/>
    </row>
    <row r="938" spans="1:3" ht="13.2" x14ac:dyDescent="0.25">
      <c r="A938" s="2"/>
      <c r="B938" s="2"/>
      <c r="C938" s="2"/>
    </row>
    <row r="939" spans="1:3" ht="13.2" x14ac:dyDescent="0.25">
      <c r="A939" s="2"/>
      <c r="B939" s="2"/>
      <c r="C939" s="2"/>
    </row>
    <row r="940" spans="1:3" ht="13.2" x14ac:dyDescent="0.25">
      <c r="A940" s="2"/>
      <c r="B940" s="2"/>
      <c r="C940" s="2"/>
    </row>
    <row r="941" spans="1:3" ht="13.2" x14ac:dyDescent="0.25">
      <c r="A941" s="2"/>
      <c r="B941" s="2"/>
      <c r="C941" s="2"/>
    </row>
    <row r="942" spans="1:3" ht="13.2" x14ac:dyDescent="0.25">
      <c r="A942" s="2"/>
      <c r="B942" s="2"/>
      <c r="C942" s="2"/>
    </row>
    <row r="943" spans="1:3" ht="13.2" x14ac:dyDescent="0.25">
      <c r="A943" s="2"/>
      <c r="B943" s="2"/>
      <c r="C943" s="2"/>
    </row>
    <row r="944" spans="1:3" ht="13.2" x14ac:dyDescent="0.25">
      <c r="A944" s="2"/>
      <c r="B944" s="2"/>
      <c r="C944" s="2"/>
    </row>
    <row r="945" spans="1:3" ht="13.2" x14ac:dyDescent="0.25">
      <c r="A945" s="2"/>
      <c r="B945" s="2"/>
      <c r="C945" s="2"/>
    </row>
    <row r="946" spans="1:3" ht="13.2" x14ac:dyDescent="0.25">
      <c r="A946" s="2"/>
      <c r="B946" s="2"/>
      <c r="C946" s="2"/>
    </row>
    <row r="947" spans="1:3" ht="13.2" x14ac:dyDescent="0.25">
      <c r="A947" s="2"/>
      <c r="B947" s="2"/>
      <c r="C947" s="2"/>
    </row>
    <row r="948" spans="1:3" ht="13.2" x14ac:dyDescent="0.25">
      <c r="A948" s="2"/>
      <c r="B948" s="2"/>
      <c r="C948" s="2"/>
    </row>
    <row r="949" spans="1:3" ht="13.2" x14ac:dyDescent="0.25">
      <c r="A949" s="2"/>
      <c r="B949" s="2"/>
      <c r="C949" s="2"/>
    </row>
    <row r="950" spans="1:3" ht="13.2" x14ac:dyDescent="0.25">
      <c r="A950" s="2"/>
      <c r="B950" s="2"/>
      <c r="C950" s="2"/>
    </row>
    <row r="951" spans="1:3" ht="13.2" x14ac:dyDescent="0.25">
      <c r="A951" s="2"/>
      <c r="B951" s="2"/>
      <c r="C951" s="2"/>
    </row>
    <row r="952" spans="1:3" ht="13.2" x14ac:dyDescent="0.25">
      <c r="A952" s="2"/>
      <c r="B952" s="2"/>
      <c r="C952" s="2"/>
    </row>
    <row r="953" spans="1:3" ht="13.2" x14ac:dyDescent="0.25">
      <c r="A953" s="2"/>
      <c r="B953" s="2"/>
      <c r="C953" s="2"/>
    </row>
    <row r="954" spans="1:3" ht="13.2" x14ac:dyDescent="0.25">
      <c r="A954" s="2"/>
      <c r="B954" s="2"/>
      <c r="C954" s="2"/>
    </row>
    <row r="955" spans="1:3" ht="13.2" x14ac:dyDescent="0.25">
      <c r="A955" s="2"/>
      <c r="B955" s="2"/>
      <c r="C955" s="2"/>
    </row>
    <row r="956" spans="1:3" ht="13.2" x14ac:dyDescent="0.25">
      <c r="A956" s="2"/>
      <c r="B956" s="2"/>
      <c r="C956" s="2"/>
    </row>
    <row r="957" spans="1:3" ht="13.2" x14ac:dyDescent="0.25">
      <c r="A957" s="2"/>
      <c r="B957" s="2"/>
      <c r="C957" s="2"/>
    </row>
    <row r="958" spans="1:3" ht="13.2" x14ac:dyDescent="0.25">
      <c r="A958" s="2"/>
      <c r="B958" s="2"/>
      <c r="C958" s="2"/>
    </row>
    <row r="959" spans="1:3" ht="13.2" x14ac:dyDescent="0.25">
      <c r="A959" s="2"/>
      <c r="B959" s="2"/>
      <c r="C959" s="2"/>
    </row>
    <row r="960" spans="1:3" ht="13.2" x14ac:dyDescent="0.25">
      <c r="A960" s="2"/>
      <c r="B960" s="2"/>
      <c r="C960" s="2"/>
    </row>
    <row r="961" spans="1:3" ht="13.2" x14ac:dyDescent="0.25">
      <c r="A961" s="2"/>
      <c r="B961" s="2"/>
      <c r="C961" s="2"/>
    </row>
    <row r="962" spans="1:3" ht="13.2" x14ac:dyDescent="0.25">
      <c r="A962" s="2"/>
      <c r="B962" s="2"/>
      <c r="C962" s="2"/>
    </row>
    <row r="963" spans="1:3" ht="13.2" x14ac:dyDescent="0.25">
      <c r="A963" s="2"/>
      <c r="B963" s="2"/>
      <c r="C963" s="2"/>
    </row>
    <row r="964" spans="1:3" ht="13.2" x14ac:dyDescent="0.25">
      <c r="A964" s="2"/>
      <c r="B964" s="2"/>
      <c r="C964" s="2"/>
    </row>
    <row r="965" spans="1:3" ht="13.2" x14ac:dyDescent="0.25">
      <c r="A965" s="2"/>
      <c r="B965" s="2"/>
      <c r="C965" s="2"/>
    </row>
    <row r="966" spans="1:3" ht="13.2" x14ac:dyDescent="0.25">
      <c r="A966" s="2"/>
      <c r="B966" s="2"/>
      <c r="C966" s="2"/>
    </row>
    <row r="967" spans="1:3" ht="13.2" x14ac:dyDescent="0.25">
      <c r="A967" s="2"/>
      <c r="B967" s="2"/>
      <c r="C967" s="2"/>
    </row>
    <row r="968" spans="1:3" ht="13.2" x14ac:dyDescent="0.25">
      <c r="A968" s="2"/>
      <c r="B968" s="2"/>
      <c r="C968" s="2"/>
    </row>
    <row r="969" spans="1:3" ht="13.2" x14ac:dyDescent="0.25">
      <c r="A969" s="2"/>
      <c r="B969" s="2"/>
      <c r="C969" s="2"/>
    </row>
    <row r="970" spans="1:3" ht="13.2" x14ac:dyDescent="0.25">
      <c r="A970" s="2"/>
      <c r="B970" s="2"/>
      <c r="C970" s="2"/>
    </row>
    <row r="971" spans="1:3" ht="13.2" x14ac:dyDescent="0.25">
      <c r="A971" s="2"/>
      <c r="B971" s="2"/>
      <c r="C971" s="2"/>
    </row>
    <row r="972" spans="1:3" ht="13.2" x14ac:dyDescent="0.25">
      <c r="A972" s="2"/>
      <c r="B972" s="2"/>
      <c r="C972" s="2"/>
    </row>
    <row r="973" spans="1:3" ht="13.2" x14ac:dyDescent="0.25">
      <c r="A973" s="2"/>
      <c r="B973" s="2"/>
      <c r="C973" s="2"/>
    </row>
    <row r="974" spans="1:3" ht="13.2" x14ac:dyDescent="0.25">
      <c r="A974" s="2"/>
      <c r="B974" s="2"/>
      <c r="C974" s="2"/>
    </row>
    <row r="975" spans="1:3" ht="13.2" x14ac:dyDescent="0.25">
      <c r="A975" s="2"/>
      <c r="B975" s="2"/>
      <c r="C975" s="2"/>
    </row>
    <row r="976" spans="1:3" ht="13.2" x14ac:dyDescent="0.25">
      <c r="A976" s="2"/>
      <c r="B976" s="2"/>
      <c r="C976" s="2"/>
    </row>
    <row r="977" spans="1:3" ht="13.2" x14ac:dyDescent="0.25">
      <c r="A977" s="2"/>
      <c r="B977" s="2"/>
      <c r="C977" s="2"/>
    </row>
    <row r="978" spans="1:3" ht="13.2" x14ac:dyDescent="0.25">
      <c r="A978" s="2"/>
      <c r="B978" s="2"/>
      <c r="C978" s="2"/>
    </row>
    <row r="979" spans="1:3" ht="13.2" x14ac:dyDescent="0.25">
      <c r="A979" s="2"/>
      <c r="B979" s="2"/>
      <c r="C979" s="2"/>
    </row>
    <row r="980" spans="1:3" ht="13.2" x14ac:dyDescent="0.25">
      <c r="A980" s="2"/>
      <c r="B980" s="2"/>
      <c r="C980" s="2"/>
    </row>
    <row r="981" spans="1:3" ht="13.2" x14ac:dyDescent="0.25">
      <c r="A981" s="2"/>
      <c r="B981" s="2"/>
      <c r="C981" s="2"/>
    </row>
    <row r="982" spans="1:3" ht="13.2" x14ac:dyDescent="0.25">
      <c r="A982" s="2"/>
      <c r="B982" s="2"/>
      <c r="C982" s="2"/>
    </row>
    <row r="983" spans="1:3" ht="13.2" x14ac:dyDescent="0.25">
      <c r="A983" s="2"/>
      <c r="B983" s="2"/>
      <c r="C983" s="2"/>
    </row>
    <row r="984" spans="1:3" ht="13.2" x14ac:dyDescent="0.25">
      <c r="A984" s="2"/>
      <c r="B984" s="2"/>
      <c r="C984" s="2"/>
    </row>
    <row r="985" spans="1:3" ht="13.2" x14ac:dyDescent="0.25">
      <c r="A985" s="2"/>
      <c r="B985" s="2"/>
      <c r="C985" s="2"/>
    </row>
    <row r="986" spans="1:3" ht="13.2" x14ac:dyDescent="0.25">
      <c r="A986" s="2"/>
      <c r="B986" s="2"/>
      <c r="C986" s="2"/>
    </row>
    <row r="987" spans="1:3" ht="13.2" x14ac:dyDescent="0.25">
      <c r="A987" s="2"/>
      <c r="B987" s="2"/>
      <c r="C987" s="2"/>
    </row>
    <row r="988" spans="1:3" ht="13.2" x14ac:dyDescent="0.25">
      <c r="A988" s="2"/>
      <c r="B988" s="2"/>
      <c r="C988" s="2"/>
    </row>
    <row r="989" spans="1:3" ht="13.2" x14ac:dyDescent="0.25">
      <c r="A989" s="2"/>
      <c r="B989" s="2"/>
      <c r="C989" s="2"/>
    </row>
    <row r="990" spans="1:3" ht="13.2" x14ac:dyDescent="0.25">
      <c r="A990" s="2"/>
      <c r="B990" s="2"/>
      <c r="C990" s="2"/>
    </row>
    <row r="991" spans="1:3" ht="13.2" x14ac:dyDescent="0.25">
      <c r="A991" s="2"/>
      <c r="B991" s="2"/>
      <c r="C991" s="2"/>
    </row>
    <row r="992" spans="1:3" ht="13.2" x14ac:dyDescent="0.25">
      <c r="A992" s="2"/>
      <c r="B992" s="2"/>
      <c r="C992" s="2"/>
    </row>
    <row r="993" spans="1:3" ht="13.2" x14ac:dyDescent="0.25">
      <c r="A993" s="2"/>
      <c r="B993" s="2"/>
      <c r="C993" s="2"/>
    </row>
    <row r="994" spans="1:3" ht="13.2" x14ac:dyDescent="0.25">
      <c r="A994" s="2"/>
      <c r="B994" s="2"/>
      <c r="C994" s="2"/>
    </row>
    <row r="995" spans="1:3" ht="13.2" x14ac:dyDescent="0.25">
      <c r="A995" s="2"/>
      <c r="B995" s="2"/>
      <c r="C995" s="2"/>
    </row>
    <row r="996" spans="1:3" ht="13.2" x14ac:dyDescent="0.25">
      <c r="A996" s="2"/>
      <c r="B996" s="2"/>
      <c r="C996" s="2"/>
    </row>
    <row r="997" spans="1:3" ht="13.2" x14ac:dyDescent="0.25">
      <c r="A997" s="2"/>
      <c r="B997" s="2"/>
      <c r="C997" s="2"/>
    </row>
    <row r="998" spans="1:3" ht="13.2" x14ac:dyDescent="0.25">
      <c r="A998" s="2"/>
      <c r="B998" s="2"/>
      <c r="C998" s="2"/>
    </row>
    <row r="999" spans="1:3" ht="13.2" x14ac:dyDescent="0.25">
      <c r="A999" s="2"/>
      <c r="B999" s="2"/>
      <c r="C999" s="2"/>
    </row>
    <row r="1000" spans="1:3" ht="13.2" x14ac:dyDescent="0.25">
      <c r="A1000" s="2"/>
      <c r="B1000" s="2"/>
      <c r="C1000" s="2"/>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35"/>
  <sheetViews>
    <sheetView workbookViewId="0">
      <selection sqref="A1:D34"/>
    </sheetView>
  </sheetViews>
  <sheetFormatPr defaultColWidth="12.6640625" defaultRowHeight="15.75" customHeight="1" x14ac:dyDescent="0.25"/>
  <cols>
    <col min="1" max="1" width="7.88671875" bestFit="1" customWidth="1"/>
    <col min="2" max="2" width="7.77734375" bestFit="1" customWidth="1"/>
    <col min="3" max="3" width="11.5546875" style="18" bestFit="1" customWidth="1"/>
    <col min="4" max="4" width="12.21875" bestFit="1" customWidth="1"/>
  </cols>
  <sheetData>
    <row r="1" spans="1:6" ht="13.2" x14ac:dyDescent="0.25">
      <c r="A1" s="13" t="s">
        <v>21</v>
      </c>
      <c r="B1" s="8" t="s">
        <v>22</v>
      </c>
      <c r="C1" s="17" t="s">
        <v>137</v>
      </c>
      <c r="D1" s="14" t="s">
        <v>23</v>
      </c>
      <c r="E1" s="12" t="s">
        <v>138</v>
      </c>
      <c r="F1" s="12" t="s">
        <v>139</v>
      </c>
    </row>
    <row r="2" spans="1:6" ht="13.2" x14ac:dyDescent="0.25">
      <c r="A2" s="6" t="s">
        <v>136</v>
      </c>
      <c r="B2" s="6" t="s">
        <v>89</v>
      </c>
      <c r="C2" s="5">
        <v>1</v>
      </c>
      <c r="D2" s="16">
        <v>4340</v>
      </c>
      <c r="E2" s="6">
        <v>5700</v>
      </c>
      <c r="F2" s="6">
        <v>3550</v>
      </c>
    </row>
    <row r="3" spans="1:6" ht="13.2" x14ac:dyDescent="0.25">
      <c r="A3" s="6" t="s">
        <v>136</v>
      </c>
      <c r="B3" s="6" t="s">
        <v>90</v>
      </c>
      <c r="C3" s="5">
        <v>2</v>
      </c>
      <c r="D3" s="16">
        <v>4340</v>
      </c>
      <c r="E3" s="6">
        <v>5700</v>
      </c>
      <c r="F3" s="6">
        <v>3550</v>
      </c>
    </row>
    <row r="4" spans="1:6" ht="13.2" x14ac:dyDescent="0.25">
      <c r="A4" s="6" t="s">
        <v>136</v>
      </c>
      <c r="B4" s="6" t="s">
        <v>91</v>
      </c>
      <c r="C4" s="5">
        <v>3</v>
      </c>
      <c r="D4" s="16">
        <v>3665</v>
      </c>
      <c r="E4" s="6">
        <v>5700</v>
      </c>
      <c r="F4" s="6">
        <v>3550</v>
      </c>
    </row>
    <row r="5" spans="1:6" ht="13.2" x14ac:dyDescent="0.25">
      <c r="A5" s="6" t="s">
        <v>136</v>
      </c>
      <c r="B5" s="6" t="s">
        <v>92</v>
      </c>
      <c r="C5" s="5">
        <v>4</v>
      </c>
      <c r="D5" s="16">
        <v>3775</v>
      </c>
      <c r="E5" s="6">
        <v>5700</v>
      </c>
      <c r="F5" s="6">
        <v>3550</v>
      </c>
    </row>
    <row r="6" spans="1:6" ht="13.2" x14ac:dyDescent="0.25">
      <c r="A6" s="6" t="s">
        <v>136</v>
      </c>
      <c r="B6" s="6" t="s">
        <v>93</v>
      </c>
      <c r="C6" s="5">
        <v>5</v>
      </c>
      <c r="D6" s="16">
        <v>5000</v>
      </c>
      <c r="E6" s="6">
        <v>5700</v>
      </c>
      <c r="F6" s="6">
        <v>3550</v>
      </c>
    </row>
    <row r="7" spans="1:6" ht="13.2" x14ac:dyDescent="0.25">
      <c r="A7" s="6" t="s">
        <v>136</v>
      </c>
      <c r="B7" s="6" t="s">
        <v>94</v>
      </c>
      <c r="C7" s="5">
        <v>6</v>
      </c>
      <c r="D7" s="16">
        <v>4850</v>
      </c>
      <c r="E7" s="6">
        <v>5700</v>
      </c>
      <c r="F7" s="6">
        <v>3550</v>
      </c>
    </row>
    <row r="8" spans="1:6" ht="13.2" x14ac:dyDescent="0.25">
      <c r="A8" s="6" t="s">
        <v>136</v>
      </c>
      <c r="B8" s="6" t="s">
        <v>95</v>
      </c>
      <c r="C8" s="5">
        <v>7</v>
      </c>
      <c r="D8" s="16">
        <v>4775</v>
      </c>
      <c r="E8" s="6">
        <v>5700</v>
      </c>
      <c r="F8" s="6">
        <v>3550</v>
      </c>
    </row>
    <row r="9" spans="1:6" ht="13.2" x14ac:dyDescent="0.25">
      <c r="A9" s="6" t="s">
        <v>136</v>
      </c>
      <c r="B9" s="6" t="s">
        <v>96</v>
      </c>
      <c r="C9" s="5">
        <v>8</v>
      </c>
      <c r="D9" s="16">
        <v>4500</v>
      </c>
      <c r="E9" s="6">
        <v>5700</v>
      </c>
      <c r="F9" s="6">
        <v>3550</v>
      </c>
    </row>
    <row r="10" spans="1:6" ht="13.2" x14ac:dyDescent="0.25">
      <c r="A10" s="6" t="s">
        <v>136</v>
      </c>
      <c r="B10" s="6" t="s">
        <v>97</v>
      </c>
      <c r="C10" s="5">
        <v>9</v>
      </c>
      <c r="D10" s="16">
        <v>4770</v>
      </c>
      <c r="E10" s="6">
        <v>5700</v>
      </c>
      <c r="F10" s="6">
        <v>3550</v>
      </c>
    </row>
    <row r="11" spans="1:6" ht="13.2" x14ac:dyDescent="0.25">
      <c r="A11" s="6" t="s">
        <v>136</v>
      </c>
      <c r="B11" s="6" t="s">
        <v>98</v>
      </c>
      <c r="C11" s="5">
        <v>10</v>
      </c>
      <c r="D11" s="16">
        <v>4500</v>
      </c>
      <c r="E11" s="6">
        <v>5700</v>
      </c>
      <c r="F11" s="6">
        <v>3550</v>
      </c>
    </row>
    <row r="12" spans="1:6" ht="13.2" x14ac:dyDescent="0.25">
      <c r="A12" s="6" t="s">
        <v>136</v>
      </c>
      <c r="B12" s="6" t="s">
        <v>99</v>
      </c>
      <c r="C12" s="5">
        <v>11</v>
      </c>
      <c r="D12" s="16">
        <v>4770</v>
      </c>
      <c r="E12" s="6">
        <v>5700</v>
      </c>
      <c r="F12" s="6">
        <v>3550</v>
      </c>
    </row>
    <row r="13" spans="1:6" ht="13.2" x14ac:dyDescent="0.25">
      <c r="A13" s="6" t="s">
        <v>136</v>
      </c>
      <c r="B13" s="6" t="s">
        <v>100</v>
      </c>
      <c r="C13" s="5">
        <v>12</v>
      </c>
      <c r="D13" s="16">
        <v>5150</v>
      </c>
      <c r="E13" s="6">
        <v>5700</v>
      </c>
      <c r="F13" s="6">
        <v>3550</v>
      </c>
    </row>
    <row r="14" spans="1:6" ht="13.2" x14ac:dyDescent="0.25">
      <c r="A14" s="6" t="s">
        <v>136</v>
      </c>
      <c r="B14" s="6" t="s">
        <v>101</v>
      </c>
      <c r="C14" s="5">
        <v>13</v>
      </c>
      <c r="D14" s="16">
        <v>4850</v>
      </c>
      <c r="E14" s="6">
        <v>5700</v>
      </c>
      <c r="F14" s="6">
        <v>3550</v>
      </c>
    </row>
    <row r="15" spans="1:6" ht="13.2" x14ac:dyDescent="0.25">
      <c r="A15" s="6" t="s">
        <v>136</v>
      </c>
      <c r="B15" s="6" t="s">
        <v>102</v>
      </c>
      <c r="C15" s="5">
        <v>14</v>
      </c>
      <c r="D15" s="16">
        <v>4700</v>
      </c>
      <c r="E15" s="6">
        <v>5700</v>
      </c>
      <c r="F15" s="6">
        <v>3550</v>
      </c>
    </row>
    <row r="16" spans="1:6" ht="13.2" x14ac:dyDescent="0.25">
      <c r="A16" s="6" t="s">
        <v>136</v>
      </c>
      <c r="B16" s="6" t="s">
        <v>103</v>
      </c>
      <c r="C16" s="5">
        <v>15</v>
      </c>
      <c r="D16" s="16">
        <v>5000</v>
      </c>
      <c r="E16" s="6">
        <v>5700</v>
      </c>
      <c r="F16" s="6">
        <v>3550</v>
      </c>
    </row>
    <row r="17" spans="1:6" ht="13.2" x14ac:dyDescent="0.25">
      <c r="A17" s="6" t="s">
        <v>136</v>
      </c>
      <c r="B17" s="6" t="s">
        <v>104</v>
      </c>
      <c r="C17" s="5">
        <v>16</v>
      </c>
      <c r="D17" s="16">
        <v>5000</v>
      </c>
      <c r="E17" s="6">
        <v>5700</v>
      </c>
      <c r="F17" s="6">
        <v>3550</v>
      </c>
    </row>
    <row r="18" spans="1:6" ht="13.2" x14ac:dyDescent="0.25">
      <c r="A18" s="6" t="s">
        <v>136</v>
      </c>
      <c r="B18" s="6" t="s">
        <v>105</v>
      </c>
      <c r="C18" s="5">
        <v>17</v>
      </c>
      <c r="D18" s="16">
        <v>5000</v>
      </c>
      <c r="E18" s="6">
        <v>5700</v>
      </c>
      <c r="F18" s="6">
        <v>3550</v>
      </c>
    </row>
    <row r="19" spans="1:6" ht="13.2" x14ac:dyDescent="0.25">
      <c r="A19" s="6" t="s">
        <v>136</v>
      </c>
      <c r="B19" s="6" t="s">
        <v>106</v>
      </c>
      <c r="C19" s="5">
        <v>18</v>
      </c>
      <c r="D19" s="16">
        <v>4700</v>
      </c>
      <c r="E19" s="6">
        <v>5700</v>
      </c>
      <c r="F19" s="6">
        <v>3550</v>
      </c>
    </row>
    <row r="20" spans="1:6" ht="13.2" x14ac:dyDescent="0.25">
      <c r="A20" s="6" t="s">
        <v>136</v>
      </c>
      <c r="B20" s="6" t="s">
        <v>107</v>
      </c>
      <c r="C20" s="5">
        <v>19</v>
      </c>
      <c r="D20" s="16">
        <v>4500</v>
      </c>
      <c r="E20" s="6">
        <v>5700</v>
      </c>
      <c r="F20" s="6">
        <v>3550</v>
      </c>
    </row>
    <row r="21" spans="1:6" ht="13.2" x14ac:dyDescent="0.25">
      <c r="A21" s="6" t="s">
        <v>136</v>
      </c>
      <c r="B21" s="6" t="s">
        <v>108</v>
      </c>
      <c r="C21" s="5">
        <v>20</v>
      </c>
      <c r="D21" s="16">
        <v>4840</v>
      </c>
      <c r="E21" s="6">
        <v>5700</v>
      </c>
      <c r="F21" s="6">
        <v>3550</v>
      </c>
    </row>
    <row r="22" spans="1:6" ht="13.2" x14ac:dyDescent="0.25">
      <c r="A22" s="6" t="s">
        <v>136</v>
      </c>
      <c r="B22" s="6" t="s">
        <v>109</v>
      </c>
      <c r="C22" s="5">
        <v>21</v>
      </c>
      <c r="D22" s="16">
        <v>5075</v>
      </c>
      <c r="E22" s="6">
        <v>5700</v>
      </c>
      <c r="F22" s="6">
        <v>3550</v>
      </c>
    </row>
    <row r="23" spans="1:6" ht="13.2" x14ac:dyDescent="0.25">
      <c r="A23" s="6" t="s">
        <v>136</v>
      </c>
      <c r="B23" s="6" t="s">
        <v>110</v>
      </c>
      <c r="C23" s="5">
        <v>22</v>
      </c>
      <c r="D23" s="16">
        <v>5000</v>
      </c>
      <c r="E23" s="6">
        <v>5700</v>
      </c>
      <c r="F23" s="6">
        <v>3550</v>
      </c>
    </row>
    <row r="24" spans="1:6" ht="13.2" x14ac:dyDescent="0.25">
      <c r="A24" s="6" t="s">
        <v>136</v>
      </c>
      <c r="B24" s="6" t="s">
        <v>111</v>
      </c>
      <c r="C24" s="5">
        <v>23</v>
      </c>
      <c r="D24" s="16">
        <v>4770</v>
      </c>
      <c r="E24" s="6">
        <v>5700</v>
      </c>
      <c r="F24" s="6">
        <v>3550</v>
      </c>
    </row>
    <row r="25" spans="1:6" ht="13.2" x14ac:dyDescent="0.25">
      <c r="A25" s="6" t="s">
        <v>136</v>
      </c>
      <c r="B25" s="6" t="s">
        <v>112</v>
      </c>
      <c r="C25" s="5">
        <v>24</v>
      </c>
      <c r="D25" s="16">
        <v>4570</v>
      </c>
      <c r="E25" s="6">
        <v>5700</v>
      </c>
      <c r="F25" s="6">
        <v>3550</v>
      </c>
    </row>
    <row r="26" spans="1:6" ht="13.2" x14ac:dyDescent="0.25">
      <c r="A26" s="6" t="s">
        <v>136</v>
      </c>
      <c r="B26" s="6" t="s">
        <v>113</v>
      </c>
      <c r="C26" s="5">
        <v>25</v>
      </c>
      <c r="D26" s="16">
        <v>4925</v>
      </c>
      <c r="E26" s="6">
        <v>5700</v>
      </c>
      <c r="F26" s="6">
        <v>3550</v>
      </c>
    </row>
    <row r="27" spans="1:6" ht="13.2" x14ac:dyDescent="0.25">
      <c r="A27" s="6" t="s">
        <v>136</v>
      </c>
      <c r="B27" s="6" t="s">
        <v>114</v>
      </c>
      <c r="C27" s="5">
        <v>26</v>
      </c>
      <c r="D27" s="16">
        <v>4775</v>
      </c>
      <c r="E27" s="6">
        <v>5700</v>
      </c>
      <c r="F27" s="6">
        <v>3550</v>
      </c>
    </row>
    <row r="28" spans="1:6" ht="13.2" x14ac:dyDescent="0.25">
      <c r="A28" s="6" t="s">
        <v>136</v>
      </c>
      <c r="B28" s="6" t="s">
        <v>115</v>
      </c>
      <c r="C28" s="5">
        <v>27</v>
      </c>
      <c r="D28" s="16">
        <v>5075</v>
      </c>
      <c r="E28" s="6">
        <v>5700</v>
      </c>
      <c r="F28" s="6">
        <v>3550</v>
      </c>
    </row>
    <row r="29" spans="1:6" ht="13.2" x14ac:dyDescent="0.25">
      <c r="A29" s="6" t="s">
        <v>136</v>
      </c>
      <c r="B29" s="6" t="s">
        <v>116</v>
      </c>
      <c r="C29" s="5">
        <v>28</v>
      </c>
      <c r="D29" s="16">
        <v>4925</v>
      </c>
      <c r="E29" s="6">
        <v>5700</v>
      </c>
      <c r="F29" s="6">
        <v>3550</v>
      </c>
    </row>
    <row r="30" spans="1:6" ht="13.2" x14ac:dyDescent="0.25">
      <c r="A30" s="6" t="s">
        <v>136</v>
      </c>
      <c r="B30" s="6" t="s">
        <v>117</v>
      </c>
      <c r="C30" s="5">
        <v>29</v>
      </c>
      <c r="D30" s="16">
        <v>5075</v>
      </c>
      <c r="E30" s="6">
        <v>5700</v>
      </c>
      <c r="F30" s="6">
        <v>3550</v>
      </c>
    </row>
    <row r="31" spans="1:6" ht="13.2" x14ac:dyDescent="0.25">
      <c r="A31" s="6" t="s">
        <v>136</v>
      </c>
      <c r="B31" s="6" t="s">
        <v>118</v>
      </c>
      <c r="C31" s="5">
        <v>30</v>
      </c>
      <c r="D31" s="16">
        <v>4925</v>
      </c>
      <c r="E31" s="6">
        <v>5700</v>
      </c>
      <c r="F31" s="6">
        <v>3550</v>
      </c>
    </row>
    <row r="32" spans="1:6" ht="13.2" x14ac:dyDescent="0.25">
      <c r="A32" s="6" t="s">
        <v>136</v>
      </c>
      <c r="B32" s="6" t="s">
        <v>119</v>
      </c>
      <c r="C32" s="5">
        <v>31</v>
      </c>
      <c r="D32" s="16">
        <v>5250</v>
      </c>
      <c r="E32" s="6">
        <v>5700</v>
      </c>
      <c r="F32" s="6">
        <v>3550</v>
      </c>
    </row>
    <row r="33" spans="1:6" ht="13.2" x14ac:dyDescent="0.25">
      <c r="A33" s="6" t="s">
        <v>136</v>
      </c>
      <c r="B33" s="6" t="s">
        <v>120</v>
      </c>
      <c r="C33" s="5">
        <v>32</v>
      </c>
      <c r="D33" s="16">
        <v>4915</v>
      </c>
      <c r="E33" s="6">
        <v>5700</v>
      </c>
      <c r="F33" s="6">
        <v>3550</v>
      </c>
    </row>
    <row r="34" spans="1:6" ht="13.2" x14ac:dyDescent="0.25">
      <c r="A34" s="6" t="s">
        <v>136</v>
      </c>
      <c r="B34" s="6" t="s">
        <v>121</v>
      </c>
      <c r="C34" s="5">
        <v>33</v>
      </c>
      <c r="D34" s="16">
        <v>5600</v>
      </c>
      <c r="E34" s="6">
        <v>5700</v>
      </c>
      <c r="F34" s="6">
        <v>3550</v>
      </c>
    </row>
    <row r="35" spans="1:6" ht="15.75" customHeight="1" x14ac:dyDescent="0.25">
      <c r="A35" s="2"/>
      <c r="B35" s="2"/>
      <c r="C35" s="5"/>
      <c r="D35" s="2"/>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A77FF-B0F0-4CE8-9131-FFCF22C5BCEA}">
  <sheetPr>
    <outlinePr summaryBelow="0" summaryRight="0"/>
  </sheetPr>
  <dimension ref="A1:J35"/>
  <sheetViews>
    <sheetView workbookViewId="0">
      <selection activeCell="K35" sqref="K35"/>
    </sheetView>
  </sheetViews>
  <sheetFormatPr defaultColWidth="12.6640625" defaultRowHeight="15.75" customHeight="1" x14ac:dyDescent="0.25"/>
  <cols>
    <col min="1" max="1" width="7.88671875" bestFit="1" customWidth="1"/>
    <col min="2" max="2" width="7.77734375" bestFit="1" customWidth="1"/>
    <col min="3" max="3" width="11.5546875" style="18" bestFit="1" customWidth="1"/>
    <col min="4" max="4" width="12.21875" bestFit="1" customWidth="1"/>
  </cols>
  <sheetData>
    <row r="1" spans="1:10" ht="13.2" x14ac:dyDescent="0.25">
      <c r="A1" s="13" t="s">
        <v>21</v>
      </c>
      <c r="B1" s="8" t="s">
        <v>22</v>
      </c>
      <c r="C1" s="17" t="s">
        <v>137</v>
      </c>
      <c r="D1" s="14" t="s">
        <v>23</v>
      </c>
      <c r="E1" s="12" t="s">
        <v>3</v>
      </c>
      <c r="F1" s="12" t="s">
        <v>4</v>
      </c>
      <c r="G1" s="12" t="s">
        <v>5</v>
      </c>
      <c r="H1" s="12" t="s">
        <v>6</v>
      </c>
      <c r="I1" s="12" t="s">
        <v>7</v>
      </c>
      <c r="J1" s="12" t="s">
        <v>8</v>
      </c>
    </row>
    <row r="2" spans="1:10" ht="13.2" x14ac:dyDescent="0.25">
      <c r="A2" s="6" t="s">
        <v>136</v>
      </c>
      <c r="B2" s="6" t="s">
        <v>89</v>
      </c>
      <c r="C2" s="5">
        <v>1</v>
      </c>
      <c r="D2" s="16">
        <v>4340</v>
      </c>
      <c r="E2" s="16">
        <f>ROUND(AVERAGE($D$2:$D$34),1)</f>
        <v>4785</v>
      </c>
      <c r="F2" s="6">
        <f>ROUND(E2+(2.66*I2),1)</f>
        <v>5502.4</v>
      </c>
      <c r="G2" s="15">
        <f t="shared" ref="G2:G34" si="0">ROUND(E2-(2.66*I2),1)</f>
        <v>4067.6</v>
      </c>
      <c r="H2" s="15"/>
      <c r="I2" s="15">
        <f t="shared" ref="I2:I34" si="1">ROUND(AVERAGE($H$3:$H$34),1)</f>
        <v>269.7</v>
      </c>
      <c r="J2" s="15">
        <f t="shared" ref="J2:J34" si="2">ROUND(3.268*I2,1)</f>
        <v>881.4</v>
      </c>
    </row>
    <row r="3" spans="1:10" ht="13.2" x14ac:dyDescent="0.25">
      <c r="A3" s="6" t="s">
        <v>136</v>
      </c>
      <c r="B3" s="6" t="s">
        <v>90</v>
      </c>
      <c r="C3" s="5">
        <v>2</v>
      </c>
      <c r="D3" s="16">
        <v>4340</v>
      </c>
      <c r="E3" s="16">
        <f t="shared" ref="E3:E34" si="3">ROUND(AVERAGE($D$2:$D$34),1)</f>
        <v>4785</v>
      </c>
      <c r="F3" s="6">
        <f t="shared" ref="F3:F34" si="4">ROUND(E3+(2.66*I3),1)</f>
        <v>5502.4</v>
      </c>
      <c r="G3" s="15">
        <f t="shared" si="0"/>
        <v>4067.6</v>
      </c>
      <c r="H3" s="15">
        <f t="shared" ref="H3:H34" si="5">ABS(D2-D3)</f>
        <v>0</v>
      </c>
      <c r="I3" s="15">
        <f t="shared" si="1"/>
        <v>269.7</v>
      </c>
      <c r="J3" s="15">
        <f t="shared" si="2"/>
        <v>881.4</v>
      </c>
    </row>
    <row r="4" spans="1:10" ht="13.2" x14ac:dyDescent="0.25">
      <c r="A4" s="6" t="s">
        <v>136</v>
      </c>
      <c r="B4" s="6" t="s">
        <v>91</v>
      </c>
      <c r="C4" s="5">
        <v>3</v>
      </c>
      <c r="D4" s="16">
        <v>3665</v>
      </c>
      <c r="E4" s="16">
        <f t="shared" si="3"/>
        <v>4785</v>
      </c>
      <c r="F4" s="6">
        <f t="shared" si="4"/>
        <v>5502.4</v>
      </c>
      <c r="G4" s="15">
        <f t="shared" si="0"/>
        <v>4067.6</v>
      </c>
      <c r="H4" s="15">
        <f t="shared" si="5"/>
        <v>675</v>
      </c>
      <c r="I4" s="15">
        <f t="shared" si="1"/>
        <v>269.7</v>
      </c>
      <c r="J4" s="15">
        <f t="shared" si="2"/>
        <v>881.4</v>
      </c>
    </row>
    <row r="5" spans="1:10" ht="13.2" x14ac:dyDescent="0.25">
      <c r="A5" s="6" t="s">
        <v>136</v>
      </c>
      <c r="B5" s="6" t="s">
        <v>92</v>
      </c>
      <c r="C5" s="5">
        <v>4</v>
      </c>
      <c r="D5" s="16">
        <v>3775</v>
      </c>
      <c r="E5" s="16">
        <f t="shared" si="3"/>
        <v>4785</v>
      </c>
      <c r="F5" s="6">
        <f t="shared" si="4"/>
        <v>5502.4</v>
      </c>
      <c r="G5" s="15">
        <f t="shared" si="0"/>
        <v>4067.6</v>
      </c>
      <c r="H5" s="15">
        <f t="shared" si="5"/>
        <v>110</v>
      </c>
      <c r="I5" s="15">
        <f t="shared" si="1"/>
        <v>269.7</v>
      </c>
      <c r="J5" s="15">
        <f t="shared" si="2"/>
        <v>881.4</v>
      </c>
    </row>
    <row r="6" spans="1:10" ht="13.2" x14ac:dyDescent="0.25">
      <c r="A6" s="6" t="s">
        <v>136</v>
      </c>
      <c r="B6" s="6" t="s">
        <v>93</v>
      </c>
      <c r="C6" s="5">
        <v>5</v>
      </c>
      <c r="D6" s="16">
        <v>5000</v>
      </c>
      <c r="E6" s="16">
        <f t="shared" si="3"/>
        <v>4785</v>
      </c>
      <c r="F6" s="6">
        <f t="shared" si="4"/>
        <v>5502.4</v>
      </c>
      <c r="G6" s="15">
        <f t="shared" si="0"/>
        <v>4067.6</v>
      </c>
      <c r="H6" s="15">
        <f t="shared" si="5"/>
        <v>1225</v>
      </c>
      <c r="I6" s="15">
        <f t="shared" si="1"/>
        <v>269.7</v>
      </c>
      <c r="J6" s="15">
        <f t="shared" si="2"/>
        <v>881.4</v>
      </c>
    </row>
    <row r="7" spans="1:10" ht="13.2" x14ac:dyDescent="0.25">
      <c r="A7" s="6" t="s">
        <v>136</v>
      </c>
      <c r="B7" s="6" t="s">
        <v>94</v>
      </c>
      <c r="C7" s="5">
        <v>6</v>
      </c>
      <c r="D7" s="16">
        <v>4850</v>
      </c>
      <c r="E7" s="16">
        <f t="shared" si="3"/>
        <v>4785</v>
      </c>
      <c r="F7" s="6">
        <f t="shared" si="4"/>
        <v>5502.4</v>
      </c>
      <c r="G7" s="15">
        <f t="shared" si="0"/>
        <v>4067.6</v>
      </c>
      <c r="H7" s="15">
        <f t="shared" si="5"/>
        <v>150</v>
      </c>
      <c r="I7" s="15">
        <f t="shared" si="1"/>
        <v>269.7</v>
      </c>
      <c r="J7" s="15">
        <f t="shared" si="2"/>
        <v>881.4</v>
      </c>
    </row>
    <row r="8" spans="1:10" ht="13.2" x14ac:dyDescent="0.25">
      <c r="A8" s="6" t="s">
        <v>136</v>
      </c>
      <c r="B8" s="6" t="s">
        <v>95</v>
      </c>
      <c r="C8" s="5">
        <v>7</v>
      </c>
      <c r="D8" s="16">
        <v>4775</v>
      </c>
      <c r="E8" s="16">
        <f t="shared" si="3"/>
        <v>4785</v>
      </c>
      <c r="F8" s="6">
        <f t="shared" si="4"/>
        <v>5502.4</v>
      </c>
      <c r="G8" s="15">
        <f t="shared" si="0"/>
        <v>4067.6</v>
      </c>
      <c r="H8" s="15">
        <f t="shared" si="5"/>
        <v>75</v>
      </c>
      <c r="I8" s="15">
        <f t="shared" si="1"/>
        <v>269.7</v>
      </c>
      <c r="J8" s="15">
        <f t="shared" si="2"/>
        <v>881.4</v>
      </c>
    </row>
    <row r="9" spans="1:10" ht="13.2" x14ac:dyDescent="0.25">
      <c r="A9" s="6" t="s">
        <v>136</v>
      </c>
      <c r="B9" s="6" t="s">
        <v>96</v>
      </c>
      <c r="C9" s="5">
        <v>8</v>
      </c>
      <c r="D9" s="16">
        <v>4500</v>
      </c>
      <c r="E9" s="16">
        <f t="shared" si="3"/>
        <v>4785</v>
      </c>
      <c r="F9" s="6">
        <f t="shared" si="4"/>
        <v>5502.4</v>
      </c>
      <c r="G9" s="15">
        <f t="shared" si="0"/>
        <v>4067.6</v>
      </c>
      <c r="H9" s="15">
        <f t="shared" si="5"/>
        <v>275</v>
      </c>
      <c r="I9" s="15">
        <f t="shared" si="1"/>
        <v>269.7</v>
      </c>
      <c r="J9" s="15">
        <f t="shared" si="2"/>
        <v>881.4</v>
      </c>
    </row>
    <row r="10" spans="1:10" ht="13.2" x14ac:dyDescent="0.25">
      <c r="A10" s="6" t="s">
        <v>136</v>
      </c>
      <c r="B10" s="6" t="s">
        <v>97</v>
      </c>
      <c r="C10" s="5">
        <v>9</v>
      </c>
      <c r="D10" s="16">
        <v>4770</v>
      </c>
      <c r="E10" s="16">
        <f t="shared" si="3"/>
        <v>4785</v>
      </c>
      <c r="F10" s="6">
        <f t="shared" si="4"/>
        <v>5502.4</v>
      </c>
      <c r="G10" s="15">
        <f t="shared" si="0"/>
        <v>4067.6</v>
      </c>
      <c r="H10" s="15">
        <f t="shared" si="5"/>
        <v>270</v>
      </c>
      <c r="I10" s="15">
        <f t="shared" si="1"/>
        <v>269.7</v>
      </c>
      <c r="J10" s="15">
        <f t="shared" si="2"/>
        <v>881.4</v>
      </c>
    </row>
    <row r="11" spans="1:10" ht="13.2" x14ac:dyDescent="0.25">
      <c r="A11" s="6" t="s">
        <v>136</v>
      </c>
      <c r="B11" s="6" t="s">
        <v>98</v>
      </c>
      <c r="C11" s="5">
        <v>10</v>
      </c>
      <c r="D11" s="16">
        <v>4500</v>
      </c>
      <c r="E11" s="16">
        <f t="shared" si="3"/>
        <v>4785</v>
      </c>
      <c r="F11" s="6">
        <f t="shared" si="4"/>
        <v>5502.4</v>
      </c>
      <c r="G11" s="15">
        <f t="shared" si="0"/>
        <v>4067.6</v>
      </c>
      <c r="H11" s="15">
        <f t="shared" si="5"/>
        <v>270</v>
      </c>
      <c r="I11" s="15">
        <f t="shared" si="1"/>
        <v>269.7</v>
      </c>
      <c r="J11" s="15">
        <f t="shared" si="2"/>
        <v>881.4</v>
      </c>
    </row>
    <row r="12" spans="1:10" ht="13.2" x14ac:dyDescent="0.25">
      <c r="A12" s="6" t="s">
        <v>136</v>
      </c>
      <c r="B12" s="6" t="s">
        <v>99</v>
      </c>
      <c r="C12" s="5">
        <v>11</v>
      </c>
      <c r="D12" s="16">
        <v>4770</v>
      </c>
      <c r="E12" s="16">
        <f t="shared" si="3"/>
        <v>4785</v>
      </c>
      <c r="F12" s="6">
        <f t="shared" si="4"/>
        <v>5502.4</v>
      </c>
      <c r="G12" s="15">
        <f t="shared" si="0"/>
        <v>4067.6</v>
      </c>
      <c r="H12" s="15">
        <f t="shared" si="5"/>
        <v>270</v>
      </c>
      <c r="I12" s="15">
        <f t="shared" si="1"/>
        <v>269.7</v>
      </c>
      <c r="J12" s="15">
        <f t="shared" si="2"/>
        <v>881.4</v>
      </c>
    </row>
    <row r="13" spans="1:10" ht="13.2" x14ac:dyDescent="0.25">
      <c r="A13" s="6" t="s">
        <v>136</v>
      </c>
      <c r="B13" s="6" t="s">
        <v>100</v>
      </c>
      <c r="C13" s="5">
        <v>12</v>
      </c>
      <c r="D13" s="16">
        <v>5150</v>
      </c>
      <c r="E13" s="16">
        <f t="shared" si="3"/>
        <v>4785</v>
      </c>
      <c r="F13" s="6">
        <f t="shared" si="4"/>
        <v>5502.4</v>
      </c>
      <c r="G13" s="15">
        <f t="shared" si="0"/>
        <v>4067.6</v>
      </c>
      <c r="H13" s="15">
        <f t="shared" si="5"/>
        <v>380</v>
      </c>
      <c r="I13" s="15">
        <f t="shared" si="1"/>
        <v>269.7</v>
      </c>
      <c r="J13" s="15">
        <f t="shared" si="2"/>
        <v>881.4</v>
      </c>
    </row>
    <row r="14" spans="1:10" ht="13.2" x14ac:dyDescent="0.25">
      <c r="A14" s="6" t="s">
        <v>136</v>
      </c>
      <c r="B14" s="6" t="s">
        <v>101</v>
      </c>
      <c r="C14" s="5">
        <v>13</v>
      </c>
      <c r="D14" s="16">
        <v>4850</v>
      </c>
      <c r="E14" s="16">
        <f t="shared" si="3"/>
        <v>4785</v>
      </c>
      <c r="F14" s="6">
        <f t="shared" si="4"/>
        <v>5502.4</v>
      </c>
      <c r="G14" s="15">
        <f t="shared" si="0"/>
        <v>4067.6</v>
      </c>
      <c r="H14" s="15">
        <f t="shared" si="5"/>
        <v>300</v>
      </c>
      <c r="I14" s="15">
        <f t="shared" si="1"/>
        <v>269.7</v>
      </c>
      <c r="J14" s="15">
        <f t="shared" si="2"/>
        <v>881.4</v>
      </c>
    </row>
    <row r="15" spans="1:10" ht="13.2" x14ac:dyDescent="0.25">
      <c r="A15" s="6" t="s">
        <v>136</v>
      </c>
      <c r="B15" s="6" t="s">
        <v>102</v>
      </c>
      <c r="C15" s="5">
        <v>14</v>
      </c>
      <c r="D15" s="16">
        <v>4700</v>
      </c>
      <c r="E15" s="16">
        <f t="shared" si="3"/>
        <v>4785</v>
      </c>
      <c r="F15" s="6">
        <f t="shared" si="4"/>
        <v>5502.4</v>
      </c>
      <c r="G15" s="15">
        <f t="shared" si="0"/>
        <v>4067.6</v>
      </c>
      <c r="H15" s="15">
        <f t="shared" si="5"/>
        <v>150</v>
      </c>
      <c r="I15" s="15">
        <f t="shared" si="1"/>
        <v>269.7</v>
      </c>
      <c r="J15" s="15">
        <f t="shared" si="2"/>
        <v>881.4</v>
      </c>
    </row>
    <row r="16" spans="1:10" ht="13.2" x14ac:dyDescent="0.25">
      <c r="A16" s="6" t="s">
        <v>136</v>
      </c>
      <c r="B16" s="6" t="s">
        <v>103</v>
      </c>
      <c r="C16" s="5">
        <v>15</v>
      </c>
      <c r="D16" s="16">
        <v>5000</v>
      </c>
      <c r="E16" s="16">
        <f t="shared" si="3"/>
        <v>4785</v>
      </c>
      <c r="F16" s="6">
        <f t="shared" si="4"/>
        <v>5502.4</v>
      </c>
      <c r="G16" s="15">
        <f t="shared" si="0"/>
        <v>4067.6</v>
      </c>
      <c r="H16" s="15">
        <f t="shared" si="5"/>
        <v>300</v>
      </c>
      <c r="I16" s="15">
        <f t="shared" si="1"/>
        <v>269.7</v>
      </c>
      <c r="J16" s="15">
        <f t="shared" si="2"/>
        <v>881.4</v>
      </c>
    </row>
    <row r="17" spans="1:10" ht="13.2" x14ac:dyDescent="0.25">
      <c r="A17" s="6" t="s">
        <v>136</v>
      </c>
      <c r="B17" s="6" t="s">
        <v>104</v>
      </c>
      <c r="C17" s="5">
        <v>16</v>
      </c>
      <c r="D17" s="16">
        <v>5000</v>
      </c>
      <c r="E17" s="16">
        <f t="shared" si="3"/>
        <v>4785</v>
      </c>
      <c r="F17" s="6">
        <f t="shared" si="4"/>
        <v>5502.4</v>
      </c>
      <c r="G17" s="15">
        <f t="shared" si="0"/>
        <v>4067.6</v>
      </c>
      <c r="H17" s="15">
        <f t="shared" si="5"/>
        <v>0</v>
      </c>
      <c r="I17" s="15">
        <f t="shared" si="1"/>
        <v>269.7</v>
      </c>
      <c r="J17" s="15">
        <f t="shared" si="2"/>
        <v>881.4</v>
      </c>
    </row>
    <row r="18" spans="1:10" ht="13.2" x14ac:dyDescent="0.25">
      <c r="A18" s="6" t="s">
        <v>136</v>
      </c>
      <c r="B18" s="6" t="s">
        <v>105</v>
      </c>
      <c r="C18" s="5">
        <v>17</v>
      </c>
      <c r="D18" s="16">
        <v>5000</v>
      </c>
      <c r="E18" s="16">
        <f t="shared" si="3"/>
        <v>4785</v>
      </c>
      <c r="F18" s="6">
        <f t="shared" si="4"/>
        <v>5502.4</v>
      </c>
      <c r="G18" s="15">
        <f t="shared" si="0"/>
        <v>4067.6</v>
      </c>
      <c r="H18" s="15">
        <f t="shared" si="5"/>
        <v>0</v>
      </c>
      <c r="I18" s="15">
        <f t="shared" si="1"/>
        <v>269.7</v>
      </c>
      <c r="J18" s="15">
        <f t="shared" si="2"/>
        <v>881.4</v>
      </c>
    </row>
    <row r="19" spans="1:10" ht="13.2" x14ac:dyDescent="0.25">
      <c r="A19" s="6" t="s">
        <v>136</v>
      </c>
      <c r="B19" s="6" t="s">
        <v>106</v>
      </c>
      <c r="C19" s="5">
        <v>18</v>
      </c>
      <c r="D19" s="16">
        <v>4700</v>
      </c>
      <c r="E19" s="16">
        <f t="shared" si="3"/>
        <v>4785</v>
      </c>
      <c r="F19" s="6">
        <f t="shared" si="4"/>
        <v>5502.4</v>
      </c>
      <c r="G19" s="15">
        <f t="shared" si="0"/>
        <v>4067.6</v>
      </c>
      <c r="H19" s="15">
        <f t="shared" si="5"/>
        <v>300</v>
      </c>
      <c r="I19" s="15">
        <f t="shared" si="1"/>
        <v>269.7</v>
      </c>
      <c r="J19" s="15">
        <f t="shared" si="2"/>
        <v>881.4</v>
      </c>
    </row>
    <row r="20" spans="1:10" ht="13.2" x14ac:dyDescent="0.25">
      <c r="A20" s="6" t="s">
        <v>136</v>
      </c>
      <c r="B20" s="6" t="s">
        <v>107</v>
      </c>
      <c r="C20" s="5">
        <v>19</v>
      </c>
      <c r="D20" s="16">
        <v>4500</v>
      </c>
      <c r="E20" s="16">
        <f t="shared" si="3"/>
        <v>4785</v>
      </c>
      <c r="F20" s="6">
        <f t="shared" si="4"/>
        <v>5502.4</v>
      </c>
      <c r="G20" s="15">
        <f t="shared" si="0"/>
        <v>4067.6</v>
      </c>
      <c r="H20" s="15">
        <f t="shared" si="5"/>
        <v>200</v>
      </c>
      <c r="I20" s="15">
        <f t="shared" si="1"/>
        <v>269.7</v>
      </c>
      <c r="J20" s="15">
        <f t="shared" si="2"/>
        <v>881.4</v>
      </c>
    </row>
    <row r="21" spans="1:10" ht="13.2" x14ac:dyDescent="0.25">
      <c r="A21" s="6" t="s">
        <v>136</v>
      </c>
      <c r="B21" s="6" t="s">
        <v>108</v>
      </c>
      <c r="C21" s="5">
        <v>20</v>
      </c>
      <c r="D21" s="16">
        <v>4840</v>
      </c>
      <c r="E21" s="16">
        <f t="shared" si="3"/>
        <v>4785</v>
      </c>
      <c r="F21" s="6">
        <f t="shared" si="4"/>
        <v>5502.4</v>
      </c>
      <c r="G21" s="15">
        <f t="shared" si="0"/>
        <v>4067.6</v>
      </c>
      <c r="H21" s="15">
        <f t="shared" si="5"/>
        <v>340</v>
      </c>
      <c r="I21" s="15">
        <f t="shared" si="1"/>
        <v>269.7</v>
      </c>
      <c r="J21" s="15">
        <f t="shared" si="2"/>
        <v>881.4</v>
      </c>
    </row>
    <row r="22" spans="1:10" ht="13.2" x14ac:dyDescent="0.25">
      <c r="A22" s="6" t="s">
        <v>136</v>
      </c>
      <c r="B22" s="6" t="s">
        <v>109</v>
      </c>
      <c r="C22" s="5">
        <v>21</v>
      </c>
      <c r="D22" s="16">
        <v>5075</v>
      </c>
      <c r="E22" s="16">
        <f t="shared" si="3"/>
        <v>4785</v>
      </c>
      <c r="F22" s="6">
        <f t="shared" si="4"/>
        <v>5502.4</v>
      </c>
      <c r="G22" s="15">
        <f t="shared" si="0"/>
        <v>4067.6</v>
      </c>
      <c r="H22" s="15">
        <f t="shared" si="5"/>
        <v>235</v>
      </c>
      <c r="I22" s="15">
        <f t="shared" si="1"/>
        <v>269.7</v>
      </c>
      <c r="J22" s="15">
        <f t="shared" si="2"/>
        <v>881.4</v>
      </c>
    </row>
    <row r="23" spans="1:10" ht="13.2" x14ac:dyDescent="0.25">
      <c r="A23" s="6" t="s">
        <v>136</v>
      </c>
      <c r="B23" s="6" t="s">
        <v>110</v>
      </c>
      <c r="C23" s="5">
        <v>22</v>
      </c>
      <c r="D23" s="16">
        <v>5000</v>
      </c>
      <c r="E23" s="16">
        <f t="shared" si="3"/>
        <v>4785</v>
      </c>
      <c r="F23" s="6">
        <f t="shared" si="4"/>
        <v>5502.4</v>
      </c>
      <c r="G23" s="15">
        <f t="shared" si="0"/>
        <v>4067.6</v>
      </c>
      <c r="H23" s="15">
        <f t="shared" si="5"/>
        <v>75</v>
      </c>
      <c r="I23" s="15">
        <f t="shared" si="1"/>
        <v>269.7</v>
      </c>
      <c r="J23" s="15">
        <f t="shared" si="2"/>
        <v>881.4</v>
      </c>
    </row>
    <row r="24" spans="1:10" ht="13.2" x14ac:dyDescent="0.25">
      <c r="A24" s="6" t="s">
        <v>136</v>
      </c>
      <c r="B24" s="6" t="s">
        <v>111</v>
      </c>
      <c r="C24" s="5">
        <v>23</v>
      </c>
      <c r="D24" s="16">
        <v>4770</v>
      </c>
      <c r="E24" s="16">
        <f t="shared" si="3"/>
        <v>4785</v>
      </c>
      <c r="F24" s="6">
        <f t="shared" si="4"/>
        <v>5502.4</v>
      </c>
      <c r="G24" s="15">
        <f t="shared" si="0"/>
        <v>4067.6</v>
      </c>
      <c r="H24" s="15">
        <f t="shared" si="5"/>
        <v>230</v>
      </c>
      <c r="I24" s="15">
        <f t="shared" si="1"/>
        <v>269.7</v>
      </c>
      <c r="J24" s="15">
        <f t="shared" si="2"/>
        <v>881.4</v>
      </c>
    </row>
    <row r="25" spans="1:10" ht="13.2" x14ac:dyDescent="0.25">
      <c r="A25" s="6" t="s">
        <v>136</v>
      </c>
      <c r="B25" s="6" t="s">
        <v>112</v>
      </c>
      <c r="C25" s="5">
        <v>24</v>
      </c>
      <c r="D25" s="16">
        <v>4570</v>
      </c>
      <c r="E25" s="16">
        <f t="shared" si="3"/>
        <v>4785</v>
      </c>
      <c r="F25" s="6">
        <f t="shared" si="4"/>
        <v>5502.4</v>
      </c>
      <c r="G25" s="15">
        <f t="shared" si="0"/>
        <v>4067.6</v>
      </c>
      <c r="H25" s="15">
        <f t="shared" si="5"/>
        <v>200</v>
      </c>
      <c r="I25" s="15">
        <f t="shared" si="1"/>
        <v>269.7</v>
      </c>
      <c r="J25" s="15">
        <f t="shared" si="2"/>
        <v>881.4</v>
      </c>
    </row>
    <row r="26" spans="1:10" ht="13.2" x14ac:dyDescent="0.25">
      <c r="A26" s="6" t="s">
        <v>136</v>
      </c>
      <c r="B26" s="6" t="s">
        <v>113</v>
      </c>
      <c r="C26" s="5">
        <v>25</v>
      </c>
      <c r="D26" s="16">
        <v>4925</v>
      </c>
      <c r="E26" s="16">
        <f t="shared" si="3"/>
        <v>4785</v>
      </c>
      <c r="F26" s="6">
        <f t="shared" si="4"/>
        <v>5502.4</v>
      </c>
      <c r="G26" s="15">
        <f t="shared" si="0"/>
        <v>4067.6</v>
      </c>
      <c r="H26" s="15">
        <f t="shared" si="5"/>
        <v>355</v>
      </c>
      <c r="I26" s="15">
        <f t="shared" si="1"/>
        <v>269.7</v>
      </c>
      <c r="J26" s="15">
        <f t="shared" si="2"/>
        <v>881.4</v>
      </c>
    </row>
    <row r="27" spans="1:10" ht="13.2" x14ac:dyDescent="0.25">
      <c r="A27" s="6" t="s">
        <v>136</v>
      </c>
      <c r="B27" s="6" t="s">
        <v>114</v>
      </c>
      <c r="C27" s="5">
        <v>26</v>
      </c>
      <c r="D27" s="16">
        <v>4775</v>
      </c>
      <c r="E27" s="16">
        <f t="shared" si="3"/>
        <v>4785</v>
      </c>
      <c r="F27" s="6">
        <f t="shared" si="4"/>
        <v>5502.4</v>
      </c>
      <c r="G27" s="15">
        <f t="shared" si="0"/>
        <v>4067.6</v>
      </c>
      <c r="H27" s="15">
        <f t="shared" si="5"/>
        <v>150</v>
      </c>
      <c r="I27" s="15">
        <f t="shared" si="1"/>
        <v>269.7</v>
      </c>
      <c r="J27" s="15">
        <f t="shared" si="2"/>
        <v>881.4</v>
      </c>
    </row>
    <row r="28" spans="1:10" ht="13.2" x14ac:dyDescent="0.25">
      <c r="A28" s="6" t="s">
        <v>136</v>
      </c>
      <c r="B28" s="6" t="s">
        <v>115</v>
      </c>
      <c r="C28" s="5">
        <v>27</v>
      </c>
      <c r="D28" s="16">
        <v>5075</v>
      </c>
      <c r="E28" s="16">
        <f t="shared" si="3"/>
        <v>4785</v>
      </c>
      <c r="F28" s="6">
        <f t="shared" si="4"/>
        <v>5502.4</v>
      </c>
      <c r="G28" s="15">
        <f t="shared" si="0"/>
        <v>4067.6</v>
      </c>
      <c r="H28" s="15">
        <f t="shared" si="5"/>
        <v>300</v>
      </c>
      <c r="I28" s="15">
        <f t="shared" si="1"/>
        <v>269.7</v>
      </c>
      <c r="J28" s="15">
        <f t="shared" si="2"/>
        <v>881.4</v>
      </c>
    </row>
    <row r="29" spans="1:10" ht="13.2" x14ac:dyDescent="0.25">
      <c r="A29" s="6" t="s">
        <v>136</v>
      </c>
      <c r="B29" s="6" t="s">
        <v>116</v>
      </c>
      <c r="C29" s="5">
        <v>28</v>
      </c>
      <c r="D29" s="16">
        <v>4925</v>
      </c>
      <c r="E29" s="16">
        <f t="shared" si="3"/>
        <v>4785</v>
      </c>
      <c r="F29" s="6">
        <f t="shared" si="4"/>
        <v>5502.4</v>
      </c>
      <c r="G29" s="15">
        <f t="shared" si="0"/>
        <v>4067.6</v>
      </c>
      <c r="H29" s="15">
        <f t="shared" si="5"/>
        <v>150</v>
      </c>
      <c r="I29" s="15">
        <f t="shared" si="1"/>
        <v>269.7</v>
      </c>
      <c r="J29" s="15">
        <f t="shared" si="2"/>
        <v>881.4</v>
      </c>
    </row>
    <row r="30" spans="1:10" ht="13.2" x14ac:dyDescent="0.25">
      <c r="A30" s="6" t="s">
        <v>136</v>
      </c>
      <c r="B30" s="6" t="s">
        <v>117</v>
      </c>
      <c r="C30" s="5">
        <v>29</v>
      </c>
      <c r="D30" s="16">
        <v>5075</v>
      </c>
      <c r="E30" s="16">
        <f t="shared" si="3"/>
        <v>4785</v>
      </c>
      <c r="F30" s="6">
        <f t="shared" si="4"/>
        <v>5502.4</v>
      </c>
      <c r="G30" s="15">
        <f t="shared" si="0"/>
        <v>4067.6</v>
      </c>
      <c r="H30" s="15">
        <f t="shared" si="5"/>
        <v>150</v>
      </c>
      <c r="I30" s="15">
        <f t="shared" si="1"/>
        <v>269.7</v>
      </c>
      <c r="J30" s="15">
        <f t="shared" si="2"/>
        <v>881.4</v>
      </c>
    </row>
    <row r="31" spans="1:10" ht="13.2" x14ac:dyDescent="0.25">
      <c r="A31" s="6" t="s">
        <v>136</v>
      </c>
      <c r="B31" s="6" t="s">
        <v>118</v>
      </c>
      <c r="C31" s="5">
        <v>30</v>
      </c>
      <c r="D31" s="16">
        <v>4925</v>
      </c>
      <c r="E31" s="16">
        <f t="shared" si="3"/>
        <v>4785</v>
      </c>
      <c r="F31" s="6">
        <f t="shared" si="4"/>
        <v>5502.4</v>
      </c>
      <c r="G31" s="15">
        <f t="shared" si="0"/>
        <v>4067.6</v>
      </c>
      <c r="H31" s="15">
        <f t="shared" si="5"/>
        <v>150</v>
      </c>
      <c r="I31" s="15">
        <f t="shared" si="1"/>
        <v>269.7</v>
      </c>
      <c r="J31" s="15">
        <f t="shared" si="2"/>
        <v>881.4</v>
      </c>
    </row>
    <row r="32" spans="1:10" ht="13.2" x14ac:dyDescent="0.25">
      <c r="A32" s="6" t="s">
        <v>136</v>
      </c>
      <c r="B32" s="6" t="s">
        <v>119</v>
      </c>
      <c r="C32" s="5">
        <v>31</v>
      </c>
      <c r="D32" s="16">
        <v>5250</v>
      </c>
      <c r="E32" s="16">
        <f t="shared" si="3"/>
        <v>4785</v>
      </c>
      <c r="F32" s="6">
        <f t="shared" si="4"/>
        <v>5502.4</v>
      </c>
      <c r="G32" s="15">
        <f t="shared" si="0"/>
        <v>4067.6</v>
      </c>
      <c r="H32" s="15">
        <f t="shared" si="5"/>
        <v>325</v>
      </c>
      <c r="I32" s="15">
        <f t="shared" si="1"/>
        <v>269.7</v>
      </c>
      <c r="J32" s="15">
        <f t="shared" si="2"/>
        <v>881.4</v>
      </c>
    </row>
    <row r="33" spans="1:10" ht="13.2" x14ac:dyDescent="0.25">
      <c r="A33" s="6" t="s">
        <v>136</v>
      </c>
      <c r="B33" s="6" t="s">
        <v>120</v>
      </c>
      <c r="C33" s="5">
        <v>32</v>
      </c>
      <c r="D33" s="16">
        <v>4915</v>
      </c>
      <c r="E33" s="16">
        <f t="shared" si="3"/>
        <v>4785</v>
      </c>
      <c r="F33" s="6">
        <f t="shared" si="4"/>
        <v>5502.4</v>
      </c>
      <c r="G33" s="15">
        <f t="shared" si="0"/>
        <v>4067.6</v>
      </c>
      <c r="H33" s="15">
        <f t="shared" si="5"/>
        <v>335</v>
      </c>
      <c r="I33" s="15">
        <f t="shared" si="1"/>
        <v>269.7</v>
      </c>
      <c r="J33" s="15">
        <f t="shared" si="2"/>
        <v>881.4</v>
      </c>
    </row>
    <row r="34" spans="1:10" ht="13.2" x14ac:dyDescent="0.25">
      <c r="A34" s="6" t="s">
        <v>136</v>
      </c>
      <c r="B34" s="6" t="s">
        <v>121</v>
      </c>
      <c r="C34" s="5">
        <v>33</v>
      </c>
      <c r="D34" s="16">
        <v>5600</v>
      </c>
      <c r="E34" s="16">
        <f t="shared" si="3"/>
        <v>4785</v>
      </c>
      <c r="F34" s="6">
        <f t="shared" si="4"/>
        <v>5502.4</v>
      </c>
      <c r="G34" s="15">
        <f t="shared" si="0"/>
        <v>4067.6</v>
      </c>
      <c r="H34" s="15">
        <f t="shared" si="5"/>
        <v>685</v>
      </c>
      <c r="I34" s="15">
        <f t="shared" si="1"/>
        <v>269.7</v>
      </c>
      <c r="J34" s="15">
        <f t="shared" si="2"/>
        <v>881.4</v>
      </c>
    </row>
    <row r="35" spans="1:10" ht="15.75" customHeight="1" x14ac:dyDescent="0.25">
      <c r="A35" s="2"/>
      <c r="B35" s="2"/>
      <c r="C35" s="5"/>
      <c r="D35" s="2"/>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Q270"/>
  <sheetViews>
    <sheetView showGridLines="0" workbookViewId="0">
      <selection activeCell="R6" sqref="R6"/>
    </sheetView>
  </sheetViews>
  <sheetFormatPr defaultColWidth="12.6640625" defaultRowHeight="15.75" customHeight="1" x14ac:dyDescent="0.25"/>
  <cols>
    <col min="1" max="1" width="8.6640625" bestFit="1" customWidth="1"/>
    <col min="2" max="2" width="13" bestFit="1" customWidth="1"/>
    <col min="3" max="3" width="13.6640625" bestFit="1" customWidth="1"/>
    <col min="4" max="4" width="8.109375" customWidth="1"/>
    <col min="5" max="5" width="9.33203125" bestFit="1" customWidth="1"/>
    <col min="6" max="6" width="10.6640625" bestFit="1" customWidth="1"/>
    <col min="7" max="7" width="8.21875" bestFit="1" customWidth="1"/>
    <col min="8" max="8" width="7.21875" bestFit="1" customWidth="1"/>
    <col min="9" max="9" width="5.88671875" bestFit="1" customWidth="1"/>
    <col min="10" max="10" width="21.5546875" bestFit="1" customWidth="1"/>
    <col min="11" max="11" width="10" bestFit="1" customWidth="1"/>
    <col min="12" max="13" width="8.88671875" bestFit="1" customWidth="1"/>
    <col min="14" max="14" width="8.33203125" bestFit="1" customWidth="1"/>
    <col min="15" max="15" width="12.77734375" bestFit="1" customWidth="1"/>
    <col min="16" max="16" width="5.5546875" bestFit="1" customWidth="1"/>
    <col min="17" max="17" width="10" bestFit="1" customWidth="1"/>
  </cols>
  <sheetData>
    <row r="1" spans="1:17" ht="13.2" x14ac:dyDescent="0.25">
      <c r="A1" s="7" t="s">
        <v>2</v>
      </c>
      <c r="B1" s="7" t="s">
        <v>151</v>
      </c>
      <c r="C1" s="13" t="s">
        <v>152</v>
      </c>
      <c r="D1" s="5"/>
      <c r="E1" s="4" t="s">
        <v>153</v>
      </c>
      <c r="F1" s="7" t="s">
        <v>140</v>
      </c>
      <c r="G1" s="7" t="s">
        <v>154</v>
      </c>
      <c r="H1" s="7" t="s">
        <v>141</v>
      </c>
      <c r="I1" s="7" t="s">
        <v>142</v>
      </c>
      <c r="J1" s="7" t="s">
        <v>155</v>
      </c>
      <c r="K1" s="6"/>
      <c r="L1" s="53" t="s">
        <v>21</v>
      </c>
      <c r="M1" s="7" t="s">
        <v>122</v>
      </c>
      <c r="N1" s="7" t="s">
        <v>22</v>
      </c>
      <c r="O1" s="4" t="s">
        <v>23</v>
      </c>
      <c r="P1" s="5"/>
      <c r="Q1" s="6"/>
    </row>
    <row r="2" spans="1:17" ht="13.2" x14ac:dyDescent="0.25">
      <c r="A2" s="47" t="s">
        <v>9</v>
      </c>
      <c r="B2">
        <v>10.7</v>
      </c>
      <c r="C2">
        <v>6.9</v>
      </c>
      <c r="D2" s="5"/>
      <c r="E2">
        <v>1</v>
      </c>
      <c r="F2" s="47" t="s">
        <v>143</v>
      </c>
      <c r="G2" s="47" t="s">
        <v>156</v>
      </c>
      <c r="H2">
        <v>1986</v>
      </c>
      <c r="I2">
        <v>16</v>
      </c>
      <c r="J2" s="48" t="s">
        <v>157</v>
      </c>
      <c r="K2" s="6"/>
      <c r="L2" s="49" t="s">
        <v>136</v>
      </c>
      <c r="M2" s="52" t="s">
        <v>163</v>
      </c>
      <c r="N2">
        <v>1</v>
      </c>
      <c r="O2">
        <v>5045</v>
      </c>
      <c r="P2" s="5"/>
      <c r="Q2" s="6"/>
    </row>
    <row r="3" spans="1:17" ht="13.2" x14ac:dyDescent="0.25">
      <c r="A3" s="47" t="s">
        <v>10</v>
      </c>
      <c r="B3">
        <v>13</v>
      </c>
      <c r="C3">
        <v>11.3</v>
      </c>
      <c r="D3" s="5"/>
      <c r="E3">
        <v>2</v>
      </c>
      <c r="F3" s="47" t="s">
        <v>143</v>
      </c>
      <c r="G3" s="47" t="s">
        <v>156</v>
      </c>
      <c r="H3">
        <v>1987</v>
      </c>
      <c r="I3">
        <v>25</v>
      </c>
      <c r="J3" s="48" t="s">
        <v>158</v>
      </c>
      <c r="K3" s="6"/>
      <c r="L3" s="50" t="s">
        <v>136</v>
      </c>
      <c r="M3" s="52" t="s">
        <v>163</v>
      </c>
      <c r="N3">
        <v>2</v>
      </c>
      <c r="O3">
        <v>4350</v>
      </c>
      <c r="P3" s="5"/>
      <c r="Q3" s="6"/>
    </row>
    <row r="4" spans="1:17" ht="13.2" x14ac:dyDescent="0.25">
      <c r="A4" s="47" t="s">
        <v>11</v>
      </c>
      <c r="B4">
        <v>11.4</v>
      </c>
      <c r="C4">
        <v>9.3000000000000007</v>
      </c>
      <c r="D4" s="5"/>
      <c r="E4">
        <v>3</v>
      </c>
      <c r="F4" s="47" t="s">
        <v>143</v>
      </c>
      <c r="G4" s="47" t="s">
        <v>156</v>
      </c>
      <c r="H4">
        <v>1988</v>
      </c>
      <c r="I4">
        <v>24</v>
      </c>
      <c r="J4" s="48" t="s">
        <v>158</v>
      </c>
      <c r="K4" s="6"/>
      <c r="L4" s="51" t="s">
        <v>136</v>
      </c>
      <c r="M4" s="52" t="s">
        <v>163</v>
      </c>
      <c r="N4">
        <v>3</v>
      </c>
      <c r="O4">
        <v>4350</v>
      </c>
      <c r="P4" s="5"/>
      <c r="Q4" s="6"/>
    </row>
    <row r="5" spans="1:17" ht="13.2" x14ac:dyDescent="0.25">
      <c r="A5" s="47" t="s">
        <v>12</v>
      </c>
      <c r="B5">
        <v>11.5</v>
      </c>
      <c r="C5">
        <v>9.8000000000000007</v>
      </c>
      <c r="D5" s="5"/>
      <c r="E5">
        <v>4</v>
      </c>
      <c r="F5" s="47" t="s">
        <v>143</v>
      </c>
      <c r="G5" s="47" t="s">
        <v>156</v>
      </c>
      <c r="H5">
        <v>1989</v>
      </c>
      <c r="I5">
        <v>19</v>
      </c>
      <c r="J5" s="48" t="s">
        <v>158</v>
      </c>
      <c r="K5" s="6"/>
      <c r="L5" s="51" t="s">
        <v>136</v>
      </c>
      <c r="M5" s="52" t="s">
        <v>163</v>
      </c>
      <c r="N5">
        <v>4</v>
      </c>
      <c r="O5">
        <v>3975</v>
      </c>
      <c r="P5" s="5"/>
      <c r="Q5" s="6"/>
    </row>
    <row r="6" spans="1:17" ht="13.2" x14ac:dyDescent="0.25">
      <c r="A6" s="47" t="s">
        <v>13</v>
      </c>
      <c r="B6">
        <v>12.5</v>
      </c>
      <c r="C6">
        <v>18.7</v>
      </c>
      <c r="D6" s="5"/>
      <c r="E6">
        <v>5</v>
      </c>
      <c r="F6" s="47" t="s">
        <v>143</v>
      </c>
      <c r="G6" s="47" t="s">
        <v>156</v>
      </c>
      <c r="H6">
        <v>1990</v>
      </c>
      <c r="I6">
        <v>33</v>
      </c>
      <c r="J6" s="48" t="s">
        <v>158</v>
      </c>
      <c r="K6" s="6"/>
      <c r="L6" s="51" t="s">
        <v>136</v>
      </c>
      <c r="M6" s="52" t="s">
        <v>163</v>
      </c>
      <c r="N6">
        <v>5</v>
      </c>
      <c r="O6">
        <v>4290</v>
      </c>
      <c r="P6" s="5"/>
      <c r="Q6" s="6"/>
    </row>
    <row r="7" spans="1:17" ht="13.2" x14ac:dyDescent="0.25">
      <c r="A7" s="47" t="s">
        <v>14</v>
      </c>
      <c r="B7">
        <v>14.1</v>
      </c>
      <c r="C7">
        <v>12.6</v>
      </c>
      <c r="D7" s="5"/>
      <c r="E7">
        <v>6</v>
      </c>
      <c r="F7" s="47" t="s">
        <v>143</v>
      </c>
      <c r="G7" s="47" t="s">
        <v>156</v>
      </c>
      <c r="H7">
        <v>1991</v>
      </c>
      <c r="I7">
        <v>25</v>
      </c>
      <c r="J7" s="48" t="s">
        <v>158</v>
      </c>
      <c r="K7" s="6"/>
      <c r="L7" s="51" t="s">
        <v>136</v>
      </c>
      <c r="M7" s="52" t="s">
        <v>163</v>
      </c>
      <c r="N7">
        <v>6</v>
      </c>
      <c r="O7">
        <v>4430</v>
      </c>
      <c r="P7" s="5"/>
      <c r="Q7" s="6"/>
    </row>
    <row r="8" spans="1:17" ht="13.2" x14ac:dyDescent="0.25">
      <c r="A8" s="47" t="s">
        <v>15</v>
      </c>
      <c r="B8">
        <v>14.8</v>
      </c>
      <c r="C8">
        <v>11.6</v>
      </c>
      <c r="D8" s="5"/>
      <c r="E8">
        <v>7</v>
      </c>
      <c r="F8" s="47" t="s">
        <v>143</v>
      </c>
      <c r="G8" s="47" t="s">
        <v>156</v>
      </c>
      <c r="H8">
        <v>1992</v>
      </c>
      <c r="I8">
        <v>34</v>
      </c>
      <c r="J8" s="48" t="s">
        <v>158</v>
      </c>
      <c r="K8" s="6"/>
      <c r="L8" s="51" t="s">
        <v>136</v>
      </c>
      <c r="M8" s="52" t="s">
        <v>163</v>
      </c>
      <c r="N8">
        <v>7</v>
      </c>
      <c r="O8">
        <v>4485</v>
      </c>
      <c r="P8" s="5"/>
      <c r="Q8" s="6"/>
    </row>
    <row r="9" spans="1:17" ht="13.2" x14ac:dyDescent="0.25">
      <c r="A9" s="47" t="s">
        <v>16</v>
      </c>
      <c r="B9">
        <v>14.1</v>
      </c>
      <c r="C9">
        <v>9.1</v>
      </c>
      <c r="D9" s="5"/>
      <c r="E9">
        <v>8</v>
      </c>
      <c r="F9" s="47" t="s">
        <v>143</v>
      </c>
      <c r="G9" s="47" t="s">
        <v>159</v>
      </c>
      <c r="H9">
        <v>1993</v>
      </c>
      <c r="I9">
        <v>46</v>
      </c>
      <c r="J9" s="48" t="s">
        <v>158</v>
      </c>
      <c r="K9" s="6"/>
      <c r="L9" s="51" t="s">
        <v>136</v>
      </c>
      <c r="M9" s="52" t="s">
        <v>163</v>
      </c>
      <c r="N9">
        <v>8</v>
      </c>
      <c r="O9">
        <v>4285</v>
      </c>
      <c r="P9" s="5"/>
      <c r="Q9" s="6"/>
    </row>
    <row r="10" spans="1:17" ht="13.2" x14ac:dyDescent="0.25">
      <c r="A10" s="47" t="s">
        <v>17</v>
      </c>
      <c r="B10">
        <v>12.6</v>
      </c>
      <c r="C10">
        <v>10.8</v>
      </c>
      <c r="D10" s="5"/>
      <c r="E10">
        <v>9</v>
      </c>
      <c r="F10" s="47" t="s">
        <v>143</v>
      </c>
      <c r="G10" s="47" t="s">
        <v>159</v>
      </c>
      <c r="H10">
        <v>1994</v>
      </c>
      <c r="I10">
        <v>37</v>
      </c>
      <c r="J10" s="48" t="s">
        <v>158</v>
      </c>
      <c r="K10" s="6"/>
      <c r="L10" s="51" t="s">
        <v>136</v>
      </c>
      <c r="M10" s="52" t="s">
        <v>163</v>
      </c>
      <c r="N10">
        <v>9</v>
      </c>
      <c r="O10">
        <v>3980</v>
      </c>
      <c r="P10" s="5"/>
      <c r="Q10" s="6"/>
    </row>
    <row r="11" spans="1:17" ht="13.2" x14ac:dyDescent="0.25">
      <c r="A11" s="47" t="s">
        <v>18</v>
      </c>
      <c r="B11">
        <v>16</v>
      </c>
      <c r="C11">
        <v>9.6</v>
      </c>
      <c r="D11" s="5"/>
      <c r="E11">
        <v>10</v>
      </c>
      <c r="F11" s="47" t="s">
        <v>143</v>
      </c>
      <c r="G11" s="47" t="s">
        <v>159</v>
      </c>
      <c r="H11">
        <v>1995</v>
      </c>
      <c r="I11">
        <v>33</v>
      </c>
      <c r="J11" s="48" t="s">
        <v>158</v>
      </c>
      <c r="K11" s="6"/>
      <c r="L11" s="51" t="s">
        <v>136</v>
      </c>
      <c r="M11" s="52" t="s">
        <v>163</v>
      </c>
      <c r="N11">
        <v>10</v>
      </c>
      <c r="O11">
        <v>3925</v>
      </c>
      <c r="P11" s="5"/>
      <c r="Q11" s="6"/>
    </row>
    <row r="12" spans="1:17" ht="13.2" x14ac:dyDescent="0.25">
      <c r="A12" s="47" t="s">
        <v>19</v>
      </c>
      <c r="B12">
        <v>11.7</v>
      </c>
      <c r="C12">
        <v>11.7</v>
      </c>
      <c r="D12" s="5"/>
      <c r="E12">
        <v>11</v>
      </c>
      <c r="F12" s="47" t="s">
        <v>143</v>
      </c>
      <c r="G12" s="47" t="s">
        <v>159</v>
      </c>
      <c r="H12">
        <v>1996</v>
      </c>
      <c r="I12">
        <v>42</v>
      </c>
      <c r="J12" s="48" t="s">
        <v>158</v>
      </c>
      <c r="K12" s="6"/>
      <c r="L12" s="51" t="s">
        <v>136</v>
      </c>
      <c r="M12" s="52" t="s">
        <v>163</v>
      </c>
      <c r="N12">
        <v>11</v>
      </c>
      <c r="O12">
        <v>3645</v>
      </c>
      <c r="P12" s="5"/>
      <c r="Q12" s="6"/>
    </row>
    <row r="13" spans="1:17" ht="13.2" x14ac:dyDescent="0.25">
      <c r="A13" s="47" t="s">
        <v>20</v>
      </c>
      <c r="B13">
        <v>10.6</v>
      </c>
      <c r="C13">
        <v>10.1</v>
      </c>
      <c r="D13" s="5"/>
      <c r="E13">
        <v>12</v>
      </c>
      <c r="F13" s="47" t="s">
        <v>143</v>
      </c>
      <c r="G13" s="47" t="s">
        <v>159</v>
      </c>
      <c r="H13">
        <v>1997</v>
      </c>
      <c r="I13">
        <v>40</v>
      </c>
      <c r="J13" s="48" t="s">
        <v>158</v>
      </c>
      <c r="K13" s="6"/>
      <c r="L13" s="51" t="s">
        <v>136</v>
      </c>
      <c r="M13" s="52" t="s">
        <v>163</v>
      </c>
      <c r="N13">
        <v>12</v>
      </c>
      <c r="O13">
        <v>3760</v>
      </c>
      <c r="P13" s="5"/>
      <c r="Q13" s="6"/>
    </row>
    <row r="14" spans="1:17" ht="13.2" x14ac:dyDescent="0.25">
      <c r="A14" s="3"/>
      <c r="B14" s="3"/>
      <c r="C14" s="2"/>
      <c r="D14" s="5"/>
      <c r="E14">
        <v>13</v>
      </c>
      <c r="F14" s="47" t="s">
        <v>143</v>
      </c>
      <c r="G14" s="47" t="s">
        <v>159</v>
      </c>
      <c r="H14">
        <v>1998</v>
      </c>
      <c r="I14">
        <v>37</v>
      </c>
      <c r="J14" s="48" t="s">
        <v>158</v>
      </c>
      <c r="K14" s="6"/>
      <c r="L14" s="51" t="s">
        <v>136</v>
      </c>
      <c r="M14" s="52" t="s">
        <v>163</v>
      </c>
      <c r="N14">
        <v>13</v>
      </c>
      <c r="O14">
        <v>3300</v>
      </c>
      <c r="P14" s="5"/>
      <c r="Q14" s="6"/>
    </row>
    <row r="15" spans="1:17" ht="13.2" x14ac:dyDescent="0.25">
      <c r="A15" s="3"/>
      <c r="B15" s="3"/>
      <c r="C15" s="2"/>
      <c r="D15" s="5"/>
      <c r="E15">
        <v>14</v>
      </c>
      <c r="F15" s="47" t="s">
        <v>143</v>
      </c>
      <c r="G15" s="47" t="s">
        <v>159</v>
      </c>
      <c r="H15">
        <v>1999</v>
      </c>
      <c r="I15">
        <v>34</v>
      </c>
      <c r="J15" s="48" t="s">
        <v>158</v>
      </c>
      <c r="K15" s="6"/>
      <c r="L15" s="51" t="s">
        <v>136</v>
      </c>
      <c r="M15" s="52" t="s">
        <v>163</v>
      </c>
      <c r="N15">
        <v>14</v>
      </c>
      <c r="O15">
        <v>3685</v>
      </c>
      <c r="P15" s="5"/>
      <c r="Q15" s="6"/>
    </row>
    <row r="16" spans="1:17" ht="13.2" x14ac:dyDescent="0.25">
      <c r="A16" s="3"/>
      <c r="B16" s="3"/>
      <c r="C16" s="2"/>
      <c r="D16" s="5"/>
      <c r="E16">
        <v>15</v>
      </c>
      <c r="F16" s="47" t="s">
        <v>143</v>
      </c>
      <c r="G16" s="47" t="s">
        <v>159</v>
      </c>
      <c r="H16">
        <v>2000</v>
      </c>
      <c r="I16">
        <v>49</v>
      </c>
      <c r="J16" s="48" t="s">
        <v>158</v>
      </c>
      <c r="K16" s="6"/>
      <c r="L16" s="51" t="s">
        <v>136</v>
      </c>
      <c r="M16" s="52" t="s">
        <v>163</v>
      </c>
      <c r="N16">
        <v>15</v>
      </c>
      <c r="O16">
        <v>3463</v>
      </c>
      <c r="P16" s="5"/>
      <c r="Q16" s="6"/>
    </row>
    <row r="17" spans="1:17" ht="13.2" x14ac:dyDescent="0.25">
      <c r="A17" s="3"/>
      <c r="B17" s="3"/>
      <c r="C17" s="2"/>
      <c r="D17" s="5"/>
      <c r="E17">
        <v>16</v>
      </c>
      <c r="F17" s="47" t="s">
        <v>143</v>
      </c>
      <c r="G17" s="47" t="s">
        <v>159</v>
      </c>
      <c r="H17">
        <v>2001</v>
      </c>
      <c r="I17">
        <v>73</v>
      </c>
      <c r="J17" s="48" t="s">
        <v>158</v>
      </c>
      <c r="K17" s="6"/>
      <c r="L17" s="51" t="s">
        <v>136</v>
      </c>
      <c r="M17" s="52" t="s">
        <v>163</v>
      </c>
      <c r="N17">
        <v>16</v>
      </c>
      <c r="O17">
        <v>5200</v>
      </c>
      <c r="P17" s="5"/>
      <c r="Q17" s="6"/>
    </row>
    <row r="18" spans="1:17" ht="13.2" x14ac:dyDescent="0.25">
      <c r="A18" s="3"/>
      <c r="B18" s="3"/>
      <c r="C18" s="2"/>
      <c r="D18" s="5"/>
      <c r="E18">
        <v>17</v>
      </c>
      <c r="F18" s="47" t="s">
        <v>143</v>
      </c>
      <c r="G18" s="47" t="s">
        <v>159</v>
      </c>
      <c r="H18">
        <v>2002</v>
      </c>
      <c r="I18">
        <v>46</v>
      </c>
      <c r="J18" s="48" t="s">
        <v>158</v>
      </c>
      <c r="K18" s="6"/>
      <c r="L18" s="51" t="s">
        <v>136</v>
      </c>
      <c r="M18" s="52" t="s">
        <v>163</v>
      </c>
      <c r="N18">
        <v>17</v>
      </c>
      <c r="O18">
        <v>5100</v>
      </c>
      <c r="P18" s="5"/>
      <c r="Q18" s="6"/>
    </row>
    <row r="19" spans="1:17" ht="13.2" x14ac:dyDescent="0.25">
      <c r="A19" s="3"/>
      <c r="B19" s="3"/>
      <c r="C19" s="2"/>
      <c r="D19" s="5"/>
      <c r="E19">
        <v>18</v>
      </c>
      <c r="F19" s="47" t="s">
        <v>143</v>
      </c>
      <c r="G19" s="47" t="s">
        <v>159</v>
      </c>
      <c r="H19">
        <v>2003</v>
      </c>
      <c r="I19">
        <v>45</v>
      </c>
      <c r="J19" s="48" t="s">
        <v>158</v>
      </c>
      <c r="K19" s="6"/>
      <c r="L19" s="51" t="s">
        <v>136</v>
      </c>
      <c r="M19" s="52" t="s">
        <v>163</v>
      </c>
      <c r="N19">
        <v>18</v>
      </c>
      <c r="O19">
        <v>4635</v>
      </c>
      <c r="P19" s="5"/>
      <c r="Q19" s="6"/>
    </row>
    <row r="20" spans="1:17" ht="13.2" x14ac:dyDescent="0.25">
      <c r="A20" s="3"/>
      <c r="B20" s="3"/>
      <c r="C20" s="2"/>
      <c r="D20" s="5"/>
      <c r="E20">
        <v>19</v>
      </c>
      <c r="F20" s="47" t="s">
        <v>143</v>
      </c>
      <c r="G20" s="47" t="s">
        <v>159</v>
      </c>
      <c r="H20">
        <v>2004</v>
      </c>
      <c r="I20">
        <v>45</v>
      </c>
      <c r="J20" s="48" t="s">
        <v>158</v>
      </c>
      <c r="K20" s="6"/>
      <c r="L20" s="51" t="s">
        <v>136</v>
      </c>
      <c r="M20" s="52" t="s">
        <v>163</v>
      </c>
      <c r="N20">
        <v>19</v>
      </c>
      <c r="O20">
        <v>5100</v>
      </c>
      <c r="P20" s="5"/>
      <c r="Q20" s="6"/>
    </row>
    <row r="21" spans="1:17" ht="13.2" x14ac:dyDescent="0.25">
      <c r="A21" s="3"/>
      <c r="B21" s="3"/>
      <c r="C21" s="2"/>
      <c r="D21" s="5"/>
      <c r="E21">
        <v>20</v>
      </c>
      <c r="F21" s="47" t="s">
        <v>143</v>
      </c>
      <c r="G21" s="47" t="s">
        <v>159</v>
      </c>
      <c r="H21">
        <v>2005</v>
      </c>
      <c r="I21">
        <v>5</v>
      </c>
      <c r="J21" s="48" t="s">
        <v>158</v>
      </c>
      <c r="K21" s="6"/>
      <c r="L21" s="51" t="s">
        <v>136</v>
      </c>
      <c r="M21" s="52" t="s">
        <v>163</v>
      </c>
      <c r="N21">
        <v>20</v>
      </c>
      <c r="O21">
        <v>5450</v>
      </c>
      <c r="P21" s="5"/>
      <c r="Q21" s="6"/>
    </row>
    <row r="22" spans="1:17" ht="13.2" x14ac:dyDescent="0.25">
      <c r="A22" s="3"/>
      <c r="B22" s="3"/>
      <c r="C22" s="2"/>
      <c r="D22" s="5"/>
      <c r="E22">
        <v>21</v>
      </c>
      <c r="F22" s="47" t="s">
        <v>143</v>
      </c>
      <c r="G22" s="47" t="s">
        <v>159</v>
      </c>
      <c r="H22">
        <v>2006</v>
      </c>
      <c r="I22">
        <v>26</v>
      </c>
      <c r="J22" s="48" t="s">
        <v>158</v>
      </c>
      <c r="K22" s="6"/>
      <c r="L22" s="51" t="s">
        <v>136</v>
      </c>
      <c r="M22" s="52" t="s">
        <v>163</v>
      </c>
      <c r="N22">
        <v>21</v>
      </c>
      <c r="O22">
        <v>4635</v>
      </c>
      <c r="P22" s="5"/>
      <c r="Q22" s="6"/>
    </row>
    <row r="23" spans="1:17" ht="13.2" x14ac:dyDescent="0.25">
      <c r="A23" s="3"/>
      <c r="B23" s="3"/>
      <c r="C23" s="2"/>
      <c r="D23" s="5"/>
      <c r="E23">
        <v>22</v>
      </c>
      <c r="F23" s="47" t="s">
        <v>143</v>
      </c>
      <c r="G23" s="47" t="s">
        <v>159</v>
      </c>
      <c r="H23">
        <v>2007</v>
      </c>
      <c r="I23">
        <v>28</v>
      </c>
      <c r="J23" s="48" t="s">
        <v>158</v>
      </c>
      <c r="K23" s="6"/>
      <c r="L23" s="51" t="s">
        <v>136</v>
      </c>
      <c r="M23" s="52" t="s">
        <v>163</v>
      </c>
      <c r="N23">
        <v>22</v>
      </c>
      <c r="O23">
        <v>4720</v>
      </c>
      <c r="P23" s="5"/>
      <c r="Q23" s="6"/>
    </row>
    <row r="24" spans="1:17" ht="13.2" x14ac:dyDescent="0.25">
      <c r="A24" s="3"/>
      <c r="B24" s="3"/>
      <c r="C24" s="2"/>
      <c r="D24" s="5"/>
      <c r="E24">
        <v>1</v>
      </c>
      <c r="F24" s="47" t="s">
        <v>144</v>
      </c>
      <c r="G24" s="47" t="s">
        <v>160</v>
      </c>
      <c r="H24">
        <v>1986</v>
      </c>
      <c r="I24">
        <v>3</v>
      </c>
      <c r="J24" s="48" t="s">
        <v>158</v>
      </c>
      <c r="K24" s="6"/>
      <c r="L24" s="51" t="s">
        <v>136</v>
      </c>
      <c r="M24" s="52" t="s">
        <v>163</v>
      </c>
      <c r="N24">
        <v>23</v>
      </c>
      <c r="O24">
        <v>4810</v>
      </c>
      <c r="P24" s="5"/>
      <c r="Q24" s="6"/>
    </row>
    <row r="25" spans="1:17" ht="13.2" x14ac:dyDescent="0.25">
      <c r="A25" s="3"/>
      <c r="B25" s="3"/>
      <c r="C25" s="2"/>
      <c r="D25" s="5"/>
      <c r="E25">
        <v>2</v>
      </c>
      <c r="F25" s="47" t="s">
        <v>144</v>
      </c>
      <c r="G25" s="47" t="s">
        <v>160</v>
      </c>
      <c r="H25">
        <v>1987</v>
      </c>
      <c r="I25">
        <v>49</v>
      </c>
      <c r="J25" s="48" t="s">
        <v>158</v>
      </c>
      <c r="K25" s="6"/>
      <c r="L25" s="51" t="s">
        <v>136</v>
      </c>
      <c r="M25" s="52" t="s">
        <v>163</v>
      </c>
      <c r="N25">
        <v>24</v>
      </c>
      <c r="O25">
        <v>4565</v>
      </c>
      <c r="P25" s="5"/>
      <c r="Q25" s="6"/>
    </row>
    <row r="26" spans="1:17" ht="13.2" x14ac:dyDescent="0.25">
      <c r="A26" s="3"/>
      <c r="B26" s="3"/>
      <c r="C26" s="2"/>
      <c r="D26" s="5"/>
      <c r="E26">
        <v>3</v>
      </c>
      <c r="F26" s="47" t="s">
        <v>144</v>
      </c>
      <c r="G26" s="47" t="s">
        <v>160</v>
      </c>
      <c r="H26">
        <v>1988</v>
      </c>
      <c r="I26">
        <v>32</v>
      </c>
      <c r="J26" s="48" t="s">
        <v>158</v>
      </c>
      <c r="K26" s="6"/>
      <c r="L26" s="51" t="s">
        <v>136</v>
      </c>
      <c r="M26" s="52" t="s">
        <v>163</v>
      </c>
      <c r="N26">
        <v>25</v>
      </c>
      <c r="O26">
        <v>4410</v>
      </c>
      <c r="P26" s="5"/>
      <c r="Q26" s="6"/>
    </row>
    <row r="27" spans="1:17" ht="13.2" x14ac:dyDescent="0.25">
      <c r="A27" s="3"/>
      <c r="B27" s="3"/>
      <c r="C27" s="2"/>
      <c r="D27" s="5"/>
      <c r="E27">
        <v>4</v>
      </c>
      <c r="F27" s="47" t="s">
        <v>144</v>
      </c>
      <c r="G27" s="47" t="s">
        <v>160</v>
      </c>
      <c r="H27">
        <v>1989</v>
      </c>
      <c r="I27">
        <v>33</v>
      </c>
      <c r="J27" s="48" t="s">
        <v>158</v>
      </c>
      <c r="K27" s="6"/>
      <c r="L27" s="51" t="s">
        <v>136</v>
      </c>
      <c r="M27" s="52" t="s">
        <v>163</v>
      </c>
      <c r="N27">
        <v>26</v>
      </c>
      <c r="O27">
        <v>4065</v>
      </c>
      <c r="P27" s="5"/>
      <c r="Q27" s="6"/>
    </row>
    <row r="28" spans="1:17" ht="13.2" x14ac:dyDescent="0.25">
      <c r="A28" s="3"/>
      <c r="B28" s="3"/>
      <c r="C28" s="2"/>
      <c r="D28" s="5"/>
      <c r="E28">
        <v>5</v>
      </c>
      <c r="F28" s="47" t="s">
        <v>144</v>
      </c>
      <c r="G28" s="47" t="s">
        <v>160</v>
      </c>
      <c r="H28">
        <v>1990</v>
      </c>
      <c r="I28">
        <v>39</v>
      </c>
      <c r="J28" s="48" t="s">
        <v>158</v>
      </c>
      <c r="K28" s="6"/>
      <c r="L28" s="51" t="s">
        <v>136</v>
      </c>
      <c r="M28" s="52" t="s">
        <v>163</v>
      </c>
      <c r="N28">
        <v>27</v>
      </c>
      <c r="O28">
        <v>4565</v>
      </c>
      <c r="P28" s="5"/>
      <c r="Q28" s="6"/>
    </row>
    <row r="29" spans="1:17" ht="13.2" x14ac:dyDescent="0.25">
      <c r="A29" s="3"/>
      <c r="B29" s="3"/>
      <c r="C29" s="2"/>
      <c r="D29" s="5"/>
      <c r="E29">
        <v>6</v>
      </c>
      <c r="F29" s="47" t="s">
        <v>144</v>
      </c>
      <c r="G29" s="47" t="s">
        <v>160</v>
      </c>
      <c r="H29">
        <v>1991</v>
      </c>
      <c r="I29">
        <v>22</v>
      </c>
      <c r="J29" s="48" t="s">
        <v>158</v>
      </c>
      <c r="K29" s="6"/>
      <c r="L29" s="51" t="s">
        <v>136</v>
      </c>
      <c r="M29" s="52" t="s">
        <v>163</v>
      </c>
      <c r="N29">
        <v>28</v>
      </c>
      <c r="O29">
        <v>5190</v>
      </c>
      <c r="P29" s="5"/>
      <c r="Q29" s="6"/>
    </row>
    <row r="30" spans="1:17" ht="13.2" x14ac:dyDescent="0.25">
      <c r="A30" s="3"/>
      <c r="B30" s="3"/>
      <c r="C30" s="2"/>
      <c r="D30" s="5"/>
      <c r="E30">
        <v>7</v>
      </c>
      <c r="F30" s="47" t="s">
        <v>144</v>
      </c>
      <c r="G30" s="47" t="s">
        <v>160</v>
      </c>
      <c r="H30">
        <v>1992</v>
      </c>
      <c r="I30">
        <v>42</v>
      </c>
      <c r="J30" s="48" t="s">
        <v>158</v>
      </c>
      <c r="K30" s="6"/>
      <c r="L30" s="51" t="s">
        <v>136</v>
      </c>
      <c r="M30" s="52" t="s">
        <v>163</v>
      </c>
      <c r="N30">
        <v>29</v>
      </c>
      <c r="O30">
        <v>4725</v>
      </c>
      <c r="P30" s="5"/>
      <c r="Q30" s="6"/>
    </row>
    <row r="31" spans="1:17" ht="13.2" x14ac:dyDescent="0.25">
      <c r="A31" s="3"/>
      <c r="B31" s="3"/>
      <c r="C31" s="2"/>
      <c r="D31" s="5"/>
      <c r="E31">
        <v>8</v>
      </c>
      <c r="F31" s="47" t="s">
        <v>144</v>
      </c>
      <c r="G31" s="47" t="s">
        <v>160</v>
      </c>
      <c r="H31">
        <v>1993</v>
      </c>
      <c r="I31">
        <v>9</v>
      </c>
      <c r="J31" s="48" t="s">
        <v>158</v>
      </c>
      <c r="K31" s="6"/>
      <c r="L31" s="51" t="s">
        <v>136</v>
      </c>
      <c r="M31" s="52" t="s">
        <v>163</v>
      </c>
      <c r="N31">
        <v>30</v>
      </c>
      <c r="O31">
        <v>4640</v>
      </c>
      <c r="P31" s="5"/>
      <c r="Q31" s="6"/>
    </row>
    <row r="32" spans="1:17" ht="13.2" x14ac:dyDescent="0.25">
      <c r="A32" s="3"/>
      <c r="B32" s="3"/>
      <c r="C32" s="2"/>
      <c r="D32" s="5"/>
      <c r="E32">
        <v>9</v>
      </c>
      <c r="F32" s="47" t="s">
        <v>144</v>
      </c>
      <c r="G32" s="47" t="s">
        <v>160</v>
      </c>
      <c r="H32">
        <v>1994</v>
      </c>
      <c r="I32">
        <v>9</v>
      </c>
      <c r="J32" s="48" t="s">
        <v>158</v>
      </c>
      <c r="K32" s="6"/>
      <c r="L32" s="51" t="s">
        <v>136</v>
      </c>
      <c r="M32" s="52" t="s">
        <v>163</v>
      </c>
      <c r="N32">
        <v>31</v>
      </c>
      <c r="O32">
        <v>4640</v>
      </c>
      <c r="P32" s="5"/>
      <c r="Q32" s="6"/>
    </row>
    <row r="33" spans="1:17" ht="13.2" x14ac:dyDescent="0.25">
      <c r="A33" s="3"/>
      <c r="B33" s="3"/>
      <c r="C33" s="2"/>
      <c r="D33" s="5"/>
      <c r="E33">
        <v>10</v>
      </c>
      <c r="F33" s="47" t="s">
        <v>144</v>
      </c>
      <c r="G33" s="47" t="s">
        <v>160</v>
      </c>
      <c r="H33">
        <v>1995</v>
      </c>
      <c r="I33">
        <v>39</v>
      </c>
      <c r="J33" s="48" t="s">
        <v>158</v>
      </c>
      <c r="K33" s="6"/>
      <c r="L33" s="51" t="s">
        <v>136</v>
      </c>
      <c r="M33" s="52" t="s">
        <v>163</v>
      </c>
      <c r="N33">
        <v>32</v>
      </c>
      <c r="O33">
        <v>4895</v>
      </c>
      <c r="P33" s="5"/>
      <c r="Q33" s="6"/>
    </row>
    <row r="34" spans="1:17" ht="13.2" x14ac:dyDescent="0.25">
      <c r="A34" s="3"/>
      <c r="B34" s="3"/>
      <c r="C34" s="2"/>
      <c r="D34" s="5"/>
      <c r="E34">
        <v>11</v>
      </c>
      <c r="F34" s="47" t="s">
        <v>144</v>
      </c>
      <c r="G34" s="47" t="s">
        <v>160</v>
      </c>
      <c r="H34">
        <v>1996</v>
      </c>
      <c r="I34">
        <v>52</v>
      </c>
      <c r="J34" s="48" t="s">
        <v>158</v>
      </c>
      <c r="K34" s="6"/>
      <c r="L34" s="51" t="s">
        <v>136</v>
      </c>
      <c r="M34" s="52" t="s">
        <v>163</v>
      </c>
      <c r="N34">
        <v>33</v>
      </c>
      <c r="O34">
        <v>4790</v>
      </c>
      <c r="P34" s="5"/>
      <c r="Q34" s="6"/>
    </row>
    <row r="35" spans="1:17" ht="13.2" x14ac:dyDescent="0.25">
      <c r="A35" s="3"/>
      <c r="B35" s="3"/>
      <c r="C35" s="2"/>
      <c r="D35" s="5"/>
      <c r="E35">
        <v>12</v>
      </c>
      <c r="F35" s="47" t="s">
        <v>144</v>
      </c>
      <c r="G35" s="47" t="s">
        <v>161</v>
      </c>
      <c r="H35">
        <v>1997</v>
      </c>
      <c r="I35">
        <v>58</v>
      </c>
      <c r="J35" s="48" t="s">
        <v>158</v>
      </c>
      <c r="K35" s="6"/>
      <c r="L35" s="51" t="s">
        <v>136</v>
      </c>
      <c r="M35" s="51" t="s">
        <v>163</v>
      </c>
      <c r="N35">
        <v>34</v>
      </c>
      <c r="O35">
        <v>4845</v>
      </c>
    </row>
    <row r="36" spans="1:17" ht="13.2" x14ac:dyDescent="0.25">
      <c r="A36" s="3"/>
      <c r="B36" s="3"/>
      <c r="C36" s="2"/>
      <c r="D36" s="5"/>
      <c r="E36">
        <v>13</v>
      </c>
      <c r="F36" s="47" t="s">
        <v>144</v>
      </c>
      <c r="G36" s="47" t="s">
        <v>162</v>
      </c>
      <c r="H36">
        <v>1998</v>
      </c>
      <c r="I36">
        <v>70</v>
      </c>
      <c r="J36" s="48" t="s">
        <v>158</v>
      </c>
      <c r="K36" s="6"/>
      <c r="L36" s="51" t="s">
        <v>136</v>
      </c>
      <c r="M36" s="51" t="s">
        <v>163</v>
      </c>
      <c r="N36">
        <v>35</v>
      </c>
      <c r="O36">
        <v>4700</v>
      </c>
    </row>
    <row r="37" spans="1:17" ht="13.2" x14ac:dyDescent="0.25">
      <c r="A37" s="3"/>
      <c r="B37" s="3"/>
      <c r="C37" s="2"/>
      <c r="D37" s="5"/>
      <c r="E37">
        <v>14</v>
      </c>
      <c r="F37" s="47" t="s">
        <v>144</v>
      </c>
      <c r="G37" s="47" t="s">
        <v>162</v>
      </c>
      <c r="H37">
        <v>1999</v>
      </c>
      <c r="I37">
        <v>65</v>
      </c>
      <c r="J37" s="48" t="s">
        <v>158</v>
      </c>
      <c r="K37" s="6"/>
      <c r="L37" s="51" t="s">
        <v>136</v>
      </c>
      <c r="M37" s="51" t="s">
        <v>163</v>
      </c>
      <c r="N37">
        <v>36</v>
      </c>
      <c r="O37">
        <v>4600</v>
      </c>
    </row>
    <row r="38" spans="1:17" ht="13.2" x14ac:dyDescent="0.25">
      <c r="A38" s="3"/>
      <c r="B38" s="3"/>
      <c r="C38" s="2"/>
      <c r="D38" s="5"/>
      <c r="E38">
        <v>15</v>
      </c>
      <c r="F38" s="47" t="s">
        <v>144</v>
      </c>
      <c r="G38" s="47" t="s">
        <v>162</v>
      </c>
      <c r="H38">
        <v>2000</v>
      </c>
      <c r="I38">
        <v>32</v>
      </c>
      <c r="J38" s="48" t="s">
        <v>158</v>
      </c>
      <c r="K38" s="6"/>
      <c r="L38" s="51" t="s">
        <v>136</v>
      </c>
      <c r="M38" s="51" t="s">
        <v>163</v>
      </c>
      <c r="N38">
        <v>37</v>
      </c>
      <c r="O38">
        <v>4110</v>
      </c>
    </row>
    <row r="39" spans="1:17" ht="13.2" x14ac:dyDescent="0.25">
      <c r="A39" s="3"/>
      <c r="B39" s="3"/>
      <c r="C39" s="2"/>
      <c r="D39" s="5"/>
      <c r="E39">
        <v>16</v>
      </c>
      <c r="F39" s="47" t="s">
        <v>144</v>
      </c>
      <c r="G39" s="47" t="s">
        <v>162</v>
      </c>
      <c r="H39">
        <v>2001</v>
      </c>
      <c r="I39">
        <v>29</v>
      </c>
      <c r="J39" s="48" t="s">
        <v>158</v>
      </c>
      <c r="K39" s="6"/>
      <c r="L39" s="51" t="s">
        <v>136</v>
      </c>
      <c r="M39" s="51" t="s">
        <v>163</v>
      </c>
      <c r="N39">
        <v>38</v>
      </c>
      <c r="O39">
        <v>4410</v>
      </c>
    </row>
    <row r="40" spans="1:17" ht="13.2" x14ac:dyDescent="0.25">
      <c r="A40" s="3"/>
      <c r="B40" s="3"/>
      <c r="C40" s="2"/>
      <c r="D40" s="5"/>
      <c r="E40" s="5"/>
      <c r="F40" s="1"/>
      <c r="G40" s="1"/>
      <c r="H40" s="1"/>
      <c r="I40" s="7"/>
      <c r="J40" s="6"/>
      <c r="K40" s="6"/>
      <c r="L40" s="51" t="s">
        <v>136</v>
      </c>
      <c r="M40" s="51" t="s">
        <v>163</v>
      </c>
      <c r="N40">
        <v>39</v>
      </c>
      <c r="O40">
        <v>4180</v>
      </c>
    </row>
    <row r="41" spans="1:17" ht="13.2" x14ac:dyDescent="0.25">
      <c r="A41" s="3"/>
      <c r="B41" s="3"/>
      <c r="C41" s="2"/>
      <c r="D41" s="5"/>
      <c r="E41" s="5"/>
      <c r="F41" s="1"/>
      <c r="G41" s="1"/>
      <c r="H41" s="1"/>
      <c r="I41" s="7"/>
      <c r="J41" s="6"/>
      <c r="K41" s="6"/>
      <c r="L41" s="51" t="s">
        <v>136</v>
      </c>
      <c r="M41" s="51" t="s">
        <v>163</v>
      </c>
      <c r="N41">
        <v>40</v>
      </c>
      <c r="O41">
        <v>4790</v>
      </c>
    </row>
    <row r="42" spans="1:17" ht="13.2" x14ac:dyDescent="0.25">
      <c r="A42" s="3"/>
      <c r="B42" s="3"/>
      <c r="C42" s="2"/>
      <c r="D42" s="5"/>
      <c r="E42" s="5"/>
      <c r="F42" s="1"/>
      <c r="G42" s="1"/>
      <c r="H42" s="1"/>
      <c r="I42" s="7"/>
      <c r="J42" s="6"/>
      <c r="K42" s="6"/>
      <c r="L42" s="51" t="s">
        <v>136</v>
      </c>
      <c r="M42" s="51" t="s">
        <v>163</v>
      </c>
      <c r="N42">
        <v>41</v>
      </c>
      <c r="O42">
        <v>4790</v>
      </c>
    </row>
    <row r="43" spans="1:17" ht="13.2" x14ac:dyDescent="0.25">
      <c r="A43" s="3"/>
      <c r="B43" s="3"/>
      <c r="C43" s="2"/>
      <c r="D43" s="5"/>
      <c r="E43" s="5"/>
      <c r="F43" s="1"/>
      <c r="G43" s="1"/>
      <c r="H43" s="1"/>
      <c r="I43" s="7"/>
      <c r="J43" s="6"/>
      <c r="K43" s="6"/>
      <c r="L43" s="51" t="s">
        <v>136</v>
      </c>
      <c r="M43" s="51" t="s">
        <v>163</v>
      </c>
      <c r="N43">
        <v>42</v>
      </c>
      <c r="O43">
        <v>4340</v>
      </c>
    </row>
    <row r="44" spans="1:17" ht="13.2" x14ac:dyDescent="0.25">
      <c r="A44" s="3"/>
      <c r="B44" s="3"/>
      <c r="C44" s="2"/>
      <c r="D44" s="5"/>
      <c r="E44" s="5"/>
      <c r="F44" s="1"/>
      <c r="G44" s="1"/>
      <c r="H44" s="1"/>
      <c r="I44" s="7"/>
      <c r="J44" s="6"/>
      <c r="K44" s="6"/>
      <c r="L44" s="51" t="s">
        <v>136</v>
      </c>
      <c r="M44" s="51" t="s">
        <v>163</v>
      </c>
      <c r="N44">
        <v>43</v>
      </c>
      <c r="O44">
        <v>4895</v>
      </c>
    </row>
    <row r="45" spans="1:17" ht="13.2" x14ac:dyDescent="0.25">
      <c r="A45" s="3"/>
      <c r="B45" s="3"/>
      <c r="C45" s="2"/>
      <c r="D45" s="5"/>
      <c r="E45" s="5"/>
      <c r="F45" s="1"/>
      <c r="G45" s="1"/>
      <c r="H45" s="1"/>
      <c r="I45" s="7"/>
      <c r="J45" s="6"/>
      <c r="K45" s="6"/>
      <c r="L45" s="51" t="s">
        <v>136</v>
      </c>
      <c r="M45" s="51" t="s">
        <v>163</v>
      </c>
      <c r="N45">
        <v>44</v>
      </c>
      <c r="O45">
        <v>5750</v>
      </c>
    </row>
    <row r="46" spans="1:17" ht="13.2" x14ac:dyDescent="0.25">
      <c r="A46" s="3"/>
      <c r="B46" s="3"/>
      <c r="C46" s="2"/>
      <c r="D46" s="5"/>
      <c r="E46" s="5"/>
      <c r="F46" s="1"/>
      <c r="G46" s="1"/>
      <c r="H46" s="1"/>
      <c r="I46" s="7"/>
      <c r="J46" s="6"/>
      <c r="K46" s="6"/>
      <c r="L46" s="51" t="s">
        <v>136</v>
      </c>
      <c r="M46" s="51" t="s">
        <v>163</v>
      </c>
      <c r="N46">
        <v>45</v>
      </c>
      <c r="O46">
        <v>4740</v>
      </c>
    </row>
    <row r="47" spans="1:17" ht="13.2" x14ac:dyDescent="0.25">
      <c r="A47" s="3"/>
      <c r="B47" s="3"/>
      <c r="C47" s="2"/>
      <c r="D47" s="5"/>
      <c r="E47" s="5"/>
      <c r="F47" s="1"/>
      <c r="G47" s="1"/>
      <c r="H47" s="1"/>
      <c r="I47" s="7"/>
      <c r="J47" s="6"/>
      <c r="K47" s="6"/>
      <c r="L47" s="51" t="s">
        <v>136</v>
      </c>
      <c r="M47" s="51" t="s">
        <v>163</v>
      </c>
      <c r="N47">
        <v>46</v>
      </c>
      <c r="O47">
        <v>5000</v>
      </c>
    </row>
    <row r="48" spans="1:17" ht="13.2" x14ac:dyDescent="0.25">
      <c r="A48" s="3"/>
      <c r="B48" s="3"/>
      <c r="C48" s="2"/>
      <c r="D48" s="5"/>
      <c r="E48" s="5"/>
      <c r="F48" s="1"/>
      <c r="G48" s="1"/>
      <c r="H48" s="1"/>
      <c r="I48" s="7"/>
      <c r="J48" s="6"/>
      <c r="K48" s="6"/>
      <c r="L48" s="51" t="s">
        <v>136</v>
      </c>
      <c r="M48" s="51" t="s">
        <v>163</v>
      </c>
      <c r="N48">
        <v>47</v>
      </c>
      <c r="O48">
        <v>4895</v>
      </c>
    </row>
    <row r="49" spans="1:15" ht="13.2" x14ac:dyDescent="0.25">
      <c r="A49" s="3"/>
      <c r="B49" s="3"/>
      <c r="C49" s="2"/>
      <c r="D49" s="5"/>
      <c r="E49" s="5"/>
      <c r="F49" s="1"/>
      <c r="G49" s="1"/>
      <c r="H49" s="1"/>
      <c r="I49" s="7"/>
      <c r="J49" s="6"/>
      <c r="K49" s="6"/>
      <c r="L49" s="51" t="s">
        <v>136</v>
      </c>
      <c r="M49" s="51" t="s">
        <v>163</v>
      </c>
      <c r="N49">
        <v>48</v>
      </c>
      <c r="O49">
        <v>4255</v>
      </c>
    </row>
    <row r="50" spans="1:15" ht="13.2" x14ac:dyDescent="0.25">
      <c r="A50" s="3"/>
      <c r="B50" s="3"/>
      <c r="C50" s="2"/>
      <c r="D50" s="5"/>
      <c r="E50" s="5"/>
      <c r="F50" s="1"/>
      <c r="G50" s="1"/>
      <c r="H50" s="1"/>
      <c r="I50" s="7"/>
      <c r="J50" s="6"/>
      <c r="K50" s="6"/>
      <c r="L50" s="51" t="s">
        <v>136</v>
      </c>
      <c r="M50" s="51" t="s">
        <v>163</v>
      </c>
      <c r="N50">
        <v>49</v>
      </c>
      <c r="O50">
        <v>4170</v>
      </c>
    </row>
    <row r="51" spans="1:15" ht="13.2" x14ac:dyDescent="0.25">
      <c r="A51" s="3"/>
      <c r="B51" s="3"/>
      <c r="C51" s="2"/>
      <c r="D51" s="5"/>
      <c r="E51" s="5"/>
      <c r="F51" s="1"/>
      <c r="G51" s="1"/>
      <c r="H51" s="1"/>
      <c r="I51" s="7"/>
      <c r="J51" s="6"/>
      <c r="K51" s="6"/>
      <c r="L51" s="51" t="s">
        <v>136</v>
      </c>
      <c r="M51" s="51" t="s">
        <v>163</v>
      </c>
      <c r="N51">
        <v>50</v>
      </c>
      <c r="O51">
        <v>3850</v>
      </c>
    </row>
    <row r="52" spans="1:15" ht="13.2" x14ac:dyDescent="0.25">
      <c r="A52" s="3"/>
      <c r="B52" s="3"/>
      <c r="C52" s="2"/>
      <c r="D52" s="5"/>
      <c r="E52" s="5"/>
      <c r="F52" s="1"/>
      <c r="G52" s="1"/>
      <c r="H52" s="1"/>
      <c r="I52" s="7"/>
      <c r="J52" s="6"/>
      <c r="K52" s="6"/>
      <c r="L52" s="51" t="s">
        <v>136</v>
      </c>
      <c r="M52" s="51" t="s">
        <v>163</v>
      </c>
      <c r="N52">
        <v>51</v>
      </c>
      <c r="O52">
        <v>4445</v>
      </c>
    </row>
    <row r="53" spans="1:15" ht="13.2" x14ac:dyDescent="0.25">
      <c r="A53" s="3"/>
      <c r="B53" s="3"/>
      <c r="C53" s="2"/>
      <c r="D53" s="5"/>
      <c r="E53" s="5"/>
      <c r="F53" s="1"/>
      <c r="G53" s="1"/>
      <c r="H53" s="1"/>
      <c r="I53" s="7"/>
      <c r="J53" s="6"/>
      <c r="K53" s="6"/>
      <c r="L53" s="51" t="s">
        <v>136</v>
      </c>
      <c r="M53" s="51" t="s">
        <v>163</v>
      </c>
      <c r="N53">
        <v>52</v>
      </c>
      <c r="O53">
        <v>4650</v>
      </c>
    </row>
    <row r="54" spans="1:15" ht="13.2" x14ac:dyDescent="0.25">
      <c r="A54" s="3"/>
      <c r="B54" s="3"/>
      <c r="C54" s="2"/>
      <c r="D54" s="5"/>
      <c r="E54" s="5"/>
      <c r="F54" s="1"/>
      <c r="G54" s="1"/>
      <c r="H54" s="1"/>
      <c r="I54" s="7"/>
      <c r="J54" s="6"/>
      <c r="K54" s="6"/>
      <c r="L54" s="51" t="s">
        <v>136</v>
      </c>
      <c r="M54" s="51" t="s">
        <v>163</v>
      </c>
      <c r="N54">
        <v>53</v>
      </c>
      <c r="O54">
        <v>4170</v>
      </c>
    </row>
    <row r="55" spans="1:15" ht="13.2" x14ac:dyDescent="0.25">
      <c r="A55" s="3"/>
      <c r="B55" s="3"/>
      <c r="C55" s="2"/>
      <c r="D55" s="5"/>
      <c r="E55" s="5"/>
      <c r="F55" s="1"/>
      <c r="G55" s="1"/>
      <c r="H55" s="1"/>
      <c r="I55" s="7"/>
      <c r="J55" s="6"/>
      <c r="K55" s="6"/>
      <c r="L55" s="51" t="s">
        <v>136</v>
      </c>
      <c r="M55" s="51" t="s">
        <v>163</v>
      </c>
      <c r="N55">
        <v>54</v>
      </c>
      <c r="O55">
        <v>4255</v>
      </c>
    </row>
    <row r="56" spans="1:15" ht="13.2" x14ac:dyDescent="0.25">
      <c r="A56" s="3"/>
      <c r="B56" s="3"/>
      <c r="C56" s="2"/>
      <c r="D56" s="5"/>
      <c r="E56" s="5"/>
      <c r="F56" s="1"/>
      <c r="G56" s="1"/>
      <c r="H56" s="1"/>
      <c r="I56" s="7"/>
      <c r="J56" s="6"/>
      <c r="K56" s="6"/>
      <c r="L56" s="51" t="s">
        <v>136</v>
      </c>
      <c r="M56" s="51" t="s">
        <v>163</v>
      </c>
      <c r="N56">
        <v>55</v>
      </c>
      <c r="O56">
        <v>4170</v>
      </c>
    </row>
    <row r="57" spans="1:15" ht="13.2" x14ac:dyDescent="0.25">
      <c r="A57" s="3"/>
      <c r="B57" s="3"/>
      <c r="C57" s="2"/>
      <c r="D57" s="5"/>
      <c r="E57" s="5"/>
      <c r="F57" s="1"/>
      <c r="G57" s="1"/>
      <c r="H57" s="1"/>
      <c r="I57" s="7"/>
      <c r="J57" s="6"/>
      <c r="K57" s="6"/>
      <c r="L57" s="51" t="s">
        <v>136</v>
      </c>
      <c r="M57" s="51" t="s">
        <v>163</v>
      </c>
      <c r="N57">
        <v>56</v>
      </c>
      <c r="O57">
        <v>4375</v>
      </c>
    </row>
    <row r="58" spans="1:15" ht="13.2" x14ac:dyDescent="0.25">
      <c r="A58" s="3"/>
      <c r="B58" s="3"/>
      <c r="C58" s="2"/>
      <c r="D58" s="5"/>
      <c r="E58" s="5"/>
      <c r="F58" s="1"/>
      <c r="G58" s="1"/>
      <c r="H58" s="1"/>
      <c r="I58" s="7"/>
      <c r="J58" s="6"/>
      <c r="K58" s="6"/>
      <c r="L58" s="51" t="s">
        <v>136</v>
      </c>
      <c r="M58" s="51" t="s">
        <v>163</v>
      </c>
      <c r="N58">
        <v>57</v>
      </c>
      <c r="O58">
        <v>4175</v>
      </c>
    </row>
    <row r="59" spans="1:15" ht="13.2" x14ac:dyDescent="0.25">
      <c r="A59" s="3"/>
      <c r="B59" s="3"/>
      <c r="C59" s="2"/>
      <c r="D59" s="5"/>
      <c r="E59" s="5"/>
      <c r="F59" s="1"/>
      <c r="G59" s="1"/>
      <c r="H59" s="1"/>
      <c r="I59" s="7"/>
      <c r="J59" s="6"/>
      <c r="K59" s="6"/>
      <c r="L59" s="51" t="s">
        <v>136</v>
      </c>
      <c r="M59" s="51" t="s">
        <v>163</v>
      </c>
      <c r="N59">
        <v>58</v>
      </c>
      <c r="O59">
        <v>4550</v>
      </c>
    </row>
    <row r="60" spans="1:15" ht="13.2" x14ac:dyDescent="0.25">
      <c r="A60" s="3"/>
      <c r="B60" s="3"/>
      <c r="C60" s="2"/>
      <c r="D60" s="5"/>
      <c r="E60" s="5"/>
      <c r="F60" s="1"/>
      <c r="G60" s="1"/>
      <c r="H60" s="1"/>
      <c r="I60" s="7"/>
      <c r="J60" s="6"/>
      <c r="K60" s="6"/>
      <c r="L60" s="51" t="s">
        <v>136</v>
      </c>
      <c r="M60" s="51" t="s">
        <v>163</v>
      </c>
      <c r="N60">
        <v>59</v>
      </c>
      <c r="O60">
        <v>4450</v>
      </c>
    </row>
    <row r="61" spans="1:15" ht="13.2" x14ac:dyDescent="0.25">
      <c r="A61" s="3"/>
      <c r="B61" s="3"/>
      <c r="C61" s="2"/>
      <c r="D61" s="5"/>
      <c r="E61" s="5"/>
      <c r="F61" s="1"/>
      <c r="G61" s="1"/>
      <c r="H61" s="1"/>
      <c r="I61" s="7"/>
      <c r="J61" s="6"/>
      <c r="K61" s="6"/>
      <c r="L61" s="51" t="s">
        <v>136</v>
      </c>
      <c r="M61" s="51" t="s">
        <v>163</v>
      </c>
      <c r="N61">
        <v>60</v>
      </c>
      <c r="O61">
        <v>2855</v>
      </c>
    </row>
    <row r="62" spans="1:15" ht="13.2" x14ac:dyDescent="0.25">
      <c r="A62" s="3"/>
      <c r="B62" s="3"/>
      <c r="C62" s="2"/>
      <c r="D62" s="5"/>
      <c r="E62" s="5"/>
      <c r="F62" s="1"/>
      <c r="G62" s="1"/>
      <c r="H62" s="1"/>
      <c r="I62" s="7"/>
      <c r="J62" s="6"/>
      <c r="K62" s="6"/>
      <c r="L62" s="51" t="s">
        <v>136</v>
      </c>
      <c r="M62" s="51" t="s">
        <v>163</v>
      </c>
      <c r="N62">
        <v>61</v>
      </c>
      <c r="O62">
        <v>2920</v>
      </c>
    </row>
    <row r="63" spans="1:15" ht="13.2" x14ac:dyDescent="0.25">
      <c r="A63" s="3"/>
      <c r="B63" s="3"/>
      <c r="C63" s="2"/>
      <c r="D63" s="5"/>
      <c r="E63" s="5"/>
      <c r="F63" s="1"/>
      <c r="G63" s="1"/>
      <c r="H63" s="1"/>
      <c r="I63" s="7"/>
      <c r="J63" s="6"/>
      <c r="K63" s="6"/>
      <c r="L63" s="51" t="s">
        <v>136</v>
      </c>
      <c r="M63" s="51" t="s">
        <v>163</v>
      </c>
      <c r="N63">
        <v>62</v>
      </c>
      <c r="O63">
        <v>4375</v>
      </c>
    </row>
    <row r="64" spans="1:15" ht="13.2" x14ac:dyDescent="0.25">
      <c r="A64" s="3"/>
      <c r="B64" s="3"/>
      <c r="C64" s="2"/>
      <c r="D64" s="5"/>
      <c r="E64" s="5"/>
      <c r="F64" s="1"/>
      <c r="G64" s="1"/>
      <c r="H64" s="1"/>
      <c r="I64" s="7"/>
      <c r="J64" s="6"/>
      <c r="K64" s="6"/>
      <c r="L64" s="51" t="s">
        <v>136</v>
      </c>
      <c r="M64" s="51" t="s">
        <v>163</v>
      </c>
      <c r="N64">
        <v>63</v>
      </c>
      <c r="O64">
        <v>4375</v>
      </c>
    </row>
    <row r="65" spans="1:15" ht="13.2" x14ac:dyDescent="0.25">
      <c r="A65" s="3"/>
      <c r="B65" s="3"/>
      <c r="C65" s="2"/>
      <c r="D65" s="5"/>
      <c r="E65" s="5"/>
      <c r="F65" s="1"/>
      <c r="G65" s="1"/>
      <c r="H65" s="1"/>
      <c r="I65" s="7"/>
      <c r="J65" s="6"/>
      <c r="K65" s="6"/>
      <c r="L65" s="51" t="s">
        <v>136</v>
      </c>
      <c r="M65" s="51" t="s">
        <v>163</v>
      </c>
      <c r="N65">
        <v>64</v>
      </c>
      <c r="O65">
        <v>4355</v>
      </c>
    </row>
    <row r="66" spans="1:15" ht="13.2" x14ac:dyDescent="0.25">
      <c r="L66" s="51" t="s">
        <v>136</v>
      </c>
      <c r="M66" s="51" t="s">
        <v>163</v>
      </c>
      <c r="N66">
        <v>65</v>
      </c>
      <c r="O66">
        <v>4090</v>
      </c>
    </row>
    <row r="67" spans="1:15" ht="13.2" x14ac:dyDescent="0.25">
      <c r="L67" s="51" t="s">
        <v>136</v>
      </c>
      <c r="M67" s="51" t="s">
        <v>163</v>
      </c>
      <c r="N67">
        <v>66</v>
      </c>
      <c r="O67">
        <v>5000</v>
      </c>
    </row>
    <row r="68" spans="1:15" ht="13.2" x14ac:dyDescent="0.25">
      <c r="L68" s="51" t="s">
        <v>136</v>
      </c>
      <c r="M68" s="51" t="s">
        <v>163</v>
      </c>
      <c r="N68">
        <v>67</v>
      </c>
      <c r="O68">
        <v>4335</v>
      </c>
    </row>
    <row r="69" spans="1:15" ht="13.2" x14ac:dyDescent="0.25">
      <c r="L69" s="51" t="s">
        <v>136</v>
      </c>
      <c r="M69" s="51" t="s">
        <v>163</v>
      </c>
      <c r="N69">
        <v>68</v>
      </c>
      <c r="O69">
        <v>5000</v>
      </c>
    </row>
    <row r="70" spans="1:15" ht="13.2" x14ac:dyDescent="0.25">
      <c r="L70" s="51" t="s">
        <v>136</v>
      </c>
      <c r="M70" s="51" t="s">
        <v>163</v>
      </c>
      <c r="N70">
        <v>69</v>
      </c>
      <c r="O70">
        <v>4640</v>
      </c>
    </row>
    <row r="71" spans="1:15" ht="13.2" x14ac:dyDescent="0.25">
      <c r="L71" s="51" t="s">
        <v>136</v>
      </c>
      <c r="M71" s="51" t="s">
        <v>163</v>
      </c>
      <c r="N71">
        <v>70</v>
      </c>
      <c r="O71">
        <v>4335</v>
      </c>
    </row>
    <row r="72" spans="1:15" ht="13.2" x14ac:dyDescent="0.25">
      <c r="L72" s="51" t="s">
        <v>136</v>
      </c>
      <c r="M72" s="51" t="s">
        <v>163</v>
      </c>
      <c r="N72">
        <v>71</v>
      </c>
      <c r="O72">
        <v>5000</v>
      </c>
    </row>
    <row r="73" spans="1:15" ht="13.2" x14ac:dyDescent="0.25">
      <c r="L73" s="51" t="s">
        <v>136</v>
      </c>
      <c r="M73" s="51" t="s">
        <v>163</v>
      </c>
      <c r="N73">
        <v>72</v>
      </c>
      <c r="O73">
        <v>4615</v>
      </c>
    </row>
    <row r="74" spans="1:15" ht="13.2" x14ac:dyDescent="0.25">
      <c r="L74" s="51" t="s">
        <v>136</v>
      </c>
      <c r="M74" s="51" t="s">
        <v>163</v>
      </c>
      <c r="N74">
        <v>73</v>
      </c>
      <c r="O74">
        <v>4215</v>
      </c>
    </row>
    <row r="75" spans="1:15" ht="13.2" x14ac:dyDescent="0.25">
      <c r="L75" s="51" t="s">
        <v>136</v>
      </c>
      <c r="M75" s="51" t="s">
        <v>163</v>
      </c>
      <c r="N75">
        <v>74</v>
      </c>
      <c r="O75">
        <v>4275</v>
      </c>
    </row>
    <row r="76" spans="1:15" ht="13.2" x14ac:dyDescent="0.25">
      <c r="L76" s="51" t="s">
        <v>136</v>
      </c>
      <c r="M76" s="51" t="s">
        <v>163</v>
      </c>
      <c r="N76">
        <v>75</v>
      </c>
      <c r="O76">
        <v>4275</v>
      </c>
    </row>
    <row r="77" spans="1:15" ht="13.2" x14ac:dyDescent="0.25">
      <c r="L77" s="51" t="s">
        <v>136</v>
      </c>
      <c r="M77" s="51" t="s">
        <v>163</v>
      </c>
      <c r="N77">
        <v>76</v>
      </c>
      <c r="O77">
        <v>5000</v>
      </c>
    </row>
    <row r="78" spans="1:15" ht="13.2" x14ac:dyDescent="0.25">
      <c r="L78" s="51" t="s">
        <v>136</v>
      </c>
      <c r="M78" s="51" t="s">
        <v>163</v>
      </c>
      <c r="N78">
        <v>77</v>
      </c>
      <c r="O78">
        <v>4615</v>
      </c>
    </row>
    <row r="79" spans="1:15" ht="13.2" x14ac:dyDescent="0.25">
      <c r="L79" s="51" t="s">
        <v>136</v>
      </c>
      <c r="M79" s="51" t="s">
        <v>163</v>
      </c>
      <c r="N79">
        <v>78</v>
      </c>
      <c r="O79">
        <v>4735</v>
      </c>
    </row>
    <row r="80" spans="1:15" ht="13.2" x14ac:dyDescent="0.25">
      <c r="L80" s="51" t="s">
        <v>136</v>
      </c>
      <c r="M80" s="51" t="s">
        <v>163</v>
      </c>
      <c r="N80">
        <v>79</v>
      </c>
      <c r="O80">
        <v>4215</v>
      </c>
    </row>
    <row r="81" spans="12:15" ht="13.2" x14ac:dyDescent="0.25">
      <c r="L81" s="51" t="s">
        <v>136</v>
      </c>
      <c r="M81" s="51" t="s">
        <v>163</v>
      </c>
      <c r="N81">
        <v>80</v>
      </c>
      <c r="O81">
        <v>4700</v>
      </c>
    </row>
    <row r="82" spans="12:15" ht="13.2" x14ac:dyDescent="0.25">
      <c r="L82" s="51" t="s">
        <v>136</v>
      </c>
      <c r="M82" s="51" t="s">
        <v>163</v>
      </c>
      <c r="N82">
        <v>81</v>
      </c>
      <c r="O82">
        <v>4700</v>
      </c>
    </row>
    <row r="83" spans="12:15" ht="13.2" x14ac:dyDescent="0.25">
      <c r="L83" s="51" t="s">
        <v>136</v>
      </c>
      <c r="M83" s="51" t="s">
        <v>163</v>
      </c>
      <c r="N83">
        <v>82</v>
      </c>
      <c r="O83">
        <v>4700</v>
      </c>
    </row>
    <row r="84" spans="12:15" ht="13.2" x14ac:dyDescent="0.25">
      <c r="L84" s="51" t="s">
        <v>136</v>
      </c>
      <c r="M84" s="51" t="s">
        <v>163</v>
      </c>
      <c r="N84">
        <v>83</v>
      </c>
      <c r="O84">
        <v>4700</v>
      </c>
    </row>
    <row r="85" spans="12:15" ht="13.2" x14ac:dyDescent="0.25">
      <c r="L85" s="51" t="s">
        <v>136</v>
      </c>
      <c r="M85" s="51" t="s">
        <v>163</v>
      </c>
      <c r="N85">
        <v>84</v>
      </c>
      <c r="O85">
        <v>4095</v>
      </c>
    </row>
    <row r="86" spans="12:15" ht="13.2" x14ac:dyDescent="0.25">
      <c r="L86" s="51" t="s">
        <v>136</v>
      </c>
      <c r="M86" s="51" t="s">
        <v>163</v>
      </c>
      <c r="N86">
        <v>85</v>
      </c>
      <c r="O86">
        <v>4095</v>
      </c>
    </row>
    <row r="87" spans="12:15" ht="13.2" x14ac:dyDescent="0.25">
      <c r="L87" s="51" t="s">
        <v>136</v>
      </c>
      <c r="M87" s="51" t="s">
        <v>163</v>
      </c>
      <c r="N87">
        <v>86</v>
      </c>
      <c r="O87">
        <v>3940</v>
      </c>
    </row>
    <row r="88" spans="12:15" ht="13.2" x14ac:dyDescent="0.25">
      <c r="L88" s="51" t="s">
        <v>136</v>
      </c>
      <c r="M88" s="51" t="s">
        <v>163</v>
      </c>
      <c r="N88">
        <v>87</v>
      </c>
      <c r="O88">
        <v>3700</v>
      </c>
    </row>
    <row r="89" spans="12:15" ht="13.2" x14ac:dyDescent="0.25">
      <c r="L89" s="51" t="s">
        <v>136</v>
      </c>
      <c r="M89" s="51" t="s">
        <v>163</v>
      </c>
      <c r="N89">
        <v>88</v>
      </c>
      <c r="O89">
        <v>3650</v>
      </c>
    </row>
    <row r="90" spans="12:15" ht="13.2" x14ac:dyDescent="0.25">
      <c r="L90" s="51" t="s">
        <v>136</v>
      </c>
      <c r="M90" s="51" t="s">
        <v>163</v>
      </c>
      <c r="N90">
        <v>89</v>
      </c>
      <c r="O90">
        <v>4445</v>
      </c>
    </row>
    <row r="91" spans="12:15" ht="13.2" x14ac:dyDescent="0.25">
      <c r="L91" s="51" t="s">
        <v>136</v>
      </c>
      <c r="M91" s="51" t="s">
        <v>163</v>
      </c>
      <c r="N91">
        <v>90</v>
      </c>
      <c r="O91">
        <v>4000</v>
      </c>
    </row>
    <row r="92" spans="12:15" ht="13.2" x14ac:dyDescent="0.25">
      <c r="L92" s="51" t="s">
        <v>136</v>
      </c>
      <c r="M92" s="51" t="s">
        <v>163</v>
      </c>
      <c r="N92">
        <v>91</v>
      </c>
      <c r="O92">
        <v>4845</v>
      </c>
    </row>
    <row r="93" spans="12:15" ht="13.2" x14ac:dyDescent="0.25">
      <c r="L93" s="51" t="s">
        <v>136</v>
      </c>
      <c r="M93" s="51" t="s">
        <v>163</v>
      </c>
      <c r="N93">
        <v>92</v>
      </c>
      <c r="O93">
        <v>5000</v>
      </c>
    </row>
    <row r="94" spans="12:15" ht="13.2" x14ac:dyDescent="0.25">
      <c r="L94" s="51" t="s">
        <v>136</v>
      </c>
      <c r="M94" s="51" t="s">
        <v>163</v>
      </c>
      <c r="N94">
        <v>93</v>
      </c>
      <c r="O94">
        <v>4560</v>
      </c>
    </row>
    <row r="95" spans="12:15" ht="13.2" x14ac:dyDescent="0.25">
      <c r="L95" s="51" t="s">
        <v>136</v>
      </c>
      <c r="M95" s="51" t="s">
        <v>163</v>
      </c>
      <c r="N95">
        <v>94</v>
      </c>
      <c r="O95">
        <v>4700</v>
      </c>
    </row>
    <row r="96" spans="12:15" ht="13.2" x14ac:dyDescent="0.25">
      <c r="L96" s="51" t="s">
        <v>136</v>
      </c>
      <c r="M96" s="51" t="s">
        <v>163</v>
      </c>
      <c r="N96">
        <v>95</v>
      </c>
      <c r="O96">
        <v>4310</v>
      </c>
    </row>
    <row r="97" spans="12:15" ht="13.2" x14ac:dyDescent="0.25">
      <c r="L97" s="51" t="s">
        <v>136</v>
      </c>
      <c r="M97" s="51" t="s">
        <v>163</v>
      </c>
      <c r="N97">
        <v>96</v>
      </c>
      <c r="O97">
        <v>4310</v>
      </c>
    </row>
    <row r="98" spans="12:15" ht="13.2" x14ac:dyDescent="0.25">
      <c r="L98" s="51" t="s">
        <v>136</v>
      </c>
      <c r="M98" s="51" t="s">
        <v>163</v>
      </c>
      <c r="N98">
        <v>97</v>
      </c>
      <c r="O98">
        <v>5000</v>
      </c>
    </row>
    <row r="99" spans="12:15" ht="13.2" x14ac:dyDescent="0.25">
      <c r="L99" s="51" t="s">
        <v>136</v>
      </c>
      <c r="M99" s="51" t="s">
        <v>163</v>
      </c>
      <c r="N99">
        <v>98</v>
      </c>
      <c r="O99">
        <v>4575</v>
      </c>
    </row>
    <row r="100" spans="12:15" ht="13.2" x14ac:dyDescent="0.25">
      <c r="L100" s="51" t="s">
        <v>136</v>
      </c>
      <c r="M100" s="51" t="s">
        <v>163</v>
      </c>
      <c r="N100">
        <v>99</v>
      </c>
      <c r="O100">
        <v>4700</v>
      </c>
    </row>
    <row r="101" spans="12:15" ht="13.2" x14ac:dyDescent="0.25">
      <c r="L101" s="51" t="s">
        <v>136</v>
      </c>
      <c r="M101" s="51" t="s">
        <v>163</v>
      </c>
      <c r="N101">
        <v>100</v>
      </c>
      <c r="O101">
        <v>4430</v>
      </c>
    </row>
    <row r="102" spans="12:15" ht="13.2" x14ac:dyDescent="0.25">
      <c r="L102" s="51" t="s">
        <v>136</v>
      </c>
      <c r="M102" s="51" t="s">
        <v>163</v>
      </c>
      <c r="N102">
        <v>101</v>
      </c>
      <c r="O102">
        <v>4850</v>
      </c>
    </row>
    <row r="103" spans="12:15" ht="13.2" x14ac:dyDescent="0.25">
      <c r="L103" s="51" t="s">
        <v>136</v>
      </c>
      <c r="M103" s="51" t="s">
        <v>163</v>
      </c>
      <c r="N103">
        <v>102</v>
      </c>
      <c r="O103">
        <v>4850</v>
      </c>
    </row>
    <row r="104" spans="12:15" ht="13.2" x14ac:dyDescent="0.25">
      <c r="L104" s="51" t="s">
        <v>136</v>
      </c>
      <c r="M104" s="51" t="s">
        <v>163</v>
      </c>
      <c r="N104">
        <v>103</v>
      </c>
      <c r="O104">
        <v>4570</v>
      </c>
    </row>
    <row r="105" spans="12:15" ht="13.2" x14ac:dyDescent="0.25">
      <c r="L105" s="51" t="s">
        <v>136</v>
      </c>
      <c r="M105" s="51" t="s">
        <v>163</v>
      </c>
      <c r="N105">
        <v>104</v>
      </c>
      <c r="O105">
        <v>4570</v>
      </c>
    </row>
    <row r="106" spans="12:15" ht="13.2" x14ac:dyDescent="0.25">
      <c r="L106" s="51" t="s">
        <v>136</v>
      </c>
      <c r="M106" s="51" t="s">
        <v>163</v>
      </c>
      <c r="N106">
        <v>105</v>
      </c>
      <c r="O106">
        <v>4855</v>
      </c>
    </row>
    <row r="107" spans="12:15" ht="13.2" x14ac:dyDescent="0.25">
      <c r="L107" s="51" t="s">
        <v>136</v>
      </c>
      <c r="M107" s="51" t="s">
        <v>163</v>
      </c>
      <c r="N107">
        <v>106</v>
      </c>
      <c r="O107">
        <v>4160</v>
      </c>
    </row>
    <row r="108" spans="12:15" ht="13.2" x14ac:dyDescent="0.25">
      <c r="L108" s="51" t="s">
        <v>136</v>
      </c>
      <c r="M108" s="51" t="s">
        <v>163</v>
      </c>
      <c r="N108">
        <v>107</v>
      </c>
      <c r="O108">
        <v>4325</v>
      </c>
    </row>
    <row r="109" spans="12:15" ht="13.2" x14ac:dyDescent="0.25">
      <c r="L109" s="51" t="s">
        <v>136</v>
      </c>
      <c r="M109" s="51" t="s">
        <v>163</v>
      </c>
      <c r="N109">
        <v>108</v>
      </c>
      <c r="O109">
        <v>4125</v>
      </c>
    </row>
    <row r="110" spans="12:15" ht="13.2" x14ac:dyDescent="0.25">
      <c r="L110" s="51" t="s">
        <v>136</v>
      </c>
      <c r="M110" s="51" t="s">
        <v>163</v>
      </c>
      <c r="N110">
        <v>109</v>
      </c>
      <c r="O110">
        <v>4100</v>
      </c>
    </row>
    <row r="111" spans="12:15" ht="13.2" x14ac:dyDescent="0.25">
      <c r="L111" s="51" t="s">
        <v>136</v>
      </c>
      <c r="M111" s="51" t="s">
        <v>163</v>
      </c>
      <c r="N111">
        <v>110</v>
      </c>
      <c r="O111">
        <v>4340</v>
      </c>
    </row>
    <row r="112" spans="12:15" ht="13.2" x14ac:dyDescent="0.25">
      <c r="L112" s="51" t="s">
        <v>136</v>
      </c>
      <c r="M112" s="51" t="s">
        <v>163</v>
      </c>
      <c r="N112">
        <v>111</v>
      </c>
      <c r="O112">
        <v>4575</v>
      </c>
    </row>
    <row r="113" spans="12:15" ht="13.2" x14ac:dyDescent="0.25">
      <c r="L113" s="51" t="s">
        <v>136</v>
      </c>
      <c r="M113" s="51" t="s">
        <v>163</v>
      </c>
      <c r="N113">
        <v>112</v>
      </c>
      <c r="O113">
        <v>3875</v>
      </c>
    </row>
    <row r="114" spans="12:15" ht="13.2" x14ac:dyDescent="0.25">
      <c r="L114" s="51" t="s">
        <v>136</v>
      </c>
      <c r="M114" s="51" t="s">
        <v>163</v>
      </c>
      <c r="N114">
        <v>113</v>
      </c>
      <c r="O114">
        <v>4050</v>
      </c>
    </row>
    <row r="115" spans="12:15" ht="13.2" x14ac:dyDescent="0.25">
      <c r="L115" s="51" t="s">
        <v>136</v>
      </c>
      <c r="M115" s="51" t="s">
        <v>163</v>
      </c>
      <c r="N115">
        <v>114</v>
      </c>
      <c r="O115">
        <v>4050</v>
      </c>
    </row>
    <row r="116" spans="12:15" ht="13.2" x14ac:dyDescent="0.25">
      <c r="L116" s="51" t="s">
        <v>136</v>
      </c>
      <c r="M116" s="51" t="s">
        <v>163</v>
      </c>
      <c r="N116">
        <v>115</v>
      </c>
      <c r="O116">
        <v>4685</v>
      </c>
    </row>
    <row r="117" spans="12:15" ht="13.2" x14ac:dyDescent="0.25">
      <c r="L117" s="51" t="s">
        <v>136</v>
      </c>
      <c r="M117" s="51" t="s">
        <v>163</v>
      </c>
      <c r="N117">
        <v>116</v>
      </c>
      <c r="O117">
        <v>4685</v>
      </c>
    </row>
    <row r="118" spans="12:15" ht="13.2" x14ac:dyDescent="0.25">
      <c r="L118" s="51" t="s">
        <v>136</v>
      </c>
      <c r="M118" s="51" t="s">
        <v>163</v>
      </c>
      <c r="N118">
        <v>117</v>
      </c>
      <c r="O118">
        <v>4430</v>
      </c>
    </row>
    <row r="119" spans="12:15" ht="13.2" x14ac:dyDescent="0.25">
      <c r="L119" s="51" t="s">
        <v>136</v>
      </c>
      <c r="M119" s="51" t="s">
        <v>163</v>
      </c>
      <c r="N119">
        <v>118</v>
      </c>
      <c r="O119">
        <v>4300</v>
      </c>
    </row>
    <row r="120" spans="12:15" ht="13.2" x14ac:dyDescent="0.25">
      <c r="L120" s="51" t="s">
        <v>136</v>
      </c>
      <c r="M120" s="51" t="s">
        <v>163</v>
      </c>
      <c r="N120">
        <v>119</v>
      </c>
      <c r="O120">
        <v>4690</v>
      </c>
    </row>
    <row r="121" spans="12:15" ht="13.2" x14ac:dyDescent="0.25">
      <c r="L121" s="51" t="s">
        <v>136</v>
      </c>
      <c r="M121" s="51" t="s">
        <v>163</v>
      </c>
      <c r="N121">
        <v>120</v>
      </c>
      <c r="O121">
        <v>4560</v>
      </c>
    </row>
    <row r="122" spans="12:15" ht="13.2" x14ac:dyDescent="0.25">
      <c r="L122" s="51" t="s">
        <v>136</v>
      </c>
      <c r="M122" s="51" t="s">
        <v>163</v>
      </c>
      <c r="N122">
        <v>121</v>
      </c>
      <c r="O122">
        <v>3075</v>
      </c>
    </row>
    <row r="123" spans="12:15" ht="13.2" x14ac:dyDescent="0.25">
      <c r="L123" s="51" t="s">
        <v>136</v>
      </c>
      <c r="M123" s="51" t="s">
        <v>163</v>
      </c>
      <c r="N123">
        <v>122</v>
      </c>
      <c r="O123">
        <v>2965</v>
      </c>
    </row>
    <row r="124" spans="12:15" ht="13.2" x14ac:dyDescent="0.25">
      <c r="L124" s="51" t="s">
        <v>136</v>
      </c>
      <c r="M124" s="51" t="s">
        <v>163</v>
      </c>
      <c r="N124">
        <v>123</v>
      </c>
      <c r="O124">
        <v>4080</v>
      </c>
    </row>
    <row r="125" spans="12:15" ht="13.2" x14ac:dyDescent="0.25">
      <c r="L125" s="51" t="s">
        <v>136</v>
      </c>
      <c r="M125" s="51" t="s">
        <v>163</v>
      </c>
      <c r="N125">
        <v>124</v>
      </c>
      <c r="O125">
        <v>4080</v>
      </c>
    </row>
    <row r="126" spans="12:15" ht="13.2" x14ac:dyDescent="0.25">
      <c r="L126" s="51" t="s">
        <v>136</v>
      </c>
      <c r="M126" s="51" t="s">
        <v>163</v>
      </c>
      <c r="N126">
        <v>125</v>
      </c>
      <c r="O126">
        <v>4425</v>
      </c>
    </row>
    <row r="127" spans="12:15" ht="13.2" x14ac:dyDescent="0.25">
      <c r="L127" s="51" t="s">
        <v>136</v>
      </c>
      <c r="M127" s="51" t="s">
        <v>163</v>
      </c>
      <c r="N127">
        <v>126</v>
      </c>
      <c r="O127">
        <v>4300</v>
      </c>
    </row>
    <row r="128" spans="12:15" ht="13.2" x14ac:dyDescent="0.25">
      <c r="L128" s="51" t="s">
        <v>136</v>
      </c>
      <c r="M128" s="51" t="s">
        <v>163</v>
      </c>
      <c r="N128">
        <v>127</v>
      </c>
      <c r="O128">
        <v>4430</v>
      </c>
    </row>
    <row r="129" spans="12:15" ht="13.2" x14ac:dyDescent="0.25">
      <c r="L129" s="51" t="s">
        <v>136</v>
      </c>
      <c r="M129" s="51" t="s">
        <v>163</v>
      </c>
      <c r="N129">
        <v>128</v>
      </c>
      <c r="O129">
        <v>4840</v>
      </c>
    </row>
    <row r="130" spans="12:15" ht="13.2" x14ac:dyDescent="0.25">
      <c r="L130" s="51" t="s">
        <v>136</v>
      </c>
      <c r="M130" s="51" t="s">
        <v>163</v>
      </c>
      <c r="N130">
        <v>129</v>
      </c>
      <c r="O130">
        <v>4840</v>
      </c>
    </row>
    <row r="131" spans="12:15" ht="13.2" x14ac:dyDescent="0.25">
      <c r="L131" s="51" t="s">
        <v>136</v>
      </c>
      <c r="M131" s="51" t="s">
        <v>163</v>
      </c>
      <c r="N131">
        <v>130</v>
      </c>
      <c r="O131">
        <v>4310</v>
      </c>
    </row>
    <row r="132" spans="12:15" ht="13.2" x14ac:dyDescent="0.25">
      <c r="L132" s="51" t="s">
        <v>136</v>
      </c>
      <c r="M132" s="51" t="s">
        <v>163</v>
      </c>
      <c r="N132">
        <v>131</v>
      </c>
      <c r="O132">
        <v>4185</v>
      </c>
    </row>
    <row r="133" spans="12:15" ht="13.2" x14ac:dyDescent="0.25">
      <c r="L133" s="51" t="s">
        <v>136</v>
      </c>
      <c r="M133" s="51" t="s">
        <v>163</v>
      </c>
      <c r="N133">
        <v>132</v>
      </c>
      <c r="O133">
        <v>4570</v>
      </c>
    </row>
    <row r="134" spans="12:15" ht="13.2" x14ac:dyDescent="0.25">
      <c r="L134" s="51" t="s">
        <v>136</v>
      </c>
      <c r="M134" s="51" t="s">
        <v>163</v>
      </c>
      <c r="N134">
        <v>133</v>
      </c>
      <c r="O134">
        <v>4700</v>
      </c>
    </row>
    <row r="135" spans="12:15" ht="13.2" x14ac:dyDescent="0.25">
      <c r="L135" s="51" t="s">
        <v>136</v>
      </c>
      <c r="M135" s="51" t="s">
        <v>163</v>
      </c>
      <c r="N135">
        <v>134</v>
      </c>
      <c r="O135">
        <v>4440</v>
      </c>
    </row>
    <row r="136" spans="12:15" ht="13.2" x14ac:dyDescent="0.25">
      <c r="L136" s="51" t="s">
        <v>136</v>
      </c>
      <c r="M136" s="51" t="s">
        <v>163</v>
      </c>
      <c r="N136">
        <v>135</v>
      </c>
      <c r="O136">
        <v>4850</v>
      </c>
    </row>
    <row r="137" spans="12:15" ht="13.2" x14ac:dyDescent="0.25">
      <c r="L137" s="51" t="s">
        <v>136</v>
      </c>
      <c r="M137" s="51" t="s">
        <v>163</v>
      </c>
      <c r="N137">
        <v>136</v>
      </c>
      <c r="O137">
        <v>4125</v>
      </c>
    </row>
    <row r="138" spans="12:15" ht="13.2" x14ac:dyDescent="0.25">
      <c r="L138" s="51" t="s">
        <v>136</v>
      </c>
      <c r="M138" s="51" t="s">
        <v>163</v>
      </c>
      <c r="N138">
        <v>137</v>
      </c>
      <c r="O138">
        <v>4450</v>
      </c>
    </row>
    <row r="139" spans="12:15" ht="13.2" x14ac:dyDescent="0.25">
      <c r="L139" s="51" t="s">
        <v>136</v>
      </c>
      <c r="M139" s="51" t="s">
        <v>163</v>
      </c>
      <c r="N139">
        <v>138</v>
      </c>
      <c r="O139">
        <v>4450</v>
      </c>
    </row>
    <row r="140" spans="12:15" ht="13.2" x14ac:dyDescent="0.25">
      <c r="L140" s="51" t="s">
        <v>136</v>
      </c>
      <c r="M140" s="51" t="s">
        <v>163</v>
      </c>
      <c r="N140">
        <v>139</v>
      </c>
      <c r="O140">
        <v>4850</v>
      </c>
    </row>
    <row r="141" spans="12:15" ht="13.2" x14ac:dyDescent="0.25">
      <c r="L141" s="51" t="s">
        <v>136</v>
      </c>
      <c r="M141" s="51" t="s">
        <v>163</v>
      </c>
      <c r="N141">
        <v>140</v>
      </c>
      <c r="O141">
        <v>4450</v>
      </c>
    </row>
    <row r="142" spans="12:15" ht="13.2" x14ac:dyDescent="0.25">
      <c r="L142" s="51" t="s">
        <v>136</v>
      </c>
      <c r="M142" s="51" t="s">
        <v>163</v>
      </c>
      <c r="N142">
        <v>141</v>
      </c>
      <c r="O142">
        <v>3635</v>
      </c>
    </row>
    <row r="143" spans="12:15" ht="13.2" x14ac:dyDescent="0.25">
      <c r="L143" s="51" t="s">
        <v>136</v>
      </c>
      <c r="M143" s="51" t="s">
        <v>163</v>
      </c>
      <c r="N143">
        <v>142</v>
      </c>
      <c r="O143">
        <v>3635</v>
      </c>
    </row>
    <row r="144" spans="12:15" ht="13.2" x14ac:dyDescent="0.25">
      <c r="L144" s="51" t="s">
        <v>136</v>
      </c>
      <c r="M144" s="51" t="s">
        <v>163</v>
      </c>
      <c r="N144">
        <v>143</v>
      </c>
      <c r="O144">
        <v>3635</v>
      </c>
    </row>
    <row r="145" spans="12:15" ht="13.2" x14ac:dyDescent="0.25">
      <c r="L145" s="51" t="s">
        <v>136</v>
      </c>
      <c r="M145" s="51" t="s">
        <v>163</v>
      </c>
      <c r="N145">
        <v>144</v>
      </c>
      <c r="O145">
        <v>3900</v>
      </c>
    </row>
    <row r="146" spans="12:15" ht="13.2" x14ac:dyDescent="0.25">
      <c r="L146" s="51" t="s">
        <v>136</v>
      </c>
      <c r="M146" s="51" t="s">
        <v>163</v>
      </c>
      <c r="N146">
        <v>145</v>
      </c>
      <c r="O146">
        <v>4340</v>
      </c>
    </row>
    <row r="147" spans="12:15" ht="13.2" x14ac:dyDescent="0.25">
      <c r="L147" s="51" t="s">
        <v>136</v>
      </c>
      <c r="M147" s="51" t="s">
        <v>163</v>
      </c>
      <c r="N147">
        <v>146</v>
      </c>
      <c r="O147">
        <v>4340</v>
      </c>
    </row>
    <row r="148" spans="12:15" ht="13.2" x14ac:dyDescent="0.25">
      <c r="L148" s="51" t="s">
        <v>136</v>
      </c>
      <c r="M148" s="51" t="s">
        <v>163</v>
      </c>
      <c r="N148">
        <v>147</v>
      </c>
      <c r="O148">
        <v>3665</v>
      </c>
    </row>
    <row r="149" spans="12:15" ht="13.2" x14ac:dyDescent="0.25">
      <c r="L149" s="51" t="s">
        <v>136</v>
      </c>
      <c r="M149" s="51" t="s">
        <v>163</v>
      </c>
      <c r="N149">
        <v>148</v>
      </c>
      <c r="O149">
        <v>3775</v>
      </c>
    </row>
    <row r="150" spans="12:15" ht="13.2" x14ac:dyDescent="0.25">
      <c r="L150" s="51" t="s">
        <v>136</v>
      </c>
      <c r="M150" s="51" t="s">
        <v>163</v>
      </c>
      <c r="N150">
        <v>149</v>
      </c>
      <c r="O150">
        <v>5000</v>
      </c>
    </row>
    <row r="151" spans="12:15" ht="13.2" x14ac:dyDescent="0.25">
      <c r="L151" s="51" t="s">
        <v>136</v>
      </c>
      <c r="M151" s="51" t="s">
        <v>163</v>
      </c>
      <c r="N151">
        <v>150</v>
      </c>
      <c r="O151">
        <v>4850</v>
      </c>
    </row>
    <row r="152" spans="12:15" ht="13.2" x14ac:dyDescent="0.25">
      <c r="L152" s="51" t="s">
        <v>136</v>
      </c>
      <c r="M152" s="51" t="s">
        <v>163</v>
      </c>
      <c r="N152">
        <v>151</v>
      </c>
      <c r="O152">
        <v>4775</v>
      </c>
    </row>
    <row r="153" spans="12:15" ht="13.2" x14ac:dyDescent="0.25">
      <c r="L153" s="51" t="s">
        <v>136</v>
      </c>
      <c r="M153" s="51" t="s">
        <v>163</v>
      </c>
      <c r="N153">
        <v>152</v>
      </c>
      <c r="O153">
        <v>4500</v>
      </c>
    </row>
    <row r="154" spans="12:15" ht="13.2" x14ac:dyDescent="0.25">
      <c r="L154" s="51" t="s">
        <v>136</v>
      </c>
      <c r="M154" s="51" t="s">
        <v>163</v>
      </c>
      <c r="N154">
        <v>153</v>
      </c>
      <c r="O154">
        <v>4770</v>
      </c>
    </row>
    <row r="155" spans="12:15" ht="13.2" x14ac:dyDescent="0.25">
      <c r="L155" s="51" t="s">
        <v>136</v>
      </c>
      <c r="M155" s="51" t="s">
        <v>163</v>
      </c>
      <c r="N155">
        <v>154</v>
      </c>
      <c r="O155">
        <v>4500</v>
      </c>
    </row>
    <row r="156" spans="12:15" ht="13.2" x14ac:dyDescent="0.25">
      <c r="L156" s="51" t="s">
        <v>136</v>
      </c>
      <c r="M156" s="51" t="s">
        <v>163</v>
      </c>
      <c r="N156">
        <v>155</v>
      </c>
      <c r="O156">
        <v>4770</v>
      </c>
    </row>
    <row r="157" spans="12:15" ht="13.2" x14ac:dyDescent="0.25">
      <c r="L157" s="51" t="s">
        <v>136</v>
      </c>
      <c r="M157" s="51" t="s">
        <v>163</v>
      </c>
      <c r="N157">
        <v>156</v>
      </c>
      <c r="O157">
        <v>5150</v>
      </c>
    </row>
    <row r="158" spans="12:15" ht="13.2" x14ac:dyDescent="0.25">
      <c r="L158" s="51" t="s">
        <v>136</v>
      </c>
      <c r="M158" s="51" t="s">
        <v>163</v>
      </c>
      <c r="N158">
        <v>157</v>
      </c>
      <c r="O158">
        <v>4850</v>
      </c>
    </row>
    <row r="159" spans="12:15" ht="13.2" x14ac:dyDescent="0.25">
      <c r="L159" s="51" t="s">
        <v>136</v>
      </c>
      <c r="M159" s="51" t="s">
        <v>163</v>
      </c>
      <c r="N159">
        <v>158</v>
      </c>
      <c r="O159">
        <v>4700</v>
      </c>
    </row>
    <row r="160" spans="12:15" ht="13.2" x14ac:dyDescent="0.25">
      <c r="L160" s="51" t="s">
        <v>136</v>
      </c>
      <c r="M160" s="51" t="s">
        <v>163</v>
      </c>
      <c r="N160">
        <v>159</v>
      </c>
      <c r="O160">
        <v>5000</v>
      </c>
    </row>
    <row r="161" spans="12:15" ht="13.2" x14ac:dyDescent="0.25">
      <c r="L161" s="51" t="s">
        <v>136</v>
      </c>
      <c r="M161" s="51" t="s">
        <v>163</v>
      </c>
      <c r="N161">
        <v>160</v>
      </c>
      <c r="O161">
        <v>5000</v>
      </c>
    </row>
    <row r="162" spans="12:15" ht="13.2" x14ac:dyDescent="0.25">
      <c r="L162" s="51" t="s">
        <v>136</v>
      </c>
      <c r="M162" s="51" t="s">
        <v>163</v>
      </c>
      <c r="N162">
        <v>161</v>
      </c>
      <c r="O162">
        <v>5000</v>
      </c>
    </row>
    <row r="163" spans="12:15" ht="13.2" x14ac:dyDescent="0.25">
      <c r="L163" s="51" t="s">
        <v>136</v>
      </c>
      <c r="M163" s="51" t="s">
        <v>163</v>
      </c>
      <c r="N163">
        <v>162</v>
      </c>
      <c r="O163">
        <v>4700</v>
      </c>
    </row>
    <row r="164" spans="12:15" ht="13.2" x14ac:dyDescent="0.25">
      <c r="L164" s="51" t="s">
        <v>136</v>
      </c>
      <c r="M164" s="51" t="s">
        <v>163</v>
      </c>
      <c r="N164">
        <v>163</v>
      </c>
      <c r="O164">
        <v>4500</v>
      </c>
    </row>
    <row r="165" spans="12:15" ht="13.2" x14ac:dyDescent="0.25">
      <c r="L165" s="51" t="s">
        <v>136</v>
      </c>
      <c r="M165" s="51" t="s">
        <v>163</v>
      </c>
      <c r="N165">
        <v>164</v>
      </c>
      <c r="O165">
        <v>4840</v>
      </c>
    </row>
    <row r="166" spans="12:15" ht="13.2" x14ac:dyDescent="0.25">
      <c r="L166" s="51" t="s">
        <v>136</v>
      </c>
      <c r="M166" s="51" t="s">
        <v>163</v>
      </c>
      <c r="N166">
        <v>165</v>
      </c>
      <c r="O166">
        <v>5075</v>
      </c>
    </row>
    <row r="167" spans="12:15" ht="13.2" x14ac:dyDescent="0.25">
      <c r="L167" s="51" t="s">
        <v>136</v>
      </c>
      <c r="M167" s="51" t="s">
        <v>163</v>
      </c>
      <c r="N167">
        <v>166</v>
      </c>
      <c r="O167">
        <v>5000</v>
      </c>
    </row>
    <row r="168" spans="12:15" ht="13.2" x14ac:dyDescent="0.25">
      <c r="L168" s="51" t="s">
        <v>136</v>
      </c>
      <c r="M168" s="51" t="s">
        <v>163</v>
      </c>
      <c r="N168">
        <v>167</v>
      </c>
      <c r="O168">
        <v>4770</v>
      </c>
    </row>
    <row r="169" spans="12:15" ht="13.2" x14ac:dyDescent="0.25">
      <c r="L169" s="51" t="s">
        <v>136</v>
      </c>
      <c r="M169" s="51" t="s">
        <v>163</v>
      </c>
      <c r="N169">
        <v>168</v>
      </c>
      <c r="O169">
        <v>4570</v>
      </c>
    </row>
    <row r="170" spans="12:15" ht="13.2" x14ac:dyDescent="0.25">
      <c r="L170" s="51" t="s">
        <v>136</v>
      </c>
      <c r="M170" s="51" t="s">
        <v>163</v>
      </c>
      <c r="N170">
        <v>169</v>
      </c>
      <c r="O170">
        <v>4925</v>
      </c>
    </row>
    <row r="171" spans="12:15" ht="13.2" x14ac:dyDescent="0.25">
      <c r="L171" s="51" t="s">
        <v>136</v>
      </c>
      <c r="M171" s="51" t="s">
        <v>163</v>
      </c>
      <c r="N171">
        <v>170</v>
      </c>
      <c r="O171">
        <v>4775</v>
      </c>
    </row>
    <row r="172" spans="12:15" ht="13.2" x14ac:dyDescent="0.25">
      <c r="L172" s="51" t="s">
        <v>136</v>
      </c>
      <c r="M172" s="51" t="s">
        <v>163</v>
      </c>
      <c r="N172">
        <v>171</v>
      </c>
      <c r="O172">
        <v>5075</v>
      </c>
    </row>
    <row r="173" spans="12:15" ht="13.2" x14ac:dyDescent="0.25">
      <c r="L173" s="51" t="s">
        <v>136</v>
      </c>
      <c r="M173" s="51" t="s">
        <v>163</v>
      </c>
      <c r="N173">
        <v>172</v>
      </c>
      <c r="O173">
        <v>4925</v>
      </c>
    </row>
    <row r="174" spans="12:15" ht="13.2" x14ac:dyDescent="0.25">
      <c r="L174" s="51" t="s">
        <v>136</v>
      </c>
      <c r="M174" s="51" t="s">
        <v>163</v>
      </c>
      <c r="N174">
        <v>173</v>
      </c>
      <c r="O174">
        <v>5075</v>
      </c>
    </row>
    <row r="175" spans="12:15" ht="13.2" x14ac:dyDescent="0.25">
      <c r="L175" s="51" t="s">
        <v>136</v>
      </c>
      <c r="M175" s="51" t="s">
        <v>163</v>
      </c>
      <c r="N175">
        <v>174</v>
      </c>
      <c r="O175">
        <v>4925</v>
      </c>
    </row>
    <row r="176" spans="12:15" ht="13.2" x14ac:dyDescent="0.25">
      <c r="L176" s="51" t="s">
        <v>136</v>
      </c>
      <c r="M176" s="51" t="s">
        <v>163</v>
      </c>
      <c r="N176">
        <v>175</v>
      </c>
      <c r="O176">
        <v>5250</v>
      </c>
    </row>
    <row r="177" spans="12:15" ht="13.2" x14ac:dyDescent="0.25">
      <c r="L177" s="51" t="s">
        <v>136</v>
      </c>
      <c r="M177" s="51" t="s">
        <v>163</v>
      </c>
      <c r="N177">
        <v>176</v>
      </c>
      <c r="O177">
        <v>4915</v>
      </c>
    </row>
    <row r="178" spans="12:15" ht="13.2" x14ac:dyDescent="0.25">
      <c r="L178" s="51" t="s">
        <v>136</v>
      </c>
      <c r="M178" s="51" t="s">
        <v>163</v>
      </c>
      <c r="N178">
        <v>177</v>
      </c>
      <c r="O178">
        <v>5600</v>
      </c>
    </row>
    <row r="179" spans="12:15" ht="13.2" x14ac:dyDescent="0.25">
      <c r="L179" s="51" t="s">
        <v>136</v>
      </c>
      <c r="M179" s="51" t="s">
        <v>163</v>
      </c>
      <c r="N179">
        <v>178</v>
      </c>
      <c r="O179">
        <v>5075</v>
      </c>
    </row>
    <row r="180" spans="12:15" ht="13.2" x14ac:dyDescent="0.25">
      <c r="L180" s="51" t="s">
        <v>136</v>
      </c>
      <c r="M180" s="51" t="s">
        <v>163</v>
      </c>
      <c r="N180">
        <v>179</v>
      </c>
      <c r="O180">
        <v>4450</v>
      </c>
    </row>
    <row r="181" spans="12:15" ht="13.2" x14ac:dyDescent="0.25">
      <c r="L181" s="51" t="s">
        <v>136</v>
      </c>
      <c r="M181" s="51" t="s">
        <v>163</v>
      </c>
      <c r="N181">
        <v>180</v>
      </c>
      <c r="O181">
        <v>4215</v>
      </c>
    </row>
    <row r="182" spans="12:15" ht="13.2" x14ac:dyDescent="0.25">
      <c r="L182" s="51" t="s">
        <v>136</v>
      </c>
      <c r="M182" s="51" t="s">
        <v>163</v>
      </c>
      <c r="N182">
        <v>181</v>
      </c>
      <c r="O182">
        <v>4325</v>
      </c>
    </row>
    <row r="183" spans="12:15" ht="13.2" x14ac:dyDescent="0.25">
      <c r="L183" s="51" t="s">
        <v>136</v>
      </c>
      <c r="M183" s="51" t="s">
        <v>163</v>
      </c>
      <c r="N183">
        <v>182</v>
      </c>
      <c r="O183">
        <v>4665</v>
      </c>
    </row>
    <row r="184" spans="12:15" ht="13.2" x14ac:dyDescent="0.25">
      <c r="L184" s="51" t="s">
        <v>136</v>
      </c>
      <c r="M184" s="51" t="s">
        <v>163</v>
      </c>
      <c r="N184">
        <v>183</v>
      </c>
      <c r="O184">
        <v>4615</v>
      </c>
    </row>
    <row r="185" spans="12:15" ht="13.2" x14ac:dyDescent="0.25">
      <c r="L185" s="51" t="s">
        <v>136</v>
      </c>
      <c r="M185" s="51" t="s">
        <v>163</v>
      </c>
      <c r="N185">
        <v>184</v>
      </c>
      <c r="O185">
        <v>4615</v>
      </c>
    </row>
    <row r="186" spans="12:15" ht="13.2" x14ac:dyDescent="0.25">
      <c r="L186" s="51" t="s">
        <v>136</v>
      </c>
      <c r="M186" s="51" t="s">
        <v>163</v>
      </c>
      <c r="N186">
        <v>185</v>
      </c>
      <c r="O186">
        <v>4500</v>
      </c>
    </row>
    <row r="187" spans="12:15" ht="13.2" x14ac:dyDescent="0.25">
      <c r="L187" s="51" t="s">
        <v>136</v>
      </c>
      <c r="M187" s="51" t="s">
        <v>163</v>
      </c>
      <c r="N187">
        <v>186</v>
      </c>
      <c r="O187">
        <v>4765</v>
      </c>
    </row>
    <row r="188" spans="12:15" ht="13.2" x14ac:dyDescent="0.25">
      <c r="L188" s="51" t="s">
        <v>136</v>
      </c>
      <c r="M188" s="51" t="s">
        <v>163</v>
      </c>
      <c r="N188">
        <v>187</v>
      </c>
      <c r="O188">
        <v>4500</v>
      </c>
    </row>
    <row r="189" spans="12:15" ht="13.2" x14ac:dyDescent="0.25">
      <c r="L189" s="51" t="s">
        <v>136</v>
      </c>
      <c r="M189" s="51" t="s">
        <v>163</v>
      </c>
      <c r="N189">
        <v>188</v>
      </c>
      <c r="O189">
        <v>4500</v>
      </c>
    </row>
    <row r="190" spans="12:15" ht="13.2" x14ac:dyDescent="0.25">
      <c r="L190" s="51" t="s">
        <v>136</v>
      </c>
      <c r="M190" s="51" t="s">
        <v>163</v>
      </c>
      <c r="N190">
        <v>189</v>
      </c>
      <c r="O190">
        <v>4850</v>
      </c>
    </row>
    <row r="191" spans="12:15" ht="13.2" x14ac:dyDescent="0.25">
      <c r="L191" s="51" t="s">
        <v>136</v>
      </c>
      <c r="M191" s="51" t="s">
        <v>163</v>
      </c>
      <c r="N191">
        <v>190</v>
      </c>
      <c r="O191">
        <v>4930</v>
      </c>
    </row>
    <row r="192" spans="12:15" ht="13.2" x14ac:dyDescent="0.25">
      <c r="L192" s="51" t="s">
        <v>136</v>
      </c>
      <c r="M192" s="51" t="s">
        <v>163</v>
      </c>
      <c r="N192">
        <v>191</v>
      </c>
      <c r="O192">
        <v>4700</v>
      </c>
    </row>
    <row r="193" spans="12:15" ht="13.2" x14ac:dyDescent="0.25">
      <c r="L193" s="51" t="s">
        <v>136</v>
      </c>
      <c r="M193" s="51" t="s">
        <v>163</v>
      </c>
      <c r="N193">
        <v>192</v>
      </c>
      <c r="O193">
        <v>4890</v>
      </c>
    </row>
    <row r="194" spans="12:15" ht="13.2" x14ac:dyDescent="0.25">
      <c r="L194" s="51" t="s">
        <v>136</v>
      </c>
      <c r="M194" s="51" t="s">
        <v>163</v>
      </c>
      <c r="N194">
        <v>193</v>
      </c>
      <c r="O194">
        <v>4625</v>
      </c>
    </row>
    <row r="195" spans="12:15" ht="13.2" x14ac:dyDescent="0.25">
      <c r="L195" s="51" t="s">
        <v>136</v>
      </c>
      <c r="M195" s="51" t="s">
        <v>163</v>
      </c>
      <c r="N195">
        <v>194</v>
      </c>
      <c r="O195">
        <v>4425</v>
      </c>
    </row>
    <row r="196" spans="12:15" ht="13.2" x14ac:dyDescent="0.25">
      <c r="L196" s="51" t="s">
        <v>136</v>
      </c>
      <c r="M196" s="51" t="s">
        <v>163</v>
      </c>
      <c r="N196">
        <v>195</v>
      </c>
      <c r="O196">
        <v>4135</v>
      </c>
    </row>
    <row r="197" spans="12:15" ht="13.2" x14ac:dyDescent="0.25">
      <c r="L197" s="51" t="s">
        <v>136</v>
      </c>
      <c r="M197" s="51" t="s">
        <v>163</v>
      </c>
      <c r="N197">
        <v>196</v>
      </c>
      <c r="O197">
        <v>4190</v>
      </c>
    </row>
    <row r="198" spans="12:15" ht="13.2" x14ac:dyDescent="0.25">
      <c r="L198" s="51" t="s">
        <v>136</v>
      </c>
      <c r="M198" s="51" t="s">
        <v>163</v>
      </c>
      <c r="N198">
        <v>197</v>
      </c>
      <c r="O198">
        <v>4080</v>
      </c>
    </row>
    <row r="199" spans="12:15" ht="13.2" x14ac:dyDescent="0.25">
      <c r="L199" s="51" t="s">
        <v>136</v>
      </c>
      <c r="M199" s="51" t="s">
        <v>163</v>
      </c>
      <c r="N199">
        <v>198</v>
      </c>
      <c r="O199">
        <v>3690</v>
      </c>
    </row>
    <row r="200" spans="12:15" ht="13.2" x14ac:dyDescent="0.25">
      <c r="L200" s="51" t="s">
        <v>136</v>
      </c>
      <c r="M200" s="51" t="s">
        <v>163</v>
      </c>
      <c r="N200">
        <v>199</v>
      </c>
      <c r="O200">
        <v>5050</v>
      </c>
    </row>
    <row r="201" spans="12:15" ht="13.2" x14ac:dyDescent="0.25">
      <c r="L201" s="51" t="s">
        <v>136</v>
      </c>
      <c r="M201" s="51" t="s">
        <v>163</v>
      </c>
      <c r="N201">
        <v>200</v>
      </c>
      <c r="O201">
        <v>4625</v>
      </c>
    </row>
    <row r="202" spans="12:15" ht="13.2" x14ac:dyDescent="0.25">
      <c r="L202" s="51" t="s">
        <v>136</v>
      </c>
      <c r="M202" s="51" t="s">
        <v>163</v>
      </c>
      <c r="N202">
        <v>201</v>
      </c>
      <c r="O202">
        <v>5150</v>
      </c>
    </row>
    <row r="203" spans="12:15" ht="13.2" x14ac:dyDescent="0.25">
      <c r="L203" s="51" t="s">
        <v>136</v>
      </c>
      <c r="M203" s="51" t="s">
        <v>163</v>
      </c>
      <c r="N203">
        <v>202</v>
      </c>
      <c r="O203">
        <v>5250</v>
      </c>
    </row>
    <row r="204" spans="12:15" ht="13.2" x14ac:dyDescent="0.25">
      <c r="L204" s="51" t="s">
        <v>136</v>
      </c>
      <c r="M204" s="51" t="s">
        <v>163</v>
      </c>
      <c r="N204">
        <v>203</v>
      </c>
      <c r="O204">
        <v>5000</v>
      </c>
    </row>
    <row r="205" spans="12:15" ht="13.2" x14ac:dyDescent="0.25">
      <c r="L205" s="51" t="s">
        <v>136</v>
      </c>
      <c r="M205" s="51" t="s">
        <v>163</v>
      </c>
      <c r="N205">
        <v>204</v>
      </c>
      <c r="O205">
        <v>5000</v>
      </c>
    </row>
    <row r="206" spans="12:15" ht="13.2" x14ac:dyDescent="0.25">
      <c r="L206" s="51" t="s">
        <v>24</v>
      </c>
      <c r="M206" s="51" t="s">
        <v>163</v>
      </c>
      <c r="N206">
        <v>1</v>
      </c>
      <c r="O206">
        <v>4400</v>
      </c>
    </row>
    <row r="207" spans="12:15" ht="13.2" x14ac:dyDescent="0.25">
      <c r="L207" s="51" t="s">
        <v>24</v>
      </c>
      <c r="M207" s="51" t="s">
        <v>163</v>
      </c>
      <c r="N207">
        <v>2</v>
      </c>
      <c r="O207">
        <v>4565</v>
      </c>
    </row>
    <row r="208" spans="12:15" ht="13.2" x14ac:dyDescent="0.25">
      <c r="L208" s="51" t="s">
        <v>24</v>
      </c>
      <c r="M208" s="51" t="s">
        <v>163</v>
      </c>
      <c r="N208">
        <v>3</v>
      </c>
      <c r="O208">
        <v>4495</v>
      </c>
    </row>
    <row r="209" spans="12:15" ht="13.2" x14ac:dyDescent="0.25">
      <c r="L209" s="51" t="s">
        <v>24</v>
      </c>
      <c r="M209" s="51" t="s">
        <v>163</v>
      </c>
      <c r="N209">
        <v>4</v>
      </c>
      <c r="O209">
        <v>4325</v>
      </c>
    </row>
    <row r="210" spans="12:15" ht="13.2" x14ac:dyDescent="0.25">
      <c r="L210" s="51" t="s">
        <v>24</v>
      </c>
      <c r="M210" s="51" t="s">
        <v>163</v>
      </c>
      <c r="N210">
        <v>5</v>
      </c>
      <c r="O210">
        <v>4385</v>
      </c>
    </row>
    <row r="211" spans="12:15" ht="13.2" x14ac:dyDescent="0.25">
      <c r="L211" s="51" t="s">
        <v>24</v>
      </c>
      <c r="M211" s="51" t="s">
        <v>163</v>
      </c>
      <c r="N211">
        <v>6</v>
      </c>
      <c r="O211">
        <v>4545</v>
      </c>
    </row>
    <row r="212" spans="12:15" ht="13.2" x14ac:dyDescent="0.25">
      <c r="L212" s="51" t="s">
        <v>24</v>
      </c>
      <c r="M212" s="51" t="s">
        <v>163</v>
      </c>
      <c r="N212">
        <v>7</v>
      </c>
      <c r="O212">
        <v>4235</v>
      </c>
    </row>
    <row r="213" spans="12:15" ht="13.2" x14ac:dyDescent="0.25">
      <c r="L213" s="51" t="s">
        <v>24</v>
      </c>
      <c r="M213" s="51" t="s">
        <v>163</v>
      </c>
      <c r="N213">
        <v>8</v>
      </c>
      <c r="O213">
        <v>4370</v>
      </c>
    </row>
    <row r="214" spans="12:15" ht="13.2" x14ac:dyDescent="0.25">
      <c r="L214" s="51" t="s">
        <v>24</v>
      </c>
      <c r="M214" s="51" t="s">
        <v>163</v>
      </c>
      <c r="N214">
        <v>9</v>
      </c>
      <c r="O214">
        <v>4340</v>
      </c>
    </row>
    <row r="215" spans="12:15" ht="13.2" x14ac:dyDescent="0.25">
      <c r="L215" s="51" t="s">
        <v>24</v>
      </c>
      <c r="M215" s="51" t="s">
        <v>163</v>
      </c>
      <c r="N215">
        <v>10</v>
      </c>
      <c r="O215">
        <v>4500</v>
      </c>
    </row>
    <row r="216" spans="12:15" ht="13.2" x14ac:dyDescent="0.25">
      <c r="L216" s="51" t="s">
        <v>24</v>
      </c>
      <c r="M216" s="51" t="s">
        <v>163</v>
      </c>
      <c r="N216">
        <v>11</v>
      </c>
      <c r="O216">
        <v>4165</v>
      </c>
    </row>
    <row r="217" spans="12:15" ht="13.2" x14ac:dyDescent="0.25">
      <c r="L217" s="51" t="s">
        <v>24</v>
      </c>
      <c r="M217" s="51" t="s">
        <v>163</v>
      </c>
      <c r="N217">
        <v>12</v>
      </c>
      <c r="O217">
        <v>4000</v>
      </c>
    </row>
    <row r="218" spans="12:15" ht="13.2" x14ac:dyDescent="0.25">
      <c r="L218" s="51" t="s">
        <v>24</v>
      </c>
      <c r="M218" s="51" t="s">
        <v>163</v>
      </c>
      <c r="N218">
        <v>13</v>
      </c>
      <c r="O218">
        <v>4125</v>
      </c>
    </row>
    <row r="219" spans="12:15" ht="13.2" x14ac:dyDescent="0.25">
      <c r="L219" s="51" t="s">
        <v>24</v>
      </c>
      <c r="M219" s="51" t="s">
        <v>163</v>
      </c>
      <c r="N219">
        <v>14</v>
      </c>
      <c r="O219">
        <v>4445</v>
      </c>
    </row>
    <row r="220" spans="12:15" ht="13.2" x14ac:dyDescent="0.25">
      <c r="L220" s="51" t="s">
        <v>24</v>
      </c>
      <c r="M220" s="51" t="s">
        <v>163</v>
      </c>
      <c r="N220">
        <v>15</v>
      </c>
      <c r="O220">
        <v>4775</v>
      </c>
    </row>
    <row r="221" spans="12:15" ht="13.2" x14ac:dyDescent="0.25">
      <c r="L221" s="51" t="s">
        <v>24</v>
      </c>
      <c r="M221" s="51" t="s">
        <v>163</v>
      </c>
      <c r="N221">
        <v>16</v>
      </c>
      <c r="O221">
        <v>4615</v>
      </c>
    </row>
    <row r="222" spans="12:15" ht="13.2" x14ac:dyDescent="0.25">
      <c r="L222" s="51" t="s">
        <v>24</v>
      </c>
      <c r="M222" s="51" t="s">
        <v>163</v>
      </c>
      <c r="N222">
        <v>17</v>
      </c>
      <c r="O222">
        <v>4465</v>
      </c>
    </row>
    <row r="223" spans="12:15" ht="13.2" x14ac:dyDescent="0.25">
      <c r="L223" s="51" t="s">
        <v>24</v>
      </c>
      <c r="M223" s="51" t="s">
        <v>163</v>
      </c>
      <c r="N223">
        <v>18</v>
      </c>
      <c r="O223">
        <v>4375</v>
      </c>
    </row>
    <row r="224" spans="12:15" ht="13.2" x14ac:dyDescent="0.25">
      <c r="L224" s="51" t="s">
        <v>24</v>
      </c>
      <c r="M224" s="51" t="s">
        <v>163</v>
      </c>
      <c r="N224">
        <v>19</v>
      </c>
      <c r="O224">
        <v>4600</v>
      </c>
    </row>
    <row r="225" spans="12:15" ht="13.2" x14ac:dyDescent="0.25">
      <c r="L225" s="51" t="s">
        <v>24</v>
      </c>
      <c r="M225" s="51" t="s">
        <v>163</v>
      </c>
      <c r="N225">
        <v>20</v>
      </c>
      <c r="O225">
        <v>4260</v>
      </c>
    </row>
    <row r="226" spans="12:15" ht="13.2" x14ac:dyDescent="0.25">
      <c r="L226" s="51" t="s">
        <v>24</v>
      </c>
      <c r="M226" s="51" t="s">
        <v>163</v>
      </c>
      <c r="N226">
        <v>21</v>
      </c>
      <c r="O226">
        <v>4675</v>
      </c>
    </row>
    <row r="227" spans="12:15" ht="13.2" x14ac:dyDescent="0.25">
      <c r="L227" s="51" t="s">
        <v>24</v>
      </c>
      <c r="M227" s="51" t="s">
        <v>163</v>
      </c>
      <c r="N227">
        <v>22</v>
      </c>
      <c r="O227">
        <v>4800</v>
      </c>
    </row>
    <row r="228" spans="12:15" ht="13.2" x14ac:dyDescent="0.25">
      <c r="L228" s="51" t="s">
        <v>24</v>
      </c>
      <c r="M228" s="51" t="s">
        <v>163</v>
      </c>
      <c r="N228">
        <v>23</v>
      </c>
      <c r="O228">
        <v>4410</v>
      </c>
    </row>
    <row r="229" spans="12:15" ht="13.2" x14ac:dyDescent="0.25">
      <c r="L229" s="51" t="s">
        <v>24</v>
      </c>
      <c r="M229" s="51" t="s">
        <v>163</v>
      </c>
      <c r="N229">
        <v>24</v>
      </c>
      <c r="O229">
        <v>4675</v>
      </c>
    </row>
    <row r="230" spans="12:15" ht="13.2" x14ac:dyDescent="0.25">
      <c r="L230" s="51" t="s">
        <v>24</v>
      </c>
      <c r="M230" s="51" t="s">
        <v>163</v>
      </c>
      <c r="N230">
        <v>25</v>
      </c>
      <c r="O230">
        <v>4260</v>
      </c>
    </row>
    <row r="231" spans="12:15" ht="13.2" x14ac:dyDescent="0.25">
      <c r="L231" s="51" t="s">
        <v>24</v>
      </c>
      <c r="M231" s="51" t="s">
        <v>163</v>
      </c>
      <c r="N231">
        <v>26</v>
      </c>
      <c r="O231">
        <v>4000</v>
      </c>
    </row>
    <row r="232" spans="12:15" ht="13.2" x14ac:dyDescent="0.25">
      <c r="L232" s="51" t="s">
        <v>24</v>
      </c>
      <c r="M232" s="51" t="s">
        <v>163</v>
      </c>
      <c r="N232">
        <v>27</v>
      </c>
      <c r="O232">
        <v>4360</v>
      </c>
    </row>
    <row r="233" spans="12:15" ht="13.2" x14ac:dyDescent="0.25">
      <c r="L233" s="51" t="s">
        <v>24</v>
      </c>
      <c r="M233" s="51" t="s">
        <v>163</v>
      </c>
      <c r="N233">
        <v>28</v>
      </c>
      <c r="O233">
        <v>4500</v>
      </c>
    </row>
    <row r="234" spans="12:15" ht="13.2" x14ac:dyDescent="0.25">
      <c r="L234" s="51" t="s">
        <v>24</v>
      </c>
      <c r="M234" s="51" t="s">
        <v>163</v>
      </c>
      <c r="N234">
        <v>29</v>
      </c>
      <c r="O234">
        <v>4460</v>
      </c>
    </row>
    <row r="235" spans="12:15" ht="13.2" x14ac:dyDescent="0.25">
      <c r="L235" s="51" t="s">
        <v>24</v>
      </c>
      <c r="M235" s="51" t="s">
        <v>163</v>
      </c>
      <c r="N235">
        <v>30</v>
      </c>
      <c r="O235">
        <v>4360</v>
      </c>
    </row>
    <row r="236" spans="12:15" ht="13.2" x14ac:dyDescent="0.25">
      <c r="L236" s="51" t="s">
        <v>24</v>
      </c>
      <c r="M236" s="51" t="s">
        <v>163</v>
      </c>
      <c r="N236">
        <v>31</v>
      </c>
      <c r="O236">
        <v>4265</v>
      </c>
    </row>
    <row r="237" spans="12:15" ht="13.2" x14ac:dyDescent="0.25">
      <c r="L237" s="51" t="s">
        <v>24</v>
      </c>
      <c r="M237" s="51" t="s">
        <v>163</v>
      </c>
      <c r="N237">
        <v>32</v>
      </c>
      <c r="O237">
        <v>4635</v>
      </c>
    </row>
    <row r="238" spans="12:15" ht="13.2" x14ac:dyDescent="0.25">
      <c r="L238" s="51" t="s">
        <v>24</v>
      </c>
      <c r="M238" s="51" t="s">
        <v>163</v>
      </c>
      <c r="N238">
        <v>33</v>
      </c>
      <c r="O238">
        <v>4240</v>
      </c>
    </row>
    <row r="239" spans="12:15" ht="13.2" x14ac:dyDescent="0.25">
      <c r="L239" s="51" t="s">
        <v>24</v>
      </c>
      <c r="M239" s="51" t="s">
        <v>163</v>
      </c>
      <c r="N239">
        <v>34</v>
      </c>
      <c r="O239">
        <v>4350</v>
      </c>
    </row>
    <row r="240" spans="12:15" ht="13.2" x14ac:dyDescent="0.25">
      <c r="L240" s="51" t="s">
        <v>24</v>
      </c>
      <c r="M240" s="51" t="s">
        <v>163</v>
      </c>
      <c r="N240">
        <v>35</v>
      </c>
      <c r="O240">
        <v>4220</v>
      </c>
    </row>
    <row r="241" spans="12:15" ht="13.2" x14ac:dyDescent="0.25">
      <c r="L241" s="51" t="s">
        <v>24</v>
      </c>
      <c r="M241" s="51" t="s">
        <v>163</v>
      </c>
      <c r="N241">
        <v>36</v>
      </c>
      <c r="O241">
        <v>4150</v>
      </c>
    </row>
    <row r="242" spans="12:15" ht="13.2" x14ac:dyDescent="0.25">
      <c r="L242" s="51" t="s">
        <v>24</v>
      </c>
      <c r="M242" s="51" t="s">
        <v>163</v>
      </c>
      <c r="N242">
        <v>37</v>
      </c>
      <c r="O242">
        <v>4520</v>
      </c>
    </row>
    <row r="243" spans="12:15" ht="13.2" x14ac:dyDescent="0.25">
      <c r="L243" s="51" t="s">
        <v>24</v>
      </c>
      <c r="M243" s="51" t="s">
        <v>163</v>
      </c>
      <c r="N243">
        <v>38</v>
      </c>
      <c r="O243">
        <v>4545</v>
      </c>
    </row>
    <row r="244" spans="12:15" ht="13.2" x14ac:dyDescent="0.25">
      <c r="L244" s="51" t="s">
        <v>24</v>
      </c>
      <c r="M244" s="51" t="s">
        <v>163</v>
      </c>
      <c r="N244">
        <v>39</v>
      </c>
      <c r="O244">
        <v>4650</v>
      </c>
    </row>
    <row r="245" spans="12:15" ht="13.2" x14ac:dyDescent="0.25">
      <c r="L245" s="51" t="s">
        <v>24</v>
      </c>
      <c r="M245" s="51" t="s">
        <v>163</v>
      </c>
      <c r="N245">
        <v>40</v>
      </c>
      <c r="O245">
        <v>4230</v>
      </c>
    </row>
    <row r="246" spans="12:15" ht="13.2" x14ac:dyDescent="0.25">
      <c r="L246" s="51" t="s">
        <v>24</v>
      </c>
      <c r="M246" s="51" t="s">
        <v>163</v>
      </c>
      <c r="N246">
        <v>41</v>
      </c>
      <c r="O246">
        <v>4320</v>
      </c>
    </row>
    <row r="247" spans="12:15" ht="13.2" x14ac:dyDescent="0.25">
      <c r="L247" s="51" t="s">
        <v>24</v>
      </c>
      <c r="M247" s="51" t="s">
        <v>163</v>
      </c>
      <c r="N247">
        <v>42</v>
      </c>
      <c r="O247">
        <v>4570</v>
      </c>
    </row>
    <row r="248" spans="12:15" ht="13.2" x14ac:dyDescent="0.25">
      <c r="L248" s="51" t="s">
        <v>24</v>
      </c>
      <c r="M248" s="51" t="s">
        <v>163</v>
      </c>
      <c r="N248">
        <v>43</v>
      </c>
      <c r="O248">
        <v>4380</v>
      </c>
    </row>
    <row r="249" spans="12:15" ht="13.2" x14ac:dyDescent="0.25">
      <c r="L249" s="51" t="s">
        <v>24</v>
      </c>
      <c r="M249" s="51" t="s">
        <v>163</v>
      </c>
      <c r="N249">
        <v>44</v>
      </c>
      <c r="O249">
        <v>4450</v>
      </c>
    </row>
    <row r="250" spans="12:15" ht="13.2" x14ac:dyDescent="0.25">
      <c r="L250" s="51" t="s">
        <v>24</v>
      </c>
      <c r="M250" s="51" t="s">
        <v>163</v>
      </c>
      <c r="N250">
        <v>45</v>
      </c>
      <c r="O250">
        <v>4340</v>
      </c>
    </row>
    <row r="251" spans="12:15" ht="13.2" x14ac:dyDescent="0.25">
      <c r="L251" s="51" t="s">
        <v>24</v>
      </c>
      <c r="M251" s="51" t="s">
        <v>163</v>
      </c>
      <c r="N251">
        <v>46</v>
      </c>
      <c r="O251">
        <v>4350</v>
      </c>
    </row>
    <row r="252" spans="12:15" ht="13.2" x14ac:dyDescent="0.25">
      <c r="L252" s="51" t="s">
        <v>24</v>
      </c>
      <c r="M252" s="51" t="s">
        <v>163</v>
      </c>
      <c r="N252">
        <v>47</v>
      </c>
      <c r="O252">
        <v>4660</v>
      </c>
    </row>
    <row r="253" spans="12:15" ht="13.2" x14ac:dyDescent="0.25">
      <c r="L253" s="51" t="s">
        <v>24</v>
      </c>
      <c r="M253" s="51" t="s">
        <v>163</v>
      </c>
      <c r="N253">
        <v>48</v>
      </c>
      <c r="O253">
        <v>4220</v>
      </c>
    </row>
    <row r="254" spans="12:15" ht="13.2" x14ac:dyDescent="0.25">
      <c r="L254" s="51" t="s">
        <v>24</v>
      </c>
      <c r="M254" s="51" t="s">
        <v>163</v>
      </c>
      <c r="N254">
        <v>49</v>
      </c>
      <c r="O254">
        <v>4310</v>
      </c>
    </row>
    <row r="255" spans="12:15" ht="13.2" x14ac:dyDescent="0.25">
      <c r="L255" s="51" t="s">
        <v>24</v>
      </c>
      <c r="M255" s="51" t="s">
        <v>163</v>
      </c>
      <c r="N255">
        <v>50</v>
      </c>
      <c r="O255">
        <v>4250</v>
      </c>
    </row>
    <row r="256" spans="12:15" ht="13.2" x14ac:dyDescent="0.25">
      <c r="L256" s="51" t="s">
        <v>24</v>
      </c>
      <c r="M256" s="51" t="s">
        <v>163</v>
      </c>
      <c r="N256">
        <v>51</v>
      </c>
      <c r="O256">
        <v>4315</v>
      </c>
    </row>
    <row r="257" spans="12:15" ht="13.2" x14ac:dyDescent="0.25">
      <c r="L257" s="51" t="s">
        <v>24</v>
      </c>
      <c r="M257" s="51" t="s">
        <v>163</v>
      </c>
      <c r="N257">
        <v>52</v>
      </c>
      <c r="O257">
        <v>4380</v>
      </c>
    </row>
    <row r="258" spans="12:15" ht="13.2" x14ac:dyDescent="0.25">
      <c r="L258" s="51" t="s">
        <v>24</v>
      </c>
      <c r="M258" s="51" t="s">
        <v>163</v>
      </c>
      <c r="N258">
        <v>53</v>
      </c>
      <c r="O258">
        <v>4490</v>
      </c>
    </row>
    <row r="259" spans="12:15" ht="13.2" x14ac:dyDescent="0.25">
      <c r="L259" s="51" t="s">
        <v>24</v>
      </c>
      <c r="M259" s="51" t="s">
        <v>163</v>
      </c>
      <c r="N259">
        <v>54</v>
      </c>
      <c r="O259">
        <v>4240</v>
      </c>
    </row>
    <row r="260" spans="12:15" ht="13.2" x14ac:dyDescent="0.25">
      <c r="L260" s="51" t="s">
        <v>24</v>
      </c>
      <c r="M260" s="51" t="s">
        <v>163</v>
      </c>
      <c r="N260">
        <v>55</v>
      </c>
      <c r="O260">
        <v>4350</v>
      </c>
    </row>
    <row r="261" spans="12:15" ht="13.2" x14ac:dyDescent="0.25">
      <c r="L261" s="51" t="s">
        <v>24</v>
      </c>
      <c r="M261" s="51" t="s">
        <v>163</v>
      </c>
      <c r="N261">
        <v>56</v>
      </c>
      <c r="O261">
        <v>4320</v>
      </c>
    </row>
    <row r="262" spans="12:15" ht="13.2" x14ac:dyDescent="0.25">
      <c r="L262" s="51" t="s">
        <v>24</v>
      </c>
      <c r="M262" s="51" t="s">
        <v>163</v>
      </c>
      <c r="N262">
        <v>57</v>
      </c>
      <c r="O262">
        <v>4475</v>
      </c>
    </row>
    <row r="263" spans="12:15" ht="13.2" x14ac:dyDescent="0.25">
      <c r="L263" s="51" t="s">
        <v>24</v>
      </c>
      <c r="M263" s="51" t="s">
        <v>163</v>
      </c>
      <c r="N263">
        <v>58</v>
      </c>
      <c r="O263">
        <v>4725</v>
      </c>
    </row>
    <row r="264" spans="12:15" ht="13.2" x14ac:dyDescent="0.25">
      <c r="L264" s="51" t="s">
        <v>24</v>
      </c>
      <c r="M264" s="51" t="s">
        <v>163</v>
      </c>
      <c r="N264">
        <v>59</v>
      </c>
      <c r="O264">
        <v>4540</v>
      </c>
    </row>
    <row r="265" spans="12:15" ht="13.2" x14ac:dyDescent="0.25">
      <c r="L265" s="51" t="s">
        <v>24</v>
      </c>
      <c r="M265" s="51" t="s">
        <v>163</v>
      </c>
      <c r="N265">
        <v>60</v>
      </c>
      <c r="O265">
        <v>4565</v>
      </c>
    </row>
    <row r="266" spans="12:15" ht="13.2" x14ac:dyDescent="0.25">
      <c r="L266" s="51" t="s">
        <v>24</v>
      </c>
      <c r="M266" s="51" t="s">
        <v>163</v>
      </c>
      <c r="N266">
        <v>61</v>
      </c>
      <c r="O266">
        <v>4210</v>
      </c>
    </row>
    <row r="267" spans="12:15" ht="13.2" x14ac:dyDescent="0.25">
      <c r="L267" s="51" t="s">
        <v>24</v>
      </c>
      <c r="M267" s="51" t="s">
        <v>163</v>
      </c>
      <c r="N267">
        <v>62</v>
      </c>
      <c r="O267">
        <v>4540</v>
      </c>
    </row>
    <row r="268" spans="12:15" ht="13.2" x14ac:dyDescent="0.25">
      <c r="L268" s="51" t="s">
        <v>24</v>
      </c>
      <c r="M268" s="51" t="s">
        <v>163</v>
      </c>
      <c r="N268">
        <v>63</v>
      </c>
      <c r="O268">
        <v>4600</v>
      </c>
    </row>
    <row r="269" spans="12:15" ht="13.2" x14ac:dyDescent="0.25">
      <c r="L269" s="51" t="s">
        <v>158</v>
      </c>
      <c r="M269" s="51" t="s">
        <v>158</v>
      </c>
    </row>
    <row r="270" spans="12:15" ht="13.2" x14ac:dyDescent="0.25">
      <c r="L270" s="51" t="s">
        <v>24</v>
      </c>
      <c r="M270" s="51" t="s">
        <v>163</v>
      </c>
      <c r="N270">
        <v>64</v>
      </c>
      <c r="O270">
        <v>4850</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1D1ECE-35E4-46A6-90D6-4E461CE8F7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Fig 13.2. Regions XmR charts</vt:lpstr>
      <vt:lpstr>Fig 13.5. Two types of process</vt:lpstr>
      <vt:lpstr>Fig 13.8. Additional Run chart</vt:lpstr>
      <vt:lpstr>Fig 13.9. Add. XmR chart</vt:lpstr>
      <vt:lpstr>Fig 13.10. Additional Run chart</vt:lpstr>
      <vt:lpstr>Fig 13.11. Additional XmR chart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 Lehner</dc:creator>
  <cp:lastModifiedBy>Jim Lehner</cp:lastModifiedBy>
  <dcterms:created xsi:type="dcterms:W3CDTF">2025-12-16T20:12:27Z</dcterms:created>
  <dcterms:modified xsi:type="dcterms:W3CDTF">2026-05-07T16:38:27Z</dcterms:modified>
</cp:coreProperties>
</file>