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A1711A11-0C9A-4A9C-89D9-5156D195D2A1}" xr6:coauthVersionLast="47" xr6:coauthVersionMax="47" xr10:uidLastSave="{00000000-0000-0000-0000-000000000000}"/>
  <bookViews>
    <workbookView xWindow="6255" yWindow="-14130" windowWidth="21600" windowHeight="11235" xr2:uid="{00000000-000D-0000-FFFF-FFFF00000000}"/>
  </bookViews>
  <sheets>
    <sheet name="Overview" sheetId="1" r:id="rId1"/>
    <sheet name="Fig. G.1. Dublin Rates" sheetId="2" r:id="rId2"/>
    <sheet name="Fig. G.2. Vienna Rates" sheetId="3" r:id="rId3"/>
  </sheets>
  <definedNames>
    <definedName name="ExternalData_1" localSheetId="1" hidden="1">'Fig. G.1. Dublin Rates'!$A$1:$C$58</definedName>
    <definedName name="ExternalData_1" localSheetId="2" hidden="1">'Fig. G.2. Vienna Rates'!$A$1:$C$58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 l="1"/>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H34" i="3"/>
  <c r="H35" i="3"/>
  <c r="G3" i="3"/>
  <c r="G3" i="2"/>
  <c r="G4" i="2"/>
  <c r="G5" i="2"/>
  <c r="H39" i="2" s="1"/>
  <c r="I39" i="2" s="1"/>
  <c r="G6" i="2"/>
  <c r="G7" i="2"/>
  <c r="G8" i="2"/>
  <c r="G9" i="2"/>
  <c r="G10" i="2"/>
  <c r="G11" i="2"/>
  <c r="G12" i="2"/>
  <c r="H50" i="2" s="1"/>
  <c r="I50" i="2" s="1"/>
  <c r="G13" i="2"/>
  <c r="H51" i="2" s="1"/>
  <c r="I51" i="2" s="1"/>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H34" i="2" l="1"/>
  <c r="H28" i="2"/>
  <c r="H23" i="2"/>
  <c r="H18" i="2"/>
  <c r="I18" i="2" s="1"/>
  <c r="H15" i="2"/>
  <c r="I15" i="2" s="1"/>
  <c r="H12" i="2"/>
  <c r="I12" i="2" s="1"/>
  <c r="H2" i="2"/>
  <c r="I2" i="2" s="1"/>
  <c r="H17" i="2"/>
  <c r="I17" i="2" s="1"/>
  <c r="H21" i="2"/>
  <c r="I21" i="2" s="1"/>
  <c r="H25" i="2"/>
  <c r="H29" i="2"/>
  <c r="H33" i="2"/>
  <c r="H30" i="2"/>
  <c r="H26" i="2"/>
  <c r="H22" i="2"/>
  <c r="I22" i="2" s="1"/>
  <c r="H6" i="2"/>
  <c r="H11" i="2"/>
  <c r="H10" i="2"/>
  <c r="H9" i="2"/>
  <c r="H8" i="2"/>
  <c r="I8" i="2" s="1"/>
  <c r="H3" i="2"/>
  <c r="I3" i="2" s="1"/>
  <c r="H14" i="2"/>
  <c r="I14" i="2" s="1"/>
  <c r="H5" i="2"/>
  <c r="H16" i="2"/>
  <c r="H19" i="2"/>
  <c r="H24" i="2"/>
  <c r="H31" i="2"/>
  <c r="H32" i="2"/>
  <c r="H27" i="2"/>
  <c r="H20" i="2"/>
  <c r="H13" i="2"/>
  <c r="H4" i="2"/>
  <c r="H58" i="2"/>
  <c r="H38" i="2"/>
  <c r="H35" i="2"/>
  <c r="H36" i="2"/>
  <c r="H37" i="2"/>
  <c r="H41" i="2"/>
  <c r="H40" i="2"/>
  <c r="I40" i="2" s="1"/>
  <c r="H42" i="2"/>
  <c r="I42" i="2" s="1"/>
  <c r="H43" i="2"/>
  <c r="I43" i="2" s="1"/>
  <c r="H7" i="2"/>
  <c r="I7" i="2" s="1"/>
  <c r="H44" i="2"/>
  <c r="I44" i="2" s="1"/>
  <c r="H46" i="2"/>
  <c r="I46" i="2" s="1"/>
  <c r="H45" i="2"/>
  <c r="I45" i="2" s="1"/>
  <c r="H47" i="2"/>
  <c r="I47" i="2" s="1"/>
  <c r="H49" i="2"/>
  <c r="I49" i="2" s="1"/>
  <c r="H48" i="2"/>
  <c r="H53" i="2"/>
  <c r="H52" i="2"/>
  <c r="H55" i="2"/>
  <c r="H54" i="2"/>
  <c r="H56" i="2"/>
  <c r="H57" i="2"/>
  <c r="E2" i="2"/>
  <c r="F2" i="2"/>
  <c r="F3" i="2"/>
  <c r="E3" i="2"/>
  <c r="F4" i="2"/>
  <c r="E7" i="2"/>
  <c r="F7" i="2"/>
  <c r="E8" i="2"/>
  <c r="F8" i="2"/>
  <c r="E12" i="2"/>
  <c r="F12" i="2"/>
  <c r="F14" i="2"/>
  <c r="E14" i="2"/>
  <c r="F15" i="2"/>
  <c r="E15" i="2"/>
  <c r="E17" i="2"/>
  <c r="F17" i="2"/>
  <c r="F18" i="2"/>
  <c r="E18" i="2"/>
  <c r="F21" i="2"/>
  <c r="E21" i="2"/>
  <c r="E22" i="2"/>
  <c r="F22" i="2"/>
  <c r="F23" i="2"/>
  <c r="E39" i="2"/>
  <c r="F39" i="2"/>
  <c r="F40" i="2"/>
  <c r="E40" i="2"/>
  <c r="E42" i="2"/>
  <c r="F42" i="2"/>
  <c r="F43" i="2"/>
  <c r="E43" i="2"/>
  <c r="E44" i="2"/>
  <c r="F44" i="2"/>
  <c r="F45" i="2"/>
  <c r="E45" i="2"/>
  <c r="F46" i="2"/>
  <c r="E46" i="2"/>
  <c r="E47" i="2"/>
  <c r="F47" i="2"/>
  <c r="F49" i="2"/>
  <c r="E49" i="2"/>
  <c r="E50" i="2"/>
  <c r="F50" i="2"/>
  <c r="E51" i="2"/>
  <c r="F51" i="2"/>
  <c r="H32" i="3"/>
  <c r="H36" i="3"/>
  <c r="H40" i="3"/>
  <c r="H43" i="3"/>
  <c r="F43" i="3" s="1"/>
  <c r="H33" i="3"/>
  <c r="F33" i="3" s="1"/>
  <c r="H37" i="3"/>
  <c r="H41" i="3"/>
  <c r="H31" i="3"/>
  <c r="H38" i="3"/>
  <c r="H39" i="3"/>
  <c r="H42" i="3"/>
  <c r="F32" i="3"/>
  <c r="F35" i="3"/>
  <c r="F36" i="3"/>
  <c r="F37" i="3"/>
  <c r="F38" i="3"/>
  <c r="F39" i="3"/>
  <c r="F40" i="3"/>
  <c r="F41" i="3"/>
  <c r="F34" i="3"/>
  <c r="I32" i="3"/>
  <c r="E32" i="3"/>
  <c r="I33" i="3"/>
  <c r="E33" i="3"/>
  <c r="I34" i="3"/>
  <c r="E34" i="3"/>
  <c r="I35" i="3"/>
  <c r="E35" i="3"/>
  <c r="I36" i="3"/>
  <c r="E36" i="3"/>
  <c r="I37" i="3"/>
  <c r="E37" i="3"/>
  <c r="I43" i="3"/>
  <c r="E43" i="3"/>
  <c r="H15" i="3"/>
  <c r="H16" i="3"/>
  <c r="H17" i="3"/>
  <c r="H18" i="3"/>
  <c r="H19" i="3"/>
  <c r="H20" i="3"/>
  <c r="H21" i="3"/>
  <c r="H22" i="3"/>
  <c r="H23" i="3"/>
  <c r="H24" i="3"/>
  <c r="H25" i="3"/>
  <c r="H26" i="3"/>
  <c r="H27" i="3"/>
  <c r="H2" i="3"/>
  <c r="H29" i="3"/>
  <c r="H30" i="3"/>
  <c r="H44" i="3"/>
  <c r="H45" i="3"/>
  <c r="H46" i="3"/>
  <c r="H47" i="3"/>
  <c r="H48" i="3"/>
  <c r="H49" i="3"/>
  <c r="H50" i="3"/>
  <c r="H51" i="3"/>
  <c r="E51" i="3" s="1"/>
  <c r="H52" i="3"/>
  <c r="H53" i="3"/>
  <c r="H54" i="3"/>
  <c r="H55" i="3"/>
  <c r="H28" i="3"/>
  <c r="H3" i="3"/>
  <c r="H58" i="3"/>
  <c r="H4" i="3"/>
  <c r="H5" i="3"/>
  <c r="H6" i="3"/>
  <c r="H7" i="3"/>
  <c r="H8" i="3"/>
  <c r="H57" i="3"/>
  <c r="H9" i="3"/>
  <c r="H10" i="3"/>
  <c r="H11" i="3"/>
  <c r="H12" i="3"/>
  <c r="H13" i="3"/>
  <c r="H14" i="3"/>
  <c r="H56" i="3"/>
  <c r="I34" i="2" l="1"/>
  <c r="E34" i="2"/>
  <c r="F34" i="2"/>
  <c r="I28" i="2"/>
  <c r="E28" i="2"/>
  <c r="F28" i="2"/>
  <c r="I23" i="2"/>
  <c r="E23" i="2"/>
  <c r="I25" i="2"/>
  <c r="F25" i="2"/>
  <c r="E25" i="2"/>
  <c r="I29" i="2"/>
  <c r="E29" i="2"/>
  <c r="F29" i="2"/>
  <c r="I33" i="2"/>
  <c r="F33" i="2"/>
  <c r="E33" i="2"/>
  <c r="I30" i="2"/>
  <c r="F30" i="2"/>
  <c r="E30" i="2"/>
  <c r="I26" i="2"/>
  <c r="E26" i="2"/>
  <c r="F26" i="2"/>
  <c r="I6" i="2"/>
  <c r="E6" i="2"/>
  <c r="F6" i="2"/>
  <c r="I11" i="2"/>
  <c r="F11" i="2"/>
  <c r="E11" i="2"/>
  <c r="I10" i="2"/>
  <c r="E10" i="2"/>
  <c r="F10" i="2"/>
  <c r="I9" i="2"/>
  <c r="E9" i="2"/>
  <c r="F9" i="2"/>
  <c r="I5" i="2"/>
  <c r="E5" i="2"/>
  <c r="F5" i="2"/>
  <c r="I16" i="2"/>
  <c r="F16" i="2"/>
  <c r="E16" i="2"/>
  <c r="I19" i="2"/>
  <c r="E19" i="2"/>
  <c r="F19" i="2"/>
  <c r="I24" i="2"/>
  <c r="E24" i="2"/>
  <c r="F24" i="2"/>
  <c r="I31" i="2"/>
  <c r="F31" i="2"/>
  <c r="E31" i="2"/>
  <c r="I32" i="2"/>
  <c r="E32" i="2"/>
  <c r="F32" i="2"/>
  <c r="I27" i="2"/>
  <c r="E27" i="2"/>
  <c r="F27" i="2"/>
  <c r="I20" i="2"/>
  <c r="F20" i="2"/>
  <c r="E20" i="2"/>
  <c r="I13" i="2"/>
  <c r="E13" i="2"/>
  <c r="F13" i="2"/>
  <c r="I4" i="2"/>
  <c r="E4" i="2"/>
  <c r="I58" i="2"/>
  <c r="E58" i="2"/>
  <c r="F58" i="2"/>
  <c r="I38" i="2"/>
  <c r="E38" i="2"/>
  <c r="F38" i="2"/>
  <c r="I35" i="2"/>
  <c r="E35" i="2"/>
  <c r="F35" i="2"/>
  <c r="I36" i="2"/>
  <c r="E36" i="2"/>
  <c r="F36" i="2"/>
  <c r="I37" i="2"/>
  <c r="F37" i="2"/>
  <c r="E37" i="2"/>
  <c r="I41" i="2"/>
  <c r="E41" i="2"/>
  <c r="F41" i="2"/>
  <c r="I48" i="2"/>
  <c r="E48" i="2"/>
  <c r="F48" i="2"/>
  <c r="I53" i="2"/>
  <c r="F53" i="2"/>
  <c r="E53" i="2"/>
  <c r="I52" i="2"/>
  <c r="F52" i="2"/>
  <c r="E52" i="2"/>
  <c r="I55" i="2"/>
  <c r="F55" i="2"/>
  <c r="E55" i="2"/>
  <c r="I54" i="2"/>
  <c r="E54" i="2"/>
  <c r="F54" i="2"/>
  <c r="I56" i="2"/>
  <c r="F56" i="2"/>
  <c r="E56" i="2"/>
  <c r="I57" i="2"/>
  <c r="E57" i="2"/>
  <c r="F57" i="2"/>
  <c r="I40" i="3"/>
  <c r="E40" i="3"/>
  <c r="I41" i="3"/>
  <c r="E41" i="3"/>
  <c r="F31" i="3"/>
  <c r="I31" i="3"/>
  <c r="E31" i="3"/>
  <c r="I38" i="3"/>
  <c r="E38" i="3"/>
  <c r="I39" i="3"/>
  <c r="E39" i="3"/>
  <c r="F42" i="3"/>
  <c r="I42" i="3"/>
  <c r="E42" i="3"/>
  <c r="F15" i="3"/>
  <c r="E15" i="3"/>
  <c r="I15" i="3"/>
  <c r="F16" i="3"/>
  <c r="E16" i="3"/>
  <c r="I16" i="3"/>
  <c r="F17" i="3"/>
  <c r="E17" i="3"/>
  <c r="I17" i="3"/>
  <c r="F18" i="3"/>
  <c r="E18" i="3"/>
  <c r="I18" i="3"/>
  <c r="F19" i="3"/>
  <c r="I19" i="3"/>
  <c r="E19" i="3"/>
  <c r="F20" i="3"/>
  <c r="E20" i="3"/>
  <c r="I20" i="3"/>
  <c r="F21" i="3"/>
  <c r="E21" i="3"/>
  <c r="I21" i="3"/>
  <c r="F22" i="3"/>
  <c r="E22" i="3"/>
  <c r="I22" i="3"/>
  <c r="F23" i="3"/>
  <c r="E23" i="3"/>
  <c r="I23" i="3"/>
  <c r="F24" i="3"/>
  <c r="E24" i="3"/>
  <c r="I24" i="3"/>
  <c r="F25" i="3"/>
  <c r="E25" i="3"/>
  <c r="I25" i="3"/>
  <c r="F26" i="3"/>
  <c r="I26" i="3"/>
  <c r="E26" i="3"/>
  <c r="F27" i="3"/>
  <c r="E27" i="3"/>
  <c r="I27" i="3"/>
  <c r="F2" i="3"/>
  <c r="E2" i="3"/>
  <c r="I2" i="3"/>
  <c r="F29" i="3"/>
  <c r="E29" i="3"/>
  <c r="I29" i="3"/>
  <c r="F30" i="3"/>
  <c r="E30" i="3"/>
  <c r="I30" i="3"/>
  <c r="F44" i="3"/>
  <c r="E44" i="3"/>
  <c r="I44" i="3"/>
  <c r="F45" i="3"/>
  <c r="E45" i="3"/>
  <c r="I45" i="3"/>
  <c r="F46" i="3"/>
  <c r="E46" i="3"/>
  <c r="I46" i="3"/>
  <c r="F47" i="3"/>
  <c r="E47" i="3"/>
  <c r="I47" i="3"/>
  <c r="F48" i="3"/>
  <c r="E48" i="3"/>
  <c r="I48" i="3"/>
  <c r="F49" i="3"/>
  <c r="E49" i="3"/>
  <c r="I49" i="3"/>
  <c r="F50" i="3"/>
  <c r="E50" i="3"/>
  <c r="I50" i="3"/>
  <c r="F28" i="3"/>
  <c r="E28" i="3"/>
  <c r="I28" i="3"/>
  <c r="F3" i="3"/>
  <c r="E3" i="3"/>
  <c r="I3" i="3"/>
  <c r="F4" i="3"/>
  <c r="E4" i="3"/>
  <c r="I4" i="3"/>
  <c r="F5" i="3"/>
  <c r="E5" i="3"/>
  <c r="I5" i="3"/>
  <c r="F6" i="3"/>
  <c r="E6" i="3"/>
  <c r="I6" i="3"/>
  <c r="F7" i="3"/>
  <c r="E7" i="3"/>
  <c r="I7" i="3"/>
  <c r="F8" i="3"/>
  <c r="E8" i="3"/>
  <c r="I8" i="3"/>
  <c r="F9" i="3"/>
  <c r="E9" i="3"/>
  <c r="I9" i="3"/>
  <c r="F10" i="3"/>
  <c r="E10" i="3"/>
  <c r="I10" i="3"/>
  <c r="F11" i="3"/>
  <c r="E11" i="3"/>
  <c r="I11" i="3"/>
  <c r="F12" i="3"/>
  <c r="E12" i="3"/>
  <c r="I12" i="3"/>
  <c r="F13" i="3"/>
  <c r="E13" i="3"/>
  <c r="I13" i="3"/>
  <c r="F14" i="3"/>
  <c r="E14" i="3"/>
  <c r="I14" i="3"/>
  <c r="I51" i="3"/>
  <c r="F51" i="3"/>
  <c r="I52" i="3"/>
  <c r="F52" i="3"/>
  <c r="E52" i="3"/>
  <c r="I53" i="3"/>
  <c r="F53" i="3"/>
  <c r="E53" i="3"/>
  <c r="I54" i="3"/>
  <c r="E54" i="3"/>
  <c r="F54" i="3"/>
  <c r="I55" i="3"/>
  <c r="E55" i="3"/>
  <c r="F55" i="3"/>
  <c r="I58" i="3"/>
  <c r="E58" i="3"/>
  <c r="F58" i="3"/>
  <c r="I57" i="3"/>
  <c r="E57" i="3"/>
  <c r="F57" i="3"/>
  <c r="I56" i="3"/>
  <c r="E56" i="3"/>
  <c r="F5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54F12A-1B08-4A3E-9186-99FAB36DE913}" keepAlive="1" name="Query - physical-comparison-death-to-birth-rates" description="Connection to the 'physical-comparison-death-to-birth-rates' query in the workbook." type="5" refreshedVersion="8" background="1" saveData="1">
    <dbPr connection="Provider=Microsoft.Mashup.OleDb.1;Data Source=$Workbook$;Location=physical-comparison-death-to-birth-rates;Extended Properties=&quot;&quot;" command="SELECT * FROM [physical-comparison-death-to-birth-rates]"/>
  </connection>
  <connection id="2" xr16:uid="{0BDB187E-E6CC-432A-9F06-E040CD64E3F6}" keepAlive="1" name="Query - physical-comparison-death-to-birth-rates (2)" description="Connection to the 'physical-comparison-death-to-birth-rates (2)' query in the workbook." type="5" refreshedVersion="8" background="1" saveData="1">
    <dbPr connection="Provider=Microsoft.Mashup.OleDb.1;Data Source=$Workbook$;Location=&quot;physical-comparison-death-to-birth-rates (2)&quot;;Extended Properties=&quot;&quot;" command="SELECT * FROM [physical-comparison-death-to-birth-rates (2)]"/>
  </connection>
</connections>
</file>

<file path=xl/sharedStrings.xml><?xml version="1.0" encoding="utf-8"?>
<sst xmlns="http://schemas.openxmlformats.org/spreadsheetml/2006/main" count="258" uniqueCount="80">
  <si>
    <t>Appendix G. Physical Comparison Calculations</t>
  </si>
  <si>
    <t>Hospital</t>
  </si>
  <si>
    <t>Year</t>
  </si>
  <si>
    <t>Rate</t>
  </si>
  <si>
    <t>Mean</t>
  </si>
  <si>
    <t>UPL</t>
  </si>
  <si>
    <t>LPL</t>
  </si>
  <si>
    <t>mR</t>
  </si>
  <si>
    <t>Ave. mR</t>
  </si>
  <si>
    <t>URL</t>
  </si>
  <si>
    <t>Dublin Maternity Hospital</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</si>
  <si>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</si>
  <si>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</si>
  <si>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</si>
  <si>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</si>
  <si>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</si>
  <si>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</si>
  <si>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</si>
  <si>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</si>
  <si>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</si>
  <si>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</si>
  <si>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</si>
  <si>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</si>
  <si>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</si>
  <si>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</si>
  <si>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</si>
  <si>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</si>
  <si>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</si>
  <si>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</si>
  <si>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</si>
  <si>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</si>
  <si>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</si>
  <si>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</si>
  <si>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</si>
  <si>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</si>
  <si>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</si>
  <si>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</si>
  <si>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</si>
  <si>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</si>
  <si>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</si>
  <si>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</si>
  <si>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</si>
  <si>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</si>
  <si>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</si>
  <si>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</si>
  <si>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</si>
  <si>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</si>
  <si>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</si>
  <si>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</si>
  <si>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</si>
  <si>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</si>
  <si>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</si>
  <si>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</si>
  <si>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</si>
  <si>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</si>
  <si>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</si>
  <si>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</si>
  <si>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</si>
  <si>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</si>
  <si>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</si>
  <si>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</si>
  <si>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</si>
  <si>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</si>
  <si>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</si>
  <si>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</si>
  <si>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</si>
  <si>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</si>
  <si>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</si>
  <si>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Vienna General Hospital</t>
  </si>
  <si>
    <r>
      <rPr>
        <sz val="12"/>
        <color rgb="FF000000"/>
        <rFont val="Montserrat"/>
      </rPr>
      <t>This file serves as a resource for building the figures in Appendix G of in The Virus of Variation using Mircosoft Excel or Google Sheets.
The figures included here are:
Figure G.1. XmR chart of death-to-birth rates at Dublin Maternity, 1784 to 1840
Figure G.2. XmR chart of death-to-birth rates at Vienna General, 1784 to 1840
Each figure has its own tab. The data used in the figures can be found in the Data tab.
For additional details, see Appendix G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Appendix G,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</si>
  <si>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Link to book:</t>
  </si>
  <si>
    <t>https://www.brokenquality.com/book</t>
  </si>
  <si>
    <t>Link to GitHub:</t>
  </si>
  <si>
    <t>https://github.com/jimlehner/virus-of-variation-book</t>
  </si>
  <si>
    <t>Contact:</t>
  </si>
  <si>
    <t>James.Lehner@gmail.com</t>
  </si>
  <si>
    <t>QualityIsBroken@gmail.com</t>
  </si>
  <si>
    <t>Raw GitHub Data URLs:</t>
  </si>
  <si>
    <t>Fig G.1, G.2</t>
  </si>
  <si>
    <t>https://raw.githubusercontent.com/jimlehner/virus-of-variation-book/refs/heads/main/data/physical-comparison-death-to-birth-rates.csv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</si>
</sst>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Arial"/>
      <family val="2"/>
      <scheme val="minor"/>
    </font>
    <font>
      <u/>
      <sz val="10"/>
      <color theme="10"/>
      <name val="Arial"/>
      <family val="2"/>
      <scheme val="minor"/>
    </font>
    <font>
      <sz val="10"/>
      <color rgb="FF000000"/>
      <name val="Arial"/>
      <family val="2"/>
      <scheme val="minor"/>
    </font>
    <font>
      <sz val="12"/>
      <color rgb="FF000000"/>
      <name val="Montserrat"/>
    </font>
    <font>
      <b/>
      <sz val="12"/>
      <color rgb="FF000000"/>
      <name val="Montserrat"/>
    </font>
    <font>
      <b/>
      <sz val="10"/>
      <color rgb="FF000000"/>
      <name val="Arial"/>
      <family val="2"/>
      <scheme val="minor"/>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37">
    <xf numFmtId="0" fontId="0" fillId="0" borderId="0" xfId="0"/>
    <xf numFmtId="0" fontId="1" fillId="0" borderId="0" xfId="0" applyFont="1"/>
    <xf numFmtId="0" fontId="4" fillId="0" borderId="0" xfId="0" applyFont="1"/>
    <xf numFmtId="0" fontId="9" fillId="0" borderId="6" xfId="0" applyFont="1" applyBorder="1" applyAlignment="1">
      <alignment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xf>
    <xf numFmtId="0" fontId="6" fillId="0" borderId="0" xfId="0" applyFont="1" applyAlignment="1">
      <alignment horizontal="left"/>
    </xf>
    <xf numFmtId="0" fontId="2" fillId="0" borderId="9" xfId="0" applyFont="1" applyBorder="1" applyAlignment="1">
      <alignment horizontal="center"/>
    </xf>
    <xf numFmtId="0" fontId="3" fillId="0" borderId="10" xfId="0" applyFont="1" applyBorder="1"/>
    <xf numFmtId="0" fontId="3" fillId="0" borderId="11" xfId="0" applyFont="1" applyBorder="1"/>
    <xf numFmtId="0" fontId="7"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9" fillId="0" borderId="1" xfId="0" applyFont="1" applyBorder="1" applyAlignment="1">
      <alignment horizontal="center" wrapText="1"/>
    </xf>
    <xf numFmtId="0" fontId="9" fillId="0" borderId="2" xfId="0" applyFont="1" applyBorder="1" applyAlignment="1">
      <alignment horizontal="center" wrapText="1"/>
    </xf>
    <xf numFmtId="0" fontId="9" fillId="0" borderId="3" xfId="0" applyFont="1" applyBorder="1" applyAlignment="1">
      <alignment horizontal="center" wrapText="1"/>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9" fillId="0" borderId="4" xfId="0" applyFont="1" applyBorder="1" applyAlignment="1">
      <alignment horizontal="center"/>
    </xf>
    <xf numFmtId="0" fontId="9" fillId="0" borderId="0" xfId="0" applyFont="1" applyAlignment="1">
      <alignment horizontal="center"/>
    </xf>
    <xf numFmtId="0" fontId="9" fillId="0" borderId="5" xfId="0" applyFont="1" applyBorder="1" applyAlignment="1">
      <alignment horizont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xf numFmtId="0" fontId="9" fillId="0" borderId="1" xfId="0"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cellXfs>
  <cellStyles count="3">
    <cellStyle name="Hyperlink" xfId="1" builtinId="8"/>
    <cellStyle name="Normal" xfId="0" builtinId="0"/>
    <cellStyle name="Normal 2" xfId="2" xr:uid="{CE423457-F60A-461A-82BB-335CF2A7837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14684DFA-596A-4619-BF91-1A518B1F143E}">
      <tableStyleElement type="wholeTable"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G.1. Dublin Rates'!$C$1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Rates'!$C$2:$C$58</c:f>
              <c:numCache>
                <c:formatCode>General</c:formatCode>
                <c:ptCount val="57"/>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numCache>
            </c:numRef>
          </c:val>
          <c:smooth val="0"/>
          <c:extLst>
            <c:ext xmlns:c16="http://schemas.microsoft.com/office/drawing/2014/chart" uri="{C3380CC4-5D6E-409C-BE32-E72D297353CC}">
              <c16:uniqueId val="{00000000-329B-41D6-8340-43856FD2F6C5}"/>
            </c:ext>
          </c:extLst>
        </c:ser>
        <c:ser>
          <c:idx val="1"/>
          <c:order val="1"/>
          <c:tx>
            <c:strRef>
              <c:f>'Fig. G.1. Dublin Rates'!$D$1</c:f>
              <c:strCache>
                <c:ptCount val="1"/>
                <c:pt idx="0">
                  <c:v>Mean</c:v>
                </c:pt>
              </c:strCache>
            </c:strRef>
          </c:tx>
          <c:spPr>
            <a:ln w="28575" cap="rnd">
              <a:solidFill>
                <a:schemeClr val="tx1"/>
              </a:solidFill>
              <a:round/>
            </a:ln>
            <a:effectLst/>
          </c:spPr>
          <c:marker>
            <c:symbol val="none"/>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Rates'!$D$2:$D$58</c:f>
              <c:numCache>
                <c:formatCode>General</c:formatCode>
                <c:ptCount val="57"/>
                <c:pt idx="0">
                  <c:v>1.19</c:v>
                </c:pt>
                <c:pt idx="1">
                  <c:v>1.19</c:v>
                </c:pt>
                <c:pt idx="2">
                  <c:v>1.19</c:v>
                </c:pt>
                <c:pt idx="3">
                  <c:v>1.19</c:v>
                </c:pt>
                <c:pt idx="4">
                  <c:v>1.19</c:v>
                </c:pt>
                <c:pt idx="5">
                  <c:v>1.19</c:v>
                </c:pt>
                <c:pt idx="6">
                  <c:v>1.19</c:v>
                </c:pt>
                <c:pt idx="7">
                  <c:v>1.19</c:v>
                </c:pt>
                <c:pt idx="8">
                  <c:v>1.19</c:v>
                </c:pt>
                <c:pt idx="9">
                  <c:v>1.19</c:v>
                </c:pt>
                <c:pt idx="10">
                  <c:v>1.19</c:v>
                </c:pt>
                <c:pt idx="11">
                  <c:v>1.19</c:v>
                </c:pt>
                <c:pt idx="12">
                  <c:v>1.19</c:v>
                </c:pt>
                <c:pt idx="13">
                  <c:v>1.19</c:v>
                </c:pt>
                <c:pt idx="14">
                  <c:v>1.19</c:v>
                </c:pt>
                <c:pt idx="15">
                  <c:v>1.19</c:v>
                </c:pt>
                <c:pt idx="16">
                  <c:v>1.19</c:v>
                </c:pt>
                <c:pt idx="17">
                  <c:v>1.19</c:v>
                </c:pt>
                <c:pt idx="18">
                  <c:v>1.19</c:v>
                </c:pt>
                <c:pt idx="19">
                  <c:v>1.19</c:v>
                </c:pt>
                <c:pt idx="20">
                  <c:v>1.19</c:v>
                </c:pt>
                <c:pt idx="21">
                  <c:v>1.19</c:v>
                </c:pt>
                <c:pt idx="22">
                  <c:v>1.19</c:v>
                </c:pt>
                <c:pt idx="23">
                  <c:v>1.19</c:v>
                </c:pt>
                <c:pt idx="24">
                  <c:v>1.19</c:v>
                </c:pt>
                <c:pt idx="25">
                  <c:v>1.19</c:v>
                </c:pt>
                <c:pt idx="26">
                  <c:v>1.19</c:v>
                </c:pt>
                <c:pt idx="27">
                  <c:v>1.19</c:v>
                </c:pt>
                <c:pt idx="28">
                  <c:v>1.19</c:v>
                </c:pt>
                <c:pt idx="29">
                  <c:v>1.19</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pt idx="48">
                  <c:v>1.19</c:v>
                </c:pt>
                <c:pt idx="49">
                  <c:v>1.19</c:v>
                </c:pt>
                <c:pt idx="50">
                  <c:v>1.19</c:v>
                </c:pt>
                <c:pt idx="51">
                  <c:v>1.19</c:v>
                </c:pt>
                <c:pt idx="52">
                  <c:v>1.19</c:v>
                </c:pt>
                <c:pt idx="53">
                  <c:v>1.19</c:v>
                </c:pt>
                <c:pt idx="54">
                  <c:v>1.19</c:v>
                </c:pt>
                <c:pt idx="55">
                  <c:v>1.19</c:v>
                </c:pt>
                <c:pt idx="56">
                  <c:v>1.19</c:v>
                </c:pt>
              </c:numCache>
            </c:numRef>
          </c:val>
          <c:smooth val="0"/>
          <c:extLst>
            <c:ext xmlns:c16="http://schemas.microsoft.com/office/drawing/2014/chart" uri="{C3380CC4-5D6E-409C-BE32-E72D297353CC}">
              <c16:uniqueId val="{00000001-329B-41D6-8340-43856FD2F6C5}"/>
            </c:ext>
          </c:extLst>
        </c:ser>
        <c:ser>
          <c:idx val="2"/>
          <c:order val="2"/>
          <c:tx>
            <c:strRef>
              <c:f>'Fig. G.1. Dublin Rates'!$E$1</c:f>
              <c:strCache>
                <c:ptCount val="1"/>
                <c:pt idx="0">
                  <c:v>UPL</c:v>
                </c:pt>
              </c:strCache>
            </c:strRef>
          </c:tx>
          <c:spPr>
            <a:ln w="28575" cap="rnd">
              <a:solidFill>
                <a:srgbClr val="D72323"/>
              </a:solidFill>
              <a:prstDash val="dash"/>
              <a:round/>
            </a:ln>
            <a:effectLst/>
          </c:spPr>
          <c:marker>
            <c:symbol val="none"/>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Rates'!$E$2:$E$58</c:f>
              <c:numCache>
                <c:formatCode>General</c:formatCode>
                <c:ptCount val="57"/>
                <c:pt idx="0">
                  <c:v>2.81</c:v>
                </c:pt>
                <c:pt idx="1">
                  <c:v>2.81</c:v>
                </c:pt>
                <c:pt idx="2">
                  <c:v>2.81</c:v>
                </c:pt>
                <c:pt idx="3">
                  <c:v>2.81</c:v>
                </c:pt>
                <c:pt idx="4">
                  <c:v>2.81</c:v>
                </c:pt>
                <c:pt idx="5">
                  <c:v>2.81</c:v>
                </c:pt>
                <c:pt idx="6">
                  <c:v>2.81</c:v>
                </c:pt>
                <c:pt idx="7">
                  <c:v>2.81</c:v>
                </c:pt>
                <c:pt idx="8">
                  <c:v>2.81</c:v>
                </c:pt>
                <c:pt idx="9">
                  <c:v>2.81</c:v>
                </c:pt>
                <c:pt idx="10">
                  <c:v>2.81</c:v>
                </c:pt>
                <c:pt idx="11">
                  <c:v>2.81</c:v>
                </c:pt>
                <c:pt idx="12">
                  <c:v>2.81</c:v>
                </c:pt>
                <c:pt idx="13">
                  <c:v>2.81</c:v>
                </c:pt>
                <c:pt idx="14">
                  <c:v>2.81</c:v>
                </c:pt>
                <c:pt idx="15">
                  <c:v>2.81</c:v>
                </c:pt>
                <c:pt idx="16">
                  <c:v>2.81</c:v>
                </c:pt>
                <c:pt idx="17">
                  <c:v>2.81</c:v>
                </c:pt>
                <c:pt idx="18">
                  <c:v>2.81</c:v>
                </c:pt>
                <c:pt idx="19">
                  <c:v>2.81</c:v>
                </c:pt>
                <c:pt idx="20">
                  <c:v>2.81</c:v>
                </c:pt>
                <c:pt idx="21">
                  <c:v>2.81</c:v>
                </c:pt>
                <c:pt idx="22">
                  <c:v>2.81</c:v>
                </c:pt>
                <c:pt idx="23">
                  <c:v>2.81</c:v>
                </c:pt>
                <c:pt idx="24">
                  <c:v>2.81</c:v>
                </c:pt>
                <c:pt idx="25">
                  <c:v>2.81</c:v>
                </c:pt>
                <c:pt idx="26">
                  <c:v>2.81</c:v>
                </c:pt>
                <c:pt idx="27">
                  <c:v>2.81</c:v>
                </c:pt>
                <c:pt idx="28">
                  <c:v>2.81</c:v>
                </c:pt>
                <c:pt idx="29">
                  <c:v>2.81</c:v>
                </c:pt>
                <c:pt idx="30">
                  <c:v>2.81</c:v>
                </c:pt>
                <c:pt idx="31">
                  <c:v>2.81</c:v>
                </c:pt>
                <c:pt idx="32">
                  <c:v>2.81</c:v>
                </c:pt>
                <c:pt idx="33">
                  <c:v>2.81</c:v>
                </c:pt>
                <c:pt idx="34">
                  <c:v>2.81</c:v>
                </c:pt>
                <c:pt idx="35">
                  <c:v>2.81</c:v>
                </c:pt>
                <c:pt idx="36">
                  <c:v>2.81</c:v>
                </c:pt>
                <c:pt idx="37">
                  <c:v>2.81</c:v>
                </c:pt>
                <c:pt idx="38">
                  <c:v>2.81</c:v>
                </c:pt>
                <c:pt idx="39">
                  <c:v>2.81</c:v>
                </c:pt>
                <c:pt idx="40">
                  <c:v>2.81</c:v>
                </c:pt>
                <c:pt idx="41">
                  <c:v>2.81</c:v>
                </c:pt>
                <c:pt idx="42">
                  <c:v>2.81</c:v>
                </c:pt>
                <c:pt idx="43">
                  <c:v>2.81</c:v>
                </c:pt>
                <c:pt idx="44">
                  <c:v>2.81</c:v>
                </c:pt>
                <c:pt idx="45">
                  <c:v>2.81</c:v>
                </c:pt>
                <c:pt idx="46">
                  <c:v>2.81</c:v>
                </c:pt>
                <c:pt idx="47">
                  <c:v>2.81</c:v>
                </c:pt>
                <c:pt idx="48">
                  <c:v>2.81</c:v>
                </c:pt>
                <c:pt idx="49">
                  <c:v>2.81</c:v>
                </c:pt>
                <c:pt idx="50">
                  <c:v>2.81</c:v>
                </c:pt>
                <c:pt idx="51">
                  <c:v>2.81</c:v>
                </c:pt>
                <c:pt idx="52">
                  <c:v>2.81</c:v>
                </c:pt>
                <c:pt idx="53">
                  <c:v>2.81</c:v>
                </c:pt>
                <c:pt idx="54">
                  <c:v>2.81</c:v>
                </c:pt>
                <c:pt idx="55">
                  <c:v>2.81</c:v>
                </c:pt>
                <c:pt idx="56">
                  <c:v>2.81</c:v>
                </c:pt>
              </c:numCache>
            </c:numRef>
          </c:val>
          <c:smooth val="0"/>
          <c:extLst>
            <c:ext xmlns:c16="http://schemas.microsoft.com/office/drawing/2014/chart" uri="{C3380CC4-5D6E-409C-BE32-E72D297353CC}">
              <c16:uniqueId val="{00000002-329B-41D6-8340-43856FD2F6C5}"/>
            </c:ext>
          </c:extLst>
        </c:ser>
        <c:ser>
          <c:idx val="3"/>
          <c:order val="3"/>
          <c:tx>
            <c:strRef>
              <c:f>'Fig. G.1. Dublin Rates'!$F$1</c:f>
              <c:strCache>
                <c:ptCount val="1"/>
                <c:pt idx="0">
                  <c:v>LPL</c:v>
                </c:pt>
              </c:strCache>
            </c:strRef>
          </c:tx>
          <c:spPr>
            <a:ln w="28575" cap="rnd">
              <a:solidFill>
                <a:srgbClr val="D72323"/>
              </a:solidFill>
              <a:prstDash val="dash"/>
              <a:round/>
            </a:ln>
            <a:effectLst/>
          </c:spPr>
          <c:marker>
            <c:symbol val="none"/>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Rates'!$F$2:$F$58</c:f>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G.1. Dublin Rates'!$G$1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G.1. Dublin Rates'!$G$2:$G$58</c:f>
              <c:numCache>
                <c:formatCode>General</c:formatCode>
                <c:ptCount val="57"/>
                <c:pt idx="1">
                  <c:v>0.30000000000000004</c:v>
                </c:pt>
                <c:pt idx="2">
                  <c:v>0</c:v>
                </c:pt>
                <c:pt idx="3">
                  <c:v>9.9999999999999978E-2</c:v>
                </c:pt>
                <c:pt idx="4">
                  <c:v>0.90000000000000013</c:v>
                </c:pt>
                <c:pt idx="5">
                  <c:v>9.9999999999999867E-2</c:v>
                </c:pt>
                <c:pt idx="6">
                  <c:v>0.89999999999999991</c:v>
                </c:pt>
                <c:pt idx="7">
                  <c:v>0.8</c:v>
                </c:pt>
                <c:pt idx="8">
                  <c:v>1</c:v>
                </c:pt>
                <c:pt idx="9">
                  <c:v>0.50000000000000011</c:v>
                </c:pt>
                <c:pt idx="10">
                  <c:v>0.19999999999999996</c:v>
                </c:pt>
                <c:pt idx="11">
                  <c:v>0.8</c:v>
                </c:pt>
                <c:pt idx="12">
                  <c:v>9.9999999999999978E-2</c:v>
                </c:pt>
                <c:pt idx="13">
                  <c:v>0.20000000000000007</c:v>
                </c:pt>
                <c:pt idx="14">
                  <c:v>0.30000000000000004</c:v>
                </c:pt>
                <c:pt idx="15">
                  <c:v>0.19999999999999996</c:v>
                </c:pt>
                <c:pt idx="16">
                  <c:v>0.30000000000000004</c:v>
                </c:pt>
                <c:pt idx="17">
                  <c:v>0.7</c:v>
                </c:pt>
                <c:pt idx="18">
                  <c:v>0.39999999999999991</c:v>
                </c:pt>
                <c:pt idx="19">
                  <c:v>0.90000000000000013</c:v>
                </c:pt>
                <c:pt idx="20">
                  <c:v>1.4000000000000001</c:v>
                </c:pt>
                <c:pt idx="21">
                  <c:v>0.30000000000000004</c:v>
                </c:pt>
                <c:pt idx="22">
                  <c:v>0.5</c:v>
                </c:pt>
                <c:pt idx="23">
                  <c:v>0.5</c:v>
                </c:pt>
                <c:pt idx="24">
                  <c:v>0</c:v>
                </c:pt>
                <c:pt idx="25">
                  <c:v>0.19999999999999996</c:v>
                </c:pt>
                <c:pt idx="26">
                  <c:v>0.30000000000000004</c:v>
                </c:pt>
                <c:pt idx="27">
                  <c:v>9.9999999999999978E-2</c:v>
                </c:pt>
                <c:pt idx="28">
                  <c:v>0.70000000000000007</c:v>
                </c:pt>
                <c:pt idx="29">
                  <c:v>0.89999999999999991</c:v>
                </c:pt>
                <c:pt idx="30">
                  <c:v>1.5</c:v>
                </c:pt>
                <c:pt idx="31">
                  <c:v>0.4</c:v>
                </c:pt>
                <c:pt idx="32">
                  <c:v>9.9999999999999978E-2</c:v>
                </c:pt>
                <c:pt idx="33">
                  <c:v>0.4</c:v>
                </c:pt>
                <c:pt idx="34">
                  <c:v>0.70000000000000007</c:v>
                </c:pt>
                <c:pt idx="35">
                  <c:v>1.2999999999999998</c:v>
                </c:pt>
                <c:pt idx="36">
                  <c:v>0.10000000000000009</c:v>
                </c:pt>
                <c:pt idx="37">
                  <c:v>1.9999999999999998</c:v>
                </c:pt>
                <c:pt idx="38">
                  <c:v>0.4</c:v>
                </c:pt>
                <c:pt idx="39">
                  <c:v>1.9</c:v>
                </c:pt>
                <c:pt idx="40">
                  <c:v>1.4999999999999998</c:v>
                </c:pt>
                <c:pt idx="41">
                  <c:v>9.9999999999999978E-2</c:v>
                </c:pt>
                <c:pt idx="42">
                  <c:v>2.4</c:v>
                </c:pt>
                <c:pt idx="43">
                  <c:v>1.9999999999999998</c:v>
                </c:pt>
                <c:pt idx="44">
                  <c:v>0.19999999999999996</c:v>
                </c:pt>
                <c:pt idx="45">
                  <c:v>0.10000000000000009</c:v>
                </c:pt>
                <c:pt idx="46">
                  <c:v>1.1000000000000001</c:v>
                </c:pt>
                <c:pt idx="47">
                  <c:v>9.9999999999999978E-2</c:v>
                </c:pt>
                <c:pt idx="48">
                  <c:v>9.9999999999999978E-2</c:v>
                </c:pt>
                <c:pt idx="49">
                  <c:v>9.9999999999999978E-2</c:v>
                </c:pt>
                <c:pt idx="50">
                  <c:v>1.1000000000000001</c:v>
                </c:pt>
                <c:pt idx="51">
                  <c:v>0.10000000000000009</c:v>
                </c:pt>
                <c:pt idx="52">
                  <c:v>0.19999999999999996</c:v>
                </c:pt>
                <c:pt idx="53">
                  <c:v>0.7</c:v>
                </c:pt>
                <c:pt idx="54">
                  <c:v>0.8</c:v>
                </c:pt>
                <c:pt idx="55">
                  <c:v>0.8</c:v>
                </c:pt>
                <c:pt idx="56">
                  <c:v>0.39999999999999991</c:v>
                </c:pt>
              </c:numCache>
            </c:numRef>
          </c:val>
          <c:smooth val="0"/>
          <c:extLst>
            <c:ext xmlns:c16="http://schemas.microsoft.com/office/drawing/2014/chart" uri="{C3380CC4-5D6E-409C-BE32-E72D297353CC}">
              <c16:uniqueId val="{00000000-5D18-47FA-93F7-2AB89D044415}"/>
            </c:ext>
          </c:extLst>
        </c:ser>
        <c:ser>
          <c:idx val="1"/>
          <c:order val="1"/>
          <c:tx>
            <c:strRef>
              <c:f>'Fig. G.1. Dublin Rates'!$H$1</c:f>
              <c:strCache>
                <c:ptCount val="1"/>
                <c:pt idx="0">
                  <c:v>Ave. mR</c:v>
                </c:pt>
              </c:strCache>
            </c:strRef>
          </c:tx>
          <c:spPr>
            <a:ln w="28575" cap="rnd">
              <a:solidFill>
                <a:schemeClr val="tx1"/>
              </a:solidFill>
              <a:round/>
            </a:ln>
            <a:effectLst/>
          </c:spPr>
          <c:marker>
            <c:symbol val="none"/>
          </c:marker>
          <c:val>
            <c:numRef>
              <c:f>'Fig. G.1. Dublin Rates'!$H$2:$H$58</c:f>
              <c:numCache>
                <c:formatCode>General</c:formatCode>
                <c:ptCount val="57"/>
                <c:pt idx="0">
                  <c:v>0.61</c:v>
                </c:pt>
                <c:pt idx="1">
                  <c:v>0.61</c:v>
                </c:pt>
                <c:pt idx="2">
                  <c:v>0.61</c:v>
                </c:pt>
                <c:pt idx="3">
                  <c:v>0.61</c:v>
                </c:pt>
                <c:pt idx="4">
                  <c:v>0.61</c:v>
                </c:pt>
                <c:pt idx="5">
                  <c:v>0.61</c:v>
                </c:pt>
                <c:pt idx="6">
                  <c:v>0.61</c:v>
                </c:pt>
                <c:pt idx="7">
                  <c:v>0.61</c:v>
                </c:pt>
                <c:pt idx="8">
                  <c:v>0.61</c:v>
                </c:pt>
                <c:pt idx="9">
                  <c:v>0.61</c:v>
                </c:pt>
                <c:pt idx="10">
                  <c:v>0.61</c:v>
                </c:pt>
                <c:pt idx="11">
                  <c:v>0.61</c:v>
                </c:pt>
                <c:pt idx="12">
                  <c:v>0.61</c:v>
                </c:pt>
                <c:pt idx="13">
                  <c:v>0.61</c:v>
                </c:pt>
                <c:pt idx="14">
                  <c:v>0.61</c:v>
                </c:pt>
                <c:pt idx="15">
                  <c:v>0.61</c:v>
                </c:pt>
                <c:pt idx="16">
                  <c:v>0.61</c:v>
                </c:pt>
                <c:pt idx="17">
                  <c:v>0.61</c:v>
                </c:pt>
                <c:pt idx="18">
                  <c:v>0.61</c:v>
                </c:pt>
                <c:pt idx="19">
                  <c:v>0.61</c:v>
                </c:pt>
                <c:pt idx="20">
                  <c:v>0.61</c:v>
                </c:pt>
                <c:pt idx="21">
                  <c:v>0.61</c:v>
                </c:pt>
                <c:pt idx="22">
                  <c:v>0.61</c:v>
                </c:pt>
                <c:pt idx="23">
                  <c:v>0.61</c:v>
                </c:pt>
                <c:pt idx="24">
                  <c:v>0.61</c:v>
                </c:pt>
                <c:pt idx="25">
                  <c:v>0.61</c:v>
                </c:pt>
                <c:pt idx="26">
                  <c:v>0.61</c:v>
                </c:pt>
                <c:pt idx="27">
                  <c:v>0.61</c:v>
                </c:pt>
                <c:pt idx="28">
                  <c:v>0.61</c:v>
                </c:pt>
                <c:pt idx="29">
                  <c:v>0.61</c:v>
                </c:pt>
                <c:pt idx="30">
                  <c:v>0.61</c:v>
                </c:pt>
                <c:pt idx="31">
                  <c:v>0.61</c:v>
                </c:pt>
                <c:pt idx="32">
                  <c:v>0.61</c:v>
                </c:pt>
                <c:pt idx="33">
                  <c:v>0.61</c:v>
                </c:pt>
                <c:pt idx="34">
                  <c:v>0.61</c:v>
                </c:pt>
                <c:pt idx="35">
                  <c:v>0.61</c:v>
                </c:pt>
                <c:pt idx="36">
                  <c:v>0.61</c:v>
                </c:pt>
                <c:pt idx="37">
                  <c:v>0.61</c:v>
                </c:pt>
                <c:pt idx="38">
                  <c:v>0.61</c:v>
                </c:pt>
                <c:pt idx="39">
                  <c:v>0.61</c:v>
                </c:pt>
                <c:pt idx="40">
                  <c:v>0.61</c:v>
                </c:pt>
                <c:pt idx="41">
                  <c:v>0.61</c:v>
                </c:pt>
                <c:pt idx="42">
                  <c:v>0.61</c:v>
                </c:pt>
                <c:pt idx="43">
                  <c:v>0.61</c:v>
                </c:pt>
                <c:pt idx="44">
                  <c:v>0.61</c:v>
                </c:pt>
                <c:pt idx="45">
                  <c:v>0.61</c:v>
                </c:pt>
                <c:pt idx="46">
                  <c:v>0.61</c:v>
                </c:pt>
                <c:pt idx="47">
                  <c:v>0.61</c:v>
                </c:pt>
                <c:pt idx="48">
                  <c:v>0.61</c:v>
                </c:pt>
                <c:pt idx="49">
                  <c:v>0.61</c:v>
                </c:pt>
                <c:pt idx="50">
                  <c:v>0.61</c:v>
                </c:pt>
                <c:pt idx="51">
                  <c:v>0.61</c:v>
                </c:pt>
                <c:pt idx="52">
                  <c:v>0.61</c:v>
                </c:pt>
                <c:pt idx="53">
                  <c:v>0.61</c:v>
                </c:pt>
                <c:pt idx="54">
                  <c:v>0.61</c:v>
                </c:pt>
                <c:pt idx="55">
                  <c:v>0.61</c:v>
                </c:pt>
                <c:pt idx="56">
                  <c:v>0.61</c:v>
                </c:pt>
              </c:numCache>
            </c:numRef>
          </c:val>
          <c:smooth val="0"/>
          <c:extLst>
            <c:ext xmlns:c16="http://schemas.microsoft.com/office/drawing/2014/chart" uri="{C3380CC4-5D6E-409C-BE32-E72D297353CC}">
              <c16:uniqueId val="{00000001-5D18-47FA-93F7-2AB89D044415}"/>
            </c:ext>
          </c:extLst>
        </c:ser>
        <c:ser>
          <c:idx val="2"/>
          <c:order val="2"/>
          <c:tx>
            <c:strRef>
              <c:f>'Fig. G.1. Dublin Rates'!$I$1</c:f>
              <c:strCache>
                <c:ptCount val="1"/>
                <c:pt idx="0">
                  <c:v>URL</c:v>
                </c:pt>
              </c:strCache>
            </c:strRef>
          </c:tx>
          <c:spPr>
            <a:ln w="28575" cap="rnd">
              <a:solidFill>
                <a:srgbClr val="D72323"/>
              </a:solidFill>
              <a:prstDash val="dash"/>
              <a:round/>
            </a:ln>
            <a:effectLst/>
          </c:spPr>
          <c:marker>
            <c:symbol val="none"/>
          </c:marker>
          <c:val>
            <c:numRef>
              <c:f>'Fig. G.1. Dublin Rates'!$I$2:$I$58</c:f>
              <c:numCache>
                <c:formatCode>General</c:formatCode>
                <c:ptCount val="57"/>
                <c:pt idx="0">
                  <c:v>1.99</c:v>
                </c:pt>
                <c:pt idx="1">
                  <c:v>1.99</c:v>
                </c:pt>
                <c:pt idx="2">
                  <c:v>1.99</c:v>
                </c:pt>
                <c:pt idx="3">
                  <c:v>1.99</c:v>
                </c:pt>
                <c:pt idx="4">
                  <c:v>1.99</c:v>
                </c:pt>
                <c:pt idx="5">
                  <c:v>1.99</c:v>
                </c:pt>
                <c:pt idx="6">
                  <c:v>1.99</c:v>
                </c:pt>
                <c:pt idx="7">
                  <c:v>1.99</c:v>
                </c:pt>
                <c:pt idx="8">
                  <c:v>1.99</c:v>
                </c:pt>
                <c:pt idx="9">
                  <c:v>1.99</c:v>
                </c:pt>
                <c:pt idx="10">
                  <c:v>1.99</c:v>
                </c:pt>
                <c:pt idx="11">
                  <c:v>1.99</c:v>
                </c:pt>
                <c:pt idx="12">
                  <c:v>1.99</c:v>
                </c:pt>
                <c:pt idx="13">
                  <c:v>1.99</c:v>
                </c:pt>
                <c:pt idx="14">
                  <c:v>1.99</c:v>
                </c:pt>
                <c:pt idx="15">
                  <c:v>1.99</c:v>
                </c:pt>
                <c:pt idx="16">
                  <c:v>1.99</c:v>
                </c:pt>
                <c:pt idx="17">
                  <c:v>1.99</c:v>
                </c:pt>
                <c:pt idx="18">
                  <c:v>1.99</c:v>
                </c:pt>
                <c:pt idx="19">
                  <c:v>1.99</c:v>
                </c:pt>
                <c:pt idx="20">
                  <c:v>1.99</c:v>
                </c:pt>
                <c:pt idx="21">
                  <c:v>1.99</c:v>
                </c:pt>
                <c:pt idx="22">
                  <c:v>1.99</c:v>
                </c:pt>
                <c:pt idx="23">
                  <c:v>1.99</c:v>
                </c:pt>
                <c:pt idx="24">
                  <c:v>1.99</c:v>
                </c:pt>
                <c:pt idx="25">
                  <c:v>1.99</c:v>
                </c:pt>
                <c:pt idx="26">
                  <c:v>1.99</c:v>
                </c:pt>
                <c:pt idx="27">
                  <c:v>1.99</c:v>
                </c:pt>
                <c:pt idx="28">
                  <c:v>1.99</c:v>
                </c:pt>
                <c:pt idx="29">
                  <c:v>1.99</c:v>
                </c:pt>
                <c:pt idx="30">
                  <c:v>1.99</c:v>
                </c:pt>
                <c:pt idx="31">
                  <c:v>1.99</c:v>
                </c:pt>
                <c:pt idx="32">
                  <c:v>1.99</c:v>
                </c:pt>
                <c:pt idx="33">
                  <c:v>1.99</c:v>
                </c:pt>
                <c:pt idx="34">
                  <c:v>1.99</c:v>
                </c:pt>
                <c:pt idx="35">
                  <c:v>1.99</c:v>
                </c:pt>
                <c:pt idx="36">
                  <c:v>1.99</c:v>
                </c:pt>
                <c:pt idx="37">
                  <c:v>1.99</c:v>
                </c:pt>
                <c:pt idx="38">
                  <c:v>1.99</c:v>
                </c:pt>
                <c:pt idx="39">
                  <c:v>1.99</c:v>
                </c:pt>
                <c:pt idx="40">
                  <c:v>1.99</c:v>
                </c:pt>
                <c:pt idx="41">
                  <c:v>1.99</c:v>
                </c:pt>
                <c:pt idx="42">
                  <c:v>1.99</c:v>
                </c:pt>
                <c:pt idx="43">
                  <c:v>1.99</c:v>
                </c:pt>
                <c:pt idx="44">
                  <c:v>1.99</c:v>
                </c:pt>
                <c:pt idx="45">
                  <c:v>1.99</c:v>
                </c:pt>
                <c:pt idx="46">
                  <c:v>1.99</c:v>
                </c:pt>
                <c:pt idx="47">
                  <c:v>1.99</c:v>
                </c:pt>
                <c:pt idx="48">
                  <c:v>1.99</c:v>
                </c:pt>
                <c:pt idx="49">
                  <c:v>1.99</c:v>
                </c:pt>
                <c:pt idx="50">
                  <c:v>1.99</c:v>
                </c:pt>
                <c:pt idx="51">
                  <c:v>1.99</c:v>
                </c:pt>
                <c:pt idx="52">
                  <c:v>1.99</c:v>
                </c:pt>
                <c:pt idx="53">
                  <c:v>1.99</c:v>
                </c:pt>
                <c:pt idx="54">
                  <c:v>1.99</c:v>
                </c:pt>
                <c:pt idx="55">
                  <c:v>1.99</c:v>
                </c:pt>
                <c:pt idx="56">
                  <c:v>1.99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G.2. Vienna Rates'!$C$1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Rates'!$C$2:$C$58</c:f>
              <c:numCache>
                <c:formatCode>General</c:formatCode>
                <c:ptCount val="57"/>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numCache>
            </c:numRef>
          </c:val>
          <c:smooth val="0"/>
          <c:extLst>
            <c:ext xmlns:c16="http://schemas.microsoft.com/office/drawing/2014/chart" uri="{C3380CC4-5D6E-409C-BE32-E72D297353CC}">
              <c16:uniqueId val="{00000000-329B-41D6-8340-43856FD2F6C5}"/>
            </c:ext>
          </c:extLst>
        </c:ser>
        <c:ser>
          <c:idx val="1"/>
          <c:order val="1"/>
          <c:tx>
            <c:strRef>
              <c:f>'Fig. G.2. Vienna Rates'!$D$1</c:f>
              <c:strCache>
                <c:ptCount val="1"/>
                <c:pt idx="0">
                  <c:v>Mean</c:v>
                </c:pt>
              </c:strCache>
            </c:strRef>
          </c:tx>
          <c:spPr>
            <a:ln w="28575" cap="rnd">
              <a:solidFill>
                <a:schemeClr val="tx1"/>
              </a:solidFill>
              <a:round/>
            </a:ln>
            <a:effectLst/>
          </c:spPr>
          <c:marker>
            <c:symbol val="none"/>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Rates'!$D$2:$D$58</c:f>
              <c:numCache>
                <c:formatCode>General</c:formatCode>
                <c:ptCount val="57"/>
                <c:pt idx="0">
                  <c:v>2.66</c:v>
                </c:pt>
                <c:pt idx="1">
                  <c:v>2.66</c:v>
                </c:pt>
                <c:pt idx="2">
                  <c:v>2.66</c:v>
                </c:pt>
                <c:pt idx="3">
                  <c:v>2.66</c:v>
                </c:pt>
                <c:pt idx="4">
                  <c:v>2.66</c:v>
                </c:pt>
                <c:pt idx="5">
                  <c:v>2.66</c:v>
                </c:pt>
                <c:pt idx="6">
                  <c:v>2.66</c:v>
                </c:pt>
                <c:pt idx="7">
                  <c:v>2.66</c:v>
                </c:pt>
                <c:pt idx="8">
                  <c:v>2.66</c:v>
                </c:pt>
                <c:pt idx="9">
                  <c:v>2.66</c:v>
                </c:pt>
                <c:pt idx="10">
                  <c:v>2.66</c:v>
                </c:pt>
                <c:pt idx="11">
                  <c:v>2.66</c:v>
                </c:pt>
                <c:pt idx="12">
                  <c:v>2.66</c:v>
                </c:pt>
                <c:pt idx="13">
                  <c:v>2.66</c:v>
                </c:pt>
                <c:pt idx="14">
                  <c:v>2.66</c:v>
                </c:pt>
                <c:pt idx="15">
                  <c:v>2.66</c:v>
                </c:pt>
                <c:pt idx="16">
                  <c:v>2.66</c:v>
                </c:pt>
                <c:pt idx="17">
                  <c:v>2.66</c:v>
                </c:pt>
                <c:pt idx="18">
                  <c:v>2.66</c:v>
                </c:pt>
                <c:pt idx="19">
                  <c:v>2.66</c:v>
                </c:pt>
                <c:pt idx="20">
                  <c:v>2.66</c:v>
                </c:pt>
                <c:pt idx="21">
                  <c:v>2.66</c:v>
                </c:pt>
                <c:pt idx="22">
                  <c:v>2.66</c:v>
                </c:pt>
                <c:pt idx="23">
                  <c:v>2.66</c:v>
                </c:pt>
                <c:pt idx="24">
                  <c:v>2.66</c:v>
                </c:pt>
                <c:pt idx="25">
                  <c:v>2.66</c:v>
                </c:pt>
                <c:pt idx="26">
                  <c:v>2.66</c:v>
                </c:pt>
                <c:pt idx="27">
                  <c:v>2.66</c:v>
                </c:pt>
                <c:pt idx="28">
                  <c:v>2.66</c:v>
                </c:pt>
                <c:pt idx="29">
                  <c:v>2.66</c:v>
                </c:pt>
                <c:pt idx="30">
                  <c:v>2.66</c:v>
                </c:pt>
                <c:pt idx="31">
                  <c:v>2.66</c:v>
                </c:pt>
                <c:pt idx="32">
                  <c:v>2.66</c:v>
                </c:pt>
                <c:pt idx="33">
                  <c:v>2.66</c:v>
                </c:pt>
                <c:pt idx="34">
                  <c:v>2.66</c:v>
                </c:pt>
                <c:pt idx="35">
                  <c:v>2.66</c:v>
                </c:pt>
                <c:pt idx="36">
                  <c:v>2.66</c:v>
                </c:pt>
                <c:pt idx="37">
                  <c:v>2.66</c:v>
                </c:pt>
                <c:pt idx="38">
                  <c:v>2.66</c:v>
                </c:pt>
                <c:pt idx="39">
                  <c:v>2.66</c:v>
                </c:pt>
                <c:pt idx="40">
                  <c:v>2.66</c:v>
                </c:pt>
                <c:pt idx="41">
                  <c:v>2.66</c:v>
                </c:pt>
                <c:pt idx="42">
                  <c:v>2.66</c:v>
                </c:pt>
                <c:pt idx="43">
                  <c:v>2.66</c:v>
                </c:pt>
                <c:pt idx="44">
                  <c:v>2.66</c:v>
                </c:pt>
                <c:pt idx="45">
                  <c:v>2.66</c:v>
                </c:pt>
                <c:pt idx="46">
                  <c:v>2.66</c:v>
                </c:pt>
                <c:pt idx="47">
                  <c:v>2.66</c:v>
                </c:pt>
                <c:pt idx="48">
                  <c:v>2.66</c:v>
                </c:pt>
                <c:pt idx="49">
                  <c:v>2.66</c:v>
                </c:pt>
                <c:pt idx="50">
                  <c:v>2.66</c:v>
                </c:pt>
                <c:pt idx="51">
                  <c:v>2.66</c:v>
                </c:pt>
                <c:pt idx="52">
                  <c:v>2.66</c:v>
                </c:pt>
                <c:pt idx="53">
                  <c:v>2.66</c:v>
                </c:pt>
                <c:pt idx="54">
                  <c:v>2.66</c:v>
                </c:pt>
                <c:pt idx="55">
                  <c:v>2.66</c:v>
                </c:pt>
                <c:pt idx="56">
                  <c:v>2.66</c:v>
                </c:pt>
              </c:numCache>
            </c:numRef>
          </c:val>
          <c:smooth val="0"/>
          <c:extLst>
            <c:ext xmlns:c16="http://schemas.microsoft.com/office/drawing/2014/chart" uri="{C3380CC4-5D6E-409C-BE32-E72D297353CC}">
              <c16:uniqueId val="{00000001-329B-41D6-8340-43856FD2F6C5}"/>
            </c:ext>
          </c:extLst>
        </c:ser>
        <c:ser>
          <c:idx val="2"/>
          <c:order val="2"/>
          <c:tx>
            <c:strRef>
              <c:f>'Fig. G.2. Vienna Rates'!$E$1</c:f>
              <c:strCache>
                <c:ptCount val="1"/>
                <c:pt idx="0">
                  <c:v>UPL</c:v>
                </c:pt>
              </c:strCache>
            </c:strRef>
          </c:tx>
          <c:spPr>
            <a:ln w="28575" cap="rnd">
              <a:solidFill>
                <a:srgbClr val="D72323"/>
              </a:solidFill>
              <a:prstDash val="dash"/>
              <a:round/>
            </a:ln>
            <a:effectLst/>
          </c:spPr>
          <c:marker>
            <c:symbol val="none"/>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Rates'!$E$2:$E$58</c:f>
              <c:numCache>
                <c:formatCode>General</c:formatCode>
                <c:ptCount val="57"/>
                <c:pt idx="0">
                  <c:v>6.62</c:v>
                </c:pt>
                <c:pt idx="1">
                  <c:v>6.62</c:v>
                </c:pt>
                <c:pt idx="2">
                  <c:v>6.62</c:v>
                </c:pt>
                <c:pt idx="3">
                  <c:v>6.62</c:v>
                </c:pt>
                <c:pt idx="4">
                  <c:v>6.62</c:v>
                </c:pt>
                <c:pt idx="5">
                  <c:v>6.62</c:v>
                </c:pt>
                <c:pt idx="6">
                  <c:v>6.62</c:v>
                </c:pt>
                <c:pt idx="7">
                  <c:v>6.62</c:v>
                </c:pt>
                <c:pt idx="8">
                  <c:v>6.62</c:v>
                </c:pt>
                <c:pt idx="9">
                  <c:v>6.62</c:v>
                </c:pt>
                <c:pt idx="10">
                  <c:v>6.62</c:v>
                </c:pt>
                <c:pt idx="11">
                  <c:v>6.62</c:v>
                </c:pt>
                <c:pt idx="12">
                  <c:v>6.62</c:v>
                </c:pt>
                <c:pt idx="13">
                  <c:v>6.62</c:v>
                </c:pt>
                <c:pt idx="14">
                  <c:v>6.62</c:v>
                </c:pt>
                <c:pt idx="15">
                  <c:v>6.62</c:v>
                </c:pt>
                <c:pt idx="16">
                  <c:v>6.62</c:v>
                </c:pt>
                <c:pt idx="17">
                  <c:v>6.62</c:v>
                </c:pt>
                <c:pt idx="18">
                  <c:v>6.62</c:v>
                </c:pt>
                <c:pt idx="19">
                  <c:v>6.62</c:v>
                </c:pt>
                <c:pt idx="20">
                  <c:v>6.62</c:v>
                </c:pt>
                <c:pt idx="21">
                  <c:v>6.62</c:v>
                </c:pt>
                <c:pt idx="22">
                  <c:v>6.62</c:v>
                </c:pt>
                <c:pt idx="23">
                  <c:v>6.62</c:v>
                </c:pt>
                <c:pt idx="24">
                  <c:v>6.62</c:v>
                </c:pt>
                <c:pt idx="25">
                  <c:v>6.62</c:v>
                </c:pt>
                <c:pt idx="26">
                  <c:v>6.62</c:v>
                </c:pt>
                <c:pt idx="27">
                  <c:v>6.62</c:v>
                </c:pt>
                <c:pt idx="28">
                  <c:v>6.62</c:v>
                </c:pt>
                <c:pt idx="29">
                  <c:v>6.62</c:v>
                </c:pt>
                <c:pt idx="30">
                  <c:v>6.62</c:v>
                </c:pt>
                <c:pt idx="31">
                  <c:v>6.62</c:v>
                </c:pt>
                <c:pt idx="32">
                  <c:v>6.62</c:v>
                </c:pt>
                <c:pt idx="33">
                  <c:v>6.62</c:v>
                </c:pt>
                <c:pt idx="34">
                  <c:v>6.62</c:v>
                </c:pt>
                <c:pt idx="35">
                  <c:v>6.62</c:v>
                </c:pt>
                <c:pt idx="36">
                  <c:v>6.62</c:v>
                </c:pt>
                <c:pt idx="37">
                  <c:v>6.62</c:v>
                </c:pt>
                <c:pt idx="38">
                  <c:v>6.62</c:v>
                </c:pt>
                <c:pt idx="39">
                  <c:v>6.62</c:v>
                </c:pt>
                <c:pt idx="40">
                  <c:v>6.62</c:v>
                </c:pt>
                <c:pt idx="41">
                  <c:v>6.62</c:v>
                </c:pt>
                <c:pt idx="42">
                  <c:v>6.62</c:v>
                </c:pt>
                <c:pt idx="43">
                  <c:v>6.62</c:v>
                </c:pt>
                <c:pt idx="44">
                  <c:v>6.62</c:v>
                </c:pt>
                <c:pt idx="45">
                  <c:v>6.62</c:v>
                </c:pt>
                <c:pt idx="46">
                  <c:v>6.62</c:v>
                </c:pt>
                <c:pt idx="47">
                  <c:v>6.62</c:v>
                </c:pt>
                <c:pt idx="48">
                  <c:v>6.62</c:v>
                </c:pt>
                <c:pt idx="49">
                  <c:v>6.62</c:v>
                </c:pt>
                <c:pt idx="50">
                  <c:v>6.62</c:v>
                </c:pt>
                <c:pt idx="51">
                  <c:v>6.62</c:v>
                </c:pt>
                <c:pt idx="52">
                  <c:v>6.62</c:v>
                </c:pt>
                <c:pt idx="53">
                  <c:v>6.62</c:v>
                </c:pt>
                <c:pt idx="54">
                  <c:v>6.62</c:v>
                </c:pt>
                <c:pt idx="55">
                  <c:v>6.62</c:v>
                </c:pt>
                <c:pt idx="56">
                  <c:v>6.62</c:v>
                </c:pt>
              </c:numCache>
            </c:numRef>
          </c:val>
          <c:smooth val="0"/>
          <c:extLst>
            <c:ext xmlns:c16="http://schemas.microsoft.com/office/drawing/2014/chart" uri="{C3380CC4-5D6E-409C-BE32-E72D297353CC}">
              <c16:uniqueId val="{00000002-329B-41D6-8340-43856FD2F6C5}"/>
            </c:ext>
          </c:extLst>
        </c:ser>
        <c:ser>
          <c:idx val="3"/>
          <c:order val="3"/>
          <c:tx>
            <c:strRef>
              <c:f>'Fig. G.2. Vienna Rates'!$F$1</c:f>
              <c:strCache>
                <c:ptCount val="1"/>
                <c:pt idx="0">
                  <c:v>LPL</c:v>
                </c:pt>
              </c:strCache>
            </c:strRef>
          </c:tx>
          <c:spPr>
            <a:ln w="28575" cap="rnd">
              <a:solidFill>
                <a:srgbClr val="D72323"/>
              </a:solidFill>
              <a:prstDash val="dash"/>
              <a:round/>
            </a:ln>
            <a:effectLst/>
          </c:spPr>
          <c:marker>
            <c:symbol val="none"/>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Rates'!$F$2:$F$58</c:f>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G.2. Vienna Rates'!$G$1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G.2. Vienna Rates'!$G$2:$G$58</c:f>
              <c:numCache>
                <c:formatCode>General</c:formatCode>
                <c:ptCount val="57"/>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0">
                  <c:v>2.2000000000000002</c:v>
                </c:pt>
                <c:pt idx="11">
                  <c:v>1.7000000000000002</c:v>
                </c:pt>
                <c:pt idx="12">
                  <c:v>0.90000000000000013</c:v>
                </c:pt>
                <c:pt idx="13">
                  <c:v>1</c:v>
                </c:pt>
                <c:pt idx="14">
                  <c:v>0</c:v>
                </c:pt>
                <c:pt idx="15">
                  <c:v>0.8</c:v>
                </c:pt>
                <c:pt idx="16">
                  <c:v>1</c:v>
                </c:pt>
                <c:pt idx="17">
                  <c:v>1.2</c:v>
                </c:pt>
                <c:pt idx="18">
                  <c:v>0.4</c:v>
                </c:pt>
                <c:pt idx="19">
                  <c:v>0.29999999999999993</c:v>
                </c:pt>
                <c:pt idx="20">
                  <c:v>0.29999999999999993</c:v>
                </c:pt>
                <c:pt idx="21">
                  <c:v>0</c:v>
                </c:pt>
                <c:pt idx="22">
                  <c:v>0.29999999999999993</c:v>
                </c:pt>
                <c:pt idx="23">
                  <c:v>9.9999999999999978E-2</c:v>
                </c:pt>
                <c:pt idx="24">
                  <c:v>0.20000000000000007</c:v>
                </c:pt>
                <c:pt idx="25">
                  <c:v>0.59999999999999987</c:v>
                </c:pt>
                <c:pt idx="26">
                  <c:v>0.59999999999999987</c:v>
                </c:pt>
                <c:pt idx="27">
                  <c:v>1.0999999999999999</c:v>
                </c:pt>
                <c:pt idx="28">
                  <c:v>1.2999999999999998</c:v>
                </c:pt>
                <c:pt idx="29">
                  <c:v>0.50000000000000011</c:v>
                </c:pt>
                <c:pt idx="30">
                  <c:v>2.1</c:v>
                </c:pt>
                <c:pt idx="31">
                  <c:v>2.5</c:v>
                </c:pt>
                <c:pt idx="32">
                  <c:v>0.19999999999999996</c:v>
                </c:pt>
                <c:pt idx="33">
                  <c:v>0.4</c:v>
                </c:pt>
                <c:pt idx="34">
                  <c:v>1.3000000000000003</c:v>
                </c:pt>
                <c:pt idx="35">
                  <c:v>2.8</c:v>
                </c:pt>
                <c:pt idx="36">
                  <c:v>2.5</c:v>
                </c:pt>
                <c:pt idx="37">
                  <c:v>0.8</c:v>
                </c:pt>
                <c:pt idx="38">
                  <c:v>0.89999999999999991</c:v>
                </c:pt>
                <c:pt idx="39">
                  <c:v>6.7</c:v>
                </c:pt>
                <c:pt idx="40">
                  <c:v>2.5999999999999996</c:v>
                </c:pt>
                <c:pt idx="41">
                  <c:v>3.9000000000000004</c:v>
                </c:pt>
                <c:pt idx="42">
                  <c:v>0.70000000000000107</c:v>
                </c:pt>
                <c:pt idx="43">
                  <c:v>5.8999999999999995</c:v>
                </c:pt>
                <c:pt idx="44">
                  <c:v>1.4</c:v>
                </c:pt>
                <c:pt idx="45">
                  <c:v>0.99999999999999956</c:v>
                </c:pt>
                <c:pt idx="46">
                  <c:v>0.59999999999999964</c:v>
                </c:pt>
                <c:pt idx="47">
                  <c:v>2.5999999999999996</c:v>
                </c:pt>
                <c:pt idx="48">
                  <c:v>3.3999999999999995</c:v>
                </c:pt>
                <c:pt idx="49">
                  <c:v>2.0999999999999996</c:v>
                </c:pt>
                <c:pt idx="50">
                  <c:v>2.4000000000000004</c:v>
                </c:pt>
                <c:pt idx="51">
                  <c:v>2.1000000000000005</c:v>
                </c:pt>
                <c:pt idx="52">
                  <c:v>1.9000000000000004</c:v>
                </c:pt>
                <c:pt idx="53">
                  <c:v>1.5999999999999996</c:v>
                </c:pt>
                <c:pt idx="54">
                  <c:v>6.1</c:v>
                </c:pt>
                <c:pt idx="55">
                  <c:v>2.4000000000000004</c:v>
                </c:pt>
                <c:pt idx="56">
                  <c:v>3.7999999999999989</c:v>
                </c:pt>
              </c:numCache>
            </c:numRef>
          </c:val>
          <c:smooth val="0"/>
          <c:extLst>
            <c:ext xmlns:c16="http://schemas.microsoft.com/office/drawing/2014/chart" uri="{C3380CC4-5D6E-409C-BE32-E72D297353CC}">
              <c16:uniqueId val="{00000000-5D18-47FA-93F7-2AB89D044415}"/>
            </c:ext>
          </c:extLst>
        </c:ser>
        <c:ser>
          <c:idx val="1"/>
          <c:order val="1"/>
          <c:tx>
            <c:strRef>
              <c:f>'Fig. G.2. Vienna Rates'!$H$1</c:f>
              <c:strCache>
                <c:ptCount val="1"/>
                <c:pt idx="0">
                  <c:v>Ave. mR</c:v>
                </c:pt>
              </c:strCache>
            </c:strRef>
          </c:tx>
          <c:spPr>
            <a:ln w="28575" cap="rnd">
              <a:solidFill>
                <a:schemeClr val="tx1"/>
              </a:solidFill>
              <a:round/>
            </a:ln>
            <a:effectLst/>
          </c:spPr>
          <c:marker>
            <c:symbol val="none"/>
          </c:marker>
          <c:val>
            <c:numRef>
              <c:f>'Fig. G.2. Vienna Rates'!$H$2:$H$58</c:f>
              <c:numCache>
                <c:formatCode>General</c:formatCode>
                <c:ptCount val="57"/>
                <c:pt idx="0">
                  <c:v>1.49</c:v>
                </c:pt>
                <c:pt idx="1">
                  <c:v>1.49</c:v>
                </c:pt>
                <c:pt idx="2">
                  <c:v>1.49</c:v>
                </c:pt>
                <c:pt idx="3">
                  <c:v>1.49</c:v>
                </c:pt>
                <c:pt idx="4">
                  <c:v>1.49</c:v>
                </c:pt>
                <c:pt idx="5">
                  <c:v>1.49</c:v>
                </c:pt>
                <c:pt idx="6">
                  <c:v>1.49</c:v>
                </c:pt>
                <c:pt idx="7">
                  <c:v>1.49</c:v>
                </c:pt>
                <c:pt idx="8">
                  <c:v>1.49</c:v>
                </c:pt>
                <c:pt idx="9">
                  <c:v>1.49</c:v>
                </c:pt>
                <c:pt idx="10">
                  <c:v>1.49</c:v>
                </c:pt>
                <c:pt idx="11">
                  <c:v>1.49</c:v>
                </c:pt>
                <c:pt idx="12">
                  <c:v>1.49</c:v>
                </c:pt>
                <c:pt idx="13">
                  <c:v>1.49</c:v>
                </c:pt>
                <c:pt idx="14">
                  <c:v>1.49</c:v>
                </c:pt>
                <c:pt idx="15">
                  <c:v>1.49</c:v>
                </c:pt>
                <c:pt idx="16">
                  <c:v>1.49</c:v>
                </c:pt>
                <c:pt idx="17">
                  <c:v>1.49</c:v>
                </c:pt>
                <c:pt idx="18">
                  <c:v>1.49</c:v>
                </c:pt>
                <c:pt idx="19">
                  <c:v>1.49</c:v>
                </c:pt>
                <c:pt idx="20">
                  <c:v>1.49</c:v>
                </c:pt>
                <c:pt idx="21">
                  <c:v>1.49</c:v>
                </c:pt>
                <c:pt idx="22">
                  <c:v>1.49</c:v>
                </c:pt>
                <c:pt idx="23">
                  <c:v>1.49</c:v>
                </c:pt>
                <c:pt idx="24">
                  <c:v>1.49</c:v>
                </c:pt>
                <c:pt idx="25">
                  <c:v>1.49</c:v>
                </c:pt>
                <c:pt idx="26">
                  <c:v>1.49</c:v>
                </c:pt>
                <c:pt idx="27">
                  <c:v>1.49</c:v>
                </c:pt>
                <c:pt idx="28">
                  <c:v>1.49</c:v>
                </c:pt>
                <c:pt idx="29">
                  <c:v>1.49</c:v>
                </c:pt>
                <c:pt idx="30">
                  <c:v>1.49</c:v>
                </c:pt>
                <c:pt idx="31">
                  <c:v>1.49</c:v>
                </c:pt>
                <c:pt idx="32">
                  <c:v>1.49</c:v>
                </c:pt>
                <c:pt idx="33">
                  <c:v>1.49</c:v>
                </c:pt>
                <c:pt idx="34">
                  <c:v>1.49</c:v>
                </c:pt>
                <c:pt idx="35">
                  <c:v>1.49</c:v>
                </c:pt>
                <c:pt idx="36">
                  <c:v>1.49</c:v>
                </c:pt>
                <c:pt idx="37">
                  <c:v>1.49</c:v>
                </c:pt>
                <c:pt idx="38">
                  <c:v>1.49</c:v>
                </c:pt>
                <c:pt idx="39">
                  <c:v>1.49</c:v>
                </c:pt>
                <c:pt idx="40">
                  <c:v>1.49</c:v>
                </c:pt>
                <c:pt idx="41">
                  <c:v>1.49</c:v>
                </c:pt>
                <c:pt idx="42">
                  <c:v>1.49</c:v>
                </c:pt>
                <c:pt idx="43">
                  <c:v>1.49</c:v>
                </c:pt>
                <c:pt idx="44">
                  <c:v>1.49</c:v>
                </c:pt>
                <c:pt idx="45">
                  <c:v>1.49</c:v>
                </c:pt>
                <c:pt idx="46">
                  <c:v>1.49</c:v>
                </c:pt>
                <c:pt idx="47">
                  <c:v>1.49</c:v>
                </c:pt>
                <c:pt idx="48">
                  <c:v>1.49</c:v>
                </c:pt>
                <c:pt idx="49">
                  <c:v>1.49</c:v>
                </c:pt>
                <c:pt idx="50">
                  <c:v>1.49</c:v>
                </c:pt>
                <c:pt idx="51">
                  <c:v>1.49</c:v>
                </c:pt>
                <c:pt idx="52">
                  <c:v>1.49</c:v>
                </c:pt>
                <c:pt idx="53">
                  <c:v>1.49</c:v>
                </c:pt>
                <c:pt idx="54">
                  <c:v>1.49</c:v>
                </c:pt>
                <c:pt idx="55">
                  <c:v>1.49</c:v>
                </c:pt>
                <c:pt idx="56">
                  <c:v>1.49</c:v>
                </c:pt>
              </c:numCache>
            </c:numRef>
          </c:val>
          <c:smooth val="0"/>
          <c:extLst>
            <c:ext xmlns:c16="http://schemas.microsoft.com/office/drawing/2014/chart" uri="{C3380CC4-5D6E-409C-BE32-E72D297353CC}">
              <c16:uniqueId val="{00000001-5D18-47FA-93F7-2AB89D044415}"/>
            </c:ext>
          </c:extLst>
        </c:ser>
        <c:ser>
          <c:idx val="2"/>
          <c:order val="2"/>
          <c:tx>
            <c:strRef>
              <c:f>'Fig. G.2. Vienna Rates'!$I$1</c:f>
              <c:strCache>
                <c:ptCount val="1"/>
                <c:pt idx="0">
                  <c:v>URL</c:v>
                </c:pt>
              </c:strCache>
            </c:strRef>
          </c:tx>
          <c:spPr>
            <a:ln w="28575" cap="rnd">
              <a:solidFill>
                <a:srgbClr val="D72323"/>
              </a:solidFill>
              <a:prstDash val="dash"/>
              <a:round/>
            </a:ln>
            <a:effectLst/>
          </c:spPr>
          <c:marker>
            <c:symbol val="none"/>
          </c:marker>
          <c:val>
            <c:numRef>
              <c:f>'Fig. G.2. Vienna Rates'!$I$2:$I$58</c:f>
              <c:numCache>
                <c:formatCode>General</c:formatCode>
                <c:ptCount val="57"/>
                <c:pt idx="0">
                  <c:v>4.87</c:v>
                </c:pt>
                <c:pt idx="1">
                  <c:v>4.87</c:v>
                </c:pt>
                <c:pt idx="2">
                  <c:v>4.87</c:v>
                </c:pt>
                <c:pt idx="3">
                  <c:v>4.87</c:v>
                </c:pt>
                <c:pt idx="4">
                  <c:v>4.87</c:v>
                </c:pt>
                <c:pt idx="5">
                  <c:v>4.87</c:v>
                </c:pt>
                <c:pt idx="6">
                  <c:v>4.87</c:v>
                </c:pt>
                <c:pt idx="7">
                  <c:v>4.87</c:v>
                </c:pt>
                <c:pt idx="8">
                  <c:v>4.87</c:v>
                </c:pt>
                <c:pt idx="9">
                  <c:v>4.87</c:v>
                </c:pt>
                <c:pt idx="10">
                  <c:v>4.87</c:v>
                </c:pt>
                <c:pt idx="11">
                  <c:v>4.87</c:v>
                </c:pt>
                <c:pt idx="12">
                  <c:v>4.87</c:v>
                </c:pt>
                <c:pt idx="13">
                  <c:v>4.87</c:v>
                </c:pt>
                <c:pt idx="14">
                  <c:v>4.87</c:v>
                </c:pt>
                <c:pt idx="15">
                  <c:v>4.87</c:v>
                </c:pt>
                <c:pt idx="16">
                  <c:v>4.87</c:v>
                </c:pt>
                <c:pt idx="17">
                  <c:v>4.87</c:v>
                </c:pt>
                <c:pt idx="18">
                  <c:v>4.87</c:v>
                </c:pt>
                <c:pt idx="19">
                  <c:v>4.87</c:v>
                </c:pt>
                <c:pt idx="20">
                  <c:v>4.87</c:v>
                </c:pt>
                <c:pt idx="21">
                  <c:v>4.87</c:v>
                </c:pt>
                <c:pt idx="22">
                  <c:v>4.87</c:v>
                </c:pt>
                <c:pt idx="23">
                  <c:v>4.87</c:v>
                </c:pt>
                <c:pt idx="24">
                  <c:v>4.87</c:v>
                </c:pt>
                <c:pt idx="25">
                  <c:v>4.87</c:v>
                </c:pt>
                <c:pt idx="26">
                  <c:v>4.87</c:v>
                </c:pt>
                <c:pt idx="27">
                  <c:v>4.87</c:v>
                </c:pt>
                <c:pt idx="28">
                  <c:v>4.87</c:v>
                </c:pt>
                <c:pt idx="29">
                  <c:v>4.87</c:v>
                </c:pt>
                <c:pt idx="30">
                  <c:v>4.87</c:v>
                </c:pt>
                <c:pt idx="31">
                  <c:v>4.87</c:v>
                </c:pt>
                <c:pt idx="32">
                  <c:v>4.87</c:v>
                </c:pt>
                <c:pt idx="33">
                  <c:v>4.87</c:v>
                </c:pt>
                <c:pt idx="34">
                  <c:v>4.87</c:v>
                </c:pt>
                <c:pt idx="35">
                  <c:v>4.87</c:v>
                </c:pt>
                <c:pt idx="36">
                  <c:v>4.87</c:v>
                </c:pt>
                <c:pt idx="37">
                  <c:v>4.87</c:v>
                </c:pt>
                <c:pt idx="38">
                  <c:v>4.87</c:v>
                </c:pt>
                <c:pt idx="39">
                  <c:v>4.87</c:v>
                </c:pt>
                <c:pt idx="40">
                  <c:v>4.87</c:v>
                </c:pt>
                <c:pt idx="41">
                  <c:v>4.87</c:v>
                </c:pt>
                <c:pt idx="42">
                  <c:v>4.87</c:v>
                </c:pt>
                <c:pt idx="43">
                  <c:v>4.87</c:v>
                </c:pt>
                <c:pt idx="44">
                  <c:v>4.87</c:v>
                </c:pt>
                <c:pt idx="45">
                  <c:v>4.87</c:v>
                </c:pt>
                <c:pt idx="46">
                  <c:v>4.87</c:v>
                </c:pt>
                <c:pt idx="47">
                  <c:v>4.87</c:v>
                </c:pt>
                <c:pt idx="48">
                  <c:v>4.87</c:v>
                </c:pt>
                <c:pt idx="49">
                  <c:v>4.87</c:v>
                </c:pt>
                <c:pt idx="50">
                  <c:v>4.87</c:v>
                </c:pt>
                <c:pt idx="51">
                  <c:v>4.87</c:v>
                </c:pt>
                <c:pt idx="52">
                  <c:v>4.87</c:v>
                </c:pt>
                <c:pt idx="53">
                  <c:v>4.87</c:v>
                </c:pt>
                <c:pt idx="54">
                  <c:v>4.87</c:v>
                </c:pt>
                <c:pt idx="55">
                  <c:v>4.87</c:v>
                </c:pt>
                <c:pt idx="56">
                  <c:v>4.87</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76D3EDF4-B340-4C31-A543-B6A678010290}"/>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16</xdr:row>
      <xdr:rowOff>0</xdr:rowOff>
    </xdr:to>
    <xdr:graphicFrame macro="">
      <xdr:nvGraphicFramePr>
        <xdr:cNvPr id="3" name="Chart 2">
          <a:extLst>
            <a:ext uri="{FF2B5EF4-FFF2-40B4-BE49-F238E27FC236}">
              <a16:creationId xmlns:a16="http://schemas.microsoft.com/office/drawing/2014/main" id="{80206620-7FFF-7EFB-6A54-B9B5744B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18</xdr:col>
      <xdr:colOff>0</xdr:colOff>
      <xdr:row>30</xdr:row>
      <xdr:rowOff>0</xdr:rowOff>
    </xdr:to>
    <xdr:graphicFrame macro="">
      <xdr:nvGraphicFramePr>
        <xdr:cNvPr id="6" name="Chart 5">
          <a:extLst>
            <a:ext uri="{FF2B5EF4-FFF2-40B4-BE49-F238E27FC236}">
              <a16:creationId xmlns:a16="http://schemas.microsoft.com/office/drawing/2014/main" id="{E2F17231-BEFF-B1FC-A87C-8E7B65C39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16</xdr:row>
      <xdr:rowOff>0</xdr:rowOff>
    </xdr:to>
    <xdr:graphicFrame macro="">
      <xdr:nvGraphicFramePr>
        <xdr:cNvPr id="3" name="Chart 2">
          <a:extLst>
            <a:ext uri="{FF2B5EF4-FFF2-40B4-BE49-F238E27FC236}">
              <a16:creationId xmlns:a16="http://schemas.microsoft.com/office/drawing/2014/main" id="{E80051AF-4C0B-1EBD-57F0-CB3802314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18</xdr:col>
      <xdr:colOff>0</xdr:colOff>
      <xdr:row>30</xdr:row>
      <xdr:rowOff>0</xdr:rowOff>
    </xdr:to>
    <xdr:graphicFrame macro="">
      <xdr:nvGraphicFramePr>
        <xdr:cNvPr id="4" name="Chart 3">
          <a:extLst>
            <a:ext uri="{FF2B5EF4-FFF2-40B4-BE49-F238E27FC236}">
              <a16:creationId xmlns:a16="http://schemas.microsoft.com/office/drawing/2014/main" id="{538D9768-ACC2-1DA2-F337-398FA75FC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D64140-0C83-43E9-B2FD-299D12433891}" autoFormatId="16" applyNumberFormats="0" applyBorderFormats="0" applyFontFormats="0" applyPatternFormats="0" applyAlignmentFormats="0" applyWidthHeightFormats="0">
  <queryTableRefresh nextId="10" unboundColumnsRight="6">
    <queryTableFields count="9">
      <queryTableField id="1" name="Hospital" tableColumnId="1"/>
      <queryTableField id="2" name="Year" tableColumnId="2"/>
      <queryTableField id="3" name="Rat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F951BE1-0781-4C48-8E51-C87790B3442A}" autoFormatId="16" applyNumberFormats="0" applyBorderFormats="0" applyFontFormats="0" applyPatternFormats="0" applyAlignmentFormats="0" applyWidthHeightFormats="0">
  <queryTableRefresh nextId="10" unboundColumnsRight="6">
    <queryTableFields count="9">
      <queryTableField id="1" name="Hospital" tableColumnId="1"/>
      <queryTableField id="2" name="Year" tableColumnId="2"/>
      <queryTableField id="3" name="Rat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C0ED6E-D2CF-4812-A36B-3B4870E0CE8A}" name="physical_comparison_death_to_birth_rates" displayName="physical_comparison_death_to_birth_rates" ref="A1:I58" tableType="queryTable" totalsRowShown="0" headerRowDxfId="16">
  <autoFilter ref="A1:I58" xr:uid="{D4C0ED6E-D2CF-4812-A36B-3B4870E0CE8A}"/>
  <tableColumns count="9">
    <tableColumn id="1" xr3:uid="{61E07244-5E1F-43E6-8489-F196D34F7839}" uniqueName="1" name="Hospital" queryTableFieldId="1" dataDxfId="15"/>
    <tableColumn id="2" xr3:uid="{CDD78CB6-719D-4136-9D05-748CBC0BFD29}" uniqueName="2" name="Year" queryTableFieldId="2" dataDxfId="14"/>
    <tableColumn id="3" xr3:uid="{1E2337A0-D148-4AAF-B7A5-6FE409BBFB55}" uniqueName="3" name="Rate" queryTableFieldId="3"/>
    <tableColumn id="4" xr3:uid="{E1A5B438-D1AF-47B3-9BC2-DC7230ADE012}" uniqueName="4" name="Mean" queryTableFieldId="4" dataDxfId="13">
      <calculatedColumnFormula>ROUND(AVERAGE($C$2:C58),2)</calculatedColumnFormula>
    </tableColumn>
    <tableColumn id="5" xr3:uid="{6148AEB1-8E82-44E8-ACEA-82111F432660}" uniqueName="5" name="UPL" queryTableFieldId="5" dataDxfId="12">
      <calculatedColumnFormula>ROUND(D2+(2.66*H2),2)</calculatedColumnFormula>
    </tableColumn>
    <tableColumn id="6" xr3:uid="{7D1861DD-5612-476A-A0E0-3E75A929C5E0}" uniqueName="6" name="LPL" queryTableFieldId="6" dataDxfId="11">
      <calculatedColumnFormula>ROUND(MAX(0,D2-(2.66*H2)),2)</calculatedColumnFormula>
    </tableColumn>
    <tableColumn id="7" xr3:uid="{E41026F1-0E92-49B0-8A88-D9E35F75D67E}" uniqueName="7" name="mR" queryTableFieldId="7" dataDxfId="10">
      <calculatedColumnFormula>ABS(C1-C2)</calculatedColumnFormula>
    </tableColumn>
    <tableColumn id="8" xr3:uid="{F7DA4A93-84C0-44FB-80A0-5734B964D903}" uniqueName="8" name="Ave. mR" queryTableFieldId="8" dataDxfId="9">
      <calculatedColumnFormula>ROUND(AVERAGE($G$3:$G$58),2)</calculatedColumnFormula>
    </tableColumn>
    <tableColumn id="9" xr3:uid="{66E6B001-5297-4EB7-B023-A1FD0594D66C}" uniqueName="9" name="URL" queryTableFieldId="9" dataDxfId="8">
      <calculatedColumnFormula>ROUND(3.268*H2,2)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7E31B0-F1F1-452E-8E03-3D848D798D4F}" name="physical_comparison_death_to_birth_rates__2" displayName="physical_comparison_death_to_birth_rates__2" ref="A1:I58" tableType="queryTable" totalsRowShown="0" headerRowDxfId="7">
  <autoFilter ref="A1:I58" xr:uid="{077E31B0-F1F1-452E-8E03-3D848D798D4F}"/>
  <tableColumns count="9">
    <tableColumn id="1" xr3:uid="{5A320ADB-CE07-400B-BAAE-78B6FAE4363F}" uniqueName="1" name="Hospital" queryTableFieldId="1" dataDxfId="6"/>
    <tableColumn id="2" xr3:uid="{1FDE6136-4FB5-4C36-9AEB-76FAF37A1997}" uniqueName="2" name="Year" queryTableFieldId="2" dataDxfId="5"/>
    <tableColumn id="3" xr3:uid="{FF46953B-3C56-4F3D-9589-50703910FA54}" uniqueName="3" name="Rate" queryTableFieldId="3"/>
    <tableColumn id="4" xr3:uid="{77271EB0-5A6F-45D2-81BC-6E1AEC181977}" uniqueName="4" name="Mean" queryTableFieldId="4" dataDxfId="4">
      <calculatedColumnFormula>ROUND(AVERAGE($C$2:C58),2)</calculatedColumnFormula>
    </tableColumn>
    <tableColumn id="5" xr3:uid="{B5CABF6E-C2F3-4A44-9195-DE90CB28C568}" uniqueName="5" name="UPL" queryTableFieldId="5" dataDxfId="3">
      <calculatedColumnFormula>ROUND(D2+(2.66*H2),2)</calculatedColumnFormula>
    </tableColumn>
    <tableColumn id="6" xr3:uid="{B95A0F22-2D4B-4160-985C-9D09590F5F26}" uniqueName="6" name="LPL" queryTableFieldId="6" dataDxfId="2">
      <calculatedColumnFormula>ROUND(MAX(0,D2-(2.66*H2)),2)</calculatedColumnFormula>
    </tableColumn>
    <tableColumn id="7" xr3:uid="{AA82378F-C5F8-4DA0-98CA-6176FFF41E05}" uniqueName="7" name="mR" queryTableFieldId="7"/>
    <tableColumn id="8" xr3:uid="{E58AC0A8-87EA-4720-AC47-83D9FFEA5C4D}" uniqueName="8" name="Ave. mR" queryTableFieldId="8" dataDxfId="1">
      <calculatedColumnFormula>ROUND(AVERAGE($G$3:$G$58),2)</calculatedColumnFormula>
    </tableColumn>
    <tableColumn id="9" xr3:uid="{8216603B-F62D-4195-A796-018D69774BAA}" uniqueName="9" name="URL" queryTableFieldId="9" dataDxfId="0">
      <calculatedColumnFormula>ROUND(3.268*H2,2)</calculatedColumnFormula>
    </tableColumn>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7"/>
  <sheetViews>
    <sheetView showGridLines="0" tabSelected="1" workbookViewId="0">
      <selection activeCell="B1" sqref="B1:H1"/>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8" t="s">
        <v>0</v>
      </c>
      <c r="C1" s="9"/>
      <c r="D1" s="9"/>
      <c r="E1" s="9"/>
      <c r="F1" s="9"/>
      <c r="G1" s="9"/>
      <c r="H1" s="10"/>
    </row>
    <row r="2" spans="1:10" ht="15.75" customHeight="1" x14ac:dyDescent="0.25">
      <c r="A2" s="1"/>
      <c r="B2" s="11" t="s">
        <v>69</v>
      </c>
      <c r="C2" s="12"/>
      <c r="D2" s="12"/>
      <c r="E2" s="12"/>
      <c r="F2" s="12"/>
      <c r="G2" s="12"/>
      <c r="H2" s="13"/>
      <c r="J2" s="2"/>
    </row>
    <row r="3" spans="1:10" ht="15.75" customHeight="1" x14ac:dyDescent="0.25">
      <c r="A3" s="1"/>
      <c r="B3" s="14"/>
      <c r="C3" s="15"/>
      <c r="D3" s="15"/>
      <c r="E3" s="15"/>
      <c r="F3" s="15"/>
      <c r="G3" s="15"/>
      <c r="H3" s="16"/>
    </row>
    <row r="4" spans="1:10" ht="15.75" customHeight="1" x14ac:dyDescent="0.25">
      <c r="A4" s="1"/>
      <c r="B4" s="14"/>
      <c r="C4" s="15"/>
      <c r="D4" s="15"/>
      <c r="E4" s="15"/>
      <c r="F4" s="15"/>
      <c r="G4" s="15"/>
      <c r="H4" s="16"/>
    </row>
    <row r="5" spans="1:10" ht="15.75" customHeight="1" x14ac:dyDescent="0.25">
      <c r="A5" s="1"/>
      <c r="B5" s="14"/>
      <c r="C5" s="15"/>
      <c r="D5" s="15"/>
      <c r="E5" s="15"/>
      <c r="F5" s="15"/>
      <c r="G5" s="15"/>
      <c r="H5" s="16"/>
    </row>
    <row r="6" spans="1:10" ht="15.75" customHeight="1" x14ac:dyDescent="0.25">
      <c r="A6" s="1"/>
      <c r="B6" s="14"/>
      <c r="C6" s="15"/>
      <c r="D6" s="15"/>
      <c r="E6" s="15"/>
      <c r="F6" s="15"/>
      <c r="G6" s="15"/>
      <c r="H6" s="16"/>
    </row>
    <row r="7" spans="1:10" ht="15.75" customHeight="1" x14ac:dyDescent="0.25">
      <c r="A7" s="1"/>
      <c r="B7" s="14"/>
      <c r="C7" s="15"/>
      <c r="D7" s="15"/>
      <c r="E7" s="15"/>
      <c r="F7" s="15"/>
      <c r="G7" s="15"/>
      <c r="H7" s="16"/>
    </row>
    <row r="8" spans="1:10" ht="15.75" customHeight="1" x14ac:dyDescent="0.25">
      <c r="A8" s="1"/>
      <c r="B8" s="14"/>
      <c r="C8" s="15"/>
      <c r="D8" s="15"/>
      <c r="E8" s="15"/>
      <c r="F8" s="15"/>
      <c r="G8" s="15"/>
      <c r="H8" s="16"/>
    </row>
    <row r="9" spans="1:10" ht="15.75" customHeight="1" x14ac:dyDescent="0.25">
      <c r="A9" s="1"/>
      <c r="B9" s="14"/>
      <c r="C9" s="15"/>
      <c r="D9" s="15"/>
      <c r="E9" s="15"/>
      <c r="F9" s="15"/>
      <c r="G9" s="15"/>
      <c r="H9" s="16"/>
    </row>
    <row r="10" spans="1:10" ht="15.75" customHeight="1" x14ac:dyDescent="0.25">
      <c r="A10" s="1"/>
      <c r="B10" s="14"/>
      <c r="C10" s="15"/>
      <c r="D10" s="15"/>
      <c r="E10" s="15"/>
      <c r="F10" s="15"/>
      <c r="G10" s="15"/>
      <c r="H10" s="16"/>
    </row>
    <row r="11" spans="1:10" ht="15.75" customHeight="1" x14ac:dyDescent="0.25">
      <c r="A11" s="1"/>
      <c r="B11" s="14"/>
      <c r="C11" s="15"/>
      <c r="D11" s="15"/>
      <c r="E11" s="15"/>
      <c r="F11" s="15"/>
      <c r="G11" s="15"/>
      <c r="H11" s="16"/>
    </row>
    <row r="12" spans="1:10" ht="15.75" customHeight="1" x14ac:dyDescent="0.25">
      <c r="A12" s="1"/>
      <c r="B12" s="14"/>
      <c r="C12" s="15"/>
      <c r="D12" s="15"/>
      <c r="E12" s="15"/>
      <c r="F12" s="15"/>
      <c r="G12" s="15"/>
      <c r="H12" s="16"/>
    </row>
    <row r="13" spans="1:10" ht="15.75" customHeight="1" x14ac:dyDescent="0.25">
      <c r="A13" s="1"/>
      <c r="B13" s="14"/>
      <c r="C13" s="15"/>
      <c r="D13" s="15"/>
      <c r="E13" s="15"/>
      <c r="F13" s="15"/>
      <c r="G13" s="15"/>
      <c r="H13" s="16"/>
    </row>
    <row r="14" spans="1:10" ht="15.75" customHeight="1" x14ac:dyDescent="0.25">
      <c r="A14" s="1"/>
      <c r="B14" s="14"/>
      <c r="C14" s="15"/>
      <c r="D14" s="15"/>
      <c r="E14" s="15"/>
      <c r="F14" s="15"/>
      <c r="G14" s="15"/>
      <c r="H14" s="16"/>
    </row>
    <row r="15" spans="1:10" ht="15.75" customHeight="1" x14ac:dyDescent="0.25">
      <c r="A15" s="1"/>
      <c r="B15" s="14"/>
      <c r="C15" s="15"/>
      <c r="D15" s="15"/>
      <c r="E15" s="15"/>
      <c r="F15" s="15"/>
      <c r="G15" s="15"/>
      <c r="H15" s="16"/>
    </row>
    <row r="16" spans="1:10" ht="15.75" customHeight="1" x14ac:dyDescent="0.25">
      <c r="A16" s="1"/>
      <c r="B16" s="14"/>
      <c r="C16" s="15"/>
      <c r="D16" s="15"/>
      <c r="E16" s="15"/>
      <c r="F16" s="15"/>
      <c r="G16" s="15"/>
      <c r="H16" s="16"/>
    </row>
    <row r="17" spans="1:8" ht="15.75" customHeight="1" x14ac:dyDescent="0.25">
      <c r="A17" s="1"/>
      <c r="B17" s="14"/>
      <c r="C17" s="15"/>
      <c r="D17" s="15"/>
      <c r="E17" s="15"/>
      <c r="F17" s="15"/>
      <c r="G17" s="15"/>
      <c r="H17" s="16"/>
    </row>
    <row r="18" spans="1:8" ht="15.75" customHeight="1" x14ac:dyDescent="0.25">
      <c r="A18" s="1"/>
      <c r="B18" s="14"/>
      <c r="C18" s="15"/>
      <c r="D18" s="15"/>
      <c r="E18" s="15"/>
      <c r="F18" s="15"/>
      <c r="G18" s="15"/>
      <c r="H18" s="16"/>
    </row>
    <row r="19" spans="1:8" ht="15.75" customHeight="1" x14ac:dyDescent="0.25">
      <c r="A19" s="1"/>
      <c r="B19" s="14"/>
      <c r="C19" s="15"/>
      <c r="D19" s="15"/>
      <c r="E19" s="15"/>
      <c r="F19" s="15"/>
      <c r="G19" s="15"/>
      <c r="H19" s="16"/>
    </row>
    <row r="20" spans="1:8" ht="15.75" customHeight="1" x14ac:dyDescent="0.25">
      <c r="A20" s="1"/>
      <c r="B20" s="14"/>
      <c r="C20" s="15"/>
      <c r="D20" s="15"/>
      <c r="E20" s="15"/>
      <c r="F20" s="15"/>
      <c r="G20" s="15"/>
      <c r="H20" s="16"/>
    </row>
    <row r="21" spans="1:8" ht="15.75" customHeight="1" x14ac:dyDescent="0.25">
      <c r="A21" s="1"/>
      <c r="B21" s="14"/>
      <c r="C21" s="15"/>
      <c r="D21" s="15"/>
      <c r="E21" s="15"/>
      <c r="F21" s="15"/>
      <c r="G21" s="15"/>
      <c r="H21" s="16"/>
    </row>
    <row r="22" spans="1:8" ht="15.75" customHeight="1" x14ac:dyDescent="0.25">
      <c r="A22" s="1"/>
      <c r="B22" s="14"/>
      <c r="C22" s="15"/>
      <c r="D22" s="15"/>
      <c r="E22" s="15"/>
      <c r="F22" s="15"/>
      <c r="G22" s="15"/>
      <c r="H22" s="16"/>
    </row>
    <row r="23" spans="1:8" ht="15.75" customHeight="1" x14ac:dyDescent="0.25">
      <c r="A23" s="1"/>
      <c r="B23" s="14"/>
      <c r="C23" s="15"/>
      <c r="D23" s="15"/>
      <c r="E23" s="15"/>
      <c r="F23" s="15"/>
      <c r="G23" s="15"/>
      <c r="H23" s="16"/>
    </row>
    <row r="24" spans="1:8" ht="15.75" customHeight="1" x14ac:dyDescent="0.25">
      <c r="A24" s="1"/>
      <c r="B24" s="14"/>
      <c r="C24" s="15"/>
      <c r="D24" s="15"/>
      <c r="E24" s="15"/>
      <c r="F24" s="15"/>
      <c r="G24" s="15"/>
      <c r="H24" s="16"/>
    </row>
    <row r="25" spans="1:8" ht="15.75" customHeight="1" x14ac:dyDescent="0.25">
      <c r="A25" s="1"/>
      <c r="B25" s="14"/>
      <c r="C25" s="15"/>
      <c r="D25" s="15"/>
      <c r="E25" s="15"/>
      <c r="F25" s="15"/>
      <c r="G25" s="15"/>
      <c r="H25" s="16"/>
    </row>
    <row r="26" spans="1:8" ht="15.75" customHeight="1" x14ac:dyDescent="0.25">
      <c r="A26" s="1"/>
      <c r="B26" s="14"/>
      <c r="C26" s="15"/>
      <c r="D26" s="15"/>
      <c r="E26" s="15"/>
      <c r="F26" s="15"/>
      <c r="G26" s="15"/>
      <c r="H26" s="16"/>
    </row>
    <row r="27" spans="1:8" ht="15.75" customHeight="1" x14ac:dyDescent="0.25">
      <c r="B27" s="14"/>
      <c r="C27" s="15"/>
      <c r="D27" s="15"/>
      <c r="E27" s="15"/>
      <c r="F27" s="15"/>
      <c r="G27" s="15"/>
      <c r="H27" s="16"/>
    </row>
    <row r="28" spans="1:8" ht="15.75" customHeight="1" x14ac:dyDescent="0.25">
      <c r="B28" s="17"/>
      <c r="C28" s="18"/>
      <c r="D28" s="18"/>
      <c r="E28" s="18"/>
      <c r="F28" s="18"/>
      <c r="G28" s="18"/>
      <c r="H28" s="19"/>
    </row>
    <row r="29" spans="1:8" ht="15.75" customHeight="1" x14ac:dyDescent="0.25">
      <c r="B29" s="20" t="s">
        <v>70</v>
      </c>
      <c r="C29" s="21"/>
      <c r="D29" s="21"/>
      <c r="E29" s="21"/>
      <c r="F29" s="21"/>
      <c r="G29" s="21"/>
      <c r="H29" s="22"/>
    </row>
    <row r="30" spans="1:8" ht="15.75" customHeight="1" x14ac:dyDescent="0.25">
      <c r="B30" s="23" t="s">
        <v>71</v>
      </c>
      <c r="C30" s="24"/>
      <c r="D30" s="24"/>
      <c r="E30" s="24"/>
      <c r="F30" s="24"/>
      <c r="G30" s="24"/>
      <c r="H30" s="25"/>
    </row>
    <row r="31" spans="1:8" ht="15.75" customHeight="1" x14ac:dyDescent="0.25">
      <c r="B31" s="26" t="s">
        <v>72</v>
      </c>
      <c r="C31" s="27"/>
      <c r="D31" s="27"/>
      <c r="E31" s="27"/>
      <c r="F31" s="27"/>
      <c r="G31" s="27"/>
      <c r="H31" s="28"/>
    </row>
    <row r="32" spans="1:8" ht="15.75" customHeight="1" x14ac:dyDescent="0.25">
      <c r="B32" s="23" t="s">
        <v>73</v>
      </c>
      <c r="C32" s="24"/>
      <c r="D32" s="24"/>
      <c r="E32" s="24"/>
      <c r="F32" s="24"/>
      <c r="G32" s="24"/>
      <c r="H32" s="25"/>
    </row>
    <row r="33" spans="2:8" ht="15.75" customHeight="1" x14ac:dyDescent="0.25">
      <c r="B33" s="26" t="s">
        <v>74</v>
      </c>
      <c r="C33" s="27"/>
      <c r="D33" s="27"/>
      <c r="E33" s="27"/>
      <c r="F33" s="27"/>
      <c r="G33" s="27"/>
      <c r="H33" s="28"/>
    </row>
    <row r="34" spans="2:8" ht="15.75" customHeight="1" x14ac:dyDescent="0.25">
      <c r="B34" s="23" t="s">
        <v>75</v>
      </c>
      <c r="C34" s="24"/>
      <c r="D34" s="24"/>
      <c r="E34" s="24"/>
      <c r="F34" s="24"/>
      <c r="G34" s="24"/>
      <c r="H34" s="25"/>
    </row>
    <row r="35" spans="2:8" ht="15.75" customHeight="1" x14ac:dyDescent="0.25">
      <c r="B35" s="31" t="s">
        <v>76</v>
      </c>
      <c r="C35" s="32"/>
      <c r="D35" s="32"/>
      <c r="E35" s="32"/>
      <c r="F35" s="32"/>
      <c r="G35" s="32"/>
      <c r="H35" s="33"/>
    </row>
    <row r="36" spans="2:8" ht="15.75" customHeight="1" x14ac:dyDescent="0.25">
      <c r="B36" s="34" t="s">
        <v>77</v>
      </c>
      <c r="C36" s="35"/>
      <c r="D36" s="35"/>
      <c r="E36" s="35"/>
      <c r="F36" s="35"/>
      <c r="G36" s="35"/>
      <c r="H36" s="36"/>
    </row>
    <row r="37" spans="2:8" ht="13.2" x14ac:dyDescent="0.25">
      <c r="B37" s="3" t="s">
        <v>78</v>
      </c>
      <c r="C37" s="29" t="s">
        <v>79</v>
      </c>
      <c r="D37" s="29"/>
      <c r="E37" s="29"/>
      <c r="F37" s="29"/>
      <c r="G37" s="29"/>
      <c r="H37" s="30"/>
    </row>
  </sheetData>
  <mergeCells count="11">
    <mergeCell ref="C37:H37"/>
    <mergeCell ref="B32:H32"/>
    <mergeCell ref="B33:H33"/>
    <mergeCell ref="B34:H34"/>
    <mergeCell ref="B35:H35"/>
    <mergeCell ref="B36:H36"/>
    <mergeCell ref="B1:H1"/>
    <mergeCell ref="B2:H28"/>
    <mergeCell ref="B29:H29"/>
    <mergeCell ref="B30:H30"/>
    <mergeCell ref="B31:H31"/>
  </mergeCells>
  <hyperlinks>
    <hyperlink ref="B32" r:id="rId1" xr:uid="{699990BF-227F-429C-BD9C-04001D7112E2}"/>
    <hyperlink ref="B30" r:id="rId2" xr:uid="{1942C13E-3684-48B4-9FB3-DD93EFF927CD}"/>
    <hyperlink ref="B34" r:id="rId3" xr:uid="{1087A50F-DFEC-4D93-8716-F54C0621517D}"/>
    <hyperlink ref="B35" r:id="rId4" xr:uid="{A810463F-C015-4D02-9C5B-F6C3B2A43BA2}"/>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58"/>
  <sheetViews>
    <sheetView workbookViewId="0">
      <selection activeCell="S13" sqref="S13"/>
    </sheetView>
  </sheetViews>
  <sheetFormatPr defaultColWidth="12.6640625" defaultRowHeight="15.75" customHeight="1" x14ac:dyDescent="0.25"/>
  <cols>
    <col min="1" max="1" width="21.5546875" bestFit="1" customWidth="1"/>
    <col min="2" max="3" width="7.21875" bestFit="1" customWidth="1"/>
  </cols>
  <sheetData>
    <row r="1" spans="1:9" ht="13.2" x14ac:dyDescent="0.25">
      <c r="A1" s="4" t="s">
        <v>1</v>
      </c>
      <c r="B1" s="5" t="s">
        <v>2</v>
      </c>
      <c r="C1" s="5" t="s">
        <v>3</v>
      </c>
      <c r="D1" s="7" t="s">
        <v>4</v>
      </c>
      <c r="E1" s="7" t="s">
        <v>5</v>
      </c>
      <c r="F1" s="7" t="s">
        <v>6</v>
      </c>
      <c r="G1" s="7" t="s">
        <v>7</v>
      </c>
      <c r="H1" s="7" t="s">
        <v>8</v>
      </c>
      <c r="I1" s="7" t="s">
        <v>9</v>
      </c>
    </row>
    <row r="2" spans="1:9" ht="13.2" x14ac:dyDescent="0.25">
      <c r="A2" t="s">
        <v>10</v>
      </c>
      <c r="B2" t="s">
        <v>11</v>
      </c>
      <c r="C2">
        <v>0.9</v>
      </c>
      <c r="D2">
        <f>ROUND(AVERAGE($C$2:C58),2)</f>
        <v>1.19</v>
      </c>
      <c r="E2">
        <f t="shared" ref="E2:E33" si="0">ROUND(D2+(2.66*H2),2)</f>
        <v>2.81</v>
      </c>
      <c r="F2">
        <f t="shared" ref="F2:F33" si="1">ROUND(MAX(0,D2-(2.66*H2)),2)</f>
        <v>0</v>
      </c>
      <c r="H2">
        <f t="shared" ref="H2:H33" si="2">ROUND(AVERAGE($G$3:$G$58),2)</f>
        <v>0.61</v>
      </c>
      <c r="I2">
        <f t="shared" ref="I2:I33" si="3">ROUND(3.268*H2,2)</f>
        <v>1.99</v>
      </c>
    </row>
    <row r="3" spans="1:9" ht="13.2" x14ac:dyDescent="0.25">
      <c r="A3" t="s">
        <v>10</v>
      </c>
      <c r="B3" t="s">
        <v>12</v>
      </c>
      <c r="C3">
        <v>0.6</v>
      </c>
      <c r="D3">
        <f>ROUND(AVERAGE($C$2:C59),2)</f>
        <v>1.19</v>
      </c>
      <c r="E3">
        <f t="shared" si="0"/>
        <v>2.81</v>
      </c>
      <c r="F3">
        <f t="shared" si="1"/>
        <v>0</v>
      </c>
      <c r="G3">
        <f t="shared" ref="G3:G33" si="4">ABS(C2-C3)</f>
        <v>0.30000000000000004</v>
      </c>
      <c r="H3">
        <f t="shared" si="2"/>
        <v>0.61</v>
      </c>
      <c r="I3">
        <f t="shared" si="3"/>
        <v>1.99</v>
      </c>
    </row>
    <row r="4" spans="1:9" ht="13.2" x14ac:dyDescent="0.25">
      <c r="A4" t="s">
        <v>10</v>
      </c>
      <c r="B4" t="s">
        <v>13</v>
      </c>
      <c r="C4">
        <v>0.6</v>
      </c>
      <c r="D4">
        <f>ROUND(AVERAGE($C$2:C60),2)</f>
        <v>1.19</v>
      </c>
      <c r="E4">
        <f t="shared" si="0"/>
        <v>2.81</v>
      </c>
      <c r="F4">
        <f t="shared" si="1"/>
        <v>0</v>
      </c>
      <c r="G4">
        <f t="shared" si="4"/>
        <v>0</v>
      </c>
      <c r="H4">
        <f t="shared" si="2"/>
        <v>0.61</v>
      </c>
      <c r="I4">
        <f t="shared" si="3"/>
        <v>1.99</v>
      </c>
    </row>
    <row r="5" spans="1:9" ht="13.2" x14ac:dyDescent="0.25">
      <c r="A5" t="s">
        <v>10</v>
      </c>
      <c r="B5" t="s">
        <v>14</v>
      </c>
      <c r="C5">
        <v>0.7</v>
      </c>
      <c r="D5">
        <f>ROUND(AVERAGE($C$2:C61),2)</f>
        <v>1.19</v>
      </c>
      <c r="E5">
        <f t="shared" si="0"/>
        <v>2.81</v>
      </c>
      <c r="F5">
        <f t="shared" si="1"/>
        <v>0</v>
      </c>
      <c r="G5">
        <f t="shared" si="4"/>
        <v>9.9999999999999978E-2</v>
      </c>
      <c r="H5">
        <f t="shared" si="2"/>
        <v>0.61</v>
      </c>
      <c r="I5">
        <f t="shared" si="3"/>
        <v>1.99</v>
      </c>
    </row>
    <row r="6" spans="1:9" ht="13.2" x14ac:dyDescent="0.25">
      <c r="A6" t="s">
        <v>10</v>
      </c>
      <c r="B6" t="s">
        <v>15</v>
      </c>
      <c r="C6">
        <v>1.6</v>
      </c>
      <c r="D6">
        <f>ROUND(AVERAGE($C$2:C62),2)</f>
        <v>1.19</v>
      </c>
      <c r="E6">
        <f t="shared" si="0"/>
        <v>2.81</v>
      </c>
      <c r="F6">
        <f t="shared" si="1"/>
        <v>0</v>
      </c>
      <c r="G6">
        <f t="shared" si="4"/>
        <v>0.90000000000000013</v>
      </c>
      <c r="H6">
        <f t="shared" si="2"/>
        <v>0.61</v>
      </c>
      <c r="I6">
        <f t="shared" si="3"/>
        <v>1.99</v>
      </c>
    </row>
    <row r="7" spans="1:9" ht="13.2" x14ac:dyDescent="0.25">
      <c r="A7" t="s">
        <v>10</v>
      </c>
      <c r="B7" t="s">
        <v>16</v>
      </c>
      <c r="C7">
        <v>1.7</v>
      </c>
      <c r="D7">
        <f>ROUND(AVERAGE($C$2:C63),2)</f>
        <v>1.19</v>
      </c>
      <c r="E7">
        <f t="shared" si="0"/>
        <v>2.81</v>
      </c>
      <c r="F7">
        <f t="shared" si="1"/>
        <v>0</v>
      </c>
      <c r="G7">
        <f t="shared" si="4"/>
        <v>9.9999999999999867E-2</v>
      </c>
      <c r="H7">
        <f t="shared" si="2"/>
        <v>0.61</v>
      </c>
      <c r="I7">
        <f t="shared" si="3"/>
        <v>1.99</v>
      </c>
    </row>
    <row r="8" spans="1:9" ht="13.2" x14ac:dyDescent="0.25">
      <c r="A8" t="s">
        <v>10</v>
      </c>
      <c r="B8" t="s">
        <v>17</v>
      </c>
      <c r="C8">
        <v>0.8</v>
      </c>
      <c r="D8">
        <f>ROUND(AVERAGE($C$2:C64),2)</f>
        <v>1.19</v>
      </c>
      <c r="E8">
        <f t="shared" si="0"/>
        <v>2.81</v>
      </c>
      <c r="F8">
        <f t="shared" si="1"/>
        <v>0</v>
      </c>
      <c r="G8">
        <f t="shared" si="4"/>
        <v>0.89999999999999991</v>
      </c>
      <c r="H8">
        <f t="shared" si="2"/>
        <v>0.61</v>
      </c>
      <c r="I8">
        <f t="shared" si="3"/>
        <v>1.99</v>
      </c>
    </row>
    <row r="9" spans="1:9" ht="13.2" x14ac:dyDescent="0.25">
      <c r="A9" t="s">
        <v>10</v>
      </c>
      <c r="B9" t="s">
        <v>18</v>
      </c>
      <c r="C9">
        <v>1.6</v>
      </c>
      <c r="D9">
        <f>ROUND(AVERAGE($C$2:C65),2)</f>
        <v>1.19</v>
      </c>
      <c r="E9">
        <f t="shared" si="0"/>
        <v>2.81</v>
      </c>
      <c r="F9">
        <f t="shared" si="1"/>
        <v>0</v>
      </c>
      <c r="G9">
        <f t="shared" si="4"/>
        <v>0.8</v>
      </c>
      <c r="H9">
        <f t="shared" si="2"/>
        <v>0.61</v>
      </c>
      <c r="I9">
        <f t="shared" si="3"/>
        <v>1.99</v>
      </c>
    </row>
    <row r="10" spans="1:9" ht="13.2" x14ac:dyDescent="0.25">
      <c r="A10" t="s">
        <v>10</v>
      </c>
      <c r="B10" t="s">
        <v>19</v>
      </c>
      <c r="C10">
        <v>0.6</v>
      </c>
      <c r="D10">
        <f>ROUND(AVERAGE($C$2:C66),2)</f>
        <v>1.19</v>
      </c>
      <c r="E10">
        <f t="shared" si="0"/>
        <v>2.81</v>
      </c>
      <c r="F10">
        <f t="shared" si="1"/>
        <v>0</v>
      </c>
      <c r="G10">
        <f t="shared" si="4"/>
        <v>1</v>
      </c>
      <c r="H10">
        <f t="shared" si="2"/>
        <v>0.61</v>
      </c>
      <c r="I10">
        <f t="shared" si="3"/>
        <v>1.99</v>
      </c>
    </row>
    <row r="11" spans="1:9" ht="13.2" x14ac:dyDescent="0.25">
      <c r="A11" t="s">
        <v>10</v>
      </c>
      <c r="B11" t="s">
        <v>20</v>
      </c>
      <c r="C11">
        <v>1.1000000000000001</v>
      </c>
      <c r="D11">
        <f>ROUND(AVERAGE($C$2:C67),2)</f>
        <v>1.19</v>
      </c>
      <c r="E11">
        <f t="shared" si="0"/>
        <v>2.81</v>
      </c>
      <c r="F11">
        <f t="shared" si="1"/>
        <v>0</v>
      </c>
      <c r="G11">
        <f t="shared" si="4"/>
        <v>0.50000000000000011</v>
      </c>
      <c r="H11">
        <f t="shared" si="2"/>
        <v>0.61</v>
      </c>
      <c r="I11">
        <f t="shared" si="3"/>
        <v>1.99</v>
      </c>
    </row>
    <row r="12" spans="1:9" ht="13.2" x14ac:dyDescent="0.25">
      <c r="A12" t="s">
        <v>10</v>
      </c>
      <c r="B12" t="s">
        <v>21</v>
      </c>
      <c r="C12">
        <v>1.3</v>
      </c>
      <c r="D12">
        <f>ROUND(AVERAGE($C$2:C68),2)</f>
        <v>1.19</v>
      </c>
      <c r="E12">
        <f t="shared" si="0"/>
        <v>2.81</v>
      </c>
      <c r="F12">
        <f t="shared" si="1"/>
        <v>0</v>
      </c>
      <c r="G12">
        <f t="shared" si="4"/>
        <v>0.19999999999999996</v>
      </c>
      <c r="H12">
        <f t="shared" si="2"/>
        <v>0.61</v>
      </c>
      <c r="I12">
        <f t="shared" si="3"/>
        <v>1.99</v>
      </c>
    </row>
    <row r="13" spans="1:9" ht="13.2" x14ac:dyDescent="0.25">
      <c r="A13" t="s">
        <v>10</v>
      </c>
      <c r="B13" t="s">
        <v>22</v>
      </c>
      <c r="C13">
        <v>0.5</v>
      </c>
      <c r="D13">
        <f>ROUND(AVERAGE($C$2:C69),2)</f>
        <v>1.19</v>
      </c>
      <c r="E13">
        <f t="shared" si="0"/>
        <v>2.81</v>
      </c>
      <c r="F13">
        <f t="shared" si="1"/>
        <v>0</v>
      </c>
      <c r="G13">
        <f t="shared" si="4"/>
        <v>0.8</v>
      </c>
      <c r="H13">
        <f t="shared" si="2"/>
        <v>0.61</v>
      </c>
      <c r="I13">
        <f t="shared" si="3"/>
        <v>1.99</v>
      </c>
    </row>
    <row r="14" spans="1:9" ht="13.2" x14ac:dyDescent="0.25">
      <c r="A14" t="s">
        <v>10</v>
      </c>
      <c r="B14" t="s">
        <v>23</v>
      </c>
      <c r="C14">
        <v>0.6</v>
      </c>
      <c r="D14">
        <f>ROUND(AVERAGE($C$2:C70),2)</f>
        <v>1.19</v>
      </c>
      <c r="E14">
        <f t="shared" si="0"/>
        <v>2.81</v>
      </c>
      <c r="F14">
        <f t="shared" si="1"/>
        <v>0</v>
      </c>
      <c r="G14">
        <f t="shared" si="4"/>
        <v>9.9999999999999978E-2</v>
      </c>
      <c r="H14">
        <f t="shared" si="2"/>
        <v>0.61</v>
      </c>
      <c r="I14">
        <f t="shared" si="3"/>
        <v>1.99</v>
      </c>
    </row>
    <row r="15" spans="1:9" ht="13.2" x14ac:dyDescent="0.25">
      <c r="A15" t="s">
        <v>10</v>
      </c>
      <c r="B15" t="s">
        <v>24</v>
      </c>
      <c r="C15">
        <v>0.8</v>
      </c>
      <c r="D15">
        <f>ROUND(AVERAGE($C$2:C71),2)</f>
        <v>1.19</v>
      </c>
      <c r="E15">
        <f t="shared" si="0"/>
        <v>2.81</v>
      </c>
      <c r="F15">
        <f t="shared" si="1"/>
        <v>0</v>
      </c>
      <c r="G15">
        <f t="shared" si="4"/>
        <v>0.20000000000000007</v>
      </c>
      <c r="H15">
        <f t="shared" si="2"/>
        <v>0.61</v>
      </c>
      <c r="I15">
        <f t="shared" si="3"/>
        <v>1.99</v>
      </c>
    </row>
    <row r="16" spans="1:9" ht="13.2" x14ac:dyDescent="0.25">
      <c r="A16" t="s">
        <v>10</v>
      </c>
      <c r="B16" t="s">
        <v>25</v>
      </c>
      <c r="C16">
        <v>0.5</v>
      </c>
      <c r="D16">
        <f>ROUND(AVERAGE($C$2:C72),2)</f>
        <v>1.19</v>
      </c>
      <c r="E16">
        <f t="shared" si="0"/>
        <v>2.81</v>
      </c>
      <c r="F16">
        <f t="shared" si="1"/>
        <v>0</v>
      </c>
      <c r="G16">
        <f t="shared" si="4"/>
        <v>0.30000000000000004</v>
      </c>
      <c r="H16">
        <f t="shared" si="2"/>
        <v>0.61</v>
      </c>
      <c r="I16">
        <f t="shared" si="3"/>
        <v>1.99</v>
      </c>
    </row>
    <row r="17" spans="1:9" ht="13.2" x14ac:dyDescent="0.25">
      <c r="A17" t="s">
        <v>10</v>
      </c>
      <c r="B17" t="s">
        <v>26</v>
      </c>
      <c r="C17">
        <v>0.7</v>
      </c>
      <c r="D17">
        <f>ROUND(AVERAGE($C$2:C73),2)</f>
        <v>1.19</v>
      </c>
      <c r="E17">
        <f t="shared" si="0"/>
        <v>2.81</v>
      </c>
      <c r="F17">
        <f t="shared" si="1"/>
        <v>0</v>
      </c>
      <c r="G17">
        <f t="shared" si="4"/>
        <v>0.19999999999999996</v>
      </c>
      <c r="H17">
        <f t="shared" si="2"/>
        <v>0.61</v>
      </c>
      <c r="I17">
        <f t="shared" si="3"/>
        <v>1.99</v>
      </c>
    </row>
    <row r="18" spans="1:9" ht="13.2" x14ac:dyDescent="0.25">
      <c r="A18" t="s">
        <v>10</v>
      </c>
      <c r="B18" t="s">
        <v>27</v>
      </c>
      <c r="C18">
        <v>1</v>
      </c>
      <c r="D18">
        <f>ROUND(AVERAGE($C$2:C74),2)</f>
        <v>1.19</v>
      </c>
      <c r="E18">
        <f t="shared" si="0"/>
        <v>2.81</v>
      </c>
      <c r="F18">
        <f t="shared" si="1"/>
        <v>0</v>
      </c>
      <c r="G18">
        <f t="shared" si="4"/>
        <v>0.30000000000000004</v>
      </c>
      <c r="H18">
        <f t="shared" si="2"/>
        <v>0.61</v>
      </c>
      <c r="I18">
        <f t="shared" si="3"/>
        <v>1.99</v>
      </c>
    </row>
    <row r="19" spans="1:9" ht="13.2" x14ac:dyDescent="0.25">
      <c r="A19" t="s">
        <v>10</v>
      </c>
      <c r="B19" t="s">
        <v>28</v>
      </c>
      <c r="C19">
        <v>1.7</v>
      </c>
      <c r="D19">
        <f>ROUND(AVERAGE($C$2:C75),2)</f>
        <v>1.19</v>
      </c>
      <c r="E19">
        <f t="shared" si="0"/>
        <v>2.81</v>
      </c>
      <c r="F19">
        <f t="shared" si="1"/>
        <v>0</v>
      </c>
      <c r="G19">
        <f t="shared" si="4"/>
        <v>0.7</v>
      </c>
      <c r="H19">
        <f t="shared" si="2"/>
        <v>0.61</v>
      </c>
      <c r="I19">
        <f t="shared" si="3"/>
        <v>1.99</v>
      </c>
    </row>
    <row r="20" spans="1:9" ht="13.2" x14ac:dyDescent="0.25">
      <c r="A20" t="s">
        <v>10</v>
      </c>
      <c r="B20" t="s">
        <v>29</v>
      </c>
      <c r="C20">
        <v>1.3</v>
      </c>
      <c r="D20">
        <f>ROUND(AVERAGE($C$2:C76),2)</f>
        <v>1.19</v>
      </c>
      <c r="E20">
        <f t="shared" si="0"/>
        <v>2.81</v>
      </c>
      <c r="F20">
        <f t="shared" si="1"/>
        <v>0</v>
      </c>
      <c r="G20">
        <f t="shared" si="4"/>
        <v>0.39999999999999991</v>
      </c>
      <c r="H20">
        <f t="shared" si="2"/>
        <v>0.61</v>
      </c>
      <c r="I20">
        <f t="shared" si="3"/>
        <v>1.99</v>
      </c>
    </row>
    <row r="21" spans="1:9" ht="13.2" x14ac:dyDescent="0.25">
      <c r="A21" t="s">
        <v>10</v>
      </c>
      <c r="B21" t="s">
        <v>30</v>
      </c>
      <c r="C21">
        <v>2.2000000000000002</v>
      </c>
      <c r="D21">
        <f>ROUND(AVERAGE($C$2:C77),2)</f>
        <v>1.19</v>
      </c>
      <c r="E21">
        <f t="shared" si="0"/>
        <v>2.81</v>
      </c>
      <c r="F21">
        <f t="shared" si="1"/>
        <v>0</v>
      </c>
      <c r="G21">
        <f t="shared" si="4"/>
        <v>0.90000000000000013</v>
      </c>
      <c r="H21">
        <f t="shared" si="2"/>
        <v>0.61</v>
      </c>
      <c r="I21">
        <f t="shared" si="3"/>
        <v>1.99</v>
      </c>
    </row>
    <row r="22" spans="1:9" ht="13.2" x14ac:dyDescent="0.25">
      <c r="A22" t="s">
        <v>10</v>
      </c>
      <c r="B22" t="s">
        <v>31</v>
      </c>
      <c r="C22">
        <v>0.8</v>
      </c>
      <c r="D22">
        <f>ROUND(AVERAGE($C$2:C78),2)</f>
        <v>1.19</v>
      </c>
      <c r="E22">
        <f t="shared" si="0"/>
        <v>2.81</v>
      </c>
      <c r="F22">
        <f t="shared" si="1"/>
        <v>0</v>
      </c>
      <c r="G22">
        <f t="shared" si="4"/>
        <v>1.4000000000000001</v>
      </c>
      <c r="H22">
        <f t="shared" si="2"/>
        <v>0.61</v>
      </c>
      <c r="I22">
        <f t="shared" si="3"/>
        <v>1.99</v>
      </c>
    </row>
    <row r="23" spans="1:9" ht="13.2" x14ac:dyDescent="0.25">
      <c r="A23" t="s">
        <v>10</v>
      </c>
      <c r="B23" t="s">
        <v>32</v>
      </c>
      <c r="C23">
        <v>0.5</v>
      </c>
      <c r="D23">
        <f>ROUND(AVERAGE($C$2:C79),2)</f>
        <v>1.19</v>
      </c>
      <c r="E23">
        <f t="shared" si="0"/>
        <v>2.81</v>
      </c>
      <c r="F23">
        <f t="shared" si="1"/>
        <v>0</v>
      </c>
      <c r="G23">
        <f t="shared" si="4"/>
        <v>0.30000000000000004</v>
      </c>
      <c r="H23">
        <f t="shared" si="2"/>
        <v>0.61</v>
      </c>
      <c r="I23">
        <f t="shared" si="3"/>
        <v>1.99</v>
      </c>
    </row>
    <row r="24" spans="1:9" ht="13.2" x14ac:dyDescent="0.25">
      <c r="A24" t="s">
        <v>10</v>
      </c>
      <c r="B24" t="s">
        <v>33</v>
      </c>
      <c r="C24">
        <v>1</v>
      </c>
      <c r="D24">
        <f>ROUND(AVERAGE($C$2:C80),2)</f>
        <v>1.19</v>
      </c>
      <c r="E24">
        <f t="shared" si="0"/>
        <v>2.81</v>
      </c>
      <c r="F24">
        <f t="shared" si="1"/>
        <v>0</v>
      </c>
      <c r="G24">
        <f t="shared" si="4"/>
        <v>0.5</v>
      </c>
      <c r="H24">
        <f t="shared" si="2"/>
        <v>0.61</v>
      </c>
      <c r="I24">
        <f t="shared" si="3"/>
        <v>1.99</v>
      </c>
    </row>
    <row r="25" spans="1:9" ht="13.2" x14ac:dyDescent="0.25">
      <c r="A25" t="s">
        <v>10</v>
      </c>
      <c r="B25" t="s">
        <v>34</v>
      </c>
      <c r="C25">
        <v>0.5</v>
      </c>
      <c r="D25">
        <f>ROUND(AVERAGE($C$2:C81),2)</f>
        <v>1.19</v>
      </c>
      <c r="E25">
        <f t="shared" si="0"/>
        <v>2.81</v>
      </c>
      <c r="F25">
        <f t="shared" si="1"/>
        <v>0</v>
      </c>
      <c r="G25">
        <f t="shared" si="4"/>
        <v>0.5</v>
      </c>
      <c r="H25">
        <f t="shared" si="2"/>
        <v>0.61</v>
      </c>
      <c r="I25">
        <f t="shared" si="3"/>
        <v>1.99</v>
      </c>
    </row>
    <row r="26" spans="1:9" ht="13.2" x14ac:dyDescent="0.25">
      <c r="A26" t="s">
        <v>10</v>
      </c>
      <c r="B26" t="s">
        <v>35</v>
      </c>
      <c r="C26">
        <v>0.5</v>
      </c>
      <c r="D26">
        <f>ROUND(AVERAGE($C$2:C82),2)</f>
        <v>1.19</v>
      </c>
      <c r="E26">
        <f t="shared" si="0"/>
        <v>2.81</v>
      </c>
      <c r="F26">
        <f t="shared" si="1"/>
        <v>0</v>
      </c>
      <c r="G26">
        <f t="shared" si="4"/>
        <v>0</v>
      </c>
      <c r="H26">
        <f t="shared" si="2"/>
        <v>0.61</v>
      </c>
      <c r="I26">
        <f t="shared" si="3"/>
        <v>1.99</v>
      </c>
    </row>
    <row r="27" spans="1:9" ht="13.2" x14ac:dyDescent="0.25">
      <c r="A27" t="s">
        <v>10</v>
      </c>
      <c r="B27" t="s">
        <v>36</v>
      </c>
      <c r="C27">
        <v>0.7</v>
      </c>
      <c r="D27">
        <f>ROUND(AVERAGE($C$2:C83),2)</f>
        <v>1.19</v>
      </c>
      <c r="E27">
        <f t="shared" si="0"/>
        <v>2.81</v>
      </c>
      <c r="F27">
        <f t="shared" si="1"/>
        <v>0</v>
      </c>
      <c r="G27">
        <f t="shared" si="4"/>
        <v>0.19999999999999996</v>
      </c>
      <c r="H27">
        <f t="shared" si="2"/>
        <v>0.61</v>
      </c>
      <c r="I27">
        <f t="shared" si="3"/>
        <v>1.99</v>
      </c>
    </row>
    <row r="28" spans="1:9" ht="13.2" x14ac:dyDescent="0.25">
      <c r="A28" t="s">
        <v>10</v>
      </c>
      <c r="B28" t="s">
        <v>37</v>
      </c>
      <c r="C28">
        <v>1</v>
      </c>
      <c r="D28">
        <f>ROUND(AVERAGE($C$2:C84),2)</f>
        <v>1.19</v>
      </c>
      <c r="E28">
        <f t="shared" si="0"/>
        <v>2.81</v>
      </c>
      <c r="F28">
        <f t="shared" si="1"/>
        <v>0</v>
      </c>
      <c r="G28">
        <f t="shared" si="4"/>
        <v>0.30000000000000004</v>
      </c>
      <c r="H28">
        <f t="shared" si="2"/>
        <v>0.61</v>
      </c>
      <c r="I28">
        <f t="shared" si="3"/>
        <v>1.99</v>
      </c>
    </row>
    <row r="29" spans="1:9" ht="13.2" x14ac:dyDescent="0.25">
      <c r="A29" t="s">
        <v>10</v>
      </c>
      <c r="B29" t="s">
        <v>38</v>
      </c>
      <c r="C29">
        <v>0.9</v>
      </c>
      <c r="D29">
        <f>ROUND(AVERAGE($C$2:C85),2)</f>
        <v>1.19</v>
      </c>
      <c r="E29">
        <f t="shared" si="0"/>
        <v>2.81</v>
      </c>
      <c r="F29">
        <f t="shared" si="1"/>
        <v>0</v>
      </c>
      <c r="G29">
        <f t="shared" si="4"/>
        <v>9.9999999999999978E-2</v>
      </c>
      <c r="H29">
        <f t="shared" si="2"/>
        <v>0.61</v>
      </c>
      <c r="I29">
        <f t="shared" si="3"/>
        <v>1.99</v>
      </c>
    </row>
    <row r="30" spans="1:9" ht="13.2" x14ac:dyDescent="0.25">
      <c r="A30" t="s">
        <v>10</v>
      </c>
      <c r="B30" t="s">
        <v>39</v>
      </c>
      <c r="C30">
        <v>1.6</v>
      </c>
      <c r="D30">
        <f>ROUND(AVERAGE($C$2:C86),2)</f>
        <v>1.19</v>
      </c>
      <c r="E30">
        <f t="shared" si="0"/>
        <v>2.81</v>
      </c>
      <c r="F30">
        <f t="shared" si="1"/>
        <v>0</v>
      </c>
      <c r="G30">
        <f t="shared" si="4"/>
        <v>0.70000000000000007</v>
      </c>
      <c r="H30">
        <f t="shared" si="2"/>
        <v>0.61</v>
      </c>
      <c r="I30">
        <f t="shared" si="3"/>
        <v>1.99</v>
      </c>
    </row>
    <row r="31" spans="1:9" ht="13.2" x14ac:dyDescent="0.25">
      <c r="A31" t="s">
        <v>10</v>
      </c>
      <c r="B31" t="s">
        <v>40</v>
      </c>
      <c r="C31">
        <v>2.5</v>
      </c>
      <c r="D31">
        <f>ROUND(AVERAGE($C$2:C87),2)</f>
        <v>1.19</v>
      </c>
      <c r="E31">
        <f t="shared" si="0"/>
        <v>2.81</v>
      </c>
      <c r="F31">
        <f t="shared" si="1"/>
        <v>0</v>
      </c>
      <c r="G31">
        <f t="shared" si="4"/>
        <v>0.89999999999999991</v>
      </c>
      <c r="H31">
        <f t="shared" si="2"/>
        <v>0.61</v>
      </c>
      <c r="I31">
        <f t="shared" si="3"/>
        <v>1.99</v>
      </c>
    </row>
    <row r="32" spans="1:9" ht="13.2" x14ac:dyDescent="0.25">
      <c r="A32" t="s">
        <v>10</v>
      </c>
      <c r="B32" t="s">
        <v>41</v>
      </c>
      <c r="C32">
        <v>1</v>
      </c>
      <c r="D32">
        <f>ROUND(AVERAGE($C$2:C88),2)</f>
        <v>1.19</v>
      </c>
      <c r="E32">
        <f t="shared" si="0"/>
        <v>2.81</v>
      </c>
      <c r="F32">
        <f t="shared" si="1"/>
        <v>0</v>
      </c>
      <c r="G32">
        <f t="shared" si="4"/>
        <v>1.5</v>
      </c>
      <c r="H32">
        <f t="shared" si="2"/>
        <v>0.61</v>
      </c>
      <c r="I32">
        <f t="shared" si="3"/>
        <v>1.99</v>
      </c>
    </row>
    <row r="33" spans="1:9" ht="13.2" x14ac:dyDescent="0.25">
      <c r="A33" t="s">
        <v>10</v>
      </c>
      <c r="B33" t="s">
        <v>42</v>
      </c>
      <c r="C33">
        <v>0.6</v>
      </c>
      <c r="D33">
        <f>ROUND(AVERAGE($C$2:C89),2)</f>
        <v>1.19</v>
      </c>
      <c r="E33">
        <f t="shared" si="0"/>
        <v>2.81</v>
      </c>
      <c r="F33">
        <f t="shared" si="1"/>
        <v>0</v>
      </c>
      <c r="G33">
        <f t="shared" si="4"/>
        <v>0.4</v>
      </c>
      <c r="H33">
        <f t="shared" si="2"/>
        <v>0.61</v>
      </c>
      <c r="I33">
        <f t="shared" si="3"/>
        <v>1.99</v>
      </c>
    </row>
    <row r="34" spans="1:9" ht="13.2" x14ac:dyDescent="0.25">
      <c r="A34" t="s">
        <v>10</v>
      </c>
      <c r="B34" t="s">
        <v>43</v>
      </c>
      <c r="C34">
        <v>0.5</v>
      </c>
      <c r="D34">
        <f>ROUND(AVERAGE($C$2:C90),2)</f>
        <v>1.19</v>
      </c>
      <c r="E34">
        <f t="shared" ref="E34:E58" si="5">ROUND(D34+(2.66*H34),2)</f>
        <v>2.81</v>
      </c>
      <c r="F34">
        <f t="shared" ref="F34:F58" si="6">ROUND(MAX(0,D34-(2.66*H34)),2)</f>
        <v>0</v>
      </c>
      <c r="G34">
        <f t="shared" ref="G34:G58" si="7">ABS(C33-C34)</f>
        <v>9.9999999999999978E-2</v>
      </c>
      <c r="H34">
        <f t="shared" ref="H34:H58" si="8">ROUND(AVERAGE($G$3:$G$58),2)</f>
        <v>0.61</v>
      </c>
      <c r="I34">
        <f t="shared" ref="I34:I58" si="9">ROUND(3.268*H34,2)</f>
        <v>1.99</v>
      </c>
    </row>
    <row r="35" spans="1:9" ht="13.2" x14ac:dyDescent="0.25">
      <c r="A35" t="s">
        <v>10</v>
      </c>
      <c r="B35" t="s">
        <v>44</v>
      </c>
      <c r="C35">
        <v>0.9</v>
      </c>
      <c r="D35">
        <f>ROUND(AVERAGE($C$2:C91),2)</f>
        <v>1.19</v>
      </c>
      <c r="E35">
        <f t="shared" si="5"/>
        <v>2.81</v>
      </c>
      <c r="F35">
        <f t="shared" si="6"/>
        <v>0</v>
      </c>
      <c r="G35">
        <f t="shared" si="7"/>
        <v>0.4</v>
      </c>
      <c r="H35">
        <f t="shared" si="8"/>
        <v>0.61</v>
      </c>
      <c r="I35">
        <f t="shared" si="9"/>
        <v>1.99</v>
      </c>
    </row>
    <row r="36" spans="1:9" ht="13.2" x14ac:dyDescent="0.25">
      <c r="A36" t="s">
        <v>10</v>
      </c>
      <c r="B36" t="s">
        <v>45</v>
      </c>
      <c r="C36">
        <v>1.6</v>
      </c>
      <c r="D36">
        <f>ROUND(AVERAGE($C$2:C92),2)</f>
        <v>1.19</v>
      </c>
      <c r="E36">
        <f t="shared" si="5"/>
        <v>2.81</v>
      </c>
      <c r="F36">
        <f t="shared" si="6"/>
        <v>0</v>
      </c>
      <c r="G36">
        <f t="shared" si="7"/>
        <v>0.70000000000000007</v>
      </c>
      <c r="H36">
        <f t="shared" si="8"/>
        <v>0.61</v>
      </c>
      <c r="I36">
        <f t="shared" si="9"/>
        <v>1.99</v>
      </c>
    </row>
    <row r="37" spans="1:9" ht="13.2" x14ac:dyDescent="0.25">
      <c r="A37" t="s">
        <v>10</v>
      </c>
      <c r="B37" t="s">
        <v>46</v>
      </c>
      <c r="C37">
        <v>2.9</v>
      </c>
      <c r="D37">
        <f>ROUND(AVERAGE($C$2:C93),2)</f>
        <v>1.19</v>
      </c>
      <c r="E37">
        <f t="shared" si="5"/>
        <v>2.81</v>
      </c>
      <c r="F37">
        <f t="shared" si="6"/>
        <v>0</v>
      </c>
      <c r="G37">
        <f t="shared" si="7"/>
        <v>1.2999999999999998</v>
      </c>
      <c r="H37">
        <f t="shared" si="8"/>
        <v>0.61</v>
      </c>
      <c r="I37">
        <f t="shared" si="9"/>
        <v>1.99</v>
      </c>
    </row>
    <row r="38" spans="1:9" ht="13.2" x14ac:dyDescent="0.25">
      <c r="A38" t="s">
        <v>10</v>
      </c>
      <c r="B38" t="s">
        <v>47</v>
      </c>
      <c r="C38">
        <v>2.8</v>
      </c>
      <c r="D38">
        <f>ROUND(AVERAGE($C$2:C94),2)</f>
        <v>1.19</v>
      </c>
      <c r="E38">
        <f t="shared" si="5"/>
        <v>2.81</v>
      </c>
      <c r="F38">
        <f t="shared" si="6"/>
        <v>0</v>
      </c>
      <c r="G38">
        <f t="shared" si="7"/>
        <v>0.10000000000000009</v>
      </c>
      <c r="H38">
        <f t="shared" si="8"/>
        <v>0.61</v>
      </c>
      <c r="I38">
        <f t="shared" si="9"/>
        <v>1.99</v>
      </c>
    </row>
    <row r="39" spans="1:9" ht="13.2" x14ac:dyDescent="0.25">
      <c r="A39" t="s">
        <v>10</v>
      </c>
      <c r="B39" t="s">
        <v>48</v>
      </c>
      <c r="C39">
        <v>0.8</v>
      </c>
      <c r="D39">
        <f>ROUND(AVERAGE($C$2:C95),2)</f>
        <v>1.19</v>
      </c>
      <c r="E39">
        <f t="shared" si="5"/>
        <v>2.81</v>
      </c>
      <c r="F39">
        <f t="shared" si="6"/>
        <v>0</v>
      </c>
      <c r="G39">
        <f t="shared" si="7"/>
        <v>1.9999999999999998</v>
      </c>
      <c r="H39">
        <f t="shared" si="8"/>
        <v>0.61</v>
      </c>
      <c r="I39">
        <f t="shared" si="9"/>
        <v>1.99</v>
      </c>
    </row>
    <row r="40" spans="1:9" ht="13.2" x14ac:dyDescent="0.25">
      <c r="A40" t="s">
        <v>10</v>
      </c>
      <c r="B40" t="s">
        <v>49</v>
      </c>
      <c r="C40">
        <v>0.4</v>
      </c>
      <c r="D40">
        <f>ROUND(AVERAGE($C$2:C96),2)</f>
        <v>1.19</v>
      </c>
      <c r="E40">
        <f t="shared" si="5"/>
        <v>2.81</v>
      </c>
      <c r="F40">
        <f t="shared" si="6"/>
        <v>0</v>
      </c>
      <c r="G40">
        <f t="shared" si="7"/>
        <v>0.4</v>
      </c>
      <c r="H40">
        <f t="shared" si="8"/>
        <v>0.61</v>
      </c>
      <c r="I40">
        <f t="shared" si="9"/>
        <v>1.99</v>
      </c>
    </row>
    <row r="41" spans="1:9" ht="13.2" x14ac:dyDescent="0.25">
      <c r="A41" t="s">
        <v>10</v>
      </c>
      <c r="B41" t="s">
        <v>50</v>
      </c>
      <c r="C41">
        <v>2.2999999999999998</v>
      </c>
      <c r="D41">
        <f>ROUND(AVERAGE($C$2:C97),2)</f>
        <v>1.19</v>
      </c>
      <c r="E41">
        <f t="shared" si="5"/>
        <v>2.81</v>
      </c>
      <c r="F41">
        <f t="shared" si="6"/>
        <v>0</v>
      </c>
      <c r="G41">
        <f t="shared" si="7"/>
        <v>1.9</v>
      </c>
      <c r="H41">
        <f t="shared" si="8"/>
        <v>0.61</v>
      </c>
      <c r="I41">
        <f t="shared" si="9"/>
        <v>1.99</v>
      </c>
    </row>
    <row r="42" spans="1:9" ht="13.2" x14ac:dyDescent="0.25">
      <c r="A42" t="s">
        <v>10</v>
      </c>
      <c r="B42" t="s">
        <v>51</v>
      </c>
      <c r="C42">
        <v>0.8</v>
      </c>
      <c r="D42">
        <f>ROUND(AVERAGE($C$2:C98),2)</f>
        <v>1.19</v>
      </c>
      <c r="E42">
        <f t="shared" si="5"/>
        <v>2.81</v>
      </c>
      <c r="F42">
        <f t="shared" si="6"/>
        <v>0</v>
      </c>
      <c r="G42">
        <f t="shared" si="7"/>
        <v>1.4999999999999998</v>
      </c>
      <c r="H42">
        <f t="shared" si="8"/>
        <v>0.61</v>
      </c>
      <c r="I42">
        <f t="shared" si="9"/>
        <v>1.99</v>
      </c>
    </row>
    <row r="43" spans="1:9" ht="13.2" x14ac:dyDescent="0.25">
      <c r="A43" t="s">
        <v>10</v>
      </c>
      <c r="B43" t="s">
        <v>52</v>
      </c>
      <c r="C43">
        <v>0.9</v>
      </c>
      <c r="D43">
        <f>ROUND(AVERAGE($C$2:C99),2)</f>
        <v>1.19</v>
      </c>
      <c r="E43">
        <f t="shared" si="5"/>
        <v>2.81</v>
      </c>
      <c r="F43">
        <f t="shared" si="6"/>
        <v>0</v>
      </c>
      <c r="G43">
        <f t="shared" si="7"/>
        <v>9.9999999999999978E-2</v>
      </c>
      <c r="H43">
        <f t="shared" si="8"/>
        <v>0.61</v>
      </c>
      <c r="I43">
        <f t="shared" si="9"/>
        <v>1.99</v>
      </c>
    </row>
    <row r="44" spans="1:9" ht="13.2" x14ac:dyDescent="0.25">
      <c r="A44" t="s">
        <v>10</v>
      </c>
      <c r="B44" t="s">
        <v>53</v>
      </c>
      <c r="C44">
        <v>3.3</v>
      </c>
      <c r="D44">
        <f>ROUND(AVERAGE($C$2:C100),2)</f>
        <v>1.19</v>
      </c>
      <c r="E44">
        <f t="shared" si="5"/>
        <v>2.81</v>
      </c>
      <c r="F44">
        <f t="shared" si="6"/>
        <v>0</v>
      </c>
      <c r="G44">
        <f t="shared" si="7"/>
        <v>2.4</v>
      </c>
      <c r="H44">
        <f t="shared" si="8"/>
        <v>0.61</v>
      </c>
      <c r="I44">
        <f t="shared" si="9"/>
        <v>1.99</v>
      </c>
    </row>
    <row r="45" spans="1:9" ht="13.2" x14ac:dyDescent="0.25">
      <c r="A45" t="s">
        <v>10</v>
      </c>
      <c r="B45" t="s">
        <v>54</v>
      </c>
      <c r="C45">
        <v>1.3</v>
      </c>
      <c r="D45">
        <f>ROUND(AVERAGE($C$2:C101),2)</f>
        <v>1.19</v>
      </c>
      <c r="E45">
        <f t="shared" si="5"/>
        <v>2.81</v>
      </c>
      <c r="F45">
        <f t="shared" si="6"/>
        <v>0</v>
      </c>
      <c r="G45">
        <f t="shared" si="7"/>
        <v>1.9999999999999998</v>
      </c>
      <c r="H45">
        <f t="shared" si="8"/>
        <v>0.61</v>
      </c>
      <c r="I45">
        <f t="shared" si="9"/>
        <v>1.99</v>
      </c>
    </row>
    <row r="46" spans="1:9" ht="13.2" x14ac:dyDescent="0.25">
      <c r="A46" t="s">
        <v>10</v>
      </c>
      <c r="B46" t="s">
        <v>55</v>
      </c>
      <c r="C46">
        <v>1.5</v>
      </c>
      <c r="D46">
        <f>ROUND(AVERAGE($C$2:C102),2)</f>
        <v>1.19</v>
      </c>
      <c r="E46">
        <f t="shared" si="5"/>
        <v>2.81</v>
      </c>
      <c r="F46">
        <f t="shared" si="6"/>
        <v>0</v>
      </c>
      <c r="G46">
        <f t="shared" si="7"/>
        <v>0.19999999999999996</v>
      </c>
      <c r="H46">
        <f t="shared" si="8"/>
        <v>0.61</v>
      </c>
      <c r="I46">
        <f t="shared" si="9"/>
        <v>1.99</v>
      </c>
    </row>
    <row r="47" spans="1:9" ht="13.2" x14ac:dyDescent="0.25">
      <c r="A47" t="s">
        <v>10</v>
      </c>
      <c r="B47" t="s">
        <v>56</v>
      </c>
      <c r="C47">
        <v>1.6</v>
      </c>
      <c r="D47">
        <f>ROUND(AVERAGE($C$2:C103),2)</f>
        <v>1.19</v>
      </c>
      <c r="E47">
        <f t="shared" si="5"/>
        <v>2.81</v>
      </c>
      <c r="F47">
        <f t="shared" si="6"/>
        <v>0</v>
      </c>
      <c r="G47">
        <f t="shared" si="7"/>
        <v>0.10000000000000009</v>
      </c>
      <c r="H47">
        <f t="shared" si="8"/>
        <v>0.61</v>
      </c>
      <c r="I47">
        <f t="shared" si="9"/>
        <v>1.99</v>
      </c>
    </row>
    <row r="48" spans="1:9" ht="13.2" x14ac:dyDescent="0.25">
      <c r="A48" t="s">
        <v>10</v>
      </c>
      <c r="B48" t="s">
        <v>57</v>
      </c>
      <c r="C48">
        <v>0.5</v>
      </c>
      <c r="D48">
        <f>ROUND(AVERAGE($C$2:C104),2)</f>
        <v>1.19</v>
      </c>
      <c r="E48">
        <f t="shared" si="5"/>
        <v>2.81</v>
      </c>
      <c r="F48">
        <f t="shared" si="6"/>
        <v>0</v>
      </c>
      <c r="G48">
        <f t="shared" si="7"/>
        <v>1.1000000000000001</v>
      </c>
      <c r="H48">
        <f t="shared" si="8"/>
        <v>0.61</v>
      </c>
      <c r="I48">
        <f t="shared" si="9"/>
        <v>1.99</v>
      </c>
    </row>
    <row r="49" spans="1:9" ht="13.2" x14ac:dyDescent="0.25">
      <c r="A49" t="s">
        <v>10</v>
      </c>
      <c r="B49" t="s">
        <v>58</v>
      </c>
      <c r="C49">
        <v>0.6</v>
      </c>
      <c r="D49">
        <f>ROUND(AVERAGE($C$2:C105),2)</f>
        <v>1.19</v>
      </c>
      <c r="E49">
        <f t="shared" si="5"/>
        <v>2.81</v>
      </c>
      <c r="F49">
        <f t="shared" si="6"/>
        <v>0</v>
      </c>
      <c r="G49">
        <f t="shared" si="7"/>
        <v>9.9999999999999978E-2</v>
      </c>
      <c r="H49">
        <f t="shared" si="8"/>
        <v>0.61</v>
      </c>
      <c r="I49">
        <f t="shared" si="9"/>
        <v>1.99</v>
      </c>
    </row>
    <row r="50" spans="1:9" ht="13.2" x14ac:dyDescent="0.25">
      <c r="A50" t="s">
        <v>10</v>
      </c>
      <c r="B50" t="s">
        <v>59</v>
      </c>
      <c r="C50">
        <v>0.5</v>
      </c>
      <c r="D50">
        <f>ROUND(AVERAGE($C$2:C106),2)</f>
        <v>1.19</v>
      </c>
      <c r="E50">
        <f t="shared" si="5"/>
        <v>2.81</v>
      </c>
      <c r="F50">
        <f t="shared" si="6"/>
        <v>0</v>
      </c>
      <c r="G50">
        <f t="shared" si="7"/>
        <v>9.9999999999999978E-2</v>
      </c>
      <c r="H50">
        <f t="shared" si="8"/>
        <v>0.61</v>
      </c>
      <c r="I50">
        <f t="shared" si="9"/>
        <v>1.99</v>
      </c>
    </row>
    <row r="51" spans="1:9" ht="13.2" x14ac:dyDescent="0.25">
      <c r="A51" t="s">
        <v>10</v>
      </c>
      <c r="B51" t="s">
        <v>60</v>
      </c>
      <c r="C51">
        <v>0.6</v>
      </c>
      <c r="D51">
        <f>ROUND(AVERAGE($C$2:C107),2)</f>
        <v>1.19</v>
      </c>
      <c r="E51">
        <f t="shared" si="5"/>
        <v>2.81</v>
      </c>
      <c r="F51">
        <f t="shared" si="6"/>
        <v>0</v>
      </c>
      <c r="G51">
        <f t="shared" si="7"/>
        <v>9.9999999999999978E-2</v>
      </c>
      <c r="H51">
        <f t="shared" si="8"/>
        <v>0.61</v>
      </c>
      <c r="I51">
        <f t="shared" si="9"/>
        <v>1.99</v>
      </c>
    </row>
    <row r="52" spans="1:9" ht="13.2" x14ac:dyDescent="0.25">
      <c r="A52" t="s">
        <v>10</v>
      </c>
      <c r="B52" t="s">
        <v>61</v>
      </c>
      <c r="C52">
        <v>1.7</v>
      </c>
      <c r="D52">
        <f>ROUND(AVERAGE($C$2:C108),2)</f>
        <v>1.19</v>
      </c>
      <c r="E52">
        <f t="shared" si="5"/>
        <v>2.81</v>
      </c>
      <c r="F52">
        <f t="shared" si="6"/>
        <v>0</v>
      </c>
      <c r="G52">
        <f t="shared" si="7"/>
        <v>1.1000000000000001</v>
      </c>
      <c r="H52">
        <f t="shared" si="8"/>
        <v>0.61</v>
      </c>
      <c r="I52">
        <f t="shared" si="9"/>
        <v>1.99</v>
      </c>
    </row>
    <row r="53" spans="1:9" ht="13.2" x14ac:dyDescent="0.25">
      <c r="A53" t="s">
        <v>10</v>
      </c>
      <c r="B53" t="s">
        <v>62</v>
      </c>
      <c r="C53">
        <v>1.8</v>
      </c>
      <c r="D53">
        <f>ROUND(AVERAGE($C$2:C109),2)</f>
        <v>1.19</v>
      </c>
      <c r="E53">
        <f t="shared" si="5"/>
        <v>2.81</v>
      </c>
      <c r="F53">
        <f t="shared" si="6"/>
        <v>0</v>
      </c>
      <c r="G53">
        <f t="shared" si="7"/>
        <v>0.10000000000000009</v>
      </c>
      <c r="H53">
        <f t="shared" si="8"/>
        <v>0.61</v>
      </c>
      <c r="I53">
        <f t="shared" si="9"/>
        <v>1.99</v>
      </c>
    </row>
    <row r="54" spans="1:9" ht="13.2" x14ac:dyDescent="0.25">
      <c r="A54" t="s">
        <v>10</v>
      </c>
      <c r="B54" t="s">
        <v>63</v>
      </c>
      <c r="C54">
        <v>2</v>
      </c>
      <c r="D54">
        <f>ROUND(AVERAGE($C$2:C110),2)</f>
        <v>1.19</v>
      </c>
      <c r="E54">
        <f t="shared" si="5"/>
        <v>2.81</v>
      </c>
      <c r="F54">
        <f t="shared" si="6"/>
        <v>0</v>
      </c>
      <c r="G54">
        <f t="shared" si="7"/>
        <v>0.19999999999999996</v>
      </c>
      <c r="H54">
        <f t="shared" si="8"/>
        <v>0.61</v>
      </c>
      <c r="I54">
        <f t="shared" si="9"/>
        <v>1.99</v>
      </c>
    </row>
    <row r="55" spans="1:9" ht="13.2" x14ac:dyDescent="0.25">
      <c r="A55" t="s">
        <v>10</v>
      </c>
      <c r="B55" t="s">
        <v>64</v>
      </c>
      <c r="C55">
        <v>1.3</v>
      </c>
      <c r="D55">
        <f>ROUND(AVERAGE($C$2:C111),2)</f>
        <v>1.19</v>
      </c>
      <c r="E55">
        <f t="shared" si="5"/>
        <v>2.81</v>
      </c>
      <c r="F55">
        <f t="shared" si="6"/>
        <v>0</v>
      </c>
      <c r="G55">
        <f t="shared" si="7"/>
        <v>0.7</v>
      </c>
      <c r="H55">
        <f t="shared" si="8"/>
        <v>0.61</v>
      </c>
      <c r="I55">
        <f t="shared" si="9"/>
        <v>1.99</v>
      </c>
    </row>
    <row r="56" spans="1:9" ht="13.2" x14ac:dyDescent="0.25">
      <c r="A56" t="s">
        <v>10</v>
      </c>
      <c r="B56" t="s">
        <v>65</v>
      </c>
      <c r="C56">
        <v>2.1</v>
      </c>
      <c r="D56">
        <f>ROUND(AVERAGE($C$2:C112),2)</f>
        <v>1.19</v>
      </c>
      <c r="E56">
        <f t="shared" si="5"/>
        <v>2.81</v>
      </c>
      <c r="F56">
        <f t="shared" si="6"/>
        <v>0</v>
      </c>
      <c r="G56">
        <f t="shared" si="7"/>
        <v>0.8</v>
      </c>
      <c r="H56">
        <f t="shared" si="8"/>
        <v>0.61</v>
      </c>
      <c r="I56">
        <f t="shared" si="9"/>
        <v>1.99</v>
      </c>
    </row>
    <row r="57" spans="1:9" ht="13.2" x14ac:dyDescent="0.25">
      <c r="A57" t="s">
        <v>10</v>
      </c>
      <c r="B57" t="s">
        <v>66</v>
      </c>
      <c r="C57">
        <v>1.3</v>
      </c>
      <c r="D57">
        <f>ROUND(AVERAGE($C$2:C113),2)</f>
        <v>1.19</v>
      </c>
      <c r="E57">
        <f t="shared" si="5"/>
        <v>2.81</v>
      </c>
      <c r="F57">
        <f t="shared" si="6"/>
        <v>0</v>
      </c>
      <c r="G57">
        <f t="shared" si="7"/>
        <v>0.8</v>
      </c>
      <c r="H57">
        <f t="shared" si="8"/>
        <v>0.61</v>
      </c>
      <c r="I57">
        <f t="shared" si="9"/>
        <v>1.99</v>
      </c>
    </row>
    <row r="58" spans="1:9" ht="13.2" x14ac:dyDescent="0.25">
      <c r="A58" t="s">
        <v>10</v>
      </c>
      <c r="B58" t="s">
        <v>67</v>
      </c>
      <c r="C58">
        <v>1.7</v>
      </c>
      <c r="D58">
        <f>ROUND(AVERAGE($C$2:C114),2)</f>
        <v>1.19</v>
      </c>
      <c r="E58">
        <f t="shared" si="5"/>
        <v>2.81</v>
      </c>
      <c r="F58">
        <f t="shared" si="6"/>
        <v>0</v>
      </c>
      <c r="G58">
        <f t="shared" si="7"/>
        <v>0.39999999999999991</v>
      </c>
      <c r="H58">
        <f t="shared" si="8"/>
        <v>0.61</v>
      </c>
      <c r="I58">
        <f t="shared" si="9"/>
        <v>1.99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58"/>
  <sheetViews>
    <sheetView workbookViewId="0">
      <selection activeCell="Q35" sqref="Q35"/>
    </sheetView>
  </sheetViews>
  <sheetFormatPr defaultColWidth="12.6640625" defaultRowHeight="15.75" customHeight="1" x14ac:dyDescent="0.25"/>
  <cols>
    <col min="1" max="1" width="20.77734375" bestFit="1" customWidth="1"/>
    <col min="2" max="3" width="7.21875" bestFit="1" customWidth="1"/>
  </cols>
  <sheetData>
    <row r="1" spans="1:9" ht="13.2" x14ac:dyDescent="0.25">
      <c r="A1" s="4" t="s">
        <v>1</v>
      </c>
      <c r="B1" s="5" t="s">
        <v>2</v>
      </c>
      <c r="C1" s="5" t="s">
        <v>3</v>
      </c>
      <c r="D1" s="7" t="s">
        <v>4</v>
      </c>
      <c r="E1" s="7" t="s">
        <v>5</v>
      </c>
      <c r="F1" s="7" t="s">
        <v>6</v>
      </c>
      <c r="G1" s="7" t="s">
        <v>7</v>
      </c>
      <c r="H1" s="7" t="s">
        <v>8</v>
      </c>
      <c r="I1" s="7" t="s">
        <v>9</v>
      </c>
    </row>
    <row r="2" spans="1:9" ht="13.2" x14ac:dyDescent="0.25">
      <c r="A2" s="6" t="s">
        <v>68</v>
      </c>
      <c r="B2" t="s">
        <v>11</v>
      </c>
      <c r="C2">
        <v>2.1</v>
      </c>
      <c r="D2">
        <f>ROUND(AVERAGE($C$2:C58),2)</f>
        <v>2.66</v>
      </c>
      <c r="E2">
        <f t="shared" ref="E2:E33" si="0">ROUND(D2+(2.66*H2),2)</f>
        <v>6.62</v>
      </c>
      <c r="F2">
        <f t="shared" ref="F2:F33" si="1">ROUND(MAX(0,D2-(2.66*H2)),2)</f>
        <v>0</v>
      </c>
      <c r="H2">
        <f t="shared" ref="H2:H33" si="2">ROUND(AVERAGE($G$3:$G$58),2)</f>
        <v>1.49</v>
      </c>
      <c r="I2">
        <f t="shared" ref="I2:I33" si="3">ROUND(3.268*H2,2)</f>
        <v>4.87</v>
      </c>
    </row>
    <row r="3" spans="1:9" ht="13.2" x14ac:dyDescent="0.25">
      <c r="A3" s="6" t="s">
        <v>68</v>
      </c>
      <c r="B3" t="s">
        <v>12</v>
      </c>
      <c r="C3">
        <v>1.4</v>
      </c>
      <c r="D3">
        <f>ROUND(AVERAGE($C$2:C59),2)</f>
        <v>2.66</v>
      </c>
      <c r="E3">
        <f t="shared" si="0"/>
        <v>6.62</v>
      </c>
      <c r="F3">
        <f t="shared" si="1"/>
        <v>0</v>
      </c>
      <c r="G3">
        <f t="shared" ref="G3:G58" si="4">ABS(C2-C3)</f>
        <v>0.70000000000000018</v>
      </c>
      <c r="H3">
        <f t="shared" si="2"/>
        <v>1.49</v>
      </c>
      <c r="I3">
        <f t="shared" si="3"/>
        <v>4.87</v>
      </c>
    </row>
    <row r="4" spans="1:9" ht="13.2" x14ac:dyDescent="0.25">
      <c r="A4" s="6" t="s">
        <v>68</v>
      </c>
      <c r="B4" t="s">
        <v>13</v>
      </c>
      <c r="C4">
        <v>0.4</v>
      </c>
      <c r="D4">
        <f>ROUND(AVERAGE($C$2:C60),2)</f>
        <v>2.66</v>
      </c>
      <c r="E4">
        <f t="shared" si="0"/>
        <v>6.62</v>
      </c>
      <c r="F4">
        <f t="shared" si="1"/>
        <v>0</v>
      </c>
      <c r="G4">
        <f t="shared" si="4"/>
        <v>0.99999999999999989</v>
      </c>
      <c r="H4">
        <f t="shared" si="2"/>
        <v>1.49</v>
      </c>
      <c r="I4">
        <f t="shared" si="3"/>
        <v>4.87</v>
      </c>
    </row>
    <row r="5" spans="1:9" ht="13.2" x14ac:dyDescent="0.25">
      <c r="A5" s="6" t="s">
        <v>68</v>
      </c>
      <c r="B5" t="s">
        <v>14</v>
      </c>
      <c r="C5">
        <v>0.4</v>
      </c>
      <c r="D5">
        <f>ROUND(AVERAGE($C$2:C61),2)</f>
        <v>2.66</v>
      </c>
      <c r="E5">
        <f t="shared" si="0"/>
        <v>6.62</v>
      </c>
      <c r="F5">
        <f t="shared" si="1"/>
        <v>0</v>
      </c>
      <c r="G5">
        <f t="shared" si="4"/>
        <v>0</v>
      </c>
      <c r="H5">
        <f t="shared" si="2"/>
        <v>1.49</v>
      </c>
      <c r="I5">
        <f t="shared" si="3"/>
        <v>4.87</v>
      </c>
    </row>
    <row r="6" spans="1:9" ht="13.2" x14ac:dyDescent="0.25">
      <c r="A6" s="6" t="s">
        <v>68</v>
      </c>
      <c r="B6" t="s">
        <v>15</v>
      </c>
      <c r="C6">
        <v>0.4</v>
      </c>
      <c r="D6">
        <f>ROUND(AVERAGE($C$2:C62),2)</f>
        <v>2.66</v>
      </c>
      <c r="E6">
        <f t="shared" si="0"/>
        <v>6.62</v>
      </c>
      <c r="F6">
        <f t="shared" si="1"/>
        <v>0</v>
      </c>
      <c r="G6">
        <f t="shared" si="4"/>
        <v>0</v>
      </c>
      <c r="H6">
        <f t="shared" si="2"/>
        <v>1.49</v>
      </c>
      <c r="I6">
        <f t="shared" si="3"/>
        <v>4.87</v>
      </c>
    </row>
    <row r="7" spans="1:9" ht="13.2" x14ac:dyDescent="0.25">
      <c r="A7" s="6" t="s">
        <v>68</v>
      </c>
      <c r="B7" t="s">
        <v>16</v>
      </c>
      <c r="C7">
        <v>0.6</v>
      </c>
      <c r="D7">
        <f>ROUND(AVERAGE($C$2:C63),2)</f>
        <v>2.66</v>
      </c>
      <c r="E7">
        <f t="shared" si="0"/>
        <v>6.62</v>
      </c>
      <c r="F7">
        <f t="shared" si="1"/>
        <v>0</v>
      </c>
      <c r="G7">
        <f t="shared" si="4"/>
        <v>0.19999999999999996</v>
      </c>
      <c r="H7">
        <f t="shared" si="2"/>
        <v>1.49</v>
      </c>
      <c r="I7">
        <f t="shared" si="3"/>
        <v>4.87</v>
      </c>
    </row>
    <row r="8" spans="1:9" ht="13.2" x14ac:dyDescent="0.25">
      <c r="A8" s="6" t="s">
        <v>68</v>
      </c>
      <c r="B8" t="s">
        <v>17</v>
      </c>
      <c r="C8">
        <v>0.8</v>
      </c>
      <c r="D8">
        <f>ROUND(AVERAGE($C$2:C64),2)</f>
        <v>2.66</v>
      </c>
      <c r="E8">
        <f t="shared" si="0"/>
        <v>6.62</v>
      </c>
      <c r="F8">
        <f t="shared" si="1"/>
        <v>0</v>
      </c>
      <c r="G8">
        <f t="shared" si="4"/>
        <v>0.20000000000000007</v>
      </c>
      <c r="H8">
        <f t="shared" si="2"/>
        <v>1.49</v>
      </c>
      <c r="I8">
        <f t="shared" si="3"/>
        <v>4.87</v>
      </c>
    </row>
    <row r="9" spans="1:9" ht="13.2" x14ac:dyDescent="0.25">
      <c r="A9" s="6" t="s">
        <v>68</v>
      </c>
      <c r="B9" t="s">
        <v>18</v>
      </c>
      <c r="C9">
        <v>0.6</v>
      </c>
      <c r="D9">
        <f>ROUND(AVERAGE($C$2:C65),2)</f>
        <v>2.66</v>
      </c>
      <c r="E9">
        <f t="shared" si="0"/>
        <v>6.62</v>
      </c>
      <c r="F9">
        <f t="shared" si="1"/>
        <v>0</v>
      </c>
      <c r="G9">
        <f t="shared" si="4"/>
        <v>0.20000000000000007</v>
      </c>
      <c r="H9">
        <f t="shared" si="2"/>
        <v>1.49</v>
      </c>
      <c r="I9">
        <f t="shared" si="3"/>
        <v>4.87</v>
      </c>
    </row>
    <row r="10" spans="1:9" ht="13.2" x14ac:dyDescent="0.25">
      <c r="A10" s="6" t="s">
        <v>68</v>
      </c>
      <c r="B10" t="s">
        <v>19</v>
      </c>
      <c r="C10">
        <v>0.9</v>
      </c>
      <c r="D10">
        <f>ROUND(AVERAGE($C$2:C66),2)</f>
        <v>2.66</v>
      </c>
      <c r="E10">
        <f t="shared" si="0"/>
        <v>6.62</v>
      </c>
      <c r="F10">
        <f t="shared" si="1"/>
        <v>0</v>
      </c>
      <c r="G10">
        <f t="shared" si="4"/>
        <v>0.30000000000000004</v>
      </c>
      <c r="H10">
        <f t="shared" si="2"/>
        <v>1.49</v>
      </c>
      <c r="I10">
        <f t="shared" si="3"/>
        <v>4.87</v>
      </c>
    </row>
    <row r="11" spans="1:9" ht="13.2" x14ac:dyDescent="0.25">
      <c r="A11" s="6" t="s">
        <v>68</v>
      </c>
      <c r="B11" t="s">
        <v>20</v>
      </c>
      <c r="C11">
        <v>2.6</v>
      </c>
      <c r="D11">
        <f>ROUND(AVERAGE($C$2:C67),2)</f>
        <v>2.66</v>
      </c>
      <c r="E11">
        <f t="shared" si="0"/>
        <v>6.62</v>
      </c>
      <c r="F11">
        <f t="shared" si="1"/>
        <v>0</v>
      </c>
      <c r="G11">
        <f t="shared" si="4"/>
        <v>1.7000000000000002</v>
      </c>
      <c r="H11">
        <f t="shared" si="2"/>
        <v>1.49</v>
      </c>
      <c r="I11">
        <f t="shared" si="3"/>
        <v>4.87</v>
      </c>
    </row>
    <row r="12" spans="1:9" ht="13.2" x14ac:dyDescent="0.25">
      <c r="A12" s="6" t="s">
        <v>68</v>
      </c>
      <c r="B12" t="s">
        <v>21</v>
      </c>
      <c r="C12">
        <v>0.4</v>
      </c>
      <c r="D12">
        <f>ROUND(AVERAGE($C$2:C68),2)</f>
        <v>2.66</v>
      </c>
      <c r="E12">
        <f t="shared" si="0"/>
        <v>6.62</v>
      </c>
      <c r="F12">
        <f t="shared" si="1"/>
        <v>0</v>
      </c>
      <c r="G12">
        <f t="shared" si="4"/>
        <v>2.2000000000000002</v>
      </c>
      <c r="H12">
        <f t="shared" si="2"/>
        <v>1.49</v>
      </c>
      <c r="I12">
        <f t="shared" si="3"/>
        <v>4.87</v>
      </c>
    </row>
    <row r="13" spans="1:9" ht="13.2" x14ac:dyDescent="0.25">
      <c r="A13" s="6" t="s">
        <v>68</v>
      </c>
      <c r="B13" t="s">
        <v>22</v>
      </c>
      <c r="C13">
        <v>2.1</v>
      </c>
      <c r="D13">
        <f>ROUND(AVERAGE($C$2:C69),2)</f>
        <v>2.66</v>
      </c>
      <c r="E13">
        <f t="shared" si="0"/>
        <v>6.62</v>
      </c>
      <c r="F13">
        <f t="shared" si="1"/>
        <v>0</v>
      </c>
      <c r="G13">
        <f t="shared" si="4"/>
        <v>1.7000000000000002</v>
      </c>
      <c r="H13">
        <f t="shared" si="2"/>
        <v>1.49</v>
      </c>
      <c r="I13">
        <f t="shared" si="3"/>
        <v>4.87</v>
      </c>
    </row>
    <row r="14" spans="1:9" ht="13.2" x14ac:dyDescent="0.25">
      <c r="A14" s="6" t="s">
        <v>68</v>
      </c>
      <c r="B14" t="s">
        <v>23</v>
      </c>
      <c r="C14">
        <v>1.2</v>
      </c>
      <c r="D14">
        <f>ROUND(AVERAGE($C$2:C70),2)</f>
        <v>2.66</v>
      </c>
      <c r="E14">
        <f t="shared" si="0"/>
        <v>6.62</v>
      </c>
      <c r="F14">
        <f t="shared" si="1"/>
        <v>0</v>
      </c>
      <c r="G14">
        <f t="shared" si="4"/>
        <v>0.90000000000000013</v>
      </c>
      <c r="H14">
        <f t="shared" si="2"/>
        <v>1.49</v>
      </c>
      <c r="I14">
        <f t="shared" si="3"/>
        <v>4.87</v>
      </c>
    </row>
    <row r="15" spans="1:9" ht="13.2" x14ac:dyDescent="0.25">
      <c r="A15" s="6" t="s">
        <v>68</v>
      </c>
      <c r="B15" t="s">
        <v>24</v>
      </c>
      <c r="C15">
        <v>0.2</v>
      </c>
      <c r="D15">
        <f>ROUND(AVERAGE($C$2:C71),2)</f>
        <v>2.66</v>
      </c>
      <c r="E15">
        <f t="shared" si="0"/>
        <v>6.62</v>
      </c>
      <c r="F15">
        <f t="shared" si="1"/>
        <v>0</v>
      </c>
      <c r="G15">
        <f t="shared" si="4"/>
        <v>1</v>
      </c>
      <c r="H15">
        <f t="shared" si="2"/>
        <v>1.49</v>
      </c>
      <c r="I15">
        <f t="shared" si="3"/>
        <v>4.87</v>
      </c>
    </row>
    <row r="16" spans="1:9" ht="13.2" x14ac:dyDescent="0.25">
      <c r="A16" s="6" t="s">
        <v>68</v>
      </c>
      <c r="B16" t="s">
        <v>25</v>
      </c>
      <c r="C16">
        <v>0.2</v>
      </c>
      <c r="D16">
        <f>ROUND(AVERAGE($C$2:C72),2)</f>
        <v>2.66</v>
      </c>
      <c r="E16">
        <f t="shared" si="0"/>
        <v>6.62</v>
      </c>
      <c r="F16">
        <f t="shared" si="1"/>
        <v>0</v>
      </c>
      <c r="G16">
        <f t="shared" si="4"/>
        <v>0</v>
      </c>
      <c r="H16">
        <f t="shared" si="2"/>
        <v>1.49</v>
      </c>
      <c r="I16">
        <f t="shared" si="3"/>
        <v>4.87</v>
      </c>
    </row>
    <row r="17" spans="1:9" ht="13.2" x14ac:dyDescent="0.25">
      <c r="A17" s="6" t="s">
        <v>68</v>
      </c>
      <c r="B17" t="s">
        <v>26</v>
      </c>
      <c r="C17">
        <v>1</v>
      </c>
      <c r="D17">
        <f>ROUND(AVERAGE($C$2:C73),2)</f>
        <v>2.66</v>
      </c>
      <c r="E17">
        <f t="shared" si="0"/>
        <v>6.62</v>
      </c>
      <c r="F17">
        <f t="shared" si="1"/>
        <v>0</v>
      </c>
      <c r="G17">
        <f t="shared" si="4"/>
        <v>0.8</v>
      </c>
      <c r="H17">
        <f t="shared" si="2"/>
        <v>1.49</v>
      </c>
      <c r="I17">
        <f t="shared" si="3"/>
        <v>4.87</v>
      </c>
    </row>
    <row r="18" spans="1:9" ht="13.2" x14ac:dyDescent="0.25">
      <c r="A18" s="6" t="s">
        <v>68</v>
      </c>
      <c r="B18" t="s">
        <v>27</v>
      </c>
      <c r="C18">
        <v>2</v>
      </c>
      <c r="D18">
        <f>ROUND(AVERAGE($C$2:C74),2)</f>
        <v>2.66</v>
      </c>
      <c r="E18">
        <f t="shared" si="0"/>
        <v>6.62</v>
      </c>
      <c r="F18">
        <f t="shared" si="1"/>
        <v>0</v>
      </c>
      <c r="G18">
        <f t="shared" si="4"/>
        <v>1</v>
      </c>
      <c r="H18">
        <f t="shared" si="2"/>
        <v>1.49</v>
      </c>
      <c r="I18">
        <f t="shared" si="3"/>
        <v>4.87</v>
      </c>
    </row>
    <row r="19" spans="1:9" ht="13.2" x14ac:dyDescent="0.25">
      <c r="A19" s="6" t="s">
        <v>68</v>
      </c>
      <c r="B19" t="s">
        <v>28</v>
      </c>
      <c r="C19">
        <v>0.8</v>
      </c>
      <c r="D19">
        <f>ROUND(AVERAGE($C$2:C75),2)</f>
        <v>2.66</v>
      </c>
      <c r="E19">
        <f t="shared" si="0"/>
        <v>6.62</v>
      </c>
      <c r="F19">
        <f t="shared" si="1"/>
        <v>0</v>
      </c>
      <c r="G19">
        <f t="shared" si="4"/>
        <v>1.2</v>
      </c>
      <c r="H19">
        <f t="shared" si="2"/>
        <v>1.49</v>
      </c>
      <c r="I19">
        <f t="shared" si="3"/>
        <v>4.87</v>
      </c>
    </row>
    <row r="20" spans="1:9" ht="13.2" x14ac:dyDescent="0.25">
      <c r="A20" s="6" t="s">
        <v>68</v>
      </c>
      <c r="B20" t="s">
        <v>29</v>
      </c>
      <c r="C20">
        <v>0.4</v>
      </c>
      <c r="D20">
        <f>ROUND(AVERAGE($C$2:C76),2)</f>
        <v>2.66</v>
      </c>
      <c r="E20">
        <f t="shared" si="0"/>
        <v>6.62</v>
      </c>
      <c r="F20">
        <f t="shared" si="1"/>
        <v>0</v>
      </c>
      <c r="G20">
        <f t="shared" si="4"/>
        <v>0.4</v>
      </c>
      <c r="H20">
        <f t="shared" si="2"/>
        <v>1.49</v>
      </c>
      <c r="I20">
        <f t="shared" si="3"/>
        <v>4.87</v>
      </c>
    </row>
    <row r="21" spans="1:9" ht="13.2" x14ac:dyDescent="0.25">
      <c r="A21" s="6" t="s">
        <v>68</v>
      </c>
      <c r="B21" t="s">
        <v>30</v>
      </c>
      <c r="C21">
        <v>0.7</v>
      </c>
      <c r="D21">
        <f>ROUND(AVERAGE($C$2:C77),2)</f>
        <v>2.66</v>
      </c>
      <c r="E21">
        <f t="shared" si="0"/>
        <v>6.62</v>
      </c>
      <c r="F21">
        <f t="shared" si="1"/>
        <v>0</v>
      </c>
      <c r="G21">
        <f t="shared" si="4"/>
        <v>0.29999999999999993</v>
      </c>
      <c r="H21">
        <f t="shared" si="2"/>
        <v>1.49</v>
      </c>
      <c r="I21">
        <f t="shared" si="3"/>
        <v>4.87</v>
      </c>
    </row>
    <row r="22" spans="1:9" ht="13.2" x14ac:dyDescent="0.25">
      <c r="A22" s="6" t="s">
        <v>68</v>
      </c>
      <c r="B22" t="s">
        <v>31</v>
      </c>
      <c r="C22">
        <v>0.4</v>
      </c>
      <c r="D22">
        <f>ROUND(AVERAGE($C$2:C78),2)</f>
        <v>2.66</v>
      </c>
      <c r="E22">
        <f t="shared" si="0"/>
        <v>6.62</v>
      </c>
      <c r="F22">
        <f t="shared" si="1"/>
        <v>0</v>
      </c>
      <c r="G22">
        <f t="shared" si="4"/>
        <v>0.29999999999999993</v>
      </c>
      <c r="H22">
        <f t="shared" si="2"/>
        <v>1.49</v>
      </c>
      <c r="I22">
        <f t="shared" si="3"/>
        <v>4.87</v>
      </c>
    </row>
    <row r="23" spans="1:9" ht="13.2" x14ac:dyDescent="0.25">
      <c r="A23" s="6" t="s">
        <v>68</v>
      </c>
      <c r="B23" t="s">
        <v>32</v>
      </c>
      <c r="C23">
        <v>0.4</v>
      </c>
      <c r="D23">
        <f>ROUND(AVERAGE($C$2:C79),2)</f>
        <v>2.66</v>
      </c>
      <c r="E23">
        <f t="shared" si="0"/>
        <v>6.62</v>
      </c>
      <c r="F23">
        <f t="shared" si="1"/>
        <v>0</v>
      </c>
      <c r="G23">
        <f t="shared" si="4"/>
        <v>0</v>
      </c>
      <c r="H23">
        <f t="shared" si="2"/>
        <v>1.49</v>
      </c>
      <c r="I23">
        <f t="shared" si="3"/>
        <v>4.87</v>
      </c>
    </row>
    <row r="24" spans="1:9" ht="13.2" x14ac:dyDescent="0.25">
      <c r="A24" s="6" t="s">
        <v>68</v>
      </c>
      <c r="B24" t="s">
        <v>33</v>
      </c>
      <c r="C24">
        <v>0.7</v>
      </c>
      <c r="D24">
        <f>ROUND(AVERAGE($C$2:C80),2)</f>
        <v>2.66</v>
      </c>
      <c r="E24">
        <f t="shared" si="0"/>
        <v>6.62</v>
      </c>
      <c r="F24">
        <f t="shared" si="1"/>
        <v>0</v>
      </c>
      <c r="G24">
        <f t="shared" si="4"/>
        <v>0.29999999999999993</v>
      </c>
      <c r="H24">
        <f t="shared" si="2"/>
        <v>1.49</v>
      </c>
      <c r="I24">
        <f t="shared" si="3"/>
        <v>4.87</v>
      </c>
    </row>
    <row r="25" spans="1:9" ht="13.2" x14ac:dyDescent="0.25">
      <c r="A25" s="6" t="s">
        <v>68</v>
      </c>
      <c r="B25" t="s">
        <v>34</v>
      </c>
      <c r="C25">
        <v>0.6</v>
      </c>
      <c r="D25">
        <f>ROUND(AVERAGE($C$2:C81),2)</f>
        <v>2.66</v>
      </c>
      <c r="E25">
        <f t="shared" si="0"/>
        <v>6.62</v>
      </c>
      <c r="F25">
        <f t="shared" si="1"/>
        <v>0</v>
      </c>
      <c r="G25">
        <f t="shared" si="4"/>
        <v>9.9999999999999978E-2</v>
      </c>
      <c r="H25">
        <f t="shared" si="2"/>
        <v>1.49</v>
      </c>
      <c r="I25">
        <f t="shared" si="3"/>
        <v>4.87</v>
      </c>
    </row>
    <row r="26" spans="1:9" ht="13.2" x14ac:dyDescent="0.25">
      <c r="A26" s="6" t="s">
        <v>68</v>
      </c>
      <c r="B26" t="s">
        <v>35</v>
      </c>
      <c r="C26">
        <v>0.8</v>
      </c>
      <c r="D26">
        <f>ROUND(AVERAGE($C$2:C82),2)</f>
        <v>2.66</v>
      </c>
      <c r="E26">
        <f t="shared" si="0"/>
        <v>6.62</v>
      </c>
      <c r="F26">
        <f t="shared" si="1"/>
        <v>0</v>
      </c>
      <c r="G26">
        <f t="shared" si="4"/>
        <v>0.20000000000000007</v>
      </c>
      <c r="H26">
        <f t="shared" si="2"/>
        <v>1.49</v>
      </c>
      <c r="I26">
        <f t="shared" si="3"/>
        <v>4.87</v>
      </c>
    </row>
    <row r="27" spans="1:9" ht="13.2" x14ac:dyDescent="0.25">
      <c r="A27" s="6" t="s">
        <v>68</v>
      </c>
      <c r="B27" t="s">
        <v>36</v>
      </c>
      <c r="C27">
        <v>1.4</v>
      </c>
      <c r="D27">
        <f>ROUND(AVERAGE($C$2:C83),2)</f>
        <v>2.66</v>
      </c>
      <c r="E27">
        <f t="shared" si="0"/>
        <v>6.62</v>
      </c>
      <c r="F27">
        <f t="shared" si="1"/>
        <v>0</v>
      </c>
      <c r="G27">
        <f t="shared" si="4"/>
        <v>0.59999999999999987</v>
      </c>
      <c r="H27">
        <f t="shared" si="2"/>
        <v>1.49</v>
      </c>
      <c r="I27">
        <f t="shared" si="3"/>
        <v>4.87</v>
      </c>
    </row>
    <row r="28" spans="1:9" ht="13.2" x14ac:dyDescent="0.25">
      <c r="A28" s="6" t="s">
        <v>68</v>
      </c>
      <c r="B28" t="s">
        <v>37</v>
      </c>
      <c r="C28">
        <v>0.8</v>
      </c>
      <c r="D28">
        <f>ROUND(AVERAGE($C$2:C84),2)</f>
        <v>2.66</v>
      </c>
      <c r="E28">
        <f t="shared" si="0"/>
        <v>6.62</v>
      </c>
      <c r="F28">
        <f t="shared" si="1"/>
        <v>0</v>
      </c>
      <c r="G28">
        <f t="shared" si="4"/>
        <v>0.59999999999999987</v>
      </c>
      <c r="H28">
        <f t="shared" si="2"/>
        <v>1.49</v>
      </c>
      <c r="I28">
        <f t="shared" si="3"/>
        <v>4.87</v>
      </c>
    </row>
    <row r="29" spans="1:9" ht="13.2" x14ac:dyDescent="0.25">
      <c r="A29" s="6" t="s">
        <v>68</v>
      </c>
      <c r="B29" t="s">
        <v>38</v>
      </c>
      <c r="C29">
        <v>1.9</v>
      </c>
      <c r="D29">
        <f>ROUND(AVERAGE($C$2:C85),2)</f>
        <v>2.66</v>
      </c>
      <c r="E29">
        <f t="shared" si="0"/>
        <v>6.62</v>
      </c>
      <c r="F29">
        <f t="shared" si="1"/>
        <v>0</v>
      </c>
      <c r="G29">
        <f t="shared" si="4"/>
        <v>1.0999999999999999</v>
      </c>
      <c r="H29">
        <f t="shared" si="2"/>
        <v>1.49</v>
      </c>
      <c r="I29">
        <f t="shared" si="3"/>
        <v>4.87</v>
      </c>
    </row>
    <row r="30" spans="1:9" ht="13.2" x14ac:dyDescent="0.25">
      <c r="A30" s="6" t="s">
        <v>68</v>
      </c>
      <c r="B30" t="s">
        <v>39</v>
      </c>
      <c r="C30">
        <v>0.6</v>
      </c>
      <c r="D30">
        <f>ROUND(AVERAGE($C$2:C86),2)</f>
        <v>2.66</v>
      </c>
      <c r="E30">
        <f t="shared" si="0"/>
        <v>6.62</v>
      </c>
      <c r="F30">
        <f t="shared" si="1"/>
        <v>0</v>
      </c>
      <c r="G30">
        <f t="shared" si="4"/>
        <v>1.2999999999999998</v>
      </c>
      <c r="H30">
        <f t="shared" si="2"/>
        <v>1.49</v>
      </c>
      <c r="I30">
        <f t="shared" si="3"/>
        <v>4.87</v>
      </c>
    </row>
    <row r="31" spans="1:9" ht="13.2" x14ac:dyDescent="0.25">
      <c r="A31" s="6" t="s">
        <v>68</v>
      </c>
      <c r="B31" t="s">
        <v>40</v>
      </c>
      <c r="C31">
        <v>1.1000000000000001</v>
      </c>
      <c r="D31">
        <f>ROUND(AVERAGE($C$2:C87),2)</f>
        <v>2.66</v>
      </c>
      <c r="E31">
        <f t="shared" si="0"/>
        <v>6.62</v>
      </c>
      <c r="F31">
        <f t="shared" si="1"/>
        <v>0</v>
      </c>
      <c r="G31">
        <f t="shared" si="4"/>
        <v>0.50000000000000011</v>
      </c>
      <c r="H31">
        <f t="shared" si="2"/>
        <v>1.49</v>
      </c>
      <c r="I31">
        <f t="shared" si="3"/>
        <v>4.87</v>
      </c>
    </row>
    <row r="32" spans="1:9" ht="13.2" x14ac:dyDescent="0.25">
      <c r="A32" s="6" t="s">
        <v>68</v>
      </c>
      <c r="B32" t="s">
        <v>41</v>
      </c>
      <c r="C32">
        <v>3.2</v>
      </c>
      <c r="D32">
        <f>ROUND(AVERAGE($C$2:C88),2)</f>
        <v>2.66</v>
      </c>
      <c r="E32">
        <f t="shared" si="0"/>
        <v>6.62</v>
      </c>
      <c r="F32">
        <f t="shared" si="1"/>
        <v>0</v>
      </c>
      <c r="G32">
        <f t="shared" si="4"/>
        <v>2.1</v>
      </c>
      <c r="H32">
        <f t="shared" si="2"/>
        <v>1.49</v>
      </c>
      <c r="I32">
        <f t="shared" si="3"/>
        <v>4.87</v>
      </c>
    </row>
    <row r="33" spans="1:9" ht="13.2" x14ac:dyDescent="0.25">
      <c r="A33" s="6" t="s">
        <v>68</v>
      </c>
      <c r="B33" t="s">
        <v>42</v>
      </c>
      <c r="C33">
        <v>0.7</v>
      </c>
      <c r="D33">
        <f>ROUND(AVERAGE($C$2:C89),2)</f>
        <v>2.66</v>
      </c>
      <c r="E33">
        <f t="shared" si="0"/>
        <v>6.62</v>
      </c>
      <c r="F33">
        <f t="shared" si="1"/>
        <v>0</v>
      </c>
      <c r="G33">
        <f t="shared" si="4"/>
        <v>2.5</v>
      </c>
      <c r="H33">
        <f t="shared" si="2"/>
        <v>1.49</v>
      </c>
      <c r="I33">
        <f t="shared" si="3"/>
        <v>4.87</v>
      </c>
    </row>
    <row r="34" spans="1:9" ht="13.2" x14ac:dyDescent="0.25">
      <c r="A34" s="6" t="s">
        <v>68</v>
      </c>
      <c r="B34" t="s">
        <v>43</v>
      </c>
      <c r="C34">
        <v>0.5</v>
      </c>
      <c r="D34">
        <f>ROUND(AVERAGE($C$2:C90),2)</f>
        <v>2.66</v>
      </c>
      <c r="E34">
        <f t="shared" ref="E34:E58" si="5">ROUND(D34+(2.66*H34),2)</f>
        <v>6.62</v>
      </c>
      <c r="F34">
        <f t="shared" ref="F34:F58" si="6">ROUND(MAX(0,D34-(2.66*H34)),2)</f>
        <v>0</v>
      </c>
      <c r="G34">
        <f t="shared" si="4"/>
        <v>0.19999999999999996</v>
      </c>
      <c r="H34">
        <f t="shared" ref="H34:H58" si="7">ROUND(AVERAGE($G$3:$G$58),2)</f>
        <v>1.49</v>
      </c>
      <c r="I34">
        <f t="shared" ref="I34:I58" si="8">ROUND(3.268*H34,2)</f>
        <v>4.87</v>
      </c>
    </row>
    <row r="35" spans="1:9" ht="13.2" x14ac:dyDescent="0.25">
      <c r="A35" s="6" t="s">
        <v>68</v>
      </c>
      <c r="B35" t="s">
        <v>44</v>
      </c>
      <c r="C35">
        <v>0.9</v>
      </c>
      <c r="D35">
        <f>ROUND(AVERAGE($C$2:C91),2)</f>
        <v>2.66</v>
      </c>
      <c r="E35">
        <f t="shared" si="5"/>
        <v>6.62</v>
      </c>
      <c r="F35">
        <f t="shared" si="6"/>
        <v>0</v>
      </c>
      <c r="G35">
        <f t="shared" si="4"/>
        <v>0.4</v>
      </c>
      <c r="H35">
        <f t="shared" si="7"/>
        <v>1.49</v>
      </c>
      <c r="I35">
        <f t="shared" si="8"/>
        <v>4.87</v>
      </c>
    </row>
    <row r="36" spans="1:9" ht="13.2" x14ac:dyDescent="0.25">
      <c r="A36" s="6" t="s">
        <v>68</v>
      </c>
      <c r="B36" t="s">
        <v>45</v>
      </c>
      <c r="C36">
        <v>2.2000000000000002</v>
      </c>
      <c r="D36">
        <f>ROUND(AVERAGE($C$2:C92),2)</f>
        <v>2.66</v>
      </c>
      <c r="E36">
        <f t="shared" si="5"/>
        <v>6.62</v>
      </c>
      <c r="F36">
        <f t="shared" si="6"/>
        <v>0</v>
      </c>
      <c r="G36">
        <f t="shared" si="4"/>
        <v>1.3000000000000003</v>
      </c>
      <c r="H36">
        <f t="shared" si="7"/>
        <v>1.49</v>
      </c>
      <c r="I36">
        <f t="shared" si="8"/>
        <v>4.87</v>
      </c>
    </row>
    <row r="37" spans="1:9" ht="13.2" x14ac:dyDescent="0.25">
      <c r="A37" s="6" t="s">
        <v>68</v>
      </c>
      <c r="B37" t="s">
        <v>46</v>
      </c>
      <c r="C37">
        <v>5</v>
      </c>
      <c r="D37">
        <f>ROUND(AVERAGE($C$2:C93),2)</f>
        <v>2.66</v>
      </c>
      <c r="E37">
        <f t="shared" si="5"/>
        <v>6.62</v>
      </c>
      <c r="F37">
        <f t="shared" si="6"/>
        <v>0</v>
      </c>
      <c r="G37">
        <f t="shared" si="4"/>
        <v>2.8</v>
      </c>
      <c r="H37">
        <f t="shared" si="7"/>
        <v>1.49</v>
      </c>
      <c r="I37">
        <f t="shared" si="8"/>
        <v>4.87</v>
      </c>
    </row>
    <row r="38" spans="1:9" ht="13.2" x14ac:dyDescent="0.25">
      <c r="A38" s="6" t="s">
        <v>68</v>
      </c>
      <c r="B38" t="s">
        <v>47</v>
      </c>
      <c r="C38">
        <v>2.5</v>
      </c>
      <c r="D38">
        <f>ROUND(AVERAGE($C$2:C94),2)</f>
        <v>2.66</v>
      </c>
      <c r="E38">
        <f t="shared" si="5"/>
        <v>6.62</v>
      </c>
      <c r="F38">
        <f t="shared" si="6"/>
        <v>0</v>
      </c>
      <c r="G38">
        <f t="shared" si="4"/>
        <v>2.5</v>
      </c>
      <c r="H38">
        <f t="shared" si="7"/>
        <v>1.49</v>
      </c>
      <c r="I38">
        <f t="shared" si="8"/>
        <v>4.87</v>
      </c>
    </row>
    <row r="39" spans="1:9" ht="13.2" x14ac:dyDescent="0.25">
      <c r="A39" s="6" t="s">
        <v>68</v>
      </c>
      <c r="B39" t="s">
        <v>48</v>
      </c>
      <c r="C39">
        <v>1.7</v>
      </c>
      <c r="D39">
        <f>ROUND(AVERAGE($C$2:C95),2)</f>
        <v>2.66</v>
      </c>
      <c r="E39">
        <f t="shared" si="5"/>
        <v>6.62</v>
      </c>
      <c r="F39">
        <f t="shared" si="6"/>
        <v>0</v>
      </c>
      <c r="G39">
        <f t="shared" si="4"/>
        <v>0.8</v>
      </c>
      <c r="H39">
        <f t="shared" si="7"/>
        <v>1.49</v>
      </c>
      <c r="I39">
        <f t="shared" si="8"/>
        <v>4.87</v>
      </c>
    </row>
    <row r="40" spans="1:9" ht="13.2" x14ac:dyDescent="0.25">
      <c r="A40" s="6" t="s">
        <v>68</v>
      </c>
      <c r="B40" t="s">
        <v>49</v>
      </c>
      <c r="C40">
        <v>0.8</v>
      </c>
      <c r="D40">
        <f>ROUND(AVERAGE($C$2:C96),2)</f>
        <v>2.66</v>
      </c>
      <c r="E40">
        <f t="shared" si="5"/>
        <v>6.62</v>
      </c>
      <c r="F40">
        <f t="shared" si="6"/>
        <v>0</v>
      </c>
      <c r="G40">
        <f t="shared" si="4"/>
        <v>0.89999999999999991</v>
      </c>
      <c r="H40">
        <f t="shared" si="7"/>
        <v>1.49</v>
      </c>
      <c r="I40">
        <f t="shared" si="8"/>
        <v>4.87</v>
      </c>
    </row>
    <row r="41" spans="1:9" ht="13.2" x14ac:dyDescent="0.25">
      <c r="A41" s="6" t="s">
        <v>68</v>
      </c>
      <c r="B41" t="s">
        <v>50</v>
      </c>
      <c r="C41">
        <v>7.5</v>
      </c>
      <c r="D41">
        <f>ROUND(AVERAGE($C$2:C97),2)</f>
        <v>2.66</v>
      </c>
      <c r="E41">
        <f t="shared" si="5"/>
        <v>6.62</v>
      </c>
      <c r="F41">
        <f t="shared" si="6"/>
        <v>0</v>
      </c>
      <c r="G41">
        <f t="shared" si="4"/>
        <v>6.7</v>
      </c>
      <c r="H41">
        <f t="shared" si="7"/>
        <v>1.49</v>
      </c>
      <c r="I41">
        <f t="shared" si="8"/>
        <v>4.87</v>
      </c>
    </row>
    <row r="42" spans="1:9" ht="13.2" x14ac:dyDescent="0.25">
      <c r="A42" s="6" t="s">
        <v>68</v>
      </c>
      <c r="B42" t="s">
        <v>51</v>
      </c>
      <c r="C42">
        <v>4.9000000000000004</v>
      </c>
      <c r="D42">
        <f>ROUND(AVERAGE($C$2:C98),2)</f>
        <v>2.66</v>
      </c>
      <c r="E42">
        <f t="shared" si="5"/>
        <v>6.62</v>
      </c>
      <c r="F42">
        <f t="shared" si="6"/>
        <v>0</v>
      </c>
      <c r="G42">
        <f t="shared" si="4"/>
        <v>2.5999999999999996</v>
      </c>
      <c r="H42">
        <f t="shared" si="7"/>
        <v>1.49</v>
      </c>
      <c r="I42">
        <f t="shared" si="8"/>
        <v>4.87</v>
      </c>
    </row>
    <row r="43" spans="1:9" ht="13.2" x14ac:dyDescent="0.25">
      <c r="A43" s="6" t="s">
        <v>68</v>
      </c>
      <c r="B43" t="s">
        <v>52</v>
      </c>
      <c r="C43">
        <v>8.8000000000000007</v>
      </c>
      <c r="D43">
        <f>ROUND(AVERAGE($C$2:C99),2)</f>
        <v>2.66</v>
      </c>
      <c r="E43">
        <f t="shared" si="5"/>
        <v>6.62</v>
      </c>
      <c r="F43">
        <f t="shared" si="6"/>
        <v>0</v>
      </c>
      <c r="G43">
        <f t="shared" si="4"/>
        <v>3.9000000000000004</v>
      </c>
      <c r="H43">
        <f t="shared" si="7"/>
        <v>1.49</v>
      </c>
      <c r="I43">
        <f t="shared" si="8"/>
        <v>4.87</v>
      </c>
    </row>
    <row r="44" spans="1:9" ht="13.2" x14ac:dyDescent="0.25">
      <c r="A44" s="6" t="s">
        <v>68</v>
      </c>
      <c r="B44" t="s">
        <v>53</v>
      </c>
      <c r="C44">
        <v>8.1</v>
      </c>
      <c r="D44">
        <f>ROUND(AVERAGE($C$2:C100),2)</f>
        <v>2.66</v>
      </c>
      <c r="E44">
        <f t="shared" si="5"/>
        <v>6.62</v>
      </c>
      <c r="F44">
        <f t="shared" si="6"/>
        <v>0</v>
      </c>
      <c r="G44">
        <f t="shared" si="4"/>
        <v>0.70000000000000107</v>
      </c>
      <c r="H44">
        <f t="shared" si="7"/>
        <v>1.49</v>
      </c>
      <c r="I44">
        <f t="shared" si="8"/>
        <v>4.87</v>
      </c>
    </row>
    <row r="45" spans="1:9" ht="13.2" x14ac:dyDescent="0.25">
      <c r="A45" s="6" t="s">
        <v>68</v>
      </c>
      <c r="B45" t="s">
        <v>54</v>
      </c>
      <c r="C45">
        <v>2.2000000000000002</v>
      </c>
      <c r="D45">
        <f>ROUND(AVERAGE($C$2:C101),2)</f>
        <v>2.66</v>
      </c>
      <c r="E45">
        <f t="shared" si="5"/>
        <v>6.62</v>
      </c>
      <c r="F45">
        <f t="shared" si="6"/>
        <v>0</v>
      </c>
      <c r="G45">
        <f t="shared" si="4"/>
        <v>5.8999999999999995</v>
      </c>
      <c r="H45">
        <f t="shared" si="7"/>
        <v>1.49</v>
      </c>
      <c r="I45">
        <f t="shared" si="8"/>
        <v>4.87</v>
      </c>
    </row>
    <row r="46" spans="1:9" ht="13.2" x14ac:dyDescent="0.25">
      <c r="A46" s="6" t="s">
        <v>68</v>
      </c>
      <c r="B46" t="s">
        <v>55</v>
      </c>
      <c r="C46">
        <v>3.6</v>
      </c>
      <c r="D46">
        <f>ROUND(AVERAGE($C$2:C102),2)</f>
        <v>2.66</v>
      </c>
      <c r="E46">
        <f t="shared" si="5"/>
        <v>6.62</v>
      </c>
      <c r="F46">
        <f t="shared" si="6"/>
        <v>0</v>
      </c>
      <c r="G46">
        <f t="shared" si="4"/>
        <v>1.4</v>
      </c>
      <c r="H46">
        <f t="shared" si="7"/>
        <v>1.49</v>
      </c>
      <c r="I46">
        <f t="shared" si="8"/>
        <v>4.87</v>
      </c>
    </row>
    <row r="47" spans="1:9" ht="13.2" x14ac:dyDescent="0.25">
      <c r="A47" s="6" t="s">
        <v>68</v>
      </c>
      <c r="B47" t="s">
        <v>56</v>
      </c>
      <c r="C47">
        <v>4.5999999999999996</v>
      </c>
      <c r="D47">
        <f>ROUND(AVERAGE($C$2:C103),2)</f>
        <v>2.66</v>
      </c>
      <c r="E47">
        <f t="shared" si="5"/>
        <v>6.62</v>
      </c>
      <c r="F47">
        <f t="shared" si="6"/>
        <v>0</v>
      </c>
      <c r="G47">
        <f t="shared" si="4"/>
        <v>0.99999999999999956</v>
      </c>
      <c r="H47">
        <f t="shared" si="7"/>
        <v>1.49</v>
      </c>
      <c r="I47">
        <f t="shared" si="8"/>
        <v>4.87</v>
      </c>
    </row>
    <row r="48" spans="1:9" ht="13.2" x14ac:dyDescent="0.25">
      <c r="A48" s="6" t="s">
        <v>68</v>
      </c>
      <c r="B48" t="s">
        <v>57</v>
      </c>
      <c r="C48">
        <v>4</v>
      </c>
      <c r="D48">
        <f>ROUND(AVERAGE($C$2:C104),2)</f>
        <v>2.66</v>
      </c>
      <c r="E48">
        <f t="shared" si="5"/>
        <v>6.62</v>
      </c>
      <c r="F48">
        <f t="shared" si="6"/>
        <v>0</v>
      </c>
      <c r="G48">
        <f t="shared" si="4"/>
        <v>0.59999999999999964</v>
      </c>
      <c r="H48">
        <f t="shared" si="7"/>
        <v>1.49</v>
      </c>
      <c r="I48">
        <f t="shared" si="8"/>
        <v>4.87</v>
      </c>
    </row>
    <row r="49" spans="1:9" ht="13.2" x14ac:dyDescent="0.25">
      <c r="A49" s="6" t="s">
        <v>68</v>
      </c>
      <c r="B49" t="s">
        <v>58</v>
      </c>
      <c r="C49">
        <v>6.6</v>
      </c>
      <c r="D49">
        <f>ROUND(AVERAGE($C$2:C105),2)</f>
        <v>2.66</v>
      </c>
      <c r="E49">
        <f t="shared" si="5"/>
        <v>6.62</v>
      </c>
      <c r="F49">
        <f t="shared" si="6"/>
        <v>0</v>
      </c>
      <c r="G49">
        <f t="shared" si="4"/>
        <v>2.5999999999999996</v>
      </c>
      <c r="H49">
        <f t="shared" si="7"/>
        <v>1.49</v>
      </c>
      <c r="I49">
        <f t="shared" si="8"/>
        <v>4.87</v>
      </c>
    </row>
    <row r="50" spans="1:9" ht="13.2" x14ac:dyDescent="0.25">
      <c r="A50" s="6" t="s">
        <v>68</v>
      </c>
      <c r="B50" t="s">
        <v>59</v>
      </c>
      <c r="C50">
        <v>3.2</v>
      </c>
      <c r="D50">
        <f>ROUND(AVERAGE($C$2:C106),2)</f>
        <v>2.66</v>
      </c>
      <c r="E50">
        <f t="shared" si="5"/>
        <v>6.62</v>
      </c>
      <c r="F50">
        <f t="shared" si="6"/>
        <v>0</v>
      </c>
      <c r="G50">
        <f t="shared" si="4"/>
        <v>3.3999999999999995</v>
      </c>
      <c r="H50">
        <f t="shared" si="7"/>
        <v>1.49</v>
      </c>
      <c r="I50">
        <f t="shared" si="8"/>
        <v>4.87</v>
      </c>
    </row>
    <row r="51" spans="1:9" ht="13.2" x14ac:dyDescent="0.25">
      <c r="A51" s="6" t="s">
        <v>68</v>
      </c>
      <c r="B51" t="s">
        <v>60</v>
      </c>
      <c r="C51">
        <v>5.3</v>
      </c>
      <c r="D51">
        <f>ROUND(AVERAGE($C$2:C107),2)</f>
        <v>2.66</v>
      </c>
      <c r="E51">
        <f t="shared" si="5"/>
        <v>6.62</v>
      </c>
      <c r="F51">
        <f t="shared" si="6"/>
        <v>0</v>
      </c>
      <c r="G51">
        <f t="shared" si="4"/>
        <v>2.0999999999999996</v>
      </c>
      <c r="H51">
        <f t="shared" si="7"/>
        <v>1.49</v>
      </c>
      <c r="I51">
        <f t="shared" si="8"/>
        <v>4.87</v>
      </c>
    </row>
    <row r="52" spans="1:9" ht="13.2" x14ac:dyDescent="0.25">
      <c r="A52" s="6" t="s">
        <v>68</v>
      </c>
      <c r="B52" t="s">
        <v>61</v>
      </c>
      <c r="C52">
        <v>7.7</v>
      </c>
      <c r="D52">
        <f>ROUND(AVERAGE($C$2:C108),2)</f>
        <v>2.66</v>
      </c>
      <c r="E52">
        <f t="shared" si="5"/>
        <v>6.62</v>
      </c>
      <c r="F52">
        <f t="shared" si="6"/>
        <v>0</v>
      </c>
      <c r="G52">
        <f t="shared" si="4"/>
        <v>2.4000000000000004</v>
      </c>
      <c r="H52">
        <f t="shared" si="7"/>
        <v>1.49</v>
      </c>
      <c r="I52">
        <f t="shared" si="8"/>
        <v>4.87</v>
      </c>
    </row>
    <row r="53" spans="1:9" ht="13.2" x14ac:dyDescent="0.25">
      <c r="A53" s="6" t="s">
        <v>68</v>
      </c>
      <c r="B53" t="s">
        <v>62</v>
      </c>
      <c r="C53">
        <v>5.6</v>
      </c>
      <c r="D53">
        <f>ROUND(AVERAGE($C$2:C109),2)</f>
        <v>2.66</v>
      </c>
      <c r="E53">
        <f t="shared" si="5"/>
        <v>6.62</v>
      </c>
      <c r="F53">
        <f t="shared" si="6"/>
        <v>0</v>
      </c>
      <c r="G53">
        <f t="shared" si="4"/>
        <v>2.1000000000000005</v>
      </c>
      <c r="H53">
        <f t="shared" si="7"/>
        <v>1.49</v>
      </c>
      <c r="I53">
        <f t="shared" si="8"/>
        <v>4.87</v>
      </c>
    </row>
    <row r="54" spans="1:9" ht="13.2" x14ac:dyDescent="0.25">
      <c r="A54" s="6" t="s">
        <v>68</v>
      </c>
      <c r="B54" t="s">
        <v>63</v>
      </c>
      <c r="C54">
        <v>7.5</v>
      </c>
      <c r="D54">
        <f>ROUND(AVERAGE($C$2:C110),2)</f>
        <v>2.66</v>
      </c>
      <c r="E54">
        <f t="shared" si="5"/>
        <v>6.62</v>
      </c>
      <c r="F54">
        <f t="shared" si="6"/>
        <v>0</v>
      </c>
      <c r="G54">
        <f t="shared" si="4"/>
        <v>1.9000000000000004</v>
      </c>
      <c r="H54">
        <f t="shared" si="7"/>
        <v>1.49</v>
      </c>
      <c r="I54">
        <f t="shared" si="8"/>
        <v>4.87</v>
      </c>
    </row>
    <row r="55" spans="1:9" ht="13.2" x14ac:dyDescent="0.25">
      <c r="A55" s="6" t="s">
        <v>68</v>
      </c>
      <c r="B55" t="s">
        <v>64</v>
      </c>
      <c r="C55">
        <v>9.1</v>
      </c>
      <c r="D55">
        <f>ROUND(AVERAGE($C$2:C111),2)</f>
        <v>2.66</v>
      </c>
      <c r="E55">
        <f t="shared" si="5"/>
        <v>6.62</v>
      </c>
      <c r="F55">
        <f t="shared" si="6"/>
        <v>0</v>
      </c>
      <c r="G55">
        <f t="shared" si="4"/>
        <v>1.5999999999999996</v>
      </c>
      <c r="H55">
        <f t="shared" si="7"/>
        <v>1.49</v>
      </c>
      <c r="I55">
        <f t="shared" si="8"/>
        <v>4.87</v>
      </c>
    </row>
    <row r="56" spans="1:9" ht="13.2" x14ac:dyDescent="0.25">
      <c r="A56" s="6" t="s">
        <v>68</v>
      </c>
      <c r="B56" t="s">
        <v>65</v>
      </c>
      <c r="C56">
        <v>3</v>
      </c>
      <c r="D56">
        <f>ROUND(AVERAGE($C$2:C112),2)</f>
        <v>2.66</v>
      </c>
      <c r="E56">
        <f t="shared" si="5"/>
        <v>6.62</v>
      </c>
      <c r="F56">
        <f t="shared" si="6"/>
        <v>0</v>
      </c>
      <c r="G56">
        <f t="shared" si="4"/>
        <v>6.1</v>
      </c>
      <c r="H56">
        <f t="shared" si="7"/>
        <v>1.49</v>
      </c>
      <c r="I56">
        <f t="shared" si="8"/>
        <v>4.87</v>
      </c>
    </row>
    <row r="57" spans="1:9" ht="13.2" x14ac:dyDescent="0.25">
      <c r="A57" s="6" t="s">
        <v>68</v>
      </c>
      <c r="B57" t="s">
        <v>66</v>
      </c>
      <c r="C57">
        <v>5.4</v>
      </c>
      <c r="D57">
        <f>ROUND(AVERAGE($C$2:C113),2)</f>
        <v>2.66</v>
      </c>
      <c r="E57">
        <f t="shared" si="5"/>
        <v>6.62</v>
      </c>
      <c r="F57">
        <f t="shared" si="6"/>
        <v>0</v>
      </c>
      <c r="G57">
        <f t="shared" si="4"/>
        <v>2.4000000000000004</v>
      </c>
      <c r="H57">
        <f t="shared" si="7"/>
        <v>1.49</v>
      </c>
      <c r="I57">
        <f t="shared" si="8"/>
        <v>4.87</v>
      </c>
    </row>
    <row r="58" spans="1:9" ht="13.2" x14ac:dyDescent="0.25">
      <c r="A58" s="6" t="s">
        <v>68</v>
      </c>
      <c r="B58" t="s">
        <v>67</v>
      </c>
      <c r="C58">
        <v>9.1999999999999993</v>
      </c>
      <c r="D58">
        <f>ROUND(AVERAGE($C$2:C114),2)</f>
        <v>2.66</v>
      </c>
      <c r="E58">
        <f t="shared" si="5"/>
        <v>6.62</v>
      </c>
      <c r="F58">
        <f t="shared" si="6"/>
        <v>0</v>
      </c>
      <c r="G58">
        <f t="shared" si="4"/>
        <v>3.7999999999999989</v>
      </c>
      <c r="H58">
        <f t="shared" si="7"/>
        <v>1.49</v>
      </c>
      <c r="I58">
        <f t="shared" si="8"/>
        <v>4.87</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415667-787F-4122-9540-FD98F443D3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Fig. G.1. Dublin Rates</vt:lpstr>
      <vt:lpstr>Fig. G.2. Vienna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2026-05-07T17:32:08Z</dcterms:modified>
</cp:coreProperties>
</file>