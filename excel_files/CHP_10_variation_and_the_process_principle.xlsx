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5.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84CB3E5A-1AAC-4A0F-8550-23D7F5D5D000}"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0.7. A predictable process" sheetId="2" r:id="rId2"/>
    <sheet name="Fig 10.8. An unpredictable" sheetId="3" r:id="rId3"/>
    <sheet name="Fig 10.9. Initial XmR chart" sheetId="4" r:id="rId4"/>
    <sheet name="Fig 10.10. XmR charts" sheetId="5" r:id="rId5"/>
    <sheet name="Data" sheetId="6" r:id="rId6"/>
  </sheets>
  <definedNames>
    <definedName name="ExternalData_1" localSheetId="5" hidden="1">Data!$A$1:$D$270</definedName>
    <definedName name="ExternalData_1" localSheetId="4" hidden="1">'Fig 10.10. XmR charts'!$A$1:$C$205</definedName>
    <definedName name="ExternalData_1" localSheetId="3" hidden="1">'Fig 10.9. Initial XmR chart'!$A$1:$C$205</definedName>
    <definedName name="ExternalData_2" localSheetId="4" hidden="1">'Fig 10.10. XmR charts'!$A$206:$C$270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9" i="5" l="1"/>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07" i="5"/>
  <c r="G208"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D2" i="4"/>
  <c r="F2" i="4" s="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H2" i="4"/>
  <c r="E151" i="3"/>
  <c r="D151" i="3"/>
  <c r="C151" i="3"/>
  <c r="B151" i="3"/>
  <c r="E150" i="3"/>
  <c r="D150" i="3"/>
  <c r="C150" i="3"/>
  <c r="B150" i="3"/>
  <c r="E149" i="3"/>
  <c r="D149" i="3"/>
  <c r="C149" i="3"/>
  <c r="B149" i="3"/>
  <c r="E148" i="3"/>
  <c r="D148" i="3"/>
  <c r="C148" i="3"/>
  <c r="B148" i="3"/>
  <c r="E147" i="3"/>
  <c r="D147" i="3"/>
  <c r="C147" i="3"/>
  <c r="B147" i="3"/>
  <c r="E146" i="3"/>
  <c r="D146" i="3"/>
  <c r="C146" i="3"/>
  <c r="B146" i="3"/>
  <c r="E145" i="3"/>
  <c r="D145" i="3"/>
  <c r="C145" i="3"/>
  <c r="B145" i="3"/>
  <c r="E144" i="3"/>
  <c r="D144" i="3"/>
  <c r="C144" i="3"/>
  <c r="B144" i="3"/>
  <c r="E143" i="3"/>
  <c r="D143" i="3"/>
  <c r="C143" i="3"/>
  <c r="B143" i="3"/>
  <c r="E142" i="3"/>
  <c r="D142" i="3"/>
  <c r="C142" i="3"/>
  <c r="B142" i="3"/>
  <c r="E141" i="3"/>
  <c r="D141" i="3"/>
  <c r="C141" i="3"/>
  <c r="B141" i="3"/>
  <c r="E140" i="3"/>
  <c r="D140" i="3"/>
  <c r="C140" i="3"/>
  <c r="B140" i="3"/>
  <c r="E139" i="3"/>
  <c r="D139" i="3"/>
  <c r="C139" i="3"/>
  <c r="B139" i="3"/>
  <c r="E138" i="3"/>
  <c r="D138" i="3"/>
  <c r="C138" i="3"/>
  <c r="B138"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E130" i="3"/>
  <c r="D130" i="3"/>
  <c r="C130" i="3"/>
  <c r="B130" i="3"/>
  <c r="E129" i="3"/>
  <c r="D129" i="3"/>
  <c r="C129" i="3"/>
  <c r="B129" i="3"/>
  <c r="E128" i="3"/>
  <c r="D128" i="3"/>
  <c r="C128" i="3"/>
  <c r="B128" i="3"/>
  <c r="E127" i="3"/>
  <c r="D127" i="3"/>
  <c r="C127" i="3"/>
  <c r="B127" i="3"/>
  <c r="E126" i="3"/>
  <c r="D126" i="3"/>
  <c r="C126" i="3"/>
  <c r="B126" i="3"/>
  <c r="E125" i="3"/>
  <c r="D125" i="3"/>
  <c r="C125" i="3"/>
  <c r="B125" i="3"/>
  <c r="E124" i="3"/>
  <c r="D124" i="3"/>
  <c r="C124" i="3"/>
  <c r="B124" i="3"/>
  <c r="E123" i="3"/>
  <c r="D123" i="3"/>
  <c r="C123" i="3"/>
  <c r="B123" i="3"/>
  <c r="E122" i="3"/>
  <c r="D122" i="3"/>
  <c r="C122" i="3"/>
  <c r="B122" i="3"/>
  <c r="E121" i="3"/>
  <c r="D121" i="3"/>
  <c r="C121" i="3"/>
  <c r="B121" i="3"/>
  <c r="E120" i="3"/>
  <c r="D120" i="3"/>
  <c r="C120" i="3"/>
  <c r="B120" i="3"/>
  <c r="E119" i="3"/>
  <c r="D119" i="3"/>
  <c r="C119" i="3"/>
  <c r="B119" i="3"/>
  <c r="E118" i="3"/>
  <c r="D118" i="3"/>
  <c r="C118" i="3"/>
  <c r="B118" i="3"/>
  <c r="E117" i="3"/>
  <c r="D117" i="3"/>
  <c r="C117" i="3"/>
  <c r="B117" i="3"/>
  <c r="E116" i="3"/>
  <c r="D116" i="3"/>
  <c r="C116" i="3"/>
  <c r="B116" i="3"/>
  <c r="E115" i="3"/>
  <c r="D115" i="3"/>
  <c r="C115" i="3"/>
  <c r="B115" i="3"/>
  <c r="E114" i="3"/>
  <c r="D114" i="3"/>
  <c r="C114" i="3"/>
  <c r="B114" i="3"/>
  <c r="E113" i="3"/>
  <c r="D113" i="3"/>
  <c r="C113" i="3"/>
  <c r="B113" i="3"/>
  <c r="E112" i="3"/>
  <c r="D112" i="3"/>
  <c r="C112" i="3"/>
  <c r="B112" i="3"/>
  <c r="E111" i="3"/>
  <c r="D111" i="3"/>
  <c r="C111" i="3"/>
  <c r="B111" i="3"/>
  <c r="E110" i="3"/>
  <c r="D110" i="3"/>
  <c r="C110" i="3"/>
  <c r="B110" i="3"/>
  <c r="E109" i="3"/>
  <c r="D109" i="3"/>
  <c r="C109" i="3"/>
  <c r="B109" i="3"/>
  <c r="E108" i="3"/>
  <c r="D108" i="3"/>
  <c r="C108" i="3"/>
  <c r="B108" i="3"/>
  <c r="E107" i="3"/>
  <c r="D107" i="3"/>
  <c r="C107" i="3"/>
  <c r="B107" i="3"/>
  <c r="E106" i="3"/>
  <c r="D106" i="3"/>
  <c r="C106" i="3"/>
  <c r="B106" i="3"/>
  <c r="E105" i="3"/>
  <c r="D105" i="3"/>
  <c r="C105" i="3"/>
  <c r="B105" i="3"/>
  <c r="E104" i="3"/>
  <c r="D104" i="3"/>
  <c r="C104" i="3"/>
  <c r="B104" i="3"/>
  <c r="E103" i="3"/>
  <c r="D103" i="3"/>
  <c r="C103" i="3"/>
  <c r="B103" i="3"/>
  <c r="E102" i="3"/>
  <c r="D102" i="3"/>
  <c r="C102" i="3"/>
  <c r="B102" i="3"/>
  <c r="E101" i="3"/>
  <c r="D101" i="3"/>
  <c r="C101" i="3"/>
  <c r="B101" i="3"/>
  <c r="E100" i="3"/>
  <c r="D100" i="3"/>
  <c r="C100" i="3"/>
  <c r="B100" i="3"/>
  <c r="E99" i="3"/>
  <c r="D99" i="3"/>
  <c r="C99" i="3"/>
  <c r="B99" i="3"/>
  <c r="E98" i="3"/>
  <c r="D98" i="3"/>
  <c r="C98" i="3"/>
  <c r="B98" i="3"/>
  <c r="E97" i="3"/>
  <c r="D97" i="3"/>
  <c r="C97" i="3"/>
  <c r="B97" i="3"/>
  <c r="E96" i="3"/>
  <c r="D96" i="3"/>
  <c r="C96" i="3"/>
  <c r="B96" i="3"/>
  <c r="E95" i="3"/>
  <c r="D95" i="3"/>
  <c r="C95" i="3"/>
  <c r="B95" i="3"/>
  <c r="E94" i="3"/>
  <c r="D94" i="3"/>
  <c r="C94" i="3"/>
  <c r="B94" i="3"/>
  <c r="E93" i="3"/>
  <c r="D93" i="3"/>
  <c r="C93" i="3"/>
  <c r="B93" i="3"/>
  <c r="E92" i="3"/>
  <c r="D92" i="3"/>
  <c r="C92" i="3"/>
  <c r="B92" i="3"/>
  <c r="E91" i="3"/>
  <c r="D91" i="3"/>
  <c r="C91" i="3"/>
  <c r="B91" i="3"/>
  <c r="E90" i="3"/>
  <c r="D90" i="3"/>
  <c r="C90" i="3"/>
  <c r="B90" i="3"/>
  <c r="E89" i="3"/>
  <c r="D89" i="3"/>
  <c r="C89" i="3"/>
  <c r="B89" i="3"/>
  <c r="E88" i="3"/>
  <c r="D88" i="3"/>
  <c r="C88" i="3"/>
  <c r="B88" i="3"/>
  <c r="E87" i="3"/>
  <c r="D87" i="3"/>
  <c r="C87" i="3"/>
  <c r="B87" i="3"/>
  <c r="E86" i="3"/>
  <c r="D86" i="3"/>
  <c r="C86" i="3"/>
  <c r="B86" i="3"/>
  <c r="E85" i="3"/>
  <c r="D85" i="3"/>
  <c r="C85" i="3"/>
  <c r="B85" i="3"/>
  <c r="E84" i="3"/>
  <c r="D84" i="3"/>
  <c r="C84" i="3"/>
  <c r="B84" i="3"/>
  <c r="E83" i="3"/>
  <c r="D83" i="3"/>
  <c r="C83" i="3"/>
  <c r="B83" i="3"/>
  <c r="E82" i="3"/>
  <c r="D82" i="3"/>
  <c r="C82" i="3"/>
  <c r="B82" i="3"/>
  <c r="E81" i="3"/>
  <c r="D81" i="3"/>
  <c r="C81" i="3"/>
  <c r="B81" i="3"/>
  <c r="E80" i="3"/>
  <c r="D80" i="3"/>
  <c r="C80" i="3"/>
  <c r="B80" i="3"/>
  <c r="E79" i="3"/>
  <c r="D79" i="3"/>
  <c r="C79" i="3"/>
  <c r="B79" i="3"/>
  <c r="E78" i="3"/>
  <c r="D78" i="3"/>
  <c r="C78" i="3"/>
  <c r="B78" i="3"/>
  <c r="E77" i="3"/>
  <c r="D77" i="3"/>
  <c r="C77" i="3"/>
  <c r="B77" i="3"/>
  <c r="E76" i="3"/>
  <c r="D76" i="3"/>
  <c r="C76" i="3"/>
  <c r="B76" i="3"/>
  <c r="E75" i="3"/>
  <c r="D75" i="3"/>
  <c r="C75" i="3"/>
  <c r="B75" i="3"/>
  <c r="E74" i="3"/>
  <c r="D74" i="3"/>
  <c r="C74" i="3"/>
  <c r="B74" i="3"/>
  <c r="E73" i="3"/>
  <c r="D73" i="3"/>
  <c r="C73" i="3"/>
  <c r="B73" i="3"/>
  <c r="E72" i="3"/>
  <c r="D72" i="3"/>
  <c r="C72" i="3"/>
  <c r="B72" i="3"/>
  <c r="E71" i="3"/>
  <c r="D71" i="3"/>
  <c r="C71" i="3"/>
  <c r="B71" i="3"/>
  <c r="E70" i="3"/>
  <c r="D70" i="3"/>
  <c r="C70" i="3"/>
  <c r="B70" i="3"/>
  <c r="E69" i="3"/>
  <c r="D69" i="3"/>
  <c r="C69" i="3"/>
  <c r="B69" i="3"/>
  <c r="E68" i="3"/>
  <c r="D68" i="3"/>
  <c r="C68" i="3"/>
  <c r="B68" i="3"/>
  <c r="E67" i="3"/>
  <c r="D67" i="3"/>
  <c r="C67" i="3"/>
  <c r="B67" i="3"/>
  <c r="E66" i="3"/>
  <c r="D66" i="3"/>
  <c r="C66" i="3"/>
  <c r="B66" i="3"/>
  <c r="E65" i="3"/>
  <c r="D65" i="3"/>
  <c r="C65" i="3"/>
  <c r="B65" i="3"/>
  <c r="E64" i="3"/>
  <c r="D64" i="3"/>
  <c r="C64" i="3"/>
  <c r="B64" i="3"/>
  <c r="E63" i="3"/>
  <c r="D63" i="3"/>
  <c r="C63" i="3"/>
  <c r="B63" i="3"/>
  <c r="E62" i="3"/>
  <c r="D62" i="3"/>
  <c r="C62" i="3"/>
  <c r="B62" i="3"/>
  <c r="E61" i="3"/>
  <c r="D61" i="3"/>
  <c r="C61" i="3"/>
  <c r="B61" i="3"/>
  <c r="E60" i="3"/>
  <c r="D60" i="3"/>
  <c r="C60" i="3"/>
  <c r="B60" i="3"/>
  <c r="E59" i="3"/>
  <c r="D59" i="3"/>
  <c r="C59" i="3"/>
  <c r="B59" i="3"/>
  <c r="E58" i="3"/>
  <c r="D58" i="3"/>
  <c r="C58" i="3"/>
  <c r="B58" i="3"/>
  <c r="E57" i="3"/>
  <c r="D57" i="3"/>
  <c r="C57" i="3"/>
  <c r="B57"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5" i="3"/>
  <c r="D45" i="3"/>
  <c r="C45" i="3"/>
  <c r="B45"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E17" i="3"/>
  <c r="D17" i="3"/>
  <c r="C17" i="3"/>
  <c r="B17" i="3"/>
  <c r="E16" i="3"/>
  <c r="D16" i="3"/>
  <c r="C16" i="3"/>
  <c r="B16" i="3"/>
  <c r="E15" i="3"/>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E7" i="3"/>
  <c r="D7" i="3"/>
  <c r="C7" i="3"/>
  <c r="B7" i="3"/>
  <c r="E6" i="3"/>
  <c r="D6" i="3"/>
  <c r="C6" i="3"/>
  <c r="B6" i="3"/>
  <c r="E5" i="3"/>
  <c r="D5" i="3"/>
  <c r="C5" i="3"/>
  <c r="B5" i="3"/>
  <c r="E4" i="3"/>
  <c r="D4" i="3"/>
  <c r="C4" i="3"/>
  <c r="B4" i="3"/>
  <c r="E3" i="3"/>
  <c r="D3" i="3"/>
  <c r="C3" i="3"/>
  <c r="B3" i="3"/>
  <c r="E2" i="3"/>
  <c r="D2" i="3"/>
  <c r="C2" i="3"/>
  <c r="B2" i="3"/>
  <c r="E151" i="2"/>
  <c r="D151" i="2"/>
  <c r="C151" i="2"/>
  <c r="B151" i="2"/>
  <c r="E150" i="2"/>
  <c r="D150" i="2"/>
  <c r="C150" i="2"/>
  <c r="B150" i="2"/>
  <c r="E149" i="2"/>
  <c r="D149" i="2"/>
  <c r="C149" i="2"/>
  <c r="B149" i="2"/>
  <c r="E148" i="2"/>
  <c r="D148" i="2"/>
  <c r="C148" i="2"/>
  <c r="B148" i="2"/>
  <c r="E147" i="2"/>
  <c r="D147" i="2"/>
  <c r="C147" i="2"/>
  <c r="B147" i="2"/>
  <c r="E146" i="2"/>
  <c r="D146" i="2"/>
  <c r="C146" i="2"/>
  <c r="B146" i="2"/>
  <c r="E145" i="2"/>
  <c r="D145" i="2"/>
  <c r="C145" i="2"/>
  <c r="B145" i="2"/>
  <c r="E144" i="2"/>
  <c r="D144" i="2"/>
  <c r="C144" i="2"/>
  <c r="B144" i="2"/>
  <c r="E143" i="2"/>
  <c r="D143" i="2"/>
  <c r="C143" i="2"/>
  <c r="B143" i="2"/>
  <c r="E142" i="2"/>
  <c r="D142" i="2"/>
  <c r="C142" i="2"/>
  <c r="B142" i="2"/>
  <c r="E141" i="2"/>
  <c r="D141" i="2"/>
  <c r="C141" i="2"/>
  <c r="B141" i="2"/>
  <c r="E140" i="2"/>
  <c r="D140" i="2"/>
  <c r="C140" i="2"/>
  <c r="B140" i="2"/>
  <c r="E139" i="2"/>
  <c r="D139" i="2"/>
  <c r="C139" i="2"/>
  <c r="B139" i="2"/>
  <c r="E138" i="2"/>
  <c r="D138" i="2"/>
  <c r="C138" i="2"/>
  <c r="B138" i="2"/>
  <c r="E137" i="2"/>
  <c r="D137" i="2"/>
  <c r="C137" i="2"/>
  <c r="B137" i="2"/>
  <c r="E136" i="2"/>
  <c r="D136" i="2"/>
  <c r="C136" i="2"/>
  <c r="B136" i="2"/>
  <c r="E135" i="2"/>
  <c r="D135" i="2"/>
  <c r="C135" i="2"/>
  <c r="B135" i="2"/>
  <c r="E134" i="2"/>
  <c r="D134" i="2"/>
  <c r="C134" i="2"/>
  <c r="B134" i="2"/>
  <c r="E133" i="2"/>
  <c r="D133" i="2"/>
  <c r="C133" i="2"/>
  <c r="B133" i="2"/>
  <c r="E132" i="2"/>
  <c r="D132" i="2"/>
  <c r="C132" i="2"/>
  <c r="B132" i="2"/>
  <c r="E131" i="2"/>
  <c r="D131" i="2"/>
  <c r="C131" i="2"/>
  <c r="B131" i="2"/>
  <c r="E130" i="2"/>
  <c r="D130" i="2"/>
  <c r="C130" i="2"/>
  <c r="B130" i="2"/>
  <c r="E129" i="2"/>
  <c r="D129" i="2"/>
  <c r="C129" i="2"/>
  <c r="B129" i="2"/>
  <c r="E128" i="2"/>
  <c r="D128" i="2"/>
  <c r="C128" i="2"/>
  <c r="B128" i="2"/>
  <c r="E127" i="2"/>
  <c r="D127" i="2"/>
  <c r="C127" i="2"/>
  <c r="B127" i="2"/>
  <c r="E126" i="2"/>
  <c r="D126" i="2"/>
  <c r="C126" i="2"/>
  <c r="B126" i="2"/>
  <c r="E125" i="2"/>
  <c r="D125" i="2"/>
  <c r="C125" i="2"/>
  <c r="B125" i="2"/>
  <c r="E124" i="2"/>
  <c r="D124" i="2"/>
  <c r="C124" i="2"/>
  <c r="B124" i="2"/>
  <c r="E123" i="2"/>
  <c r="D123" i="2"/>
  <c r="C123" i="2"/>
  <c r="B123" i="2"/>
  <c r="E122" i="2"/>
  <c r="D122" i="2"/>
  <c r="C122" i="2"/>
  <c r="B122" i="2"/>
  <c r="E121" i="2"/>
  <c r="D121" i="2"/>
  <c r="C121" i="2"/>
  <c r="B121" i="2"/>
  <c r="E120" i="2"/>
  <c r="D120" i="2"/>
  <c r="C120" i="2"/>
  <c r="B120" i="2"/>
  <c r="E119" i="2"/>
  <c r="D119" i="2"/>
  <c r="C119" i="2"/>
  <c r="B119" i="2"/>
  <c r="E118" i="2"/>
  <c r="D118" i="2"/>
  <c r="C118" i="2"/>
  <c r="B118" i="2"/>
  <c r="E117" i="2"/>
  <c r="D117" i="2"/>
  <c r="C117" i="2"/>
  <c r="B117" i="2"/>
  <c r="E116" i="2"/>
  <c r="D116" i="2"/>
  <c r="C116" i="2"/>
  <c r="B116" i="2"/>
  <c r="E115" i="2"/>
  <c r="D115" i="2"/>
  <c r="C115" i="2"/>
  <c r="B115" i="2"/>
  <c r="E114" i="2"/>
  <c r="D114" i="2"/>
  <c r="C114" i="2"/>
  <c r="B114" i="2"/>
  <c r="E113" i="2"/>
  <c r="D113" i="2"/>
  <c r="C113" i="2"/>
  <c r="B113" i="2"/>
  <c r="E112" i="2"/>
  <c r="D112" i="2"/>
  <c r="C112" i="2"/>
  <c r="B112" i="2"/>
  <c r="E111" i="2"/>
  <c r="D111" i="2"/>
  <c r="C111" i="2"/>
  <c r="B111" i="2"/>
  <c r="E110" i="2"/>
  <c r="D110" i="2"/>
  <c r="C110" i="2"/>
  <c r="B110" i="2"/>
  <c r="E109" i="2"/>
  <c r="D109" i="2"/>
  <c r="C109" i="2"/>
  <c r="B109" i="2"/>
  <c r="E108" i="2"/>
  <c r="D108" i="2"/>
  <c r="C108" i="2"/>
  <c r="B108" i="2"/>
  <c r="E107" i="2"/>
  <c r="D107" i="2"/>
  <c r="C107" i="2"/>
  <c r="B107" i="2"/>
  <c r="E106" i="2"/>
  <c r="D106" i="2"/>
  <c r="C106" i="2"/>
  <c r="B106" i="2"/>
  <c r="E105" i="2"/>
  <c r="D105" i="2"/>
  <c r="C105" i="2"/>
  <c r="B105" i="2"/>
  <c r="E104" i="2"/>
  <c r="D104" i="2"/>
  <c r="C104" i="2"/>
  <c r="B104" i="2"/>
  <c r="E103" i="2"/>
  <c r="D103" i="2"/>
  <c r="C103" i="2"/>
  <c r="B103" i="2"/>
  <c r="E102" i="2"/>
  <c r="D102" i="2"/>
  <c r="C102" i="2"/>
  <c r="B102" i="2"/>
  <c r="E101" i="2"/>
  <c r="D101" i="2"/>
  <c r="C101" i="2"/>
  <c r="B101" i="2"/>
  <c r="E100" i="2"/>
  <c r="D100" i="2"/>
  <c r="C100" i="2"/>
  <c r="B100" i="2"/>
  <c r="E99" i="2"/>
  <c r="D99" i="2"/>
  <c r="C99" i="2"/>
  <c r="B99" i="2"/>
  <c r="E98" i="2"/>
  <c r="D98" i="2"/>
  <c r="C98" i="2"/>
  <c r="B98" i="2"/>
  <c r="E97" i="2"/>
  <c r="D97" i="2"/>
  <c r="C97" i="2"/>
  <c r="B97" i="2"/>
  <c r="E96" i="2"/>
  <c r="D96" i="2"/>
  <c r="C96" i="2"/>
  <c r="B96" i="2"/>
  <c r="E95" i="2"/>
  <c r="D95" i="2"/>
  <c r="C95" i="2"/>
  <c r="B95" i="2"/>
  <c r="E94" i="2"/>
  <c r="D94" i="2"/>
  <c r="C94" i="2"/>
  <c r="B94" i="2"/>
  <c r="E93" i="2"/>
  <c r="D93" i="2"/>
  <c r="C93" i="2"/>
  <c r="B93" i="2"/>
  <c r="E92" i="2"/>
  <c r="D92" i="2"/>
  <c r="C92" i="2"/>
  <c r="B92" i="2"/>
  <c r="E91" i="2"/>
  <c r="D91" i="2"/>
  <c r="C91" i="2"/>
  <c r="B91" i="2"/>
  <c r="E90" i="2"/>
  <c r="D90" i="2"/>
  <c r="C90" i="2"/>
  <c r="B90" i="2"/>
  <c r="E89" i="2"/>
  <c r="D89" i="2"/>
  <c r="C89" i="2"/>
  <c r="B89" i="2"/>
  <c r="E88" i="2"/>
  <c r="D88" i="2"/>
  <c r="C88" i="2"/>
  <c r="B88" i="2"/>
  <c r="E87" i="2"/>
  <c r="D87" i="2"/>
  <c r="C87" i="2"/>
  <c r="B87" i="2"/>
  <c r="E86" i="2"/>
  <c r="D86" i="2"/>
  <c r="C86" i="2"/>
  <c r="B86" i="2"/>
  <c r="E85" i="2"/>
  <c r="D85" i="2"/>
  <c r="C85" i="2"/>
  <c r="B85" i="2"/>
  <c r="E84" i="2"/>
  <c r="D84" i="2"/>
  <c r="C84" i="2"/>
  <c r="B84" i="2"/>
  <c r="E83" i="2"/>
  <c r="D83" i="2"/>
  <c r="C83" i="2"/>
  <c r="B83" i="2"/>
  <c r="E82" i="2"/>
  <c r="D82" i="2"/>
  <c r="C82" i="2"/>
  <c r="B82" i="2"/>
  <c r="E81" i="2"/>
  <c r="D81" i="2"/>
  <c r="C81" i="2"/>
  <c r="B81" i="2"/>
  <c r="E80" i="2"/>
  <c r="D80" i="2"/>
  <c r="C80" i="2"/>
  <c r="B80" i="2"/>
  <c r="E79" i="2"/>
  <c r="D79" i="2"/>
  <c r="C79" i="2"/>
  <c r="B79" i="2"/>
  <c r="E78" i="2"/>
  <c r="D78" i="2"/>
  <c r="C78" i="2"/>
  <c r="B78" i="2"/>
  <c r="E77" i="2"/>
  <c r="D77" i="2"/>
  <c r="C77" i="2"/>
  <c r="B77" i="2"/>
  <c r="E76" i="2"/>
  <c r="D76" i="2"/>
  <c r="C76" i="2"/>
  <c r="B76" i="2"/>
  <c r="E75" i="2"/>
  <c r="D75" i="2"/>
  <c r="C75" i="2"/>
  <c r="B75" i="2"/>
  <c r="E74" i="2"/>
  <c r="D74" i="2"/>
  <c r="C74" i="2"/>
  <c r="B74" i="2"/>
  <c r="E73" i="2"/>
  <c r="D73" i="2"/>
  <c r="C73" i="2"/>
  <c r="B73" i="2"/>
  <c r="E72" i="2"/>
  <c r="D72" i="2"/>
  <c r="C72" i="2"/>
  <c r="B72" i="2"/>
  <c r="E71" i="2"/>
  <c r="D71" i="2"/>
  <c r="C71" i="2"/>
  <c r="B71" i="2"/>
  <c r="E70" i="2"/>
  <c r="D70" i="2"/>
  <c r="C70" i="2"/>
  <c r="B70" i="2"/>
  <c r="E69" i="2"/>
  <c r="D69" i="2"/>
  <c r="C69" i="2"/>
  <c r="B69" i="2"/>
  <c r="E68" i="2"/>
  <c r="D68" i="2"/>
  <c r="C68" i="2"/>
  <c r="B68" i="2"/>
  <c r="E67" i="2"/>
  <c r="D67" i="2"/>
  <c r="C67" i="2"/>
  <c r="B67" i="2"/>
  <c r="E66" i="2"/>
  <c r="D66" i="2"/>
  <c r="C66" i="2"/>
  <c r="B66" i="2"/>
  <c r="E65" i="2"/>
  <c r="D65" i="2"/>
  <c r="C65" i="2"/>
  <c r="B65" i="2"/>
  <c r="E64" i="2"/>
  <c r="D64" i="2"/>
  <c r="C64" i="2"/>
  <c r="B64" i="2"/>
  <c r="E63" i="2"/>
  <c r="D63" i="2"/>
  <c r="C63" i="2"/>
  <c r="B63" i="2"/>
  <c r="E62" i="2"/>
  <c r="D62" i="2"/>
  <c r="C62" i="2"/>
  <c r="B62" i="2"/>
  <c r="E61" i="2"/>
  <c r="D61" i="2"/>
  <c r="C61" i="2"/>
  <c r="B61" i="2"/>
  <c r="E60" i="2"/>
  <c r="D60" i="2"/>
  <c r="C60" i="2"/>
  <c r="B60" i="2"/>
  <c r="E59" i="2"/>
  <c r="D59" i="2"/>
  <c r="C59" i="2"/>
  <c r="B59" i="2"/>
  <c r="E58" i="2"/>
  <c r="D58" i="2"/>
  <c r="C58" i="2"/>
  <c r="B58" i="2"/>
  <c r="E57" i="2"/>
  <c r="D57" i="2"/>
  <c r="C57" i="2"/>
  <c r="B57" i="2"/>
  <c r="E56" i="2"/>
  <c r="D56" i="2"/>
  <c r="C56" i="2"/>
  <c r="B56" i="2"/>
  <c r="E55" i="2"/>
  <c r="D55" i="2"/>
  <c r="C55" i="2"/>
  <c r="B55" i="2"/>
  <c r="E54" i="2"/>
  <c r="D54" i="2"/>
  <c r="C54" i="2"/>
  <c r="B54" i="2"/>
  <c r="E53" i="2"/>
  <c r="D53" i="2"/>
  <c r="C53" i="2"/>
  <c r="B53" i="2"/>
  <c r="E52" i="2"/>
  <c r="D52" i="2"/>
  <c r="C52" i="2"/>
  <c r="B52" i="2"/>
  <c r="E51" i="2"/>
  <c r="D51" i="2"/>
  <c r="C51" i="2"/>
  <c r="B51" i="2"/>
  <c r="E50" i="2"/>
  <c r="D50" i="2"/>
  <c r="C50" i="2"/>
  <c r="B50" i="2"/>
  <c r="E49" i="2"/>
  <c r="D49" i="2"/>
  <c r="C49" i="2"/>
  <c r="B49" i="2"/>
  <c r="E48" i="2"/>
  <c r="D48" i="2"/>
  <c r="C48" i="2"/>
  <c r="B48" i="2"/>
  <c r="E47" i="2"/>
  <c r="D47" i="2"/>
  <c r="C47" i="2"/>
  <c r="B47" i="2"/>
  <c r="E46" i="2"/>
  <c r="D46" i="2"/>
  <c r="C46" i="2"/>
  <c r="B46" i="2"/>
  <c r="E45" i="2"/>
  <c r="D45" i="2"/>
  <c r="C45" i="2"/>
  <c r="B45" i="2"/>
  <c r="E44" i="2"/>
  <c r="D44" i="2"/>
  <c r="C44" i="2"/>
  <c r="B44" i="2"/>
  <c r="E43" i="2"/>
  <c r="D43" i="2"/>
  <c r="C43" i="2"/>
  <c r="B43" i="2"/>
  <c r="E42" i="2"/>
  <c r="D42" i="2"/>
  <c r="C42" i="2"/>
  <c r="B42" i="2"/>
  <c r="E41" i="2"/>
  <c r="D41" i="2"/>
  <c r="C41" i="2"/>
  <c r="B41" i="2"/>
  <c r="E40" i="2"/>
  <c r="D40" i="2"/>
  <c r="C40" i="2"/>
  <c r="B40" i="2"/>
  <c r="E39" i="2"/>
  <c r="D39" i="2"/>
  <c r="C39" i="2"/>
  <c r="B39" i="2"/>
  <c r="E38" i="2"/>
  <c r="D38" i="2"/>
  <c r="C38" i="2"/>
  <c r="B38" i="2"/>
  <c r="E37" i="2"/>
  <c r="D37" i="2"/>
  <c r="C37" i="2"/>
  <c r="B37" i="2"/>
  <c r="E36" i="2"/>
  <c r="D36" i="2"/>
  <c r="C36" i="2"/>
  <c r="B36" i="2"/>
  <c r="E35" i="2"/>
  <c r="D35" i="2"/>
  <c r="C35" i="2"/>
  <c r="B35" i="2"/>
  <c r="E34" i="2"/>
  <c r="D34" i="2"/>
  <c r="C34" i="2"/>
  <c r="B34" i="2"/>
  <c r="E33" i="2"/>
  <c r="D33" i="2"/>
  <c r="C33" i="2"/>
  <c r="B33" i="2"/>
  <c r="E32" i="2"/>
  <c r="D32" i="2"/>
  <c r="C32" i="2"/>
  <c r="B32" i="2"/>
  <c r="E31" i="2"/>
  <c r="D31" i="2"/>
  <c r="C31" i="2"/>
  <c r="B31" i="2"/>
  <c r="E30" i="2"/>
  <c r="D30" i="2"/>
  <c r="C30" i="2"/>
  <c r="B30" i="2"/>
  <c r="E29" i="2"/>
  <c r="D29" i="2"/>
  <c r="C29" i="2"/>
  <c r="B29" i="2"/>
  <c r="E28" i="2"/>
  <c r="D28" i="2"/>
  <c r="C28" i="2"/>
  <c r="B28" i="2"/>
  <c r="E27" i="2"/>
  <c r="D27" i="2"/>
  <c r="C27" i="2"/>
  <c r="B27" i="2"/>
  <c r="E26" i="2"/>
  <c r="D26" i="2"/>
  <c r="C26" i="2"/>
  <c r="B26" i="2"/>
  <c r="E25" i="2"/>
  <c r="D25" i="2"/>
  <c r="C25" i="2"/>
  <c r="B25" i="2"/>
  <c r="E24" i="2"/>
  <c r="D24" i="2"/>
  <c r="C24" i="2"/>
  <c r="B24" i="2"/>
  <c r="E23" i="2"/>
  <c r="D23" i="2"/>
  <c r="C23" i="2"/>
  <c r="B23" i="2"/>
  <c r="E22" i="2"/>
  <c r="D22" i="2"/>
  <c r="C22" i="2"/>
  <c r="B22" i="2"/>
  <c r="E21" i="2"/>
  <c r="D21" i="2"/>
  <c r="C21" i="2"/>
  <c r="B21" i="2"/>
  <c r="E20" i="2"/>
  <c r="D20" i="2"/>
  <c r="C20" i="2"/>
  <c r="B20"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E2" i="2"/>
  <c r="D2" i="2"/>
  <c r="C2" i="2"/>
  <c r="B2" i="2"/>
  <c r="F13" i="4" l="1"/>
  <c r="E13" i="4"/>
  <c r="F15" i="4"/>
  <c r="E15" i="4"/>
  <c r="F169" i="4"/>
  <c r="E169" i="4"/>
  <c r="E173" i="4"/>
  <c r="F173" i="4"/>
  <c r="F176" i="4"/>
  <c r="E176" i="4"/>
  <c r="E181" i="4"/>
  <c r="F181" i="4"/>
  <c r="E183" i="4"/>
  <c r="F183" i="4"/>
  <c r="E186" i="4"/>
  <c r="F186" i="4"/>
  <c r="F189" i="4"/>
  <c r="E189" i="4"/>
  <c r="H51" i="4"/>
  <c r="H54" i="4"/>
  <c r="H57" i="4"/>
  <c r="H60" i="4"/>
  <c r="H127" i="4"/>
  <c r="H130" i="4"/>
  <c r="H133" i="4"/>
  <c r="H136" i="4"/>
  <c r="H139" i="4"/>
  <c r="H142" i="4"/>
  <c r="H146" i="4"/>
  <c r="H150" i="4"/>
  <c r="H153" i="4"/>
  <c r="H156" i="4"/>
  <c r="H159" i="4"/>
  <c r="H162" i="4"/>
  <c r="H165" i="4"/>
  <c r="H169" i="4"/>
  <c r="H173" i="4"/>
  <c r="H176" i="4"/>
  <c r="I176" i="4" s="1"/>
  <c r="H181" i="4"/>
  <c r="I181" i="4" s="1"/>
  <c r="H183" i="4"/>
  <c r="I183" i="4" s="1"/>
  <c r="H186" i="4"/>
  <c r="I186" i="4" s="1"/>
  <c r="H189" i="4"/>
  <c r="I189" i="4" s="1"/>
  <c r="H87" i="4"/>
  <c r="H84" i="4"/>
  <c r="H81" i="4"/>
  <c r="H79" i="4"/>
  <c r="H76" i="4"/>
  <c r="H73" i="4"/>
  <c r="H70" i="4"/>
  <c r="H67" i="4"/>
  <c r="H62" i="4"/>
  <c r="H59" i="4"/>
  <c r="H56" i="4"/>
  <c r="H53" i="4"/>
  <c r="H50" i="4"/>
  <c r="H47" i="4"/>
  <c r="H44" i="4"/>
  <c r="H41" i="4"/>
  <c r="H38" i="4"/>
  <c r="H36" i="4"/>
  <c r="H34" i="4"/>
  <c r="H30" i="4"/>
  <c r="H28" i="4"/>
  <c r="H26" i="4"/>
  <c r="H24" i="4"/>
  <c r="H22" i="4"/>
  <c r="H20" i="4"/>
  <c r="H18" i="4"/>
  <c r="H16" i="4"/>
  <c r="H14" i="4"/>
  <c r="H12" i="4"/>
  <c r="H9" i="4"/>
  <c r="H6" i="4"/>
  <c r="H5" i="4"/>
  <c r="H94" i="4"/>
  <c r="H98" i="4"/>
  <c r="H101" i="4"/>
  <c r="H104" i="4"/>
  <c r="H107" i="4"/>
  <c r="H111" i="4"/>
  <c r="H115" i="4"/>
  <c r="H119" i="4"/>
  <c r="H121" i="4"/>
  <c r="H204" i="4"/>
  <c r="I204" i="4" s="1"/>
  <c r="H202" i="4"/>
  <c r="I202" i="4" s="1"/>
  <c r="H90" i="4"/>
  <c r="H199" i="4"/>
  <c r="I199" i="4" s="1"/>
  <c r="H197" i="4"/>
  <c r="I197" i="4" s="1"/>
  <c r="H194" i="4"/>
  <c r="I194" i="4" s="1"/>
  <c r="H191" i="4"/>
  <c r="H188" i="4"/>
  <c r="H185" i="4"/>
  <c r="H205" i="4"/>
  <c r="I205" i="4" s="1"/>
  <c r="H203" i="4"/>
  <c r="I203" i="4" s="1"/>
  <c r="H200" i="4"/>
  <c r="I200" i="4" s="1"/>
  <c r="H196" i="4"/>
  <c r="I196" i="4" s="1"/>
  <c r="H193" i="4"/>
  <c r="H190" i="4"/>
  <c r="H187" i="4"/>
  <c r="H184" i="4"/>
  <c r="H180" i="4"/>
  <c r="H178" i="4"/>
  <c r="H175" i="4"/>
  <c r="H172" i="4"/>
  <c r="H171" i="4"/>
  <c r="H168" i="4"/>
  <c r="H167" i="4"/>
  <c r="H164" i="4"/>
  <c r="H161" i="4"/>
  <c r="H158" i="4"/>
  <c r="H155" i="4"/>
  <c r="H152" i="4"/>
  <c r="H149" i="4"/>
  <c r="H147" i="4"/>
  <c r="H145" i="4"/>
  <c r="H143" i="4"/>
  <c r="H141" i="4"/>
  <c r="H138" i="4"/>
  <c r="H135" i="4"/>
  <c r="H132" i="4"/>
  <c r="H129" i="4"/>
  <c r="H126" i="4"/>
  <c r="H123" i="4"/>
  <c r="H118" i="4"/>
  <c r="H116" i="4"/>
  <c r="H114" i="4"/>
  <c r="H112" i="4"/>
  <c r="H110" i="4"/>
  <c r="H109" i="4"/>
  <c r="H106" i="4"/>
  <c r="H103" i="4"/>
  <c r="H182" i="4"/>
  <c r="H97" i="4"/>
  <c r="H96" i="4"/>
  <c r="H93" i="4"/>
  <c r="H92" i="4"/>
  <c r="H89" i="4"/>
  <c r="H86" i="4"/>
  <c r="H83" i="4"/>
  <c r="H80" i="4"/>
  <c r="H77" i="4"/>
  <c r="H74" i="4"/>
  <c r="H71" i="4"/>
  <c r="H68" i="4"/>
  <c r="H66" i="4"/>
  <c r="H64" i="4"/>
  <c r="H63" i="4"/>
  <c r="H124" i="4"/>
  <c r="H179" i="4"/>
  <c r="H177" i="4"/>
  <c r="H174" i="4"/>
  <c r="H170" i="4"/>
  <c r="H166" i="4"/>
  <c r="H163" i="4"/>
  <c r="H160" i="4"/>
  <c r="H157" i="4"/>
  <c r="H154" i="4"/>
  <c r="H151" i="4"/>
  <c r="H148" i="4"/>
  <c r="H144" i="4"/>
  <c r="H140" i="4"/>
  <c r="H137" i="4"/>
  <c r="H134" i="4"/>
  <c r="H131" i="4"/>
  <c r="H128" i="4"/>
  <c r="H125" i="4"/>
  <c r="H122" i="4"/>
  <c r="H120" i="4"/>
  <c r="H117" i="4"/>
  <c r="H113" i="4"/>
  <c r="H108" i="4"/>
  <c r="H105" i="4"/>
  <c r="H102" i="4"/>
  <c r="H95" i="4"/>
  <c r="H91" i="4"/>
  <c r="H88" i="4"/>
  <c r="H99" i="4"/>
  <c r="H85" i="4"/>
  <c r="H82" i="4"/>
  <c r="H78" i="4"/>
  <c r="H75" i="4"/>
  <c r="H72" i="4"/>
  <c r="H69" i="4"/>
  <c r="H65" i="4"/>
  <c r="H61" i="4"/>
  <c r="H58" i="4"/>
  <c r="H55" i="4"/>
  <c r="H52" i="4"/>
  <c r="H49" i="4"/>
  <c r="H46" i="4"/>
  <c r="H43" i="4"/>
  <c r="H40" i="4"/>
  <c r="H37" i="4"/>
  <c r="H32" i="4"/>
  <c r="H29" i="4"/>
  <c r="H25" i="4"/>
  <c r="H23" i="4"/>
  <c r="H21" i="4"/>
  <c r="H19" i="4"/>
  <c r="H17" i="4"/>
  <c r="H15" i="4"/>
  <c r="I15" i="4" s="1"/>
  <c r="H13" i="4"/>
  <c r="I13" i="4" s="1"/>
  <c r="H11" i="4"/>
  <c r="H8" i="4"/>
  <c r="H4" i="4"/>
  <c r="H3" i="4"/>
  <c r="H7" i="4"/>
  <c r="H10" i="4"/>
  <c r="H27" i="4"/>
  <c r="H31" i="4"/>
  <c r="H33" i="4"/>
  <c r="H35" i="4"/>
  <c r="H39" i="4"/>
  <c r="H42" i="4"/>
  <c r="H45" i="4"/>
  <c r="H48" i="4"/>
  <c r="H201" i="4"/>
  <c r="I201" i="4" s="1"/>
  <c r="H198" i="4"/>
  <c r="I198" i="4" s="1"/>
  <c r="H195" i="4"/>
  <c r="I195" i="4" s="1"/>
  <c r="H192" i="4"/>
  <c r="H100" i="4"/>
  <c r="I2" i="4"/>
  <c r="E2" i="4"/>
  <c r="F212" i="5"/>
  <c r="E212" i="5"/>
  <c r="F213" i="5"/>
  <c r="E213" i="5"/>
  <c r="E214" i="5"/>
  <c r="H207" i="5"/>
  <c r="I207" i="5" s="1"/>
  <c r="H208" i="5"/>
  <c r="H209" i="5"/>
  <c r="H210" i="5"/>
  <c r="H211" i="5"/>
  <c r="H212" i="5"/>
  <c r="H213" i="5"/>
  <c r="H214" i="5"/>
  <c r="F214" i="5" s="1"/>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103" i="5"/>
  <c r="H102" i="5"/>
  <c r="H101" i="5"/>
  <c r="H100" i="5"/>
  <c r="H99" i="5"/>
  <c r="H98" i="5"/>
  <c r="H96" i="5"/>
  <c r="H95" i="5"/>
  <c r="H94" i="5"/>
  <c r="H93" i="5"/>
  <c r="H92" i="5"/>
  <c r="H91" i="5"/>
  <c r="H90" i="5"/>
  <c r="H89" i="5"/>
  <c r="H88" i="5"/>
  <c r="H87" i="5"/>
  <c r="H86" i="5"/>
  <c r="H85" i="5"/>
  <c r="H84" i="5"/>
  <c r="H83" i="5"/>
  <c r="H82" i="5"/>
  <c r="H81" i="5"/>
  <c r="H80" i="5"/>
  <c r="H79" i="5"/>
  <c r="H78" i="5"/>
  <c r="H77" i="5"/>
  <c r="H76" i="5"/>
  <c r="H75" i="5"/>
  <c r="H74" i="5"/>
  <c r="H73" i="5"/>
  <c r="H72"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97" i="5"/>
  <c r="H129" i="5"/>
  <c r="H128" i="5"/>
  <c r="H127" i="5"/>
  <c r="H126" i="5"/>
  <c r="H125" i="5"/>
  <c r="H124" i="5"/>
  <c r="H123" i="5"/>
  <c r="H122" i="5"/>
  <c r="H121" i="5"/>
  <c r="H156" i="5"/>
  <c r="H120" i="5"/>
  <c r="H119" i="5"/>
  <c r="H118" i="5"/>
  <c r="H117" i="5"/>
  <c r="H116" i="5"/>
  <c r="H115" i="5"/>
  <c r="H114" i="5"/>
  <c r="H113" i="5"/>
  <c r="H112" i="5"/>
  <c r="H111" i="5"/>
  <c r="H110" i="5"/>
  <c r="H109" i="5"/>
  <c r="H108" i="5"/>
  <c r="H107" i="5"/>
  <c r="H106" i="5"/>
  <c r="H31" i="5"/>
  <c r="H30" i="5"/>
  <c r="H29" i="5"/>
  <c r="H28" i="5"/>
  <c r="H27" i="5"/>
  <c r="H26" i="5"/>
  <c r="H25" i="5"/>
  <c r="H24" i="5"/>
  <c r="H23" i="5"/>
  <c r="H22" i="5"/>
  <c r="H21" i="5"/>
  <c r="H20" i="5"/>
  <c r="H19" i="5"/>
  <c r="H18" i="5"/>
  <c r="H17" i="5"/>
  <c r="H16" i="5"/>
  <c r="H15" i="5"/>
  <c r="H14" i="5"/>
  <c r="H13" i="5"/>
  <c r="H12" i="5"/>
  <c r="H11" i="5"/>
  <c r="H10" i="5"/>
  <c r="H71" i="5"/>
  <c r="H9" i="5"/>
  <c r="H8" i="5"/>
  <c r="H7" i="5"/>
  <c r="H6" i="5"/>
  <c r="H5" i="5"/>
  <c r="H4" i="5"/>
  <c r="H3" i="5"/>
  <c r="H157" i="5"/>
  <c r="H158" i="5"/>
  <c r="H159" i="5"/>
  <c r="H160" i="5"/>
  <c r="H161" i="5"/>
  <c r="H162" i="5"/>
  <c r="H163" i="5"/>
  <c r="H164" i="5"/>
  <c r="H165" i="5"/>
  <c r="H166" i="5"/>
  <c r="H167" i="5"/>
  <c r="H105"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168" i="5"/>
  <c r="H202" i="5"/>
  <c r="H203" i="5"/>
  <c r="H204" i="5"/>
  <c r="H205"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04" i="5"/>
  <c r="H2" i="5"/>
  <c r="H201" i="5"/>
  <c r="E207" i="5"/>
  <c r="F207" i="5"/>
  <c r="I209" i="5"/>
  <c r="I210" i="5"/>
  <c r="I211" i="5"/>
  <c r="I212" i="5"/>
  <c r="I213" i="5"/>
  <c r="I214" i="5"/>
  <c r="I215" i="5"/>
  <c r="I216" i="5"/>
  <c r="I217" i="5"/>
  <c r="I218" i="5"/>
  <c r="I219" i="5"/>
  <c r="I220" i="5"/>
  <c r="I169" i="4"/>
  <c r="I173" i="4"/>
  <c r="F204" i="4" l="1"/>
  <c r="E204" i="4"/>
  <c r="F202" i="4"/>
  <c r="E202" i="4"/>
  <c r="F199" i="4"/>
  <c r="E199" i="4"/>
  <c r="F197" i="4"/>
  <c r="E197" i="4"/>
  <c r="F194" i="4"/>
  <c r="E194" i="4"/>
  <c r="F205" i="4"/>
  <c r="E205" i="4"/>
  <c r="F203" i="4"/>
  <c r="E203" i="4"/>
  <c r="F200" i="4"/>
  <c r="E200" i="4"/>
  <c r="F196" i="4"/>
  <c r="E196" i="4"/>
  <c r="F201" i="4"/>
  <c r="E201" i="4"/>
  <c r="F198" i="4"/>
  <c r="E198" i="4"/>
  <c r="F195" i="4"/>
  <c r="E195" i="4"/>
  <c r="I51" i="4"/>
  <c r="E51" i="4"/>
  <c r="F51" i="4"/>
  <c r="I54" i="4"/>
  <c r="F54" i="4"/>
  <c r="E54" i="4"/>
  <c r="I57" i="4"/>
  <c r="E57" i="4"/>
  <c r="F57" i="4"/>
  <c r="I60" i="4"/>
  <c r="F60" i="4"/>
  <c r="E60" i="4"/>
  <c r="I127" i="4"/>
  <c r="E127" i="4"/>
  <c r="F127" i="4"/>
  <c r="I130" i="4"/>
  <c r="E130" i="4"/>
  <c r="F130" i="4"/>
  <c r="E133" i="4"/>
  <c r="I133" i="4"/>
  <c r="F133" i="4"/>
  <c r="I136" i="4"/>
  <c r="E136" i="4"/>
  <c r="F136" i="4"/>
  <c r="I139" i="4"/>
  <c r="E139" i="4"/>
  <c r="F139" i="4"/>
  <c r="E142" i="4"/>
  <c r="F142" i="4"/>
  <c r="I142" i="4"/>
  <c r="I146" i="4"/>
  <c r="E146" i="4"/>
  <c r="F146" i="4"/>
  <c r="I150" i="4"/>
  <c r="F150" i="4"/>
  <c r="E150" i="4"/>
  <c r="I153" i="4"/>
  <c r="E153" i="4"/>
  <c r="F153" i="4"/>
  <c r="I156" i="4"/>
  <c r="E156" i="4"/>
  <c r="F156" i="4"/>
  <c r="F159" i="4"/>
  <c r="I159" i="4"/>
  <c r="E159" i="4"/>
  <c r="E162" i="4"/>
  <c r="F162" i="4"/>
  <c r="I162" i="4"/>
  <c r="E165" i="4"/>
  <c r="F165" i="4"/>
  <c r="I165" i="4"/>
  <c r="I87" i="4"/>
  <c r="F87" i="4"/>
  <c r="E87" i="4"/>
  <c r="I84" i="4"/>
  <c r="E84" i="4"/>
  <c r="F84" i="4"/>
  <c r="I81" i="4"/>
  <c r="F81" i="4"/>
  <c r="E81" i="4"/>
  <c r="I79" i="4"/>
  <c r="F79" i="4"/>
  <c r="E79" i="4"/>
  <c r="I76" i="4"/>
  <c r="E76" i="4"/>
  <c r="F76" i="4"/>
  <c r="I73" i="4"/>
  <c r="E73" i="4"/>
  <c r="F73" i="4"/>
  <c r="I70" i="4"/>
  <c r="F70" i="4"/>
  <c r="E70" i="4"/>
  <c r="I67" i="4"/>
  <c r="F67" i="4"/>
  <c r="E67" i="4"/>
  <c r="I62" i="4"/>
  <c r="E62" i="4"/>
  <c r="F62" i="4"/>
  <c r="I59" i="4"/>
  <c r="E59" i="4"/>
  <c r="F59" i="4"/>
  <c r="I56" i="4"/>
  <c r="E56" i="4"/>
  <c r="F56" i="4"/>
  <c r="I53" i="4"/>
  <c r="E53" i="4"/>
  <c r="F53" i="4"/>
  <c r="I50" i="4"/>
  <c r="F50" i="4"/>
  <c r="E50" i="4"/>
  <c r="I47" i="4"/>
  <c r="E47" i="4"/>
  <c r="F47" i="4"/>
  <c r="I44" i="4"/>
  <c r="E44" i="4"/>
  <c r="F44" i="4"/>
  <c r="I41" i="4"/>
  <c r="E41" i="4"/>
  <c r="F41" i="4"/>
  <c r="I38" i="4"/>
  <c r="E38" i="4"/>
  <c r="F38" i="4"/>
  <c r="I36" i="4"/>
  <c r="E36" i="4"/>
  <c r="F36" i="4"/>
  <c r="I34" i="4"/>
  <c r="E34" i="4"/>
  <c r="F34" i="4"/>
  <c r="I30" i="4"/>
  <c r="E30" i="4"/>
  <c r="F30" i="4"/>
  <c r="I28" i="4"/>
  <c r="E28" i="4"/>
  <c r="F28" i="4"/>
  <c r="I26" i="4"/>
  <c r="E26" i="4"/>
  <c r="F26" i="4"/>
  <c r="I24" i="4"/>
  <c r="F24" i="4"/>
  <c r="E24" i="4"/>
  <c r="I22" i="4"/>
  <c r="E22" i="4"/>
  <c r="F22" i="4"/>
  <c r="I20" i="4"/>
  <c r="E20" i="4"/>
  <c r="F20" i="4"/>
  <c r="I18" i="4"/>
  <c r="E18" i="4"/>
  <c r="F18" i="4"/>
  <c r="I16" i="4"/>
  <c r="E16" i="4"/>
  <c r="F16" i="4"/>
  <c r="I14" i="4"/>
  <c r="E14" i="4"/>
  <c r="F14" i="4"/>
  <c r="I12" i="4"/>
  <c r="F12" i="4"/>
  <c r="E12" i="4"/>
  <c r="I9" i="4"/>
  <c r="F9" i="4"/>
  <c r="E9" i="4"/>
  <c r="I6" i="4"/>
  <c r="E6" i="4"/>
  <c r="F6" i="4"/>
  <c r="I5" i="4"/>
  <c r="E5" i="4"/>
  <c r="F5" i="4"/>
  <c r="I94" i="4"/>
  <c r="E94" i="4"/>
  <c r="F94" i="4"/>
  <c r="I98" i="4"/>
  <c r="E98" i="4"/>
  <c r="F98" i="4"/>
  <c r="I101" i="4"/>
  <c r="E101" i="4"/>
  <c r="F101" i="4"/>
  <c r="I104" i="4"/>
  <c r="E104" i="4"/>
  <c r="F104" i="4"/>
  <c r="I107" i="4"/>
  <c r="E107" i="4"/>
  <c r="F107" i="4"/>
  <c r="I111" i="4"/>
  <c r="E111" i="4"/>
  <c r="F111" i="4"/>
  <c r="I115" i="4"/>
  <c r="E115" i="4"/>
  <c r="F115" i="4"/>
  <c r="I119" i="4"/>
  <c r="E119" i="4"/>
  <c r="F119" i="4"/>
  <c r="I121" i="4"/>
  <c r="F121" i="4"/>
  <c r="E121" i="4"/>
  <c r="I90" i="4"/>
  <c r="E90" i="4"/>
  <c r="F90" i="4"/>
  <c r="E191" i="4"/>
  <c r="I191" i="4"/>
  <c r="F191" i="4"/>
  <c r="F188" i="4"/>
  <c r="E188" i="4"/>
  <c r="I188" i="4"/>
  <c r="I185" i="4"/>
  <c r="F185" i="4"/>
  <c r="E185" i="4"/>
  <c r="I193" i="4"/>
  <c r="F193" i="4"/>
  <c r="E193" i="4"/>
  <c r="I190" i="4"/>
  <c r="E190" i="4"/>
  <c r="F190" i="4"/>
  <c r="E187" i="4"/>
  <c r="I187" i="4"/>
  <c r="F187" i="4"/>
  <c r="I184" i="4"/>
  <c r="F184" i="4"/>
  <c r="E184" i="4"/>
  <c r="F180" i="4"/>
  <c r="E180" i="4"/>
  <c r="I180" i="4"/>
  <c r="F178" i="4"/>
  <c r="I178" i="4"/>
  <c r="E178" i="4"/>
  <c r="I175" i="4"/>
  <c r="E175" i="4"/>
  <c r="F175" i="4"/>
  <c r="E172" i="4"/>
  <c r="I172" i="4"/>
  <c r="F172" i="4"/>
  <c r="F171" i="4"/>
  <c r="E171" i="4"/>
  <c r="I171" i="4"/>
  <c r="E168" i="4"/>
  <c r="I168" i="4"/>
  <c r="F168" i="4"/>
  <c r="F167" i="4"/>
  <c r="E167" i="4"/>
  <c r="I167" i="4"/>
  <c r="I164" i="4"/>
  <c r="F164" i="4"/>
  <c r="E164" i="4"/>
  <c r="I161" i="4"/>
  <c r="F161" i="4"/>
  <c r="E161" i="4"/>
  <c r="F158" i="4"/>
  <c r="I158" i="4"/>
  <c r="E158" i="4"/>
  <c r="I155" i="4"/>
  <c r="F155" i="4"/>
  <c r="E155" i="4"/>
  <c r="I152" i="4"/>
  <c r="F152" i="4"/>
  <c r="E152" i="4"/>
  <c r="I149" i="4"/>
  <c r="F149" i="4"/>
  <c r="E149" i="4"/>
  <c r="I147" i="4"/>
  <c r="E147" i="4"/>
  <c r="F147" i="4"/>
  <c r="E145" i="4"/>
  <c r="F145" i="4"/>
  <c r="I145" i="4"/>
  <c r="F143" i="4"/>
  <c r="I143" i="4"/>
  <c r="E143" i="4"/>
  <c r="F141" i="4"/>
  <c r="I141" i="4"/>
  <c r="E141" i="4"/>
  <c r="I138" i="4"/>
  <c r="F138" i="4"/>
  <c r="E138" i="4"/>
  <c r="E135" i="4"/>
  <c r="F135" i="4"/>
  <c r="I135" i="4"/>
  <c r="F132" i="4"/>
  <c r="I132" i="4"/>
  <c r="E132" i="4"/>
  <c r="I129" i="4"/>
  <c r="E129" i="4"/>
  <c r="F129" i="4"/>
  <c r="I126" i="4"/>
  <c r="F126" i="4"/>
  <c r="E126" i="4"/>
  <c r="I123" i="4"/>
  <c r="F123" i="4"/>
  <c r="E123" i="4"/>
  <c r="I118" i="4"/>
  <c r="E118" i="4"/>
  <c r="F118" i="4"/>
  <c r="I116" i="4"/>
  <c r="F116" i="4"/>
  <c r="E116" i="4"/>
  <c r="I114" i="4"/>
  <c r="E114" i="4"/>
  <c r="F114" i="4"/>
  <c r="I112" i="4"/>
  <c r="F112" i="4"/>
  <c r="E112" i="4"/>
  <c r="I110" i="4"/>
  <c r="E110" i="4"/>
  <c r="F110" i="4"/>
  <c r="I109" i="4"/>
  <c r="F109" i="4"/>
  <c r="E109" i="4"/>
  <c r="I106" i="4"/>
  <c r="F106" i="4"/>
  <c r="E106" i="4"/>
  <c r="I103" i="4"/>
  <c r="F103" i="4"/>
  <c r="E103" i="4"/>
  <c r="I182" i="4"/>
  <c r="F182" i="4"/>
  <c r="E182" i="4"/>
  <c r="I97" i="4"/>
  <c r="F97" i="4"/>
  <c r="E97" i="4"/>
  <c r="I96" i="4"/>
  <c r="E96" i="4"/>
  <c r="F96" i="4"/>
  <c r="I93" i="4"/>
  <c r="E93" i="4"/>
  <c r="F93" i="4"/>
  <c r="I92" i="4"/>
  <c r="F92" i="4"/>
  <c r="E92" i="4"/>
  <c r="I89" i="4"/>
  <c r="F89" i="4"/>
  <c r="E89" i="4"/>
  <c r="I86" i="4"/>
  <c r="F86" i="4"/>
  <c r="E86" i="4"/>
  <c r="I83" i="4"/>
  <c r="F83" i="4"/>
  <c r="E83" i="4"/>
  <c r="I80" i="4"/>
  <c r="F80" i="4"/>
  <c r="E80" i="4"/>
  <c r="I77" i="4"/>
  <c r="E77" i="4"/>
  <c r="F77" i="4"/>
  <c r="I74" i="4"/>
  <c r="E74" i="4"/>
  <c r="F74" i="4"/>
  <c r="I71" i="4"/>
  <c r="F71" i="4"/>
  <c r="E71" i="4"/>
  <c r="I68" i="4"/>
  <c r="E68" i="4"/>
  <c r="F68" i="4"/>
  <c r="I66" i="4"/>
  <c r="E66" i="4"/>
  <c r="F66" i="4"/>
  <c r="I64" i="4"/>
  <c r="F64" i="4"/>
  <c r="E64" i="4"/>
  <c r="I63" i="4"/>
  <c r="E63" i="4"/>
  <c r="F63" i="4"/>
  <c r="I124" i="4"/>
  <c r="F124" i="4"/>
  <c r="E124" i="4"/>
  <c r="E179" i="4"/>
  <c r="I179" i="4"/>
  <c r="F179" i="4"/>
  <c r="I177" i="4"/>
  <c r="E177" i="4"/>
  <c r="F177" i="4"/>
  <c r="F174" i="4"/>
  <c r="I174" i="4"/>
  <c r="E174" i="4"/>
  <c r="I170" i="4"/>
  <c r="F170" i="4"/>
  <c r="E170" i="4"/>
  <c r="E166" i="4"/>
  <c r="I166" i="4"/>
  <c r="F166" i="4"/>
  <c r="E163" i="4"/>
  <c r="F163" i="4"/>
  <c r="I163" i="4"/>
  <c r="I160" i="4"/>
  <c r="F160" i="4"/>
  <c r="E160" i="4"/>
  <c r="F157" i="4"/>
  <c r="I157" i="4"/>
  <c r="E157" i="4"/>
  <c r="F154" i="4"/>
  <c r="E154" i="4"/>
  <c r="I154" i="4"/>
  <c r="E151" i="4"/>
  <c r="F151" i="4"/>
  <c r="I151" i="4"/>
  <c r="F148" i="4"/>
  <c r="I148" i="4"/>
  <c r="E148" i="4"/>
  <c r="I144" i="4"/>
  <c r="F144" i="4"/>
  <c r="E144" i="4"/>
  <c r="I140" i="4"/>
  <c r="E140" i="4"/>
  <c r="F140" i="4"/>
  <c r="F137" i="4"/>
  <c r="E137" i="4"/>
  <c r="I137" i="4"/>
  <c r="F134" i="4"/>
  <c r="E134" i="4"/>
  <c r="I134" i="4"/>
  <c r="I131" i="4"/>
  <c r="F131" i="4"/>
  <c r="E131" i="4"/>
  <c r="I128" i="4"/>
  <c r="E128" i="4"/>
  <c r="F128" i="4"/>
  <c r="I125" i="4"/>
  <c r="F125" i="4"/>
  <c r="E125" i="4"/>
  <c r="I122" i="4"/>
  <c r="F122" i="4"/>
  <c r="E122" i="4"/>
  <c r="I120" i="4"/>
  <c r="F120" i="4"/>
  <c r="E120" i="4"/>
  <c r="I117" i="4"/>
  <c r="E117" i="4"/>
  <c r="F117" i="4"/>
  <c r="I113" i="4"/>
  <c r="E113" i="4"/>
  <c r="F113" i="4"/>
  <c r="I108" i="4"/>
  <c r="E108" i="4"/>
  <c r="F108" i="4"/>
  <c r="I105" i="4"/>
  <c r="F105" i="4"/>
  <c r="E105" i="4"/>
  <c r="I102" i="4"/>
  <c r="F102" i="4"/>
  <c r="E102" i="4"/>
  <c r="I95" i="4"/>
  <c r="E95" i="4"/>
  <c r="F95" i="4"/>
  <c r="I91" i="4"/>
  <c r="E91" i="4"/>
  <c r="F91" i="4"/>
  <c r="I88" i="4"/>
  <c r="E88" i="4"/>
  <c r="F88" i="4"/>
  <c r="I99" i="4"/>
  <c r="E99" i="4"/>
  <c r="F99" i="4"/>
  <c r="I85" i="4"/>
  <c r="E85" i="4"/>
  <c r="F85" i="4"/>
  <c r="I82" i="4"/>
  <c r="F82" i="4"/>
  <c r="E82" i="4"/>
  <c r="I78" i="4"/>
  <c r="E78" i="4"/>
  <c r="F78" i="4"/>
  <c r="I75" i="4"/>
  <c r="E75" i="4"/>
  <c r="F75" i="4"/>
  <c r="I72" i="4"/>
  <c r="E72" i="4"/>
  <c r="F72" i="4"/>
  <c r="I69" i="4"/>
  <c r="F69" i="4"/>
  <c r="E69" i="4"/>
  <c r="I65" i="4"/>
  <c r="F65" i="4"/>
  <c r="E65" i="4"/>
  <c r="I61" i="4"/>
  <c r="E61" i="4"/>
  <c r="F61" i="4"/>
  <c r="I58" i="4"/>
  <c r="F58" i="4"/>
  <c r="E58" i="4"/>
  <c r="I55" i="4"/>
  <c r="E55" i="4"/>
  <c r="F55" i="4"/>
  <c r="I52" i="4"/>
  <c r="F52" i="4"/>
  <c r="E52" i="4"/>
  <c r="I49" i="4"/>
  <c r="E49" i="4"/>
  <c r="F49" i="4"/>
  <c r="I46" i="4"/>
  <c r="F46" i="4"/>
  <c r="E46" i="4"/>
  <c r="I43" i="4"/>
  <c r="E43" i="4"/>
  <c r="F43" i="4"/>
  <c r="I40" i="4"/>
  <c r="F40" i="4"/>
  <c r="E40" i="4"/>
  <c r="I37" i="4"/>
  <c r="F37" i="4"/>
  <c r="E37" i="4"/>
  <c r="I32" i="4"/>
  <c r="F32" i="4"/>
  <c r="E32" i="4"/>
  <c r="I29" i="4"/>
  <c r="E29" i="4"/>
  <c r="F29" i="4"/>
  <c r="I25" i="4"/>
  <c r="F25" i="4"/>
  <c r="E25" i="4"/>
  <c r="I23" i="4"/>
  <c r="E23" i="4"/>
  <c r="F23" i="4"/>
  <c r="I21" i="4"/>
  <c r="E21" i="4"/>
  <c r="F21" i="4"/>
  <c r="I19" i="4"/>
  <c r="F19" i="4"/>
  <c r="E19" i="4"/>
  <c r="I17" i="4"/>
  <c r="F17" i="4"/>
  <c r="E17" i="4"/>
  <c r="I11" i="4"/>
  <c r="F11" i="4"/>
  <c r="E11" i="4"/>
  <c r="I8" i="4"/>
  <c r="E8" i="4"/>
  <c r="F8" i="4"/>
  <c r="I4" i="4"/>
  <c r="E4" i="4"/>
  <c r="F4" i="4"/>
  <c r="I3" i="4"/>
  <c r="F3" i="4"/>
  <c r="E3" i="4"/>
  <c r="I7" i="4"/>
  <c r="E7" i="4"/>
  <c r="F7" i="4"/>
  <c r="I10" i="4"/>
  <c r="E10" i="4"/>
  <c r="F10" i="4"/>
  <c r="I27" i="4"/>
  <c r="E27" i="4"/>
  <c r="F27" i="4"/>
  <c r="I31" i="4"/>
  <c r="F31" i="4"/>
  <c r="E31" i="4"/>
  <c r="I33" i="4"/>
  <c r="E33" i="4"/>
  <c r="F33" i="4"/>
  <c r="I35" i="4"/>
  <c r="F35" i="4"/>
  <c r="E35" i="4"/>
  <c r="I39" i="4"/>
  <c r="E39" i="4"/>
  <c r="F39" i="4"/>
  <c r="I42" i="4"/>
  <c r="E42" i="4"/>
  <c r="F42" i="4"/>
  <c r="I45" i="4"/>
  <c r="E45" i="4"/>
  <c r="F45" i="4"/>
  <c r="I48" i="4"/>
  <c r="E48" i="4"/>
  <c r="F48" i="4"/>
  <c r="I192" i="4"/>
  <c r="E192" i="4"/>
  <c r="F192" i="4"/>
  <c r="I100" i="4"/>
  <c r="E100" i="4"/>
  <c r="F100" i="4"/>
  <c r="F78" i="5"/>
  <c r="E78" i="5"/>
  <c r="I78" i="5"/>
  <c r="F77" i="5"/>
  <c r="E77" i="5"/>
  <c r="I77" i="5"/>
  <c r="F76" i="5"/>
  <c r="E76" i="5"/>
  <c r="I76" i="5"/>
  <c r="F75" i="5"/>
  <c r="E75" i="5"/>
  <c r="I75" i="5"/>
  <c r="F74" i="5"/>
  <c r="E74" i="5"/>
  <c r="I74" i="5"/>
  <c r="F73" i="5"/>
  <c r="E73" i="5"/>
  <c r="I73" i="5"/>
  <c r="F72" i="5"/>
  <c r="E72" i="5"/>
  <c r="I72" i="5"/>
  <c r="F70" i="5"/>
  <c r="E70" i="5"/>
  <c r="I70" i="5"/>
  <c r="F69" i="5"/>
  <c r="E69" i="5"/>
  <c r="I69" i="5"/>
  <c r="F68" i="5"/>
  <c r="E68" i="5"/>
  <c r="I68" i="5"/>
  <c r="E67" i="5"/>
  <c r="F67" i="5"/>
  <c r="I67" i="5"/>
  <c r="E66" i="5"/>
  <c r="F66" i="5"/>
  <c r="I66" i="5"/>
  <c r="E65" i="5"/>
  <c r="F65" i="5"/>
  <c r="I65" i="5"/>
  <c r="E64" i="5"/>
  <c r="F64" i="5"/>
  <c r="I64" i="5"/>
  <c r="E63" i="5"/>
  <c r="F63" i="5"/>
  <c r="I63" i="5"/>
  <c r="E62" i="5"/>
  <c r="F62" i="5"/>
  <c r="I62" i="5"/>
  <c r="E61" i="5"/>
  <c r="F61" i="5"/>
  <c r="I61" i="5"/>
  <c r="E60" i="5"/>
  <c r="F60" i="5"/>
  <c r="I60" i="5"/>
  <c r="E59" i="5"/>
  <c r="F59" i="5"/>
  <c r="I59" i="5"/>
  <c r="E58" i="5"/>
  <c r="F58" i="5"/>
  <c r="I58" i="5"/>
  <c r="E57" i="5"/>
  <c r="F57" i="5"/>
  <c r="I57" i="5"/>
  <c r="E56" i="5"/>
  <c r="F56" i="5"/>
  <c r="I56" i="5"/>
  <c r="E55" i="5"/>
  <c r="F55" i="5"/>
  <c r="I55" i="5"/>
  <c r="E54" i="5"/>
  <c r="F54" i="5"/>
  <c r="I54" i="5"/>
  <c r="E53" i="5"/>
  <c r="F53" i="5"/>
  <c r="I53" i="5"/>
  <c r="E52" i="5"/>
  <c r="F52" i="5"/>
  <c r="I52" i="5"/>
  <c r="E51" i="5"/>
  <c r="F51" i="5"/>
  <c r="I51" i="5"/>
  <c r="F71" i="5"/>
  <c r="E71" i="5"/>
  <c r="I71" i="5"/>
  <c r="I208" i="5"/>
  <c r="F208" i="5"/>
  <c r="E208" i="5"/>
  <c r="F209" i="5"/>
  <c r="E209" i="5"/>
  <c r="F210" i="5"/>
  <c r="E210" i="5"/>
  <c r="F211" i="5"/>
  <c r="E211" i="5"/>
  <c r="F215" i="5"/>
  <c r="E215" i="5"/>
  <c r="F216" i="5"/>
  <c r="E216" i="5"/>
  <c r="F217" i="5"/>
  <c r="E217" i="5"/>
  <c r="F218" i="5"/>
  <c r="E218" i="5"/>
  <c r="F219" i="5"/>
  <c r="E219" i="5"/>
  <c r="F220" i="5"/>
  <c r="E220" i="5"/>
  <c r="F221" i="5"/>
  <c r="E221" i="5"/>
  <c r="I221" i="5"/>
  <c r="F222" i="5"/>
  <c r="E222" i="5"/>
  <c r="I222" i="5"/>
  <c r="F223" i="5"/>
  <c r="I223" i="5"/>
  <c r="E223" i="5"/>
  <c r="I224" i="5"/>
  <c r="E224" i="5"/>
  <c r="F224" i="5"/>
  <c r="F225" i="5"/>
  <c r="I225" i="5"/>
  <c r="E225" i="5"/>
  <c r="E226" i="5"/>
  <c r="F226" i="5"/>
  <c r="I226" i="5"/>
  <c r="E227" i="5"/>
  <c r="F227" i="5"/>
  <c r="I227" i="5"/>
  <c r="E228" i="5"/>
  <c r="F228" i="5"/>
  <c r="I228" i="5"/>
  <c r="E229" i="5"/>
  <c r="I229" i="5"/>
  <c r="F229" i="5"/>
  <c r="E230" i="5"/>
  <c r="F230" i="5"/>
  <c r="I230" i="5"/>
  <c r="E231" i="5"/>
  <c r="F231" i="5"/>
  <c r="I231" i="5"/>
  <c r="F232" i="5"/>
  <c r="E232" i="5"/>
  <c r="I232" i="5"/>
  <c r="F233" i="5"/>
  <c r="E233" i="5"/>
  <c r="I233" i="5"/>
  <c r="F234" i="5"/>
  <c r="E234" i="5"/>
  <c r="I234" i="5"/>
  <c r="E235" i="5"/>
  <c r="F235" i="5"/>
  <c r="I235" i="5"/>
  <c r="E236" i="5"/>
  <c r="F236" i="5"/>
  <c r="I236" i="5"/>
  <c r="E237" i="5"/>
  <c r="F237" i="5"/>
  <c r="I237" i="5"/>
  <c r="E238" i="5"/>
  <c r="F238" i="5"/>
  <c r="I238" i="5"/>
  <c r="E239" i="5"/>
  <c r="F239" i="5"/>
  <c r="I239" i="5"/>
  <c r="E240" i="5"/>
  <c r="F240" i="5"/>
  <c r="I240" i="5"/>
  <c r="E241" i="5"/>
  <c r="F241" i="5"/>
  <c r="I241" i="5"/>
  <c r="I242" i="5"/>
  <c r="E242" i="5"/>
  <c r="F242" i="5"/>
  <c r="I243" i="5"/>
  <c r="F243" i="5"/>
  <c r="E243" i="5"/>
  <c r="I244" i="5"/>
  <c r="E244" i="5"/>
  <c r="F244" i="5"/>
  <c r="F245" i="5"/>
  <c r="I245" i="5"/>
  <c r="E245" i="5"/>
  <c r="F246" i="5"/>
  <c r="I246" i="5"/>
  <c r="E246" i="5"/>
  <c r="I247" i="5"/>
  <c r="F247" i="5"/>
  <c r="E247" i="5"/>
  <c r="I248" i="5"/>
  <c r="F248" i="5"/>
  <c r="E248" i="5"/>
  <c r="I249" i="5"/>
  <c r="F249" i="5"/>
  <c r="E249" i="5"/>
  <c r="I250" i="5"/>
  <c r="F250" i="5"/>
  <c r="E250" i="5"/>
  <c r="E251" i="5"/>
  <c r="F251" i="5"/>
  <c r="I251" i="5"/>
  <c r="I252" i="5"/>
  <c r="E252" i="5"/>
  <c r="F252" i="5"/>
  <c r="I253" i="5"/>
  <c r="F253" i="5"/>
  <c r="E253" i="5"/>
  <c r="E254" i="5"/>
  <c r="I254" i="5"/>
  <c r="F254" i="5"/>
  <c r="F255" i="5"/>
  <c r="E255" i="5"/>
  <c r="I255" i="5"/>
  <c r="E256" i="5"/>
  <c r="F256" i="5"/>
  <c r="I256" i="5"/>
  <c r="I257" i="5"/>
  <c r="F257" i="5"/>
  <c r="E257" i="5"/>
  <c r="I258" i="5"/>
  <c r="F258" i="5"/>
  <c r="E258" i="5"/>
  <c r="I259" i="5"/>
  <c r="E259" i="5"/>
  <c r="F259" i="5"/>
  <c r="F260" i="5"/>
  <c r="I260" i="5"/>
  <c r="E260" i="5"/>
  <c r="F261" i="5"/>
  <c r="E261" i="5"/>
  <c r="I261" i="5"/>
  <c r="I262" i="5"/>
  <c r="E262" i="5"/>
  <c r="F262" i="5"/>
  <c r="I263" i="5"/>
  <c r="F263" i="5"/>
  <c r="E263" i="5"/>
  <c r="E264" i="5"/>
  <c r="I264" i="5"/>
  <c r="F264" i="5"/>
  <c r="I265" i="5"/>
  <c r="F265" i="5"/>
  <c r="E265" i="5"/>
  <c r="F266" i="5"/>
  <c r="E266" i="5"/>
  <c r="I266" i="5"/>
  <c r="F267" i="5"/>
  <c r="E267" i="5"/>
  <c r="I267" i="5"/>
  <c r="F268" i="5"/>
  <c r="E268" i="5"/>
  <c r="I268" i="5"/>
  <c r="E269" i="5"/>
  <c r="F269" i="5"/>
  <c r="I269" i="5"/>
  <c r="E270" i="5"/>
  <c r="I270" i="5"/>
  <c r="F270" i="5"/>
  <c r="I103" i="5"/>
  <c r="E103" i="5"/>
  <c r="F103" i="5"/>
  <c r="I102" i="5"/>
  <c r="F102" i="5"/>
  <c r="E102" i="5"/>
  <c r="I101" i="5"/>
  <c r="F101" i="5"/>
  <c r="E101" i="5"/>
  <c r="I100" i="5"/>
  <c r="F100" i="5"/>
  <c r="E100" i="5"/>
  <c r="I99" i="5"/>
  <c r="E99" i="5"/>
  <c r="F99" i="5"/>
  <c r="I98" i="5"/>
  <c r="E98" i="5"/>
  <c r="F98" i="5"/>
  <c r="I96" i="5"/>
  <c r="F96" i="5"/>
  <c r="E96" i="5"/>
  <c r="I95" i="5"/>
  <c r="E95" i="5"/>
  <c r="F95" i="5"/>
  <c r="I94" i="5"/>
  <c r="E94" i="5"/>
  <c r="F94" i="5"/>
  <c r="I93" i="5"/>
  <c r="F93" i="5"/>
  <c r="E93" i="5"/>
  <c r="I92" i="5"/>
  <c r="F92" i="5"/>
  <c r="E92" i="5"/>
  <c r="I91" i="5"/>
  <c r="E91" i="5"/>
  <c r="F91" i="5"/>
  <c r="I90" i="5"/>
  <c r="F90" i="5"/>
  <c r="E90" i="5"/>
  <c r="I89" i="5"/>
  <c r="F89" i="5"/>
  <c r="E89" i="5"/>
  <c r="I88" i="5"/>
  <c r="E88" i="5"/>
  <c r="F88" i="5"/>
  <c r="I87" i="5"/>
  <c r="E87" i="5"/>
  <c r="F87" i="5"/>
  <c r="I86" i="5"/>
  <c r="E86" i="5"/>
  <c r="F86" i="5"/>
  <c r="I85" i="5"/>
  <c r="E85" i="5"/>
  <c r="F85" i="5"/>
  <c r="I84" i="5"/>
  <c r="E84" i="5"/>
  <c r="F84" i="5"/>
  <c r="I83" i="5"/>
  <c r="E83" i="5"/>
  <c r="F83" i="5"/>
  <c r="I82" i="5"/>
  <c r="F82" i="5"/>
  <c r="E82" i="5"/>
  <c r="I81" i="5"/>
  <c r="F81" i="5"/>
  <c r="E81" i="5"/>
  <c r="I80" i="5"/>
  <c r="F80" i="5"/>
  <c r="E80" i="5"/>
  <c r="I79" i="5"/>
  <c r="E79" i="5"/>
  <c r="F79" i="5"/>
  <c r="I50" i="5"/>
  <c r="F50" i="5"/>
  <c r="E50" i="5"/>
  <c r="I49" i="5"/>
  <c r="F49" i="5"/>
  <c r="E49" i="5"/>
  <c r="I48" i="5"/>
  <c r="F48" i="5"/>
  <c r="E48" i="5"/>
  <c r="I47" i="5"/>
  <c r="F47" i="5"/>
  <c r="E47" i="5"/>
  <c r="I46" i="5"/>
  <c r="E46" i="5"/>
  <c r="F46" i="5"/>
  <c r="I45" i="5"/>
  <c r="F45" i="5"/>
  <c r="E45" i="5"/>
  <c r="I44" i="5"/>
  <c r="E44" i="5"/>
  <c r="F44" i="5"/>
  <c r="I43" i="5"/>
  <c r="F43" i="5"/>
  <c r="E43" i="5"/>
  <c r="I42" i="5"/>
  <c r="E42" i="5"/>
  <c r="F42" i="5"/>
  <c r="I41" i="5"/>
  <c r="E41" i="5"/>
  <c r="F41" i="5"/>
  <c r="I40" i="5"/>
  <c r="E40" i="5"/>
  <c r="F40" i="5"/>
  <c r="I39" i="5"/>
  <c r="E39" i="5"/>
  <c r="F39" i="5"/>
  <c r="I38" i="5"/>
  <c r="E38" i="5"/>
  <c r="F38" i="5"/>
  <c r="I37" i="5"/>
  <c r="F37" i="5"/>
  <c r="E37" i="5"/>
  <c r="I36" i="5"/>
  <c r="F36" i="5"/>
  <c r="E36" i="5"/>
  <c r="I35" i="5"/>
  <c r="F35" i="5"/>
  <c r="E35" i="5"/>
  <c r="I34" i="5"/>
  <c r="E34" i="5"/>
  <c r="F34" i="5"/>
  <c r="I33" i="5"/>
  <c r="F33" i="5"/>
  <c r="E33" i="5"/>
  <c r="I32" i="5"/>
  <c r="E32" i="5"/>
  <c r="F32" i="5"/>
  <c r="I97" i="5"/>
  <c r="F97" i="5"/>
  <c r="E97" i="5"/>
  <c r="I129" i="5"/>
  <c r="F129" i="5"/>
  <c r="E129" i="5"/>
  <c r="I128" i="5"/>
  <c r="E128" i="5"/>
  <c r="F128" i="5"/>
  <c r="I127" i="5"/>
  <c r="F127" i="5"/>
  <c r="E127" i="5"/>
  <c r="I126" i="5"/>
  <c r="E126" i="5"/>
  <c r="F126" i="5"/>
  <c r="I125" i="5"/>
  <c r="F125" i="5"/>
  <c r="E125" i="5"/>
  <c r="I124" i="5"/>
  <c r="E124" i="5"/>
  <c r="F124" i="5"/>
  <c r="I123" i="5"/>
  <c r="F123" i="5"/>
  <c r="E123" i="5"/>
  <c r="I122" i="5"/>
  <c r="E122" i="5"/>
  <c r="F122" i="5"/>
  <c r="I121" i="5"/>
  <c r="E121" i="5"/>
  <c r="F121" i="5"/>
  <c r="F156" i="5"/>
  <c r="E156" i="5"/>
  <c r="I156" i="5"/>
  <c r="I120" i="5"/>
  <c r="F120" i="5"/>
  <c r="E120" i="5"/>
  <c r="I119" i="5"/>
  <c r="F119" i="5"/>
  <c r="E119" i="5"/>
  <c r="I118" i="5"/>
  <c r="E118" i="5"/>
  <c r="F118" i="5"/>
  <c r="I117" i="5"/>
  <c r="E117" i="5"/>
  <c r="F117" i="5"/>
  <c r="I116" i="5"/>
  <c r="E116" i="5"/>
  <c r="F116" i="5"/>
  <c r="I115" i="5"/>
  <c r="F115" i="5"/>
  <c r="E115" i="5"/>
  <c r="I114" i="5"/>
  <c r="F114" i="5"/>
  <c r="E114" i="5"/>
  <c r="I113" i="5"/>
  <c r="F113" i="5"/>
  <c r="E113" i="5"/>
  <c r="I112" i="5"/>
  <c r="E112" i="5"/>
  <c r="F112" i="5"/>
  <c r="I111" i="5"/>
  <c r="F111" i="5"/>
  <c r="E111" i="5"/>
  <c r="I110" i="5"/>
  <c r="F110" i="5"/>
  <c r="E110" i="5"/>
  <c r="I109" i="5"/>
  <c r="E109" i="5"/>
  <c r="F109" i="5"/>
  <c r="I108" i="5"/>
  <c r="E108" i="5"/>
  <c r="F108" i="5"/>
  <c r="I107" i="5"/>
  <c r="F107" i="5"/>
  <c r="E107" i="5"/>
  <c r="I106" i="5"/>
  <c r="F106" i="5"/>
  <c r="E106" i="5"/>
  <c r="I31" i="5"/>
  <c r="E31" i="5"/>
  <c r="F31" i="5"/>
  <c r="I30" i="5"/>
  <c r="F30" i="5"/>
  <c r="E30" i="5"/>
  <c r="I29" i="5"/>
  <c r="F29" i="5"/>
  <c r="E29" i="5"/>
  <c r="I28" i="5"/>
  <c r="E28" i="5"/>
  <c r="F28" i="5"/>
  <c r="I27" i="5"/>
  <c r="F27" i="5"/>
  <c r="E27" i="5"/>
  <c r="I26" i="5"/>
  <c r="F26" i="5"/>
  <c r="E26" i="5"/>
  <c r="I25" i="5"/>
  <c r="F25" i="5"/>
  <c r="E25" i="5"/>
  <c r="I24" i="5"/>
  <c r="E24" i="5"/>
  <c r="F24" i="5"/>
  <c r="I23" i="5"/>
  <c r="F23" i="5"/>
  <c r="E23" i="5"/>
  <c r="I22" i="5"/>
  <c r="F22" i="5"/>
  <c r="E22" i="5"/>
  <c r="I21" i="5"/>
  <c r="F21" i="5"/>
  <c r="E21" i="5"/>
  <c r="I20" i="5"/>
  <c r="F20" i="5"/>
  <c r="E20" i="5"/>
  <c r="I19" i="5"/>
  <c r="E19" i="5"/>
  <c r="F19" i="5"/>
  <c r="I18" i="5"/>
  <c r="F18" i="5"/>
  <c r="E18" i="5"/>
  <c r="I17" i="5"/>
  <c r="F17" i="5"/>
  <c r="E17" i="5"/>
  <c r="I16" i="5"/>
  <c r="E16" i="5"/>
  <c r="F16" i="5"/>
  <c r="I15" i="5"/>
  <c r="F15" i="5"/>
  <c r="E15" i="5"/>
  <c r="I14" i="5"/>
  <c r="F14" i="5"/>
  <c r="E14" i="5"/>
  <c r="I13" i="5"/>
  <c r="E13" i="5"/>
  <c r="F13" i="5"/>
  <c r="I12" i="5"/>
  <c r="E12" i="5"/>
  <c r="F12" i="5"/>
  <c r="I11" i="5"/>
  <c r="F11" i="5"/>
  <c r="E11" i="5"/>
  <c r="I10" i="5"/>
  <c r="F10" i="5"/>
  <c r="E10" i="5"/>
  <c r="I9" i="5"/>
  <c r="E9" i="5"/>
  <c r="F9" i="5"/>
  <c r="I8" i="5"/>
  <c r="F8" i="5"/>
  <c r="E8" i="5"/>
  <c r="I7" i="5"/>
  <c r="E7" i="5"/>
  <c r="F7" i="5"/>
  <c r="I6" i="5"/>
  <c r="F6" i="5"/>
  <c r="E6" i="5"/>
  <c r="I5" i="5"/>
  <c r="E5" i="5"/>
  <c r="F5" i="5"/>
  <c r="I4" i="5"/>
  <c r="E4" i="5"/>
  <c r="F4" i="5"/>
  <c r="I3" i="5"/>
  <c r="E3" i="5"/>
  <c r="F3" i="5"/>
  <c r="F157" i="5"/>
  <c r="E157" i="5"/>
  <c r="I157" i="5"/>
  <c r="F158" i="5"/>
  <c r="E158" i="5"/>
  <c r="I158" i="5"/>
  <c r="F159" i="5"/>
  <c r="E159" i="5"/>
  <c r="I159" i="5"/>
  <c r="F160" i="5"/>
  <c r="E160" i="5"/>
  <c r="I160" i="5"/>
  <c r="F161" i="5"/>
  <c r="I161" i="5"/>
  <c r="E161" i="5"/>
  <c r="F162" i="5"/>
  <c r="E162" i="5"/>
  <c r="I162" i="5"/>
  <c r="F163" i="5"/>
  <c r="I163" i="5"/>
  <c r="E163" i="5"/>
  <c r="F164" i="5"/>
  <c r="E164" i="5"/>
  <c r="I164" i="5"/>
  <c r="F165" i="5"/>
  <c r="E165" i="5"/>
  <c r="I165" i="5"/>
  <c r="F166" i="5"/>
  <c r="E166" i="5"/>
  <c r="I166" i="5"/>
  <c r="F167" i="5"/>
  <c r="E167" i="5"/>
  <c r="I167" i="5"/>
  <c r="I105" i="5"/>
  <c r="F105" i="5"/>
  <c r="E105" i="5"/>
  <c r="F169" i="5"/>
  <c r="E169" i="5"/>
  <c r="I169" i="5"/>
  <c r="F170" i="5"/>
  <c r="E170" i="5"/>
  <c r="I170" i="5"/>
  <c r="F171" i="5"/>
  <c r="I171" i="5"/>
  <c r="E171" i="5"/>
  <c r="F172" i="5"/>
  <c r="E172" i="5"/>
  <c r="I172" i="5"/>
  <c r="F173" i="5"/>
  <c r="E173" i="5"/>
  <c r="I173" i="5"/>
  <c r="F174" i="5"/>
  <c r="I174" i="5"/>
  <c r="E174" i="5"/>
  <c r="F175" i="5"/>
  <c r="E175" i="5"/>
  <c r="I175" i="5"/>
  <c r="F176" i="5"/>
  <c r="I176" i="5"/>
  <c r="E176" i="5"/>
  <c r="F177" i="5"/>
  <c r="E177" i="5"/>
  <c r="I177" i="5"/>
  <c r="F178" i="5"/>
  <c r="E178" i="5"/>
  <c r="I178" i="5"/>
  <c r="F179" i="5"/>
  <c r="E179" i="5"/>
  <c r="I179" i="5"/>
  <c r="F180" i="5"/>
  <c r="I180" i="5"/>
  <c r="E180" i="5"/>
  <c r="F181" i="5"/>
  <c r="E181" i="5"/>
  <c r="I181" i="5"/>
  <c r="F182" i="5"/>
  <c r="I182" i="5"/>
  <c r="E182" i="5"/>
  <c r="F183" i="5"/>
  <c r="E183" i="5"/>
  <c r="I183" i="5"/>
  <c r="F184" i="5"/>
  <c r="I184" i="5"/>
  <c r="E184" i="5"/>
  <c r="F185" i="5"/>
  <c r="I185" i="5"/>
  <c r="E185" i="5"/>
  <c r="F186" i="5"/>
  <c r="I186" i="5"/>
  <c r="E186" i="5"/>
  <c r="F187" i="5"/>
  <c r="E187" i="5"/>
  <c r="I187" i="5"/>
  <c r="F188" i="5"/>
  <c r="E188" i="5"/>
  <c r="I188" i="5"/>
  <c r="F189" i="5"/>
  <c r="I189" i="5"/>
  <c r="E189" i="5"/>
  <c r="F190" i="5"/>
  <c r="I190" i="5"/>
  <c r="E190" i="5"/>
  <c r="F191" i="5"/>
  <c r="E191" i="5"/>
  <c r="I191" i="5"/>
  <c r="F192" i="5"/>
  <c r="I192" i="5"/>
  <c r="E192" i="5"/>
  <c r="F193" i="5"/>
  <c r="I193" i="5"/>
  <c r="E193" i="5"/>
  <c r="F194" i="5"/>
  <c r="E194" i="5"/>
  <c r="I194" i="5"/>
  <c r="F195" i="5"/>
  <c r="I195" i="5"/>
  <c r="E195" i="5"/>
  <c r="F196" i="5"/>
  <c r="E196" i="5"/>
  <c r="I196" i="5"/>
  <c r="F197" i="5"/>
  <c r="E197" i="5"/>
  <c r="I197" i="5"/>
  <c r="F198" i="5"/>
  <c r="I198" i="5"/>
  <c r="E198" i="5"/>
  <c r="F199" i="5"/>
  <c r="I199" i="5"/>
  <c r="E199" i="5"/>
  <c r="F200" i="5"/>
  <c r="E200" i="5"/>
  <c r="I200" i="5"/>
  <c r="F168" i="5"/>
  <c r="E168" i="5"/>
  <c r="I168" i="5"/>
  <c r="F202" i="5"/>
  <c r="I202" i="5"/>
  <c r="E202" i="5"/>
  <c r="F203" i="5"/>
  <c r="E203" i="5"/>
  <c r="I203" i="5"/>
  <c r="F204" i="5"/>
  <c r="E204" i="5"/>
  <c r="I204" i="5"/>
  <c r="F205" i="5"/>
  <c r="E205" i="5"/>
  <c r="I205" i="5"/>
  <c r="F155" i="5"/>
  <c r="E155" i="5"/>
  <c r="I155" i="5"/>
  <c r="F154" i="5"/>
  <c r="I154" i="5"/>
  <c r="E154" i="5"/>
  <c r="F153" i="5"/>
  <c r="E153" i="5"/>
  <c r="I153" i="5"/>
  <c r="F152" i="5"/>
  <c r="I152" i="5"/>
  <c r="E152" i="5"/>
  <c r="F151" i="5"/>
  <c r="E151" i="5"/>
  <c r="I151" i="5"/>
  <c r="F150" i="5"/>
  <c r="E150" i="5"/>
  <c r="I150" i="5"/>
  <c r="F149" i="5"/>
  <c r="E149" i="5"/>
  <c r="I149" i="5"/>
  <c r="F148" i="5"/>
  <c r="E148" i="5"/>
  <c r="I148" i="5"/>
  <c r="F147" i="5"/>
  <c r="I147" i="5"/>
  <c r="E147" i="5"/>
  <c r="F146" i="5"/>
  <c r="I146" i="5"/>
  <c r="E146" i="5"/>
  <c r="F145" i="5"/>
  <c r="E145" i="5"/>
  <c r="I145" i="5"/>
  <c r="F144" i="5"/>
  <c r="I144" i="5"/>
  <c r="E144" i="5"/>
  <c r="F143" i="5"/>
  <c r="E143" i="5"/>
  <c r="I143" i="5"/>
  <c r="F142" i="5"/>
  <c r="I142" i="5"/>
  <c r="E142" i="5"/>
  <c r="F141" i="5"/>
  <c r="E141" i="5"/>
  <c r="I141" i="5"/>
  <c r="F140" i="5"/>
  <c r="E140" i="5"/>
  <c r="I140" i="5"/>
  <c r="F139" i="5"/>
  <c r="I139" i="5"/>
  <c r="E139" i="5"/>
  <c r="F138" i="5"/>
  <c r="I138" i="5"/>
  <c r="E138" i="5"/>
  <c r="F137" i="5"/>
  <c r="I137" i="5"/>
  <c r="E137" i="5"/>
  <c r="F136" i="5"/>
  <c r="E136" i="5"/>
  <c r="I136" i="5"/>
  <c r="I135" i="5"/>
  <c r="E135" i="5"/>
  <c r="F135" i="5"/>
  <c r="I134" i="5"/>
  <c r="E134" i="5"/>
  <c r="F134" i="5"/>
  <c r="I133" i="5"/>
  <c r="E133" i="5"/>
  <c r="F133" i="5"/>
  <c r="I132" i="5"/>
  <c r="E132" i="5"/>
  <c r="F132" i="5"/>
  <c r="I131" i="5"/>
  <c r="F131" i="5"/>
  <c r="E131" i="5"/>
  <c r="I130" i="5"/>
  <c r="E130" i="5"/>
  <c r="F130" i="5"/>
  <c r="I104" i="5"/>
  <c r="F104" i="5"/>
  <c r="E104" i="5"/>
  <c r="I2" i="5"/>
  <c r="E2" i="5"/>
  <c r="F2" i="5"/>
  <c r="F201" i="5"/>
  <c r="I201" i="5"/>
  <c r="E2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3A390E-386D-433B-9042-E244E1D3390D}" keepAlive="1" name="Query - shewharts-resistance-measurements" description="Connection to the 'shewharts-resistance-measurements' query in the workbook." type="5" refreshedVersion="8" background="1" saveData="1">
    <dbPr connection="Provider=Microsoft.Mashup.OleDb.1;Data Source=$Workbook$;Location=shewharts-resistance-measurements;Extended Properties=&quot;&quot;" command="SELECT * FROM [shewharts-resistance-measurements]"/>
  </connection>
  <connection id="2" xr16:uid="{B7B6360F-624B-485C-B977-083199972070}" keepAlive="1" name="Query - shewharts-resistance-measurements (2)" description="Connection to the 'shewharts-resistance-measurements (2)' query in the workbook." type="5" refreshedVersion="8" background="1" saveData="1">
    <dbPr connection="Provider=Microsoft.Mashup.OleDb.1;Data Source=$Workbook$;Location=&quot;shewharts-resistance-measurements (2)&quot;;Extended Properties=&quot;&quot;" command="SELECT * FROM [shewharts-resistance-measurements (2)]"/>
  </connection>
  <connection id="3" xr16:uid="{FF8DFBDC-DE59-41A5-9514-8CBB06DC2DBA}" keepAlive="1" name="Query - shewharts-resistance-measurements (3)" description="Connection to the 'shewharts-resistance-measurements (3)' query in the workbook." type="5" refreshedVersion="8" background="1" saveData="1">
    <dbPr connection="Provider=Microsoft.Mashup.OleDb.1;Data Source=$Workbook$;Location=&quot;shewharts-resistance-measurements (3)&quot;;Extended Properties=&quot;&quot;" command="SELECT * FROM [shewharts-resistance-measurements (3)]"/>
  </connection>
  <connection id="4" xr16:uid="{1E53B35E-C5A2-4453-8CFD-ACD122BF3006}" keepAlive="1" name="Query - shewharts-resistance-measurements (4)" description="Connection to the 'shewharts-resistance-measurements (4)' query in the workbook." type="5" refreshedVersion="8" background="1" saveData="1">
    <dbPr connection="Provider=Microsoft.Mashup.OleDb.1;Data Source=$Workbook$;Location=&quot;shewharts-resistance-measurements (4)&quot;;Extended Properties=&quot;&quot;" command="SELECT * FROM [shewharts-resistance-measurements (4)]"/>
  </connection>
</connections>
</file>

<file path=xl/sharedStrings.xml><?xml version="1.0" encoding="utf-8"?>
<sst xmlns="http://schemas.openxmlformats.org/spreadsheetml/2006/main" count="1793" uniqueCount="236">
  <si>
    <t>Chapter 10. Variation and the Process Principle</t>
  </si>
  <si>
    <t>Value</t>
  </si>
  <si>
    <t>Day 1</t>
  </si>
  <si>
    <t>Day 2</t>
  </si>
  <si>
    <t>Day 3</t>
  </si>
  <si>
    <t>Day 4</t>
  </si>
  <si>
    <t>1</t>
  </si>
  <si>
    <t>Stage</t>
  </si>
  <si>
    <t>Resistance</t>
  </si>
  <si>
    <t>Mean</t>
  </si>
  <si>
    <t>UPL</t>
  </si>
  <si>
    <t>LPL</t>
  </si>
  <si>
    <t>mR</t>
  </si>
  <si>
    <t>Ave. mR</t>
  </si>
  <si>
    <t>URL</t>
  </si>
  <si>
    <t>Initial</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</si>
  <si>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</si>
  <si>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</si>
  <si>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</si>
  <si>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</si>
  <si>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</si>
  <si>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</si>
  <si>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</si>
  <si>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</si>
  <si>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</si>
  <si>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</si>
  <si>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</si>
  <si>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</si>
  <si>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</si>
  <si>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</si>
  <si>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</si>
  <si>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</si>
  <si>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</si>
  <si>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</si>
  <si>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</si>
  <si>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</si>
  <si>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</si>
  <si>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</si>
  <si>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</si>
  <si>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</si>
  <si>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</si>
  <si>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</si>
  <si>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</si>
  <si>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</si>
  <si>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</si>
  <si>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</si>
  <si>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</si>
  <si>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</si>
  <si>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</si>
  <si>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</si>
  <si>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</si>
  <si>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</si>
  <si>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</si>
  <si>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</si>
  <si>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</si>
  <si>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</si>
  <si>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</si>
  <si>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</si>
  <si>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</si>
  <si>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</si>
  <si>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</si>
  <si>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</si>
  <si>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</si>
  <si>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</si>
  <si>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</si>
  <si>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</si>
  <si>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</si>
  <si>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</si>
  <si>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</si>
  <si>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</si>
  <si>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</si>
  <si>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</si>
  <si>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</si>
  <si>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</si>
  <si>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</si>
  <si>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</si>
  <si>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</si>
  <si>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</si>
  <si>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</si>
  <si>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</si>
  <si>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</si>
  <si>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</si>
  <si>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</si>
  <si>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</si>
  <si>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</si>
  <si>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</si>
  <si>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</si>
  <si>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</si>
  <si>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</si>
  <si>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</si>
  <si>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</si>
  <si>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</si>
  <si>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</si>
  <si>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</si>
  <si>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</si>
  <si>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</si>
  <si>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</si>
  <si>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</si>
  <si>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</si>
  <si>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</si>
  <si>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</si>
  <si>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</si>
  <si>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</si>
  <si>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</si>
  <si>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</si>
  <si>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</si>
  <si>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</si>
  <si>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</si>
  <si>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</si>
  <si>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</si>
  <si>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</si>
  <si>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</si>
  <si>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</si>
  <si>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</si>
  <si>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</si>
  <si>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</si>
  <si>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</si>
  <si>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</si>
  <si>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</si>
  <si>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</si>
  <si>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</si>
  <si>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</si>
  <si>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</si>
  <si>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</si>
  <si>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</si>
  <si>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</si>
  <si>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</si>
  <si>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</si>
  <si>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</si>
  <si>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</si>
  <si>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</si>
  <si>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</si>
  <si>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</si>
  <si>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</si>
  <si>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</si>
  <si>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</si>
  <si>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</si>
  <si>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</si>
  <si>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</si>
  <si>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</si>
  <si>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</si>
  <si>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</si>
  <si>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</si>
  <si>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</si>
  <si>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</si>
  <si>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</si>
  <si>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</si>
  <si>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</si>
  <si>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</si>
  <si>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</si>
  <si>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</si>
  <si>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</si>
  <si>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</si>
  <si>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</si>
  <si>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</si>
  <si>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</si>
  <si>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</si>
  <si>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</si>
  <si>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</si>
  <si>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</si>
  <si>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</si>
  <si>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</si>
  <si>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</si>
  <si>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</si>
  <si>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</si>
  <si>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</si>
  <si>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</si>
  <si>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</si>
  <si>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</si>
  <si>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</si>
  <si>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</si>
  <si>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</si>
  <si>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</si>
  <si>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</si>
  <si>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</si>
  <si>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</si>
  <si>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</si>
  <si>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</si>
  <si>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</si>
  <si>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</si>
  <si>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</si>
  <si>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</si>
  <si>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</si>
  <si>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</si>
  <si>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</si>
  <si>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</si>
  <si>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</si>
  <si>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</si>
  <si>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</si>
  <si>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</si>
  <si>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</si>
  <si>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</si>
  <si>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</si>
  <si>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</si>
  <si>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</si>
  <si>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</si>
  <si>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</si>
  <si>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</si>
  <si>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</si>
  <si>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</si>
  <si>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</si>
  <si>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</si>
  <si>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</si>
  <si>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</si>
  <si>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</si>
  <si>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</si>
  <si>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</si>
  <si>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</si>
  <si>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</si>
  <si>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</si>
  <si>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</si>
  <si>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</si>
  <si>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</si>
  <si>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</si>
  <si>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</si>
  <si>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</si>
  <si>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</si>
  <si>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</si>
  <si>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</si>
  <si>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Additional</t>
  </si>
  <si>
    <t>Units</t>
  </si>
  <si>
    <t>megaohms</t>
  </si>
  <si>
    <t>Fig. 10.10</t>
  </si>
  <si>
    <t>Link to book:</t>
  </si>
  <si>
    <t>https://www.brokenquality.com/book</t>
  </si>
  <si>
    <t>Link to GitHub:</t>
  </si>
  <si>
    <t>https://github.com/jimlehner/virus-of-variation-book</t>
  </si>
  <si>
    <t>Contact:</t>
  </si>
  <si>
    <t>James.Lehner@gmail.com</t>
  </si>
  <si>
    <t>QualityIsBroken@gmail.com</t>
  </si>
  <si>
    <r>
      <rPr>
        <sz val="12"/>
        <color rgb="FF000000"/>
        <rFont val="Montserrat"/>
      </rPr>
      <t>This file serves as a resource for building some of the figures in Chapter 10 of The Virus of Variation using Microsoft Excel.
The figures included here are:
Figure 10.7. A predictable process
Figure 10.8. An unpredictable process
Figure 10.9. XmR chart of initial resistance measurements
Figure 10.10. XmR charts of initial and resistance measurements
Each figure has its own tab. The data used in the figures can be found in the Data tab.
For additional details regarding each of these figures, see Chapter 10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</si>
  <si>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https://raw.githubusercontent.com/jimlehner/virus-of-variation-book/refs/heads/main/data/shewharts-resistance-measurements.csv</t>
  </si>
  <si>
    <t>Raw GitHub Data URLs:</t>
  </si>
  <si>
    <t>Fig 10.9, 10.10</t>
  </si>
  <si>
    <t>megohms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</si>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</sst>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sz val="10"/>
      <color theme="1"/>
      <name val="Arial"/>
      <family val="2"/>
      <scheme val="minor"/>
    </font>
    <font>
      <sz val="10"/>
      <color rgb="FF202122"/>
      <name val="Arial"/>
      <family val="2"/>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3">
    <xf numFmtId="0" fontId="0" fillId="0" borderId="0"/>
    <xf numFmtId="0" fontId="6" fillId="0" borderId="0" applyNumberFormat="0" applyFill="0" applyBorder="0" applyAlignment="0" applyProtection="0"/>
    <xf numFmtId="0" fontId="7" fillId="0" borderId="0"/>
  </cellStyleXfs>
  <cellXfs count="49">
    <xf numFmtId="0" fontId="0" fillId="0" borderId="0" xfId="0"/>
    <xf numFmtId="0" fontId="2" fillId="0" borderId="0" xfId="0" applyFont="1"/>
    <xf numFmtId="0" fontId="2" fillId="0" borderId="0" xfId="0" applyFont="1" applyAlignment="1">
      <alignment horizontal="left"/>
    </xf>
    <xf numFmtId="164" fontId="2" fillId="0" borderId="0" xfId="0" applyNumberFormat="1" applyFont="1" applyAlignment="1">
      <alignment horizontal="right"/>
    </xf>
    <xf numFmtId="0" fontId="3" fillId="0" borderId="0" xfId="0" applyFont="1" applyAlignment="1">
      <alignment horizontal="right"/>
    </xf>
    <xf numFmtId="0" fontId="4" fillId="0" borderId="0" xfId="0" applyFont="1" applyAlignment="1">
      <alignment horizontal="right"/>
    </xf>
    <xf numFmtId="49" fontId="2" fillId="0" borderId="0" xfId="0" applyNumberFormat="1" applyFont="1" applyAlignment="1">
      <alignment horizontal="left"/>
    </xf>
    <xf numFmtId="164" fontId="5" fillId="0" borderId="0" xfId="0" applyNumberFormat="1" applyFont="1" applyAlignment="1">
      <alignment horizontal="right"/>
    </xf>
    <xf numFmtId="49" fontId="2" fillId="0" borderId="0" xfId="0" applyNumberFormat="1" applyFont="1" applyAlignment="1">
      <alignment horizontal="right"/>
    </xf>
    <xf numFmtId="49" fontId="2" fillId="0" borderId="0" xfId="0" applyNumberFormat="1" applyFont="1"/>
    <xf numFmtId="0" fontId="2" fillId="0" borderId="0" xfId="0" applyFont="1" applyAlignment="1">
      <alignment horizontal="right"/>
    </xf>
    <xf numFmtId="1" fontId="2" fillId="0" borderId="0" xfId="0" applyNumberFormat="1" applyFont="1" applyAlignment="1">
      <alignment horizontal="right"/>
    </xf>
    <xf numFmtId="2" fontId="2" fillId="0" borderId="0" xfId="0" applyNumberFormat="1" applyFont="1" applyAlignment="1">
      <alignment horizontal="right"/>
    </xf>
    <xf numFmtId="0" fontId="3" fillId="0" borderId="0" xfId="0" applyFont="1"/>
    <xf numFmtId="1" fontId="3" fillId="0" borderId="0" xfId="0" applyNumberFormat="1" applyFont="1" applyAlignment="1">
      <alignment horizontal="right"/>
    </xf>
    <xf numFmtId="1" fontId="3" fillId="0" borderId="0" xfId="0" applyNumberFormat="1" applyFont="1" applyAlignment="1">
      <alignment horizontal="left"/>
    </xf>
    <xf numFmtId="0" fontId="7" fillId="0" borderId="0" xfId="0" applyFont="1" applyAlignment="1">
      <alignment horizontal="left"/>
    </xf>
    <xf numFmtId="0" fontId="3" fillId="0" borderId="0" xfId="0" applyFont="1" applyAlignment="1">
      <alignment horizontal="left"/>
    </xf>
    <xf numFmtId="2" fontId="3" fillId="0" borderId="0" xfId="0" applyNumberFormat="1" applyFont="1" applyAlignment="1">
      <alignment horizontal="right"/>
    </xf>
    <xf numFmtId="0" fontId="6" fillId="0" borderId="7" xfId="1" applyBorder="1" applyAlignment="1">
      <alignment horizontal="center"/>
    </xf>
    <xf numFmtId="0" fontId="6" fillId="0" borderId="0" xfId="1" applyBorder="1" applyAlignment="1">
      <alignment horizontal="center"/>
    </xf>
    <xf numFmtId="0" fontId="6" fillId="0" borderId="8" xfId="1" applyBorder="1" applyAlignment="1">
      <alignment horizontal="center"/>
    </xf>
    <xf numFmtId="0" fontId="8" fillId="0" borderId="7" xfId="0" applyFont="1" applyBorder="1" applyAlignment="1">
      <alignment horizontal="center"/>
    </xf>
    <xf numFmtId="0" fontId="8" fillId="0" borderId="0" xfId="0" applyFont="1" applyAlignment="1">
      <alignment horizontal="center"/>
    </xf>
    <xf numFmtId="0" fontId="8" fillId="0" borderId="8" xfId="0" applyFont="1" applyBorder="1" applyAlignment="1">
      <alignment horizontal="center"/>
    </xf>
    <xf numFmtId="0" fontId="6" fillId="0" borderId="9" xfId="1" applyBorder="1" applyAlignment="1">
      <alignment horizontal="center"/>
    </xf>
    <xf numFmtId="0" fontId="6" fillId="0" borderId="10" xfId="1" applyBorder="1" applyAlignment="1">
      <alignment horizontal="center"/>
    </xf>
    <xf numFmtId="0" fontId="6" fillId="0" borderId="11" xfId="1" applyBorder="1" applyAlignment="1">
      <alignment horizontal="center"/>
    </xf>
    <xf numFmtId="0" fontId="1" fillId="0" borderId="1" xfId="0" applyFont="1" applyBorder="1" applyAlignment="1">
      <alignment horizontal="center"/>
    </xf>
    <xf numFmtId="0" fontId="0" fillId="0" borderId="2" xfId="0" applyBorder="1"/>
    <xf numFmtId="0" fontId="0" fillId="0" borderId="3" xfId="0" applyBorder="1"/>
    <xf numFmtId="0" fontId="9"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9" xfId="0" applyFont="1" applyBorder="1" applyAlignment="1">
      <alignment wrapText="1"/>
    </xf>
    <xf numFmtId="0" fontId="0" fillId="0" borderId="10" xfId="0" applyBorder="1" applyAlignment="1">
      <alignment horizontal="left" vertical="center"/>
    </xf>
    <xf numFmtId="0" fontId="0" fillId="0" borderId="11" xfId="0" applyBorder="1" applyAlignment="1">
      <alignment horizontal="left" vertical="center"/>
    </xf>
    <xf numFmtId="0" fontId="2" fillId="0" borderId="0" xfId="0" applyNumberFormat="1" applyFont="1"/>
    <xf numFmtId="0" fontId="0" fillId="0" borderId="0" xfId="0" applyNumberFormat="1"/>
    <xf numFmtId="164" fontId="2" fillId="0" borderId="0" xfId="0" applyNumberFormat="1" applyFont="1" applyAlignment="1">
      <alignment horizontal="left"/>
    </xf>
  </cellXfs>
  <cellStyles count="3">
    <cellStyle name="Hyperlink" xfId="1" builtinId="8"/>
    <cellStyle name="Normal" xfId="0" builtinId="0"/>
    <cellStyle name="Normal 2" xfId="2" xr:uid="{289B69D4-4267-4B0D-9676-D3D4C6D4CE70}"/>
  </cellStyles>
  <dxfs count="41">
    <dxf>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92BC1F03-344E-4E78-B438-FDC5C051BC63}">
      <tableStyleElement type="wholeTable" dxfId="4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10.9. Initial XmR chart'!$C$1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chart'!$C$2:$C$205</c:f>
              <c:numCache>
                <c:formatCode>General</c:formatCode>
                <c:ptCount val="204"/>
                <c:pt idx="0">
                  <c:v>5045</c:v>
                </c:pt>
                <c:pt idx="1">
                  <c:v>4350</c:v>
                </c:pt>
                <c:pt idx="2">
                  <c:v>4350</c:v>
                </c:pt>
                <c:pt idx="3">
                  <c:v>3975</c:v>
                </c:pt>
                <c:pt idx="4">
                  <c:v>4290</c:v>
                </c:pt>
                <c:pt idx="5">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numCache>
            </c:numRef>
          </c:val>
          <c:smooth val="0"/>
          <c:extLst>
            <c:ext xmlns:c16="http://schemas.microsoft.com/office/drawing/2014/chart" uri="{C3380CC4-5D6E-409C-BE32-E72D297353CC}">
              <c16:uniqueId val="{00000000-329B-41D6-8340-43856FD2F6C5}"/>
            </c:ext>
          </c:extLst>
        </c:ser>
        <c:ser>
          <c:idx val="1"/>
          <c:order val="1"/>
          <c:tx>
            <c:strRef>
              <c:f>'Fig 10.9. Initial XmR chart'!$D$1</c:f>
              <c:strCache>
                <c:ptCount val="1"/>
                <c:pt idx="0">
                  <c:v>Mean</c:v>
                </c:pt>
              </c:strCache>
            </c:strRef>
          </c:tx>
          <c:spPr>
            <a:ln w="28575" cap="rnd">
              <a:solidFill>
                <a:schemeClr val="tx1"/>
              </a:solidFill>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chart'!$D$2:$D$205</c:f>
              <c:numCache>
                <c:formatCode>General</c:formatCode>
                <c:ptCount val="204"/>
                <c:pt idx="0">
                  <c:v>4498.18</c:v>
                </c:pt>
                <c:pt idx="1">
                  <c:v>4498.18</c:v>
                </c:pt>
                <c:pt idx="2">
                  <c:v>4498.18</c:v>
                </c:pt>
                <c:pt idx="3">
                  <c:v>4498.18</c:v>
                </c:pt>
                <c:pt idx="4">
                  <c:v>4498.18</c:v>
                </c:pt>
                <c:pt idx="5">
                  <c:v>4498.18</c:v>
                </c:pt>
                <c:pt idx="6">
                  <c:v>4498.18</c:v>
                </c:pt>
                <c:pt idx="7">
                  <c:v>4498.18</c:v>
                </c:pt>
                <c:pt idx="8">
                  <c:v>4498.18</c:v>
                </c:pt>
                <c:pt idx="9">
                  <c:v>4498.18</c:v>
                </c:pt>
                <c:pt idx="10">
                  <c:v>4498.18</c:v>
                </c:pt>
                <c:pt idx="11">
                  <c:v>4498.18</c:v>
                </c:pt>
                <c:pt idx="12">
                  <c:v>4498.18</c:v>
                </c:pt>
                <c:pt idx="13">
                  <c:v>4498.18</c:v>
                </c:pt>
                <c:pt idx="14">
                  <c:v>4498.18</c:v>
                </c:pt>
                <c:pt idx="15">
                  <c:v>4498.18</c:v>
                </c:pt>
                <c:pt idx="16">
                  <c:v>4498.18</c:v>
                </c:pt>
                <c:pt idx="17">
                  <c:v>4498.18</c:v>
                </c:pt>
                <c:pt idx="18">
                  <c:v>4498.18</c:v>
                </c:pt>
                <c:pt idx="19">
                  <c:v>4498.18</c:v>
                </c:pt>
                <c:pt idx="20">
                  <c:v>4498.18</c:v>
                </c:pt>
                <c:pt idx="21">
                  <c:v>4498.18</c:v>
                </c:pt>
                <c:pt idx="22">
                  <c:v>4498.18</c:v>
                </c:pt>
                <c:pt idx="23">
                  <c:v>4498.18</c:v>
                </c:pt>
                <c:pt idx="24">
                  <c:v>4498.18</c:v>
                </c:pt>
                <c:pt idx="25">
                  <c:v>4498.18</c:v>
                </c:pt>
                <c:pt idx="26">
                  <c:v>4498.18</c:v>
                </c:pt>
                <c:pt idx="27">
                  <c:v>4498.18</c:v>
                </c:pt>
                <c:pt idx="28">
                  <c:v>4498.18</c:v>
                </c:pt>
                <c:pt idx="29">
                  <c:v>4498.18</c:v>
                </c:pt>
                <c:pt idx="30">
                  <c:v>4498.18</c:v>
                </c:pt>
                <c:pt idx="31">
                  <c:v>4498.18</c:v>
                </c:pt>
                <c:pt idx="32">
                  <c:v>4498.18</c:v>
                </c:pt>
                <c:pt idx="33">
                  <c:v>4498.18</c:v>
                </c:pt>
                <c:pt idx="34">
                  <c:v>4498.18</c:v>
                </c:pt>
                <c:pt idx="35">
                  <c:v>4498.18</c:v>
                </c:pt>
                <c:pt idx="36">
                  <c:v>4498.18</c:v>
                </c:pt>
                <c:pt idx="37">
                  <c:v>4498.18</c:v>
                </c:pt>
                <c:pt idx="38">
                  <c:v>4498.18</c:v>
                </c:pt>
                <c:pt idx="39">
                  <c:v>4498.18</c:v>
                </c:pt>
                <c:pt idx="40">
                  <c:v>4498.18</c:v>
                </c:pt>
                <c:pt idx="41">
                  <c:v>4498.18</c:v>
                </c:pt>
                <c:pt idx="42">
                  <c:v>4498.18</c:v>
                </c:pt>
                <c:pt idx="43">
                  <c:v>4498.18</c:v>
                </c:pt>
                <c:pt idx="44">
                  <c:v>4498.18</c:v>
                </c:pt>
                <c:pt idx="45">
                  <c:v>4498.18</c:v>
                </c:pt>
                <c:pt idx="46">
                  <c:v>4498.18</c:v>
                </c:pt>
                <c:pt idx="47">
                  <c:v>4498.18</c:v>
                </c:pt>
                <c:pt idx="48">
                  <c:v>4498.18</c:v>
                </c:pt>
                <c:pt idx="49">
                  <c:v>4498.18</c:v>
                </c:pt>
                <c:pt idx="50">
                  <c:v>4498.18</c:v>
                </c:pt>
                <c:pt idx="51">
                  <c:v>4498.18</c:v>
                </c:pt>
                <c:pt idx="52">
                  <c:v>4498.18</c:v>
                </c:pt>
                <c:pt idx="53">
                  <c:v>4498.18</c:v>
                </c:pt>
                <c:pt idx="54">
                  <c:v>4498.18</c:v>
                </c:pt>
                <c:pt idx="55">
                  <c:v>4498.18</c:v>
                </c:pt>
                <c:pt idx="56">
                  <c:v>4498.18</c:v>
                </c:pt>
                <c:pt idx="57">
                  <c:v>4498.18</c:v>
                </c:pt>
                <c:pt idx="58">
                  <c:v>4498.18</c:v>
                </c:pt>
                <c:pt idx="59">
                  <c:v>4498.18</c:v>
                </c:pt>
                <c:pt idx="60">
                  <c:v>4498.18</c:v>
                </c:pt>
                <c:pt idx="61">
                  <c:v>4498.18</c:v>
                </c:pt>
                <c:pt idx="62">
                  <c:v>4498.18</c:v>
                </c:pt>
                <c:pt idx="63">
                  <c:v>4498.18</c:v>
                </c:pt>
                <c:pt idx="64">
                  <c:v>4498.18</c:v>
                </c:pt>
                <c:pt idx="65">
                  <c:v>4498.18</c:v>
                </c:pt>
                <c:pt idx="66">
                  <c:v>4498.18</c:v>
                </c:pt>
                <c:pt idx="67">
                  <c:v>4498.18</c:v>
                </c:pt>
                <c:pt idx="68">
                  <c:v>4498.18</c:v>
                </c:pt>
                <c:pt idx="69">
                  <c:v>4498.18</c:v>
                </c:pt>
                <c:pt idx="70">
                  <c:v>4498.18</c:v>
                </c:pt>
                <c:pt idx="71">
                  <c:v>4498.18</c:v>
                </c:pt>
                <c:pt idx="72">
                  <c:v>4498.18</c:v>
                </c:pt>
                <c:pt idx="73">
                  <c:v>4498.18</c:v>
                </c:pt>
                <c:pt idx="74">
                  <c:v>4498.18</c:v>
                </c:pt>
                <c:pt idx="75">
                  <c:v>4498.18</c:v>
                </c:pt>
                <c:pt idx="76">
                  <c:v>4498.18</c:v>
                </c:pt>
                <c:pt idx="77">
                  <c:v>4498.18</c:v>
                </c:pt>
                <c:pt idx="78">
                  <c:v>4498.18</c:v>
                </c:pt>
                <c:pt idx="79">
                  <c:v>4498.18</c:v>
                </c:pt>
                <c:pt idx="80">
                  <c:v>4498.18</c:v>
                </c:pt>
                <c:pt idx="81">
                  <c:v>4498.18</c:v>
                </c:pt>
                <c:pt idx="82">
                  <c:v>4498.18</c:v>
                </c:pt>
                <c:pt idx="83">
                  <c:v>4498.18</c:v>
                </c:pt>
                <c:pt idx="84">
                  <c:v>4498.18</c:v>
                </c:pt>
                <c:pt idx="85">
                  <c:v>4498.18</c:v>
                </c:pt>
                <c:pt idx="86">
                  <c:v>4498.18</c:v>
                </c:pt>
                <c:pt idx="87">
                  <c:v>4498.18</c:v>
                </c:pt>
                <c:pt idx="88">
                  <c:v>4498.18</c:v>
                </c:pt>
                <c:pt idx="89">
                  <c:v>4498.18</c:v>
                </c:pt>
                <c:pt idx="90">
                  <c:v>4498.18</c:v>
                </c:pt>
                <c:pt idx="91">
                  <c:v>4498.18</c:v>
                </c:pt>
                <c:pt idx="92">
                  <c:v>4498.18</c:v>
                </c:pt>
                <c:pt idx="93">
                  <c:v>4498.18</c:v>
                </c:pt>
                <c:pt idx="94">
                  <c:v>4498.18</c:v>
                </c:pt>
                <c:pt idx="95">
                  <c:v>4498.18</c:v>
                </c:pt>
                <c:pt idx="96">
                  <c:v>4498.18</c:v>
                </c:pt>
                <c:pt idx="97">
                  <c:v>4498.18</c:v>
                </c:pt>
                <c:pt idx="98">
                  <c:v>4498.18</c:v>
                </c:pt>
                <c:pt idx="99">
                  <c:v>4498.18</c:v>
                </c:pt>
                <c:pt idx="100">
                  <c:v>4498.18</c:v>
                </c:pt>
                <c:pt idx="101">
                  <c:v>4498.18</c:v>
                </c:pt>
                <c:pt idx="102">
                  <c:v>4498.18</c:v>
                </c:pt>
                <c:pt idx="103">
                  <c:v>4498.18</c:v>
                </c:pt>
                <c:pt idx="104">
                  <c:v>4498.18</c:v>
                </c:pt>
                <c:pt idx="105">
                  <c:v>4498.18</c:v>
                </c:pt>
                <c:pt idx="106">
                  <c:v>4498.18</c:v>
                </c:pt>
                <c:pt idx="107">
                  <c:v>4498.18</c:v>
                </c:pt>
                <c:pt idx="108">
                  <c:v>4498.18</c:v>
                </c:pt>
                <c:pt idx="109">
                  <c:v>4498.18</c:v>
                </c:pt>
                <c:pt idx="110">
                  <c:v>4498.18</c:v>
                </c:pt>
                <c:pt idx="111">
                  <c:v>4498.18</c:v>
                </c:pt>
                <c:pt idx="112">
                  <c:v>4498.18</c:v>
                </c:pt>
                <c:pt idx="113">
                  <c:v>4498.18</c:v>
                </c:pt>
                <c:pt idx="114">
                  <c:v>4498.18</c:v>
                </c:pt>
                <c:pt idx="115">
                  <c:v>4498.18</c:v>
                </c:pt>
                <c:pt idx="116">
                  <c:v>4498.18</c:v>
                </c:pt>
                <c:pt idx="117">
                  <c:v>4498.18</c:v>
                </c:pt>
                <c:pt idx="118">
                  <c:v>4498.18</c:v>
                </c:pt>
                <c:pt idx="119">
                  <c:v>4498.18</c:v>
                </c:pt>
                <c:pt idx="120">
                  <c:v>4498.18</c:v>
                </c:pt>
                <c:pt idx="121">
                  <c:v>4498.18</c:v>
                </c:pt>
                <c:pt idx="122">
                  <c:v>4498.18</c:v>
                </c:pt>
                <c:pt idx="123">
                  <c:v>4498.18</c:v>
                </c:pt>
                <c:pt idx="124">
                  <c:v>4498.18</c:v>
                </c:pt>
                <c:pt idx="125">
                  <c:v>4498.18</c:v>
                </c:pt>
                <c:pt idx="126">
                  <c:v>4498.18</c:v>
                </c:pt>
                <c:pt idx="127">
                  <c:v>4498.18</c:v>
                </c:pt>
                <c:pt idx="128">
                  <c:v>4498.18</c:v>
                </c:pt>
                <c:pt idx="129">
                  <c:v>4498.18</c:v>
                </c:pt>
                <c:pt idx="130">
                  <c:v>4498.18</c:v>
                </c:pt>
                <c:pt idx="131">
                  <c:v>4498.18</c:v>
                </c:pt>
                <c:pt idx="132">
                  <c:v>4498.18</c:v>
                </c:pt>
                <c:pt idx="133">
                  <c:v>4498.18</c:v>
                </c:pt>
                <c:pt idx="134">
                  <c:v>4498.18</c:v>
                </c:pt>
                <c:pt idx="135">
                  <c:v>4498.18</c:v>
                </c:pt>
                <c:pt idx="136">
                  <c:v>4498.18</c:v>
                </c:pt>
                <c:pt idx="137">
                  <c:v>4498.18</c:v>
                </c:pt>
                <c:pt idx="138">
                  <c:v>4498.18</c:v>
                </c:pt>
                <c:pt idx="139">
                  <c:v>4498.18</c:v>
                </c:pt>
                <c:pt idx="140">
                  <c:v>4498.18</c:v>
                </c:pt>
                <c:pt idx="141">
                  <c:v>4498.18</c:v>
                </c:pt>
                <c:pt idx="142">
                  <c:v>4498.18</c:v>
                </c:pt>
                <c:pt idx="143">
                  <c:v>4498.18</c:v>
                </c:pt>
                <c:pt idx="144">
                  <c:v>4498.18</c:v>
                </c:pt>
                <c:pt idx="145">
                  <c:v>4498.18</c:v>
                </c:pt>
                <c:pt idx="146">
                  <c:v>4498.18</c:v>
                </c:pt>
                <c:pt idx="147">
                  <c:v>4498.18</c:v>
                </c:pt>
                <c:pt idx="148">
                  <c:v>4498.18</c:v>
                </c:pt>
                <c:pt idx="149">
                  <c:v>4498.18</c:v>
                </c:pt>
                <c:pt idx="150">
                  <c:v>4498.18</c:v>
                </c:pt>
                <c:pt idx="151">
                  <c:v>4498.18</c:v>
                </c:pt>
                <c:pt idx="152">
                  <c:v>4498.18</c:v>
                </c:pt>
                <c:pt idx="153">
                  <c:v>4498.18</c:v>
                </c:pt>
                <c:pt idx="154">
                  <c:v>4498.18</c:v>
                </c:pt>
                <c:pt idx="155">
                  <c:v>4498.18</c:v>
                </c:pt>
                <c:pt idx="156">
                  <c:v>4498.18</c:v>
                </c:pt>
                <c:pt idx="157">
                  <c:v>4498.18</c:v>
                </c:pt>
                <c:pt idx="158">
                  <c:v>4498.18</c:v>
                </c:pt>
                <c:pt idx="159">
                  <c:v>4498.18</c:v>
                </c:pt>
                <c:pt idx="160">
                  <c:v>4498.18</c:v>
                </c:pt>
                <c:pt idx="161">
                  <c:v>4498.18</c:v>
                </c:pt>
                <c:pt idx="162">
                  <c:v>4498.18</c:v>
                </c:pt>
                <c:pt idx="163">
                  <c:v>4498.18</c:v>
                </c:pt>
                <c:pt idx="164">
                  <c:v>4498.18</c:v>
                </c:pt>
                <c:pt idx="165">
                  <c:v>4498.18</c:v>
                </c:pt>
                <c:pt idx="166">
                  <c:v>4498.18</c:v>
                </c:pt>
                <c:pt idx="167">
                  <c:v>4498.18</c:v>
                </c:pt>
                <c:pt idx="168">
                  <c:v>4498.18</c:v>
                </c:pt>
                <c:pt idx="169">
                  <c:v>4498.18</c:v>
                </c:pt>
                <c:pt idx="170">
                  <c:v>4498.18</c:v>
                </c:pt>
                <c:pt idx="171">
                  <c:v>4498.18</c:v>
                </c:pt>
                <c:pt idx="172">
                  <c:v>4498.18</c:v>
                </c:pt>
                <c:pt idx="173">
                  <c:v>4498.18</c:v>
                </c:pt>
                <c:pt idx="174">
                  <c:v>4498.18</c:v>
                </c:pt>
                <c:pt idx="175">
                  <c:v>4498.18</c:v>
                </c:pt>
                <c:pt idx="176">
                  <c:v>4498.18</c:v>
                </c:pt>
                <c:pt idx="177">
                  <c:v>4498.18</c:v>
                </c:pt>
                <c:pt idx="178">
                  <c:v>4498.18</c:v>
                </c:pt>
                <c:pt idx="179">
                  <c:v>4498.18</c:v>
                </c:pt>
                <c:pt idx="180">
                  <c:v>4498.18</c:v>
                </c:pt>
                <c:pt idx="181">
                  <c:v>4498.18</c:v>
                </c:pt>
                <c:pt idx="182">
                  <c:v>4498.18</c:v>
                </c:pt>
                <c:pt idx="183">
                  <c:v>4498.18</c:v>
                </c:pt>
                <c:pt idx="184">
                  <c:v>4498.18</c:v>
                </c:pt>
                <c:pt idx="185">
                  <c:v>4498.18</c:v>
                </c:pt>
                <c:pt idx="186">
                  <c:v>4498.18</c:v>
                </c:pt>
                <c:pt idx="187">
                  <c:v>4498.18</c:v>
                </c:pt>
                <c:pt idx="188">
                  <c:v>4498.18</c:v>
                </c:pt>
                <c:pt idx="189">
                  <c:v>4498.18</c:v>
                </c:pt>
                <c:pt idx="190">
                  <c:v>4498.18</c:v>
                </c:pt>
                <c:pt idx="191">
                  <c:v>4498.18</c:v>
                </c:pt>
                <c:pt idx="192">
                  <c:v>4498.18</c:v>
                </c:pt>
                <c:pt idx="193">
                  <c:v>4498.18</c:v>
                </c:pt>
                <c:pt idx="194">
                  <c:v>4498.18</c:v>
                </c:pt>
                <c:pt idx="195">
                  <c:v>4498.18</c:v>
                </c:pt>
                <c:pt idx="196">
                  <c:v>4498.18</c:v>
                </c:pt>
                <c:pt idx="197">
                  <c:v>4498.18</c:v>
                </c:pt>
                <c:pt idx="198">
                  <c:v>4498.18</c:v>
                </c:pt>
                <c:pt idx="199">
                  <c:v>4498.18</c:v>
                </c:pt>
                <c:pt idx="200">
                  <c:v>4498.18</c:v>
                </c:pt>
                <c:pt idx="201">
                  <c:v>4498.18</c:v>
                </c:pt>
                <c:pt idx="202">
                  <c:v>4498.18</c:v>
                </c:pt>
                <c:pt idx="203">
                  <c:v>4498.18</c:v>
                </c:pt>
              </c:numCache>
            </c:numRef>
          </c:val>
          <c:smooth val="0"/>
          <c:extLst>
            <c:ext xmlns:c16="http://schemas.microsoft.com/office/drawing/2014/chart" uri="{C3380CC4-5D6E-409C-BE32-E72D297353CC}">
              <c16:uniqueId val="{00000001-329B-41D6-8340-43856FD2F6C5}"/>
            </c:ext>
          </c:extLst>
        </c:ser>
        <c:ser>
          <c:idx val="2"/>
          <c:order val="2"/>
          <c:tx>
            <c:strRef>
              <c:f>'Fig 10.9. Initial XmR chart'!$E$1</c:f>
              <c:strCache>
                <c:ptCount val="1"/>
                <c:pt idx="0">
                  <c:v>UPL</c:v>
                </c:pt>
              </c:strCache>
            </c:strRef>
          </c:tx>
          <c:spPr>
            <a:ln w="28575" cap="rnd">
              <a:solidFill>
                <a:srgbClr val="D72323"/>
              </a:solidFill>
              <a:prstDash val="dash"/>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chart'!$E$2:$E$205</c:f>
              <c:numCache>
                <c:formatCode>General</c:formatCode>
                <c:ptCount val="204"/>
                <c:pt idx="0">
                  <c:v>5346.21</c:v>
                </c:pt>
                <c:pt idx="1">
                  <c:v>5346.21</c:v>
                </c:pt>
                <c:pt idx="2">
                  <c:v>5346.21</c:v>
                </c:pt>
                <c:pt idx="3">
                  <c:v>5346.21</c:v>
                </c:pt>
                <c:pt idx="4">
                  <c:v>5346.21</c:v>
                </c:pt>
                <c:pt idx="5">
                  <c:v>5346.21</c:v>
                </c:pt>
                <c:pt idx="6">
                  <c:v>5346.21</c:v>
                </c:pt>
                <c:pt idx="7">
                  <c:v>5346.21</c:v>
                </c:pt>
                <c:pt idx="8">
                  <c:v>5346.21</c:v>
                </c:pt>
                <c:pt idx="9">
                  <c:v>5346.21</c:v>
                </c:pt>
                <c:pt idx="10">
                  <c:v>5346.21</c:v>
                </c:pt>
                <c:pt idx="11">
                  <c:v>5346.21</c:v>
                </c:pt>
                <c:pt idx="12">
                  <c:v>5346.21</c:v>
                </c:pt>
                <c:pt idx="13">
                  <c:v>5346.21</c:v>
                </c:pt>
                <c:pt idx="14">
                  <c:v>5346.21</c:v>
                </c:pt>
                <c:pt idx="15">
                  <c:v>5346.21</c:v>
                </c:pt>
                <c:pt idx="16">
                  <c:v>5346.21</c:v>
                </c:pt>
                <c:pt idx="17">
                  <c:v>5346.21</c:v>
                </c:pt>
                <c:pt idx="18">
                  <c:v>5346.21</c:v>
                </c:pt>
                <c:pt idx="19">
                  <c:v>5346.21</c:v>
                </c:pt>
                <c:pt idx="20">
                  <c:v>5346.21</c:v>
                </c:pt>
                <c:pt idx="21">
                  <c:v>5346.21</c:v>
                </c:pt>
                <c:pt idx="22">
                  <c:v>5346.21</c:v>
                </c:pt>
                <c:pt idx="23">
                  <c:v>5346.21</c:v>
                </c:pt>
                <c:pt idx="24">
                  <c:v>5346.21</c:v>
                </c:pt>
                <c:pt idx="25">
                  <c:v>5346.21</c:v>
                </c:pt>
                <c:pt idx="26">
                  <c:v>5346.21</c:v>
                </c:pt>
                <c:pt idx="27">
                  <c:v>5346.21</c:v>
                </c:pt>
                <c:pt idx="28">
                  <c:v>5346.21</c:v>
                </c:pt>
                <c:pt idx="29">
                  <c:v>5346.21</c:v>
                </c:pt>
                <c:pt idx="30">
                  <c:v>5346.21</c:v>
                </c:pt>
                <c:pt idx="31">
                  <c:v>5346.21</c:v>
                </c:pt>
                <c:pt idx="32">
                  <c:v>5346.21</c:v>
                </c:pt>
                <c:pt idx="33">
                  <c:v>5346.21</c:v>
                </c:pt>
                <c:pt idx="34">
                  <c:v>5346.21</c:v>
                </c:pt>
                <c:pt idx="35">
                  <c:v>5346.21</c:v>
                </c:pt>
                <c:pt idx="36">
                  <c:v>5346.21</c:v>
                </c:pt>
                <c:pt idx="37">
                  <c:v>5346.21</c:v>
                </c:pt>
                <c:pt idx="38">
                  <c:v>5346.21</c:v>
                </c:pt>
                <c:pt idx="39">
                  <c:v>5346.21</c:v>
                </c:pt>
                <c:pt idx="40">
                  <c:v>5346.21</c:v>
                </c:pt>
                <c:pt idx="41">
                  <c:v>5346.21</c:v>
                </c:pt>
                <c:pt idx="42">
                  <c:v>5346.21</c:v>
                </c:pt>
                <c:pt idx="43">
                  <c:v>5346.21</c:v>
                </c:pt>
                <c:pt idx="44">
                  <c:v>5346.21</c:v>
                </c:pt>
                <c:pt idx="45">
                  <c:v>5346.21</c:v>
                </c:pt>
                <c:pt idx="46">
                  <c:v>5346.21</c:v>
                </c:pt>
                <c:pt idx="47">
                  <c:v>5346.21</c:v>
                </c:pt>
                <c:pt idx="48">
                  <c:v>5346.21</c:v>
                </c:pt>
                <c:pt idx="49">
                  <c:v>5346.21</c:v>
                </c:pt>
                <c:pt idx="50">
                  <c:v>5346.21</c:v>
                </c:pt>
                <c:pt idx="51">
                  <c:v>5346.21</c:v>
                </c:pt>
                <c:pt idx="52">
                  <c:v>5346.21</c:v>
                </c:pt>
                <c:pt idx="53">
                  <c:v>5346.21</c:v>
                </c:pt>
                <c:pt idx="54">
                  <c:v>5346.21</c:v>
                </c:pt>
                <c:pt idx="55">
                  <c:v>5346.21</c:v>
                </c:pt>
                <c:pt idx="56">
                  <c:v>5346.21</c:v>
                </c:pt>
                <c:pt idx="57">
                  <c:v>5346.21</c:v>
                </c:pt>
                <c:pt idx="58">
                  <c:v>5346.21</c:v>
                </c:pt>
                <c:pt idx="59">
                  <c:v>5346.21</c:v>
                </c:pt>
                <c:pt idx="60">
                  <c:v>5346.21</c:v>
                </c:pt>
                <c:pt idx="61">
                  <c:v>5346.21</c:v>
                </c:pt>
                <c:pt idx="62">
                  <c:v>5346.21</c:v>
                </c:pt>
                <c:pt idx="63">
                  <c:v>5346.21</c:v>
                </c:pt>
                <c:pt idx="64">
                  <c:v>5346.21</c:v>
                </c:pt>
                <c:pt idx="65">
                  <c:v>5346.21</c:v>
                </c:pt>
                <c:pt idx="66">
                  <c:v>5346.21</c:v>
                </c:pt>
                <c:pt idx="67">
                  <c:v>5346.21</c:v>
                </c:pt>
                <c:pt idx="68">
                  <c:v>5346.21</c:v>
                </c:pt>
                <c:pt idx="69">
                  <c:v>5346.21</c:v>
                </c:pt>
                <c:pt idx="70">
                  <c:v>5346.21</c:v>
                </c:pt>
                <c:pt idx="71">
                  <c:v>5346.21</c:v>
                </c:pt>
                <c:pt idx="72">
                  <c:v>5346.21</c:v>
                </c:pt>
                <c:pt idx="73">
                  <c:v>5346.21</c:v>
                </c:pt>
                <c:pt idx="74">
                  <c:v>5346.21</c:v>
                </c:pt>
                <c:pt idx="75">
                  <c:v>5346.21</c:v>
                </c:pt>
                <c:pt idx="76">
                  <c:v>5346.21</c:v>
                </c:pt>
                <c:pt idx="77">
                  <c:v>5346.21</c:v>
                </c:pt>
                <c:pt idx="78">
                  <c:v>5346.21</c:v>
                </c:pt>
                <c:pt idx="79">
                  <c:v>5346.21</c:v>
                </c:pt>
                <c:pt idx="80">
                  <c:v>5346.21</c:v>
                </c:pt>
                <c:pt idx="81">
                  <c:v>5346.21</c:v>
                </c:pt>
                <c:pt idx="82">
                  <c:v>5346.21</c:v>
                </c:pt>
                <c:pt idx="83">
                  <c:v>5346.21</c:v>
                </c:pt>
                <c:pt idx="84">
                  <c:v>5346.21</c:v>
                </c:pt>
                <c:pt idx="85">
                  <c:v>5346.21</c:v>
                </c:pt>
                <c:pt idx="86">
                  <c:v>5346.21</c:v>
                </c:pt>
                <c:pt idx="87">
                  <c:v>5346.21</c:v>
                </c:pt>
                <c:pt idx="88">
                  <c:v>5346.21</c:v>
                </c:pt>
                <c:pt idx="89">
                  <c:v>5346.21</c:v>
                </c:pt>
                <c:pt idx="90">
                  <c:v>5346.21</c:v>
                </c:pt>
                <c:pt idx="91">
                  <c:v>5346.21</c:v>
                </c:pt>
                <c:pt idx="92">
                  <c:v>5346.21</c:v>
                </c:pt>
                <c:pt idx="93">
                  <c:v>5346.21</c:v>
                </c:pt>
                <c:pt idx="94">
                  <c:v>5346.21</c:v>
                </c:pt>
                <c:pt idx="95">
                  <c:v>5346.21</c:v>
                </c:pt>
                <c:pt idx="96">
                  <c:v>5346.21</c:v>
                </c:pt>
                <c:pt idx="97">
                  <c:v>5346.21</c:v>
                </c:pt>
                <c:pt idx="98">
                  <c:v>5346.21</c:v>
                </c:pt>
                <c:pt idx="99">
                  <c:v>5346.21</c:v>
                </c:pt>
                <c:pt idx="100">
                  <c:v>5346.21</c:v>
                </c:pt>
                <c:pt idx="101">
                  <c:v>5346.21</c:v>
                </c:pt>
                <c:pt idx="102">
                  <c:v>5346.21</c:v>
                </c:pt>
                <c:pt idx="103">
                  <c:v>5346.21</c:v>
                </c:pt>
                <c:pt idx="104">
                  <c:v>5346.21</c:v>
                </c:pt>
                <c:pt idx="105">
                  <c:v>5346.21</c:v>
                </c:pt>
                <c:pt idx="106">
                  <c:v>5346.21</c:v>
                </c:pt>
                <c:pt idx="107">
                  <c:v>5346.21</c:v>
                </c:pt>
                <c:pt idx="108">
                  <c:v>5346.21</c:v>
                </c:pt>
                <c:pt idx="109">
                  <c:v>5346.21</c:v>
                </c:pt>
                <c:pt idx="110">
                  <c:v>5346.21</c:v>
                </c:pt>
                <c:pt idx="111">
                  <c:v>5346.21</c:v>
                </c:pt>
                <c:pt idx="112">
                  <c:v>5346.21</c:v>
                </c:pt>
                <c:pt idx="113">
                  <c:v>5346.21</c:v>
                </c:pt>
                <c:pt idx="114">
                  <c:v>5346.21</c:v>
                </c:pt>
                <c:pt idx="115">
                  <c:v>5346.21</c:v>
                </c:pt>
                <c:pt idx="116">
                  <c:v>5346.21</c:v>
                </c:pt>
                <c:pt idx="117">
                  <c:v>5346.21</c:v>
                </c:pt>
                <c:pt idx="118">
                  <c:v>5346.21</c:v>
                </c:pt>
                <c:pt idx="119">
                  <c:v>5346.21</c:v>
                </c:pt>
                <c:pt idx="120">
                  <c:v>5346.21</c:v>
                </c:pt>
                <c:pt idx="121">
                  <c:v>5346.21</c:v>
                </c:pt>
                <c:pt idx="122">
                  <c:v>5346.21</c:v>
                </c:pt>
                <c:pt idx="123">
                  <c:v>5346.21</c:v>
                </c:pt>
                <c:pt idx="124">
                  <c:v>5346.21</c:v>
                </c:pt>
                <c:pt idx="125">
                  <c:v>5346.21</c:v>
                </c:pt>
                <c:pt idx="126">
                  <c:v>5346.21</c:v>
                </c:pt>
                <c:pt idx="127">
                  <c:v>5346.21</c:v>
                </c:pt>
                <c:pt idx="128">
                  <c:v>5346.21</c:v>
                </c:pt>
                <c:pt idx="129">
                  <c:v>5346.21</c:v>
                </c:pt>
                <c:pt idx="130">
                  <c:v>5346.21</c:v>
                </c:pt>
                <c:pt idx="131">
                  <c:v>5346.21</c:v>
                </c:pt>
                <c:pt idx="132">
                  <c:v>5346.21</c:v>
                </c:pt>
                <c:pt idx="133">
                  <c:v>5346.21</c:v>
                </c:pt>
                <c:pt idx="134">
                  <c:v>5346.21</c:v>
                </c:pt>
                <c:pt idx="135">
                  <c:v>5346.21</c:v>
                </c:pt>
                <c:pt idx="136">
                  <c:v>5346.21</c:v>
                </c:pt>
                <c:pt idx="137">
                  <c:v>5346.21</c:v>
                </c:pt>
                <c:pt idx="138">
                  <c:v>5346.21</c:v>
                </c:pt>
                <c:pt idx="139">
                  <c:v>5346.21</c:v>
                </c:pt>
                <c:pt idx="140">
                  <c:v>5346.21</c:v>
                </c:pt>
                <c:pt idx="141">
                  <c:v>5346.21</c:v>
                </c:pt>
                <c:pt idx="142">
                  <c:v>5346.21</c:v>
                </c:pt>
                <c:pt idx="143">
                  <c:v>5346.21</c:v>
                </c:pt>
                <c:pt idx="144">
                  <c:v>5346.21</c:v>
                </c:pt>
                <c:pt idx="145">
                  <c:v>5346.21</c:v>
                </c:pt>
                <c:pt idx="146">
                  <c:v>5346.21</c:v>
                </c:pt>
                <c:pt idx="147">
                  <c:v>5346.21</c:v>
                </c:pt>
                <c:pt idx="148">
                  <c:v>5346.21</c:v>
                </c:pt>
                <c:pt idx="149">
                  <c:v>5346.21</c:v>
                </c:pt>
                <c:pt idx="150">
                  <c:v>5346.21</c:v>
                </c:pt>
                <c:pt idx="151">
                  <c:v>5346.21</c:v>
                </c:pt>
                <c:pt idx="152">
                  <c:v>5346.21</c:v>
                </c:pt>
                <c:pt idx="153">
                  <c:v>5346.21</c:v>
                </c:pt>
                <c:pt idx="154">
                  <c:v>5346.21</c:v>
                </c:pt>
                <c:pt idx="155">
                  <c:v>5346.21</c:v>
                </c:pt>
                <c:pt idx="156">
                  <c:v>5346.21</c:v>
                </c:pt>
                <c:pt idx="157">
                  <c:v>5346.21</c:v>
                </c:pt>
                <c:pt idx="158">
                  <c:v>5346.21</c:v>
                </c:pt>
                <c:pt idx="159">
                  <c:v>5346.21</c:v>
                </c:pt>
                <c:pt idx="160">
                  <c:v>5346.21</c:v>
                </c:pt>
                <c:pt idx="161">
                  <c:v>5346.21</c:v>
                </c:pt>
                <c:pt idx="162">
                  <c:v>5346.21</c:v>
                </c:pt>
                <c:pt idx="163">
                  <c:v>5346.21</c:v>
                </c:pt>
                <c:pt idx="164">
                  <c:v>5346.21</c:v>
                </c:pt>
                <c:pt idx="165">
                  <c:v>5346.21</c:v>
                </c:pt>
                <c:pt idx="166">
                  <c:v>5346.21</c:v>
                </c:pt>
                <c:pt idx="167">
                  <c:v>5346.21</c:v>
                </c:pt>
                <c:pt idx="168">
                  <c:v>5346.21</c:v>
                </c:pt>
                <c:pt idx="169">
                  <c:v>5346.21</c:v>
                </c:pt>
                <c:pt idx="170">
                  <c:v>5346.21</c:v>
                </c:pt>
                <c:pt idx="171">
                  <c:v>5346.21</c:v>
                </c:pt>
                <c:pt idx="172">
                  <c:v>5346.21</c:v>
                </c:pt>
                <c:pt idx="173">
                  <c:v>5346.21</c:v>
                </c:pt>
                <c:pt idx="174">
                  <c:v>5346.21</c:v>
                </c:pt>
                <c:pt idx="175">
                  <c:v>5346.21</c:v>
                </c:pt>
                <c:pt idx="176">
                  <c:v>5346.21</c:v>
                </c:pt>
                <c:pt idx="177">
                  <c:v>5346.21</c:v>
                </c:pt>
                <c:pt idx="178">
                  <c:v>5346.21</c:v>
                </c:pt>
                <c:pt idx="179">
                  <c:v>5346.21</c:v>
                </c:pt>
                <c:pt idx="180">
                  <c:v>5346.21</c:v>
                </c:pt>
                <c:pt idx="181">
                  <c:v>5346.21</c:v>
                </c:pt>
                <c:pt idx="182">
                  <c:v>5346.21</c:v>
                </c:pt>
                <c:pt idx="183">
                  <c:v>5346.21</c:v>
                </c:pt>
                <c:pt idx="184">
                  <c:v>5346.21</c:v>
                </c:pt>
                <c:pt idx="185">
                  <c:v>5346.21</c:v>
                </c:pt>
                <c:pt idx="186">
                  <c:v>5346.21</c:v>
                </c:pt>
                <c:pt idx="187">
                  <c:v>5346.21</c:v>
                </c:pt>
                <c:pt idx="188">
                  <c:v>5346.21</c:v>
                </c:pt>
                <c:pt idx="189">
                  <c:v>5346.21</c:v>
                </c:pt>
                <c:pt idx="190">
                  <c:v>5346.21</c:v>
                </c:pt>
                <c:pt idx="191">
                  <c:v>5346.21</c:v>
                </c:pt>
                <c:pt idx="192">
                  <c:v>5346.21</c:v>
                </c:pt>
                <c:pt idx="193">
                  <c:v>5346.21</c:v>
                </c:pt>
                <c:pt idx="194">
                  <c:v>5346.21</c:v>
                </c:pt>
                <c:pt idx="195">
                  <c:v>5346.21</c:v>
                </c:pt>
                <c:pt idx="196">
                  <c:v>5346.21</c:v>
                </c:pt>
                <c:pt idx="197">
                  <c:v>5346.21</c:v>
                </c:pt>
                <c:pt idx="198">
                  <c:v>5346.21</c:v>
                </c:pt>
                <c:pt idx="199">
                  <c:v>5346.21</c:v>
                </c:pt>
                <c:pt idx="200">
                  <c:v>5346.21</c:v>
                </c:pt>
                <c:pt idx="201">
                  <c:v>5346.21</c:v>
                </c:pt>
                <c:pt idx="202">
                  <c:v>5346.21</c:v>
                </c:pt>
                <c:pt idx="203">
                  <c:v>5346.21</c:v>
                </c:pt>
              </c:numCache>
            </c:numRef>
          </c:val>
          <c:smooth val="0"/>
          <c:extLst>
            <c:ext xmlns:c16="http://schemas.microsoft.com/office/drawing/2014/chart" uri="{C3380CC4-5D6E-409C-BE32-E72D297353CC}">
              <c16:uniqueId val="{00000002-329B-41D6-8340-43856FD2F6C5}"/>
            </c:ext>
          </c:extLst>
        </c:ser>
        <c:ser>
          <c:idx val="3"/>
          <c:order val="3"/>
          <c:tx>
            <c:strRef>
              <c:f>'Fig 10.9. Initial XmR chart'!$F$1</c:f>
              <c:strCache>
                <c:ptCount val="1"/>
                <c:pt idx="0">
                  <c:v>LPL</c:v>
                </c:pt>
              </c:strCache>
            </c:strRef>
          </c:tx>
          <c:spPr>
            <a:ln w="28575" cap="rnd">
              <a:solidFill>
                <a:srgbClr val="D72323"/>
              </a:solidFill>
              <a:prstDash val="dash"/>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chart'!$F$2:$F$205</c:f>
              <c:numCache>
                <c:formatCode>General</c:formatCode>
                <c:ptCount val="204"/>
                <c:pt idx="0">
                  <c:v>3650.15</c:v>
                </c:pt>
                <c:pt idx="1">
                  <c:v>3650.15</c:v>
                </c:pt>
                <c:pt idx="2">
                  <c:v>3650.15</c:v>
                </c:pt>
                <c:pt idx="3">
                  <c:v>3650.15</c:v>
                </c:pt>
                <c:pt idx="4">
                  <c:v>3650.15</c:v>
                </c:pt>
                <c:pt idx="5">
                  <c:v>3650.15</c:v>
                </c:pt>
                <c:pt idx="6">
                  <c:v>3650.15</c:v>
                </c:pt>
                <c:pt idx="7">
                  <c:v>3650.15</c:v>
                </c:pt>
                <c:pt idx="8">
                  <c:v>3650.15</c:v>
                </c:pt>
                <c:pt idx="9">
                  <c:v>3650.15</c:v>
                </c:pt>
                <c:pt idx="10">
                  <c:v>3650.15</c:v>
                </c:pt>
                <c:pt idx="11">
                  <c:v>3650.15</c:v>
                </c:pt>
                <c:pt idx="12">
                  <c:v>3650.15</c:v>
                </c:pt>
                <c:pt idx="13">
                  <c:v>3650.15</c:v>
                </c:pt>
                <c:pt idx="14">
                  <c:v>3650.15</c:v>
                </c:pt>
                <c:pt idx="15">
                  <c:v>3650.15</c:v>
                </c:pt>
                <c:pt idx="16">
                  <c:v>3650.15</c:v>
                </c:pt>
                <c:pt idx="17">
                  <c:v>3650.15</c:v>
                </c:pt>
                <c:pt idx="18">
                  <c:v>3650.15</c:v>
                </c:pt>
                <c:pt idx="19">
                  <c:v>3650.15</c:v>
                </c:pt>
                <c:pt idx="20">
                  <c:v>3650.15</c:v>
                </c:pt>
                <c:pt idx="21">
                  <c:v>3650.15</c:v>
                </c:pt>
                <c:pt idx="22">
                  <c:v>3650.15</c:v>
                </c:pt>
                <c:pt idx="23">
                  <c:v>3650.15</c:v>
                </c:pt>
                <c:pt idx="24">
                  <c:v>3650.15</c:v>
                </c:pt>
                <c:pt idx="25">
                  <c:v>3650.15</c:v>
                </c:pt>
                <c:pt idx="26">
                  <c:v>3650.15</c:v>
                </c:pt>
                <c:pt idx="27">
                  <c:v>3650.15</c:v>
                </c:pt>
                <c:pt idx="28">
                  <c:v>3650.15</c:v>
                </c:pt>
                <c:pt idx="29">
                  <c:v>3650.15</c:v>
                </c:pt>
                <c:pt idx="30">
                  <c:v>3650.15</c:v>
                </c:pt>
                <c:pt idx="31">
                  <c:v>3650.15</c:v>
                </c:pt>
                <c:pt idx="32">
                  <c:v>3650.15</c:v>
                </c:pt>
                <c:pt idx="33">
                  <c:v>3650.15</c:v>
                </c:pt>
                <c:pt idx="34">
                  <c:v>3650.15</c:v>
                </c:pt>
                <c:pt idx="35">
                  <c:v>3650.15</c:v>
                </c:pt>
                <c:pt idx="36">
                  <c:v>3650.15</c:v>
                </c:pt>
                <c:pt idx="37">
                  <c:v>3650.15</c:v>
                </c:pt>
                <c:pt idx="38">
                  <c:v>3650.15</c:v>
                </c:pt>
                <c:pt idx="39">
                  <c:v>3650.15</c:v>
                </c:pt>
                <c:pt idx="40">
                  <c:v>3650.15</c:v>
                </c:pt>
                <c:pt idx="41">
                  <c:v>3650.15</c:v>
                </c:pt>
                <c:pt idx="42">
                  <c:v>3650.15</c:v>
                </c:pt>
                <c:pt idx="43">
                  <c:v>3650.15</c:v>
                </c:pt>
                <c:pt idx="44">
                  <c:v>3650.15</c:v>
                </c:pt>
                <c:pt idx="45">
                  <c:v>3650.15</c:v>
                </c:pt>
                <c:pt idx="46">
                  <c:v>3650.15</c:v>
                </c:pt>
                <c:pt idx="47">
                  <c:v>3650.15</c:v>
                </c:pt>
                <c:pt idx="48">
                  <c:v>3650.15</c:v>
                </c:pt>
                <c:pt idx="49">
                  <c:v>3650.15</c:v>
                </c:pt>
                <c:pt idx="50">
                  <c:v>3650.15</c:v>
                </c:pt>
                <c:pt idx="51">
                  <c:v>3650.15</c:v>
                </c:pt>
                <c:pt idx="52">
                  <c:v>3650.15</c:v>
                </c:pt>
                <c:pt idx="53">
                  <c:v>3650.15</c:v>
                </c:pt>
                <c:pt idx="54">
                  <c:v>3650.15</c:v>
                </c:pt>
                <c:pt idx="55">
                  <c:v>3650.15</c:v>
                </c:pt>
                <c:pt idx="56">
                  <c:v>3650.15</c:v>
                </c:pt>
                <c:pt idx="57">
                  <c:v>3650.15</c:v>
                </c:pt>
                <c:pt idx="58">
                  <c:v>3650.15</c:v>
                </c:pt>
                <c:pt idx="59">
                  <c:v>3650.15</c:v>
                </c:pt>
                <c:pt idx="60">
                  <c:v>3650.15</c:v>
                </c:pt>
                <c:pt idx="61">
                  <c:v>3650.15</c:v>
                </c:pt>
                <c:pt idx="62">
                  <c:v>3650.15</c:v>
                </c:pt>
                <c:pt idx="63">
                  <c:v>3650.15</c:v>
                </c:pt>
                <c:pt idx="64">
                  <c:v>3650.15</c:v>
                </c:pt>
                <c:pt idx="65">
                  <c:v>3650.15</c:v>
                </c:pt>
                <c:pt idx="66">
                  <c:v>3650.15</c:v>
                </c:pt>
                <c:pt idx="67">
                  <c:v>3650.15</c:v>
                </c:pt>
                <c:pt idx="68">
                  <c:v>3650.15</c:v>
                </c:pt>
                <c:pt idx="69">
                  <c:v>3650.15</c:v>
                </c:pt>
                <c:pt idx="70">
                  <c:v>3650.15</c:v>
                </c:pt>
                <c:pt idx="71">
                  <c:v>3650.15</c:v>
                </c:pt>
                <c:pt idx="72">
                  <c:v>3650.15</c:v>
                </c:pt>
                <c:pt idx="73">
                  <c:v>3650.15</c:v>
                </c:pt>
                <c:pt idx="74">
                  <c:v>3650.15</c:v>
                </c:pt>
                <c:pt idx="75">
                  <c:v>3650.15</c:v>
                </c:pt>
                <c:pt idx="76">
                  <c:v>3650.15</c:v>
                </c:pt>
                <c:pt idx="77">
                  <c:v>3650.15</c:v>
                </c:pt>
                <c:pt idx="78">
                  <c:v>3650.15</c:v>
                </c:pt>
                <c:pt idx="79">
                  <c:v>3650.15</c:v>
                </c:pt>
                <c:pt idx="80">
                  <c:v>3650.15</c:v>
                </c:pt>
                <c:pt idx="81">
                  <c:v>3650.15</c:v>
                </c:pt>
                <c:pt idx="82">
                  <c:v>3650.15</c:v>
                </c:pt>
                <c:pt idx="83">
                  <c:v>3650.15</c:v>
                </c:pt>
                <c:pt idx="84">
                  <c:v>3650.15</c:v>
                </c:pt>
                <c:pt idx="85">
                  <c:v>3650.15</c:v>
                </c:pt>
                <c:pt idx="86">
                  <c:v>3650.15</c:v>
                </c:pt>
                <c:pt idx="87">
                  <c:v>3650.15</c:v>
                </c:pt>
                <c:pt idx="88">
                  <c:v>3650.15</c:v>
                </c:pt>
                <c:pt idx="89">
                  <c:v>3650.15</c:v>
                </c:pt>
                <c:pt idx="90">
                  <c:v>3650.15</c:v>
                </c:pt>
                <c:pt idx="91">
                  <c:v>3650.15</c:v>
                </c:pt>
                <c:pt idx="92">
                  <c:v>3650.15</c:v>
                </c:pt>
                <c:pt idx="93">
                  <c:v>3650.15</c:v>
                </c:pt>
                <c:pt idx="94">
                  <c:v>3650.15</c:v>
                </c:pt>
                <c:pt idx="95">
                  <c:v>3650.15</c:v>
                </c:pt>
                <c:pt idx="96">
                  <c:v>3650.15</c:v>
                </c:pt>
                <c:pt idx="97">
                  <c:v>3650.15</c:v>
                </c:pt>
                <c:pt idx="98">
                  <c:v>3650.15</c:v>
                </c:pt>
                <c:pt idx="99">
                  <c:v>3650.15</c:v>
                </c:pt>
                <c:pt idx="100">
                  <c:v>3650.15</c:v>
                </c:pt>
                <c:pt idx="101">
                  <c:v>3650.15</c:v>
                </c:pt>
                <c:pt idx="102">
                  <c:v>3650.15</c:v>
                </c:pt>
                <c:pt idx="103">
                  <c:v>3650.15</c:v>
                </c:pt>
                <c:pt idx="104">
                  <c:v>3650.15</c:v>
                </c:pt>
                <c:pt idx="105">
                  <c:v>3650.15</c:v>
                </c:pt>
                <c:pt idx="106">
                  <c:v>3650.15</c:v>
                </c:pt>
                <c:pt idx="107">
                  <c:v>3650.15</c:v>
                </c:pt>
                <c:pt idx="108">
                  <c:v>3650.15</c:v>
                </c:pt>
                <c:pt idx="109">
                  <c:v>3650.15</c:v>
                </c:pt>
                <c:pt idx="110">
                  <c:v>3650.15</c:v>
                </c:pt>
                <c:pt idx="111">
                  <c:v>3650.15</c:v>
                </c:pt>
                <c:pt idx="112">
                  <c:v>3650.15</c:v>
                </c:pt>
                <c:pt idx="113">
                  <c:v>3650.15</c:v>
                </c:pt>
                <c:pt idx="114">
                  <c:v>3650.15</c:v>
                </c:pt>
                <c:pt idx="115">
                  <c:v>3650.15</c:v>
                </c:pt>
                <c:pt idx="116">
                  <c:v>3650.15</c:v>
                </c:pt>
                <c:pt idx="117">
                  <c:v>3650.15</c:v>
                </c:pt>
                <c:pt idx="118">
                  <c:v>3650.15</c:v>
                </c:pt>
                <c:pt idx="119">
                  <c:v>3650.15</c:v>
                </c:pt>
                <c:pt idx="120">
                  <c:v>3650.15</c:v>
                </c:pt>
                <c:pt idx="121">
                  <c:v>3650.15</c:v>
                </c:pt>
                <c:pt idx="122">
                  <c:v>3650.15</c:v>
                </c:pt>
                <c:pt idx="123">
                  <c:v>3650.15</c:v>
                </c:pt>
                <c:pt idx="124">
                  <c:v>3650.15</c:v>
                </c:pt>
                <c:pt idx="125">
                  <c:v>3650.15</c:v>
                </c:pt>
                <c:pt idx="126">
                  <c:v>3650.15</c:v>
                </c:pt>
                <c:pt idx="127">
                  <c:v>3650.15</c:v>
                </c:pt>
                <c:pt idx="128">
                  <c:v>3650.15</c:v>
                </c:pt>
                <c:pt idx="129">
                  <c:v>3650.15</c:v>
                </c:pt>
                <c:pt idx="130">
                  <c:v>3650.15</c:v>
                </c:pt>
                <c:pt idx="131">
                  <c:v>3650.15</c:v>
                </c:pt>
                <c:pt idx="132">
                  <c:v>3650.15</c:v>
                </c:pt>
                <c:pt idx="133">
                  <c:v>3650.15</c:v>
                </c:pt>
                <c:pt idx="134">
                  <c:v>3650.15</c:v>
                </c:pt>
                <c:pt idx="135">
                  <c:v>3650.15</c:v>
                </c:pt>
                <c:pt idx="136">
                  <c:v>3650.15</c:v>
                </c:pt>
                <c:pt idx="137">
                  <c:v>3650.15</c:v>
                </c:pt>
                <c:pt idx="138">
                  <c:v>3650.15</c:v>
                </c:pt>
                <c:pt idx="139">
                  <c:v>3650.15</c:v>
                </c:pt>
                <c:pt idx="140">
                  <c:v>3650.15</c:v>
                </c:pt>
                <c:pt idx="141">
                  <c:v>3650.15</c:v>
                </c:pt>
                <c:pt idx="142">
                  <c:v>3650.15</c:v>
                </c:pt>
                <c:pt idx="143">
                  <c:v>3650.15</c:v>
                </c:pt>
                <c:pt idx="144">
                  <c:v>3650.15</c:v>
                </c:pt>
                <c:pt idx="145">
                  <c:v>3650.15</c:v>
                </c:pt>
                <c:pt idx="146">
                  <c:v>3650.15</c:v>
                </c:pt>
                <c:pt idx="147">
                  <c:v>3650.15</c:v>
                </c:pt>
                <c:pt idx="148">
                  <c:v>3650.15</c:v>
                </c:pt>
                <c:pt idx="149">
                  <c:v>3650.15</c:v>
                </c:pt>
                <c:pt idx="150">
                  <c:v>3650.15</c:v>
                </c:pt>
                <c:pt idx="151">
                  <c:v>3650.15</c:v>
                </c:pt>
                <c:pt idx="152">
                  <c:v>3650.15</c:v>
                </c:pt>
                <c:pt idx="153">
                  <c:v>3650.15</c:v>
                </c:pt>
                <c:pt idx="154">
                  <c:v>3650.15</c:v>
                </c:pt>
                <c:pt idx="155">
                  <c:v>3650.15</c:v>
                </c:pt>
                <c:pt idx="156">
                  <c:v>3650.15</c:v>
                </c:pt>
                <c:pt idx="157">
                  <c:v>3650.15</c:v>
                </c:pt>
                <c:pt idx="158">
                  <c:v>3650.15</c:v>
                </c:pt>
                <c:pt idx="159">
                  <c:v>3650.15</c:v>
                </c:pt>
                <c:pt idx="160">
                  <c:v>3650.15</c:v>
                </c:pt>
                <c:pt idx="161">
                  <c:v>3650.15</c:v>
                </c:pt>
                <c:pt idx="162">
                  <c:v>3650.15</c:v>
                </c:pt>
                <c:pt idx="163">
                  <c:v>3650.15</c:v>
                </c:pt>
                <c:pt idx="164">
                  <c:v>3650.15</c:v>
                </c:pt>
                <c:pt idx="165">
                  <c:v>3650.15</c:v>
                </c:pt>
                <c:pt idx="166">
                  <c:v>3650.15</c:v>
                </c:pt>
                <c:pt idx="167">
                  <c:v>3650.15</c:v>
                </c:pt>
                <c:pt idx="168">
                  <c:v>3650.15</c:v>
                </c:pt>
                <c:pt idx="169">
                  <c:v>3650.15</c:v>
                </c:pt>
                <c:pt idx="170">
                  <c:v>3650.15</c:v>
                </c:pt>
                <c:pt idx="171">
                  <c:v>3650.15</c:v>
                </c:pt>
                <c:pt idx="172">
                  <c:v>3650.15</c:v>
                </c:pt>
                <c:pt idx="173">
                  <c:v>3650.15</c:v>
                </c:pt>
                <c:pt idx="174">
                  <c:v>3650.15</c:v>
                </c:pt>
                <c:pt idx="175">
                  <c:v>3650.15</c:v>
                </c:pt>
                <c:pt idx="176">
                  <c:v>3650.15</c:v>
                </c:pt>
                <c:pt idx="177">
                  <c:v>3650.15</c:v>
                </c:pt>
                <c:pt idx="178">
                  <c:v>3650.15</c:v>
                </c:pt>
                <c:pt idx="179">
                  <c:v>3650.15</c:v>
                </c:pt>
                <c:pt idx="180">
                  <c:v>3650.15</c:v>
                </c:pt>
                <c:pt idx="181">
                  <c:v>3650.15</c:v>
                </c:pt>
                <c:pt idx="182">
                  <c:v>3650.15</c:v>
                </c:pt>
                <c:pt idx="183">
                  <c:v>3650.15</c:v>
                </c:pt>
                <c:pt idx="184">
                  <c:v>3650.15</c:v>
                </c:pt>
                <c:pt idx="185">
                  <c:v>3650.15</c:v>
                </c:pt>
                <c:pt idx="186">
                  <c:v>3650.15</c:v>
                </c:pt>
                <c:pt idx="187">
                  <c:v>3650.15</c:v>
                </c:pt>
                <c:pt idx="188">
                  <c:v>3650.15</c:v>
                </c:pt>
                <c:pt idx="189">
                  <c:v>3650.15</c:v>
                </c:pt>
                <c:pt idx="190">
                  <c:v>3650.15</c:v>
                </c:pt>
                <c:pt idx="191">
                  <c:v>3650.15</c:v>
                </c:pt>
                <c:pt idx="192">
                  <c:v>3650.15</c:v>
                </c:pt>
                <c:pt idx="193">
                  <c:v>3650.15</c:v>
                </c:pt>
                <c:pt idx="194">
                  <c:v>3650.15</c:v>
                </c:pt>
                <c:pt idx="195">
                  <c:v>3650.15</c:v>
                </c:pt>
                <c:pt idx="196">
                  <c:v>3650.15</c:v>
                </c:pt>
                <c:pt idx="197">
                  <c:v>3650.15</c:v>
                </c:pt>
                <c:pt idx="198">
                  <c:v>3650.15</c:v>
                </c:pt>
                <c:pt idx="199">
                  <c:v>3650.15</c:v>
                </c:pt>
                <c:pt idx="200">
                  <c:v>3650.15</c:v>
                </c:pt>
                <c:pt idx="201">
                  <c:v>3650.15</c:v>
                </c:pt>
                <c:pt idx="202">
                  <c:v>3650.15</c:v>
                </c:pt>
                <c:pt idx="203">
                  <c:v>3650.15</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10.9. Initial XmR chart'!$G$1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10.9. Initial XmR chart'!$G$2:$G$205</c:f>
              <c:numCache>
                <c:formatCode>General</c:formatCode>
                <c:ptCount val="204"/>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numCache>
            </c:numRef>
          </c:val>
          <c:smooth val="0"/>
          <c:extLst>
            <c:ext xmlns:c16="http://schemas.microsoft.com/office/drawing/2014/chart" uri="{C3380CC4-5D6E-409C-BE32-E72D297353CC}">
              <c16:uniqueId val="{00000000-5D18-47FA-93F7-2AB89D044415}"/>
            </c:ext>
          </c:extLst>
        </c:ser>
        <c:ser>
          <c:idx val="1"/>
          <c:order val="1"/>
          <c:tx>
            <c:strRef>
              <c:f>'Fig 10.9. Initial XmR chart'!$H$1</c:f>
              <c:strCache>
                <c:ptCount val="1"/>
                <c:pt idx="0">
                  <c:v>Ave. mR</c:v>
                </c:pt>
              </c:strCache>
            </c:strRef>
          </c:tx>
          <c:spPr>
            <a:ln w="28575" cap="rnd">
              <a:solidFill>
                <a:schemeClr val="tx1"/>
              </a:solidFill>
              <a:round/>
            </a:ln>
            <a:effectLst/>
          </c:spPr>
          <c:marker>
            <c:symbol val="none"/>
          </c:marker>
          <c:val>
            <c:numRef>
              <c:f>'Fig 10.9. Initial XmR chart'!$H$2:$H$205</c:f>
              <c:numCache>
                <c:formatCode>General</c:formatCode>
                <c:ptCount val="204"/>
                <c:pt idx="0">
                  <c:v>318.81</c:v>
                </c:pt>
                <c:pt idx="1">
                  <c:v>318.81</c:v>
                </c:pt>
                <c:pt idx="2">
                  <c:v>318.81</c:v>
                </c:pt>
                <c:pt idx="3">
                  <c:v>318.81</c:v>
                </c:pt>
                <c:pt idx="4">
                  <c:v>318.81</c:v>
                </c:pt>
                <c:pt idx="5">
                  <c:v>318.81</c:v>
                </c:pt>
                <c:pt idx="6">
                  <c:v>318.81</c:v>
                </c:pt>
                <c:pt idx="7">
                  <c:v>318.81</c:v>
                </c:pt>
                <c:pt idx="8">
                  <c:v>318.81</c:v>
                </c:pt>
                <c:pt idx="9">
                  <c:v>318.81</c:v>
                </c:pt>
                <c:pt idx="10">
                  <c:v>318.81</c:v>
                </c:pt>
                <c:pt idx="11">
                  <c:v>318.81</c:v>
                </c:pt>
                <c:pt idx="12">
                  <c:v>318.81</c:v>
                </c:pt>
                <c:pt idx="13">
                  <c:v>318.81</c:v>
                </c:pt>
                <c:pt idx="14">
                  <c:v>318.81</c:v>
                </c:pt>
                <c:pt idx="15">
                  <c:v>318.81</c:v>
                </c:pt>
                <c:pt idx="16">
                  <c:v>318.81</c:v>
                </c:pt>
                <c:pt idx="17">
                  <c:v>318.81</c:v>
                </c:pt>
                <c:pt idx="18">
                  <c:v>318.81</c:v>
                </c:pt>
                <c:pt idx="19">
                  <c:v>318.81</c:v>
                </c:pt>
                <c:pt idx="20">
                  <c:v>318.81</c:v>
                </c:pt>
                <c:pt idx="21">
                  <c:v>318.81</c:v>
                </c:pt>
                <c:pt idx="22">
                  <c:v>318.81</c:v>
                </c:pt>
                <c:pt idx="23">
                  <c:v>318.81</c:v>
                </c:pt>
                <c:pt idx="24">
                  <c:v>318.81</c:v>
                </c:pt>
                <c:pt idx="25">
                  <c:v>318.81</c:v>
                </c:pt>
                <c:pt idx="26">
                  <c:v>318.81</c:v>
                </c:pt>
                <c:pt idx="27">
                  <c:v>318.81</c:v>
                </c:pt>
                <c:pt idx="28">
                  <c:v>318.81</c:v>
                </c:pt>
                <c:pt idx="29">
                  <c:v>318.81</c:v>
                </c:pt>
                <c:pt idx="30">
                  <c:v>318.81</c:v>
                </c:pt>
                <c:pt idx="31">
                  <c:v>318.81</c:v>
                </c:pt>
                <c:pt idx="32">
                  <c:v>318.81</c:v>
                </c:pt>
                <c:pt idx="33">
                  <c:v>318.81</c:v>
                </c:pt>
                <c:pt idx="34">
                  <c:v>318.81</c:v>
                </c:pt>
                <c:pt idx="35">
                  <c:v>318.81</c:v>
                </c:pt>
                <c:pt idx="36">
                  <c:v>318.81</c:v>
                </c:pt>
                <c:pt idx="37">
                  <c:v>318.81</c:v>
                </c:pt>
                <c:pt idx="38">
                  <c:v>318.81</c:v>
                </c:pt>
                <c:pt idx="39">
                  <c:v>318.81</c:v>
                </c:pt>
                <c:pt idx="40">
                  <c:v>318.81</c:v>
                </c:pt>
                <c:pt idx="41">
                  <c:v>318.81</c:v>
                </c:pt>
                <c:pt idx="42">
                  <c:v>318.81</c:v>
                </c:pt>
                <c:pt idx="43">
                  <c:v>318.81</c:v>
                </c:pt>
                <c:pt idx="44">
                  <c:v>318.81</c:v>
                </c:pt>
                <c:pt idx="45">
                  <c:v>318.81</c:v>
                </c:pt>
                <c:pt idx="46">
                  <c:v>318.81</c:v>
                </c:pt>
                <c:pt idx="47">
                  <c:v>318.81</c:v>
                </c:pt>
                <c:pt idx="48">
                  <c:v>318.81</c:v>
                </c:pt>
                <c:pt idx="49">
                  <c:v>318.81</c:v>
                </c:pt>
                <c:pt idx="50">
                  <c:v>318.81</c:v>
                </c:pt>
                <c:pt idx="51">
                  <c:v>318.81</c:v>
                </c:pt>
                <c:pt idx="52">
                  <c:v>318.81</c:v>
                </c:pt>
                <c:pt idx="53">
                  <c:v>318.81</c:v>
                </c:pt>
                <c:pt idx="54">
                  <c:v>318.81</c:v>
                </c:pt>
                <c:pt idx="55">
                  <c:v>318.81</c:v>
                </c:pt>
                <c:pt idx="56">
                  <c:v>318.81</c:v>
                </c:pt>
                <c:pt idx="57">
                  <c:v>318.81</c:v>
                </c:pt>
                <c:pt idx="58">
                  <c:v>318.81</c:v>
                </c:pt>
                <c:pt idx="59">
                  <c:v>318.81</c:v>
                </c:pt>
                <c:pt idx="60">
                  <c:v>318.81</c:v>
                </c:pt>
                <c:pt idx="61">
                  <c:v>318.81</c:v>
                </c:pt>
                <c:pt idx="62">
                  <c:v>318.81</c:v>
                </c:pt>
                <c:pt idx="63">
                  <c:v>318.81</c:v>
                </c:pt>
                <c:pt idx="64">
                  <c:v>318.81</c:v>
                </c:pt>
                <c:pt idx="65">
                  <c:v>318.81</c:v>
                </c:pt>
                <c:pt idx="66">
                  <c:v>318.81</c:v>
                </c:pt>
                <c:pt idx="67">
                  <c:v>318.81</c:v>
                </c:pt>
                <c:pt idx="68">
                  <c:v>318.81</c:v>
                </c:pt>
                <c:pt idx="69">
                  <c:v>318.81</c:v>
                </c:pt>
                <c:pt idx="70">
                  <c:v>318.81</c:v>
                </c:pt>
                <c:pt idx="71">
                  <c:v>318.81</c:v>
                </c:pt>
                <c:pt idx="72">
                  <c:v>318.81</c:v>
                </c:pt>
                <c:pt idx="73">
                  <c:v>318.81</c:v>
                </c:pt>
                <c:pt idx="74">
                  <c:v>318.81</c:v>
                </c:pt>
                <c:pt idx="75">
                  <c:v>318.81</c:v>
                </c:pt>
                <c:pt idx="76">
                  <c:v>318.81</c:v>
                </c:pt>
                <c:pt idx="77">
                  <c:v>318.81</c:v>
                </c:pt>
                <c:pt idx="78">
                  <c:v>318.81</c:v>
                </c:pt>
                <c:pt idx="79">
                  <c:v>318.81</c:v>
                </c:pt>
                <c:pt idx="80">
                  <c:v>318.81</c:v>
                </c:pt>
                <c:pt idx="81">
                  <c:v>318.81</c:v>
                </c:pt>
                <c:pt idx="82">
                  <c:v>318.81</c:v>
                </c:pt>
                <c:pt idx="83">
                  <c:v>318.81</c:v>
                </c:pt>
                <c:pt idx="84">
                  <c:v>318.81</c:v>
                </c:pt>
                <c:pt idx="85">
                  <c:v>318.81</c:v>
                </c:pt>
                <c:pt idx="86">
                  <c:v>318.81</c:v>
                </c:pt>
                <c:pt idx="87">
                  <c:v>318.81</c:v>
                </c:pt>
                <c:pt idx="88">
                  <c:v>318.81</c:v>
                </c:pt>
                <c:pt idx="89">
                  <c:v>318.81</c:v>
                </c:pt>
                <c:pt idx="90">
                  <c:v>318.81</c:v>
                </c:pt>
                <c:pt idx="91">
                  <c:v>318.81</c:v>
                </c:pt>
                <c:pt idx="92">
                  <c:v>318.81</c:v>
                </c:pt>
                <c:pt idx="93">
                  <c:v>318.81</c:v>
                </c:pt>
                <c:pt idx="94">
                  <c:v>318.81</c:v>
                </c:pt>
                <c:pt idx="95">
                  <c:v>318.81</c:v>
                </c:pt>
                <c:pt idx="96">
                  <c:v>318.81</c:v>
                </c:pt>
                <c:pt idx="97">
                  <c:v>318.81</c:v>
                </c:pt>
                <c:pt idx="98">
                  <c:v>318.81</c:v>
                </c:pt>
                <c:pt idx="99">
                  <c:v>318.81</c:v>
                </c:pt>
                <c:pt idx="100">
                  <c:v>318.81</c:v>
                </c:pt>
                <c:pt idx="101">
                  <c:v>318.81</c:v>
                </c:pt>
                <c:pt idx="102">
                  <c:v>318.81</c:v>
                </c:pt>
                <c:pt idx="103">
                  <c:v>318.81</c:v>
                </c:pt>
                <c:pt idx="104">
                  <c:v>318.81</c:v>
                </c:pt>
                <c:pt idx="105">
                  <c:v>318.81</c:v>
                </c:pt>
                <c:pt idx="106">
                  <c:v>318.81</c:v>
                </c:pt>
                <c:pt idx="107">
                  <c:v>318.81</c:v>
                </c:pt>
                <c:pt idx="108">
                  <c:v>318.81</c:v>
                </c:pt>
                <c:pt idx="109">
                  <c:v>318.81</c:v>
                </c:pt>
                <c:pt idx="110">
                  <c:v>318.81</c:v>
                </c:pt>
                <c:pt idx="111">
                  <c:v>318.81</c:v>
                </c:pt>
                <c:pt idx="112">
                  <c:v>318.81</c:v>
                </c:pt>
                <c:pt idx="113">
                  <c:v>318.81</c:v>
                </c:pt>
                <c:pt idx="114">
                  <c:v>318.81</c:v>
                </c:pt>
                <c:pt idx="115">
                  <c:v>318.81</c:v>
                </c:pt>
                <c:pt idx="116">
                  <c:v>318.81</c:v>
                </c:pt>
                <c:pt idx="117">
                  <c:v>318.81</c:v>
                </c:pt>
                <c:pt idx="118">
                  <c:v>318.81</c:v>
                </c:pt>
                <c:pt idx="119">
                  <c:v>318.81</c:v>
                </c:pt>
                <c:pt idx="120">
                  <c:v>318.81</c:v>
                </c:pt>
                <c:pt idx="121">
                  <c:v>318.81</c:v>
                </c:pt>
                <c:pt idx="122">
                  <c:v>318.81</c:v>
                </c:pt>
                <c:pt idx="123">
                  <c:v>318.81</c:v>
                </c:pt>
                <c:pt idx="124">
                  <c:v>318.81</c:v>
                </c:pt>
                <c:pt idx="125">
                  <c:v>318.81</c:v>
                </c:pt>
                <c:pt idx="126">
                  <c:v>318.81</c:v>
                </c:pt>
                <c:pt idx="127">
                  <c:v>318.81</c:v>
                </c:pt>
                <c:pt idx="128">
                  <c:v>318.81</c:v>
                </c:pt>
                <c:pt idx="129">
                  <c:v>318.81</c:v>
                </c:pt>
                <c:pt idx="130">
                  <c:v>318.81</c:v>
                </c:pt>
                <c:pt idx="131">
                  <c:v>318.81</c:v>
                </c:pt>
                <c:pt idx="132">
                  <c:v>318.81</c:v>
                </c:pt>
                <c:pt idx="133">
                  <c:v>318.81</c:v>
                </c:pt>
                <c:pt idx="134">
                  <c:v>318.81</c:v>
                </c:pt>
                <c:pt idx="135">
                  <c:v>318.81</c:v>
                </c:pt>
                <c:pt idx="136">
                  <c:v>318.81</c:v>
                </c:pt>
                <c:pt idx="137">
                  <c:v>318.81</c:v>
                </c:pt>
                <c:pt idx="138">
                  <c:v>318.81</c:v>
                </c:pt>
                <c:pt idx="139">
                  <c:v>318.81</c:v>
                </c:pt>
                <c:pt idx="140">
                  <c:v>318.81</c:v>
                </c:pt>
                <c:pt idx="141">
                  <c:v>318.81</c:v>
                </c:pt>
                <c:pt idx="142">
                  <c:v>318.81</c:v>
                </c:pt>
                <c:pt idx="143">
                  <c:v>318.81</c:v>
                </c:pt>
                <c:pt idx="144">
                  <c:v>318.81</c:v>
                </c:pt>
                <c:pt idx="145">
                  <c:v>318.81</c:v>
                </c:pt>
                <c:pt idx="146">
                  <c:v>318.81</c:v>
                </c:pt>
                <c:pt idx="147">
                  <c:v>318.81</c:v>
                </c:pt>
                <c:pt idx="148">
                  <c:v>318.81</c:v>
                </c:pt>
                <c:pt idx="149">
                  <c:v>318.81</c:v>
                </c:pt>
                <c:pt idx="150">
                  <c:v>318.81</c:v>
                </c:pt>
                <c:pt idx="151">
                  <c:v>318.81</c:v>
                </c:pt>
                <c:pt idx="152">
                  <c:v>318.81</c:v>
                </c:pt>
                <c:pt idx="153">
                  <c:v>318.81</c:v>
                </c:pt>
                <c:pt idx="154">
                  <c:v>318.81</c:v>
                </c:pt>
                <c:pt idx="155">
                  <c:v>318.81</c:v>
                </c:pt>
                <c:pt idx="156">
                  <c:v>318.81</c:v>
                </c:pt>
                <c:pt idx="157">
                  <c:v>318.81</c:v>
                </c:pt>
                <c:pt idx="158">
                  <c:v>318.81</c:v>
                </c:pt>
                <c:pt idx="159">
                  <c:v>318.81</c:v>
                </c:pt>
                <c:pt idx="160">
                  <c:v>318.81</c:v>
                </c:pt>
                <c:pt idx="161">
                  <c:v>318.81</c:v>
                </c:pt>
                <c:pt idx="162">
                  <c:v>318.81</c:v>
                </c:pt>
                <c:pt idx="163">
                  <c:v>318.81</c:v>
                </c:pt>
                <c:pt idx="164">
                  <c:v>318.81</c:v>
                </c:pt>
                <c:pt idx="165">
                  <c:v>318.81</c:v>
                </c:pt>
                <c:pt idx="166">
                  <c:v>318.81</c:v>
                </c:pt>
                <c:pt idx="167">
                  <c:v>318.81</c:v>
                </c:pt>
                <c:pt idx="168">
                  <c:v>318.81</c:v>
                </c:pt>
                <c:pt idx="169">
                  <c:v>318.81</c:v>
                </c:pt>
                <c:pt idx="170">
                  <c:v>318.81</c:v>
                </c:pt>
                <c:pt idx="171">
                  <c:v>318.81</c:v>
                </c:pt>
                <c:pt idx="172">
                  <c:v>318.81</c:v>
                </c:pt>
                <c:pt idx="173">
                  <c:v>318.81</c:v>
                </c:pt>
                <c:pt idx="174">
                  <c:v>318.81</c:v>
                </c:pt>
                <c:pt idx="175">
                  <c:v>318.81</c:v>
                </c:pt>
                <c:pt idx="176">
                  <c:v>318.81</c:v>
                </c:pt>
                <c:pt idx="177">
                  <c:v>318.81</c:v>
                </c:pt>
                <c:pt idx="178">
                  <c:v>318.81</c:v>
                </c:pt>
                <c:pt idx="179">
                  <c:v>318.81</c:v>
                </c:pt>
                <c:pt idx="180">
                  <c:v>318.81</c:v>
                </c:pt>
                <c:pt idx="181">
                  <c:v>318.81</c:v>
                </c:pt>
                <c:pt idx="182">
                  <c:v>318.81</c:v>
                </c:pt>
                <c:pt idx="183">
                  <c:v>318.81</c:v>
                </c:pt>
                <c:pt idx="184">
                  <c:v>318.81</c:v>
                </c:pt>
                <c:pt idx="185">
                  <c:v>318.81</c:v>
                </c:pt>
                <c:pt idx="186">
                  <c:v>318.81</c:v>
                </c:pt>
                <c:pt idx="187">
                  <c:v>318.81</c:v>
                </c:pt>
                <c:pt idx="188">
                  <c:v>318.81</c:v>
                </c:pt>
                <c:pt idx="189">
                  <c:v>318.81</c:v>
                </c:pt>
                <c:pt idx="190">
                  <c:v>318.81</c:v>
                </c:pt>
                <c:pt idx="191">
                  <c:v>318.81</c:v>
                </c:pt>
                <c:pt idx="192">
                  <c:v>318.81</c:v>
                </c:pt>
                <c:pt idx="193">
                  <c:v>318.81</c:v>
                </c:pt>
                <c:pt idx="194">
                  <c:v>318.81</c:v>
                </c:pt>
                <c:pt idx="195">
                  <c:v>318.81</c:v>
                </c:pt>
                <c:pt idx="196">
                  <c:v>318.81</c:v>
                </c:pt>
                <c:pt idx="197">
                  <c:v>318.81</c:v>
                </c:pt>
                <c:pt idx="198">
                  <c:v>318.81</c:v>
                </c:pt>
                <c:pt idx="199">
                  <c:v>318.81</c:v>
                </c:pt>
                <c:pt idx="200">
                  <c:v>318.81</c:v>
                </c:pt>
                <c:pt idx="201">
                  <c:v>318.81</c:v>
                </c:pt>
                <c:pt idx="202">
                  <c:v>318.81</c:v>
                </c:pt>
                <c:pt idx="203">
                  <c:v>318.81</c:v>
                </c:pt>
              </c:numCache>
            </c:numRef>
          </c:val>
          <c:smooth val="0"/>
          <c:extLst>
            <c:ext xmlns:c16="http://schemas.microsoft.com/office/drawing/2014/chart" uri="{C3380CC4-5D6E-409C-BE32-E72D297353CC}">
              <c16:uniqueId val="{00000001-5D18-47FA-93F7-2AB89D044415}"/>
            </c:ext>
          </c:extLst>
        </c:ser>
        <c:ser>
          <c:idx val="2"/>
          <c:order val="2"/>
          <c:tx>
            <c:strRef>
              <c:f>'Fig 10.9. Initial XmR chart'!$I$1</c:f>
              <c:strCache>
                <c:ptCount val="1"/>
                <c:pt idx="0">
                  <c:v>URL</c:v>
                </c:pt>
              </c:strCache>
            </c:strRef>
          </c:tx>
          <c:spPr>
            <a:ln w="28575" cap="rnd">
              <a:solidFill>
                <a:srgbClr val="D72323"/>
              </a:solidFill>
              <a:prstDash val="dash"/>
              <a:round/>
            </a:ln>
            <a:effectLst/>
          </c:spPr>
          <c:marker>
            <c:symbol val="none"/>
          </c:marker>
          <c:val>
            <c:numRef>
              <c:f>'Fig 10.9. Initial XmR chart'!$I$2:$I$205</c:f>
              <c:numCache>
                <c:formatCode>General</c:formatCode>
                <c:ptCount val="204"/>
                <c:pt idx="0">
                  <c:v>1041.8699999999999</c:v>
                </c:pt>
                <c:pt idx="1">
                  <c:v>1041.8699999999999</c:v>
                </c:pt>
                <c:pt idx="2">
                  <c:v>1041.8699999999999</c:v>
                </c:pt>
                <c:pt idx="3">
                  <c:v>1041.8699999999999</c:v>
                </c:pt>
                <c:pt idx="4">
                  <c:v>1041.8699999999999</c:v>
                </c:pt>
                <c:pt idx="5">
                  <c:v>1041.8699999999999</c:v>
                </c:pt>
                <c:pt idx="6">
                  <c:v>1041.8699999999999</c:v>
                </c:pt>
                <c:pt idx="7">
                  <c:v>1041.8699999999999</c:v>
                </c:pt>
                <c:pt idx="8">
                  <c:v>1041.8699999999999</c:v>
                </c:pt>
                <c:pt idx="9">
                  <c:v>1041.8699999999999</c:v>
                </c:pt>
                <c:pt idx="10">
                  <c:v>1041.8699999999999</c:v>
                </c:pt>
                <c:pt idx="11">
                  <c:v>1041.8699999999999</c:v>
                </c:pt>
                <c:pt idx="12">
                  <c:v>1041.8699999999999</c:v>
                </c:pt>
                <c:pt idx="13">
                  <c:v>1041.8699999999999</c:v>
                </c:pt>
                <c:pt idx="14">
                  <c:v>1041.8699999999999</c:v>
                </c:pt>
                <c:pt idx="15">
                  <c:v>1041.8699999999999</c:v>
                </c:pt>
                <c:pt idx="16">
                  <c:v>1041.8699999999999</c:v>
                </c:pt>
                <c:pt idx="17">
                  <c:v>1041.8699999999999</c:v>
                </c:pt>
                <c:pt idx="18">
                  <c:v>1041.8699999999999</c:v>
                </c:pt>
                <c:pt idx="19">
                  <c:v>1041.8699999999999</c:v>
                </c:pt>
                <c:pt idx="20">
                  <c:v>1041.8699999999999</c:v>
                </c:pt>
                <c:pt idx="21">
                  <c:v>1041.8699999999999</c:v>
                </c:pt>
                <c:pt idx="22">
                  <c:v>1041.8699999999999</c:v>
                </c:pt>
                <c:pt idx="23">
                  <c:v>1041.8699999999999</c:v>
                </c:pt>
                <c:pt idx="24">
                  <c:v>1041.8699999999999</c:v>
                </c:pt>
                <c:pt idx="25">
                  <c:v>1041.8699999999999</c:v>
                </c:pt>
                <c:pt idx="26">
                  <c:v>1041.8699999999999</c:v>
                </c:pt>
                <c:pt idx="27">
                  <c:v>1041.8699999999999</c:v>
                </c:pt>
                <c:pt idx="28">
                  <c:v>1041.8699999999999</c:v>
                </c:pt>
                <c:pt idx="29">
                  <c:v>1041.8699999999999</c:v>
                </c:pt>
                <c:pt idx="30">
                  <c:v>1041.8699999999999</c:v>
                </c:pt>
                <c:pt idx="31">
                  <c:v>1041.8699999999999</c:v>
                </c:pt>
                <c:pt idx="32">
                  <c:v>1041.8699999999999</c:v>
                </c:pt>
                <c:pt idx="33">
                  <c:v>1041.8699999999999</c:v>
                </c:pt>
                <c:pt idx="34">
                  <c:v>1041.8699999999999</c:v>
                </c:pt>
                <c:pt idx="35">
                  <c:v>1041.8699999999999</c:v>
                </c:pt>
                <c:pt idx="36">
                  <c:v>1041.8699999999999</c:v>
                </c:pt>
                <c:pt idx="37">
                  <c:v>1041.8699999999999</c:v>
                </c:pt>
                <c:pt idx="38">
                  <c:v>1041.8699999999999</c:v>
                </c:pt>
                <c:pt idx="39">
                  <c:v>1041.8699999999999</c:v>
                </c:pt>
                <c:pt idx="40">
                  <c:v>1041.8699999999999</c:v>
                </c:pt>
                <c:pt idx="41">
                  <c:v>1041.8699999999999</c:v>
                </c:pt>
                <c:pt idx="42">
                  <c:v>1041.8699999999999</c:v>
                </c:pt>
                <c:pt idx="43">
                  <c:v>1041.8699999999999</c:v>
                </c:pt>
                <c:pt idx="44">
                  <c:v>1041.8699999999999</c:v>
                </c:pt>
                <c:pt idx="45">
                  <c:v>1041.8699999999999</c:v>
                </c:pt>
                <c:pt idx="46">
                  <c:v>1041.8699999999999</c:v>
                </c:pt>
                <c:pt idx="47">
                  <c:v>1041.8699999999999</c:v>
                </c:pt>
                <c:pt idx="48">
                  <c:v>1041.8699999999999</c:v>
                </c:pt>
                <c:pt idx="49">
                  <c:v>1041.8699999999999</c:v>
                </c:pt>
                <c:pt idx="50">
                  <c:v>1041.8699999999999</c:v>
                </c:pt>
                <c:pt idx="51">
                  <c:v>1041.8699999999999</c:v>
                </c:pt>
                <c:pt idx="52">
                  <c:v>1041.8699999999999</c:v>
                </c:pt>
                <c:pt idx="53">
                  <c:v>1041.8699999999999</c:v>
                </c:pt>
                <c:pt idx="54">
                  <c:v>1041.8699999999999</c:v>
                </c:pt>
                <c:pt idx="55">
                  <c:v>1041.8699999999999</c:v>
                </c:pt>
                <c:pt idx="56">
                  <c:v>1041.8699999999999</c:v>
                </c:pt>
                <c:pt idx="57">
                  <c:v>1041.8699999999999</c:v>
                </c:pt>
                <c:pt idx="58">
                  <c:v>1041.8699999999999</c:v>
                </c:pt>
                <c:pt idx="59">
                  <c:v>1041.8699999999999</c:v>
                </c:pt>
                <c:pt idx="60">
                  <c:v>1041.8699999999999</c:v>
                </c:pt>
                <c:pt idx="61">
                  <c:v>1041.8699999999999</c:v>
                </c:pt>
                <c:pt idx="62">
                  <c:v>1041.8699999999999</c:v>
                </c:pt>
                <c:pt idx="63">
                  <c:v>1041.8699999999999</c:v>
                </c:pt>
                <c:pt idx="64">
                  <c:v>1041.8699999999999</c:v>
                </c:pt>
                <c:pt idx="65">
                  <c:v>1041.8699999999999</c:v>
                </c:pt>
                <c:pt idx="66">
                  <c:v>1041.8699999999999</c:v>
                </c:pt>
                <c:pt idx="67">
                  <c:v>1041.8699999999999</c:v>
                </c:pt>
                <c:pt idx="68">
                  <c:v>1041.8699999999999</c:v>
                </c:pt>
                <c:pt idx="69">
                  <c:v>1041.8699999999999</c:v>
                </c:pt>
                <c:pt idx="70">
                  <c:v>1041.8699999999999</c:v>
                </c:pt>
                <c:pt idx="71">
                  <c:v>1041.8699999999999</c:v>
                </c:pt>
                <c:pt idx="72">
                  <c:v>1041.8699999999999</c:v>
                </c:pt>
                <c:pt idx="73">
                  <c:v>1041.8699999999999</c:v>
                </c:pt>
                <c:pt idx="74">
                  <c:v>1041.8699999999999</c:v>
                </c:pt>
                <c:pt idx="75">
                  <c:v>1041.8699999999999</c:v>
                </c:pt>
                <c:pt idx="76">
                  <c:v>1041.8699999999999</c:v>
                </c:pt>
                <c:pt idx="77">
                  <c:v>1041.8699999999999</c:v>
                </c:pt>
                <c:pt idx="78">
                  <c:v>1041.8699999999999</c:v>
                </c:pt>
                <c:pt idx="79">
                  <c:v>1041.8699999999999</c:v>
                </c:pt>
                <c:pt idx="80">
                  <c:v>1041.8699999999999</c:v>
                </c:pt>
                <c:pt idx="81">
                  <c:v>1041.8699999999999</c:v>
                </c:pt>
                <c:pt idx="82">
                  <c:v>1041.8699999999999</c:v>
                </c:pt>
                <c:pt idx="83">
                  <c:v>1041.8699999999999</c:v>
                </c:pt>
                <c:pt idx="84">
                  <c:v>1041.8699999999999</c:v>
                </c:pt>
                <c:pt idx="85">
                  <c:v>1041.8699999999999</c:v>
                </c:pt>
                <c:pt idx="86">
                  <c:v>1041.8699999999999</c:v>
                </c:pt>
                <c:pt idx="87">
                  <c:v>1041.8699999999999</c:v>
                </c:pt>
                <c:pt idx="88">
                  <c:v>1041.8699999999999</c:v>
                </c:pt>
                <c:pt idx="89">
                  <c:v>1041.8699999999999</c:v>
                </c:pt>
                <c:pt idx="90">
                  <c:v>1041.8699999999999</c:v>
                </c:pt>
                <c:pt idx="91">
                  <c:v>1041.8699999999999</c:v>
                </c:pt>
                <c:pt idx="92">
                  <c:v>1041.8699999999999</c:v>
                </c:pt>
                <c:pt idx="93">
                  <c:v>1041.8699999999999</c:v>
                </c:pt>
                <c:pt idx="94">
                  <c:v>1041.8699999999999</c:v>
                </c:pt>
                <c:pt idx="95">
                  <c:v>1041.8699999999999</c:v>
                </c:pt>
                <c:pt idx="96">
                  <c:v>1041.8699999999999</c:v>
                </c:pt>
                <c:pt idx="97">
                  <c:v>1041.8699999999999</c:v>
                </c:pt>
                <c:pt idx="98">
                  <c:v>1041.8699999999999</c:v>
                </c:pt>
                <c:pt idx="99">
                  <c:v>1041.8699999999999</c:v>
                </c:pt>
                <c:pt idx="100">
                  <c:v>1041.8699999999999</c:v>
                </c:pt>
                <c:pt idx="101">
                  <c:v>1041.8699999999999</c:v>
                </c:pt>
                <c:pt idx="102">
                  <c:v>1041.8699999999999</c:v>
                </c:pt>
                <c:pt idx="103">
                  <c:v>1041.8699999999999</c:v>
                </c:pt>
                <c:pt idx="104">
                  <c:v>1041.8699999999999</c:v>
                </c:pt>
                <c:pt idx="105">
                  <c:v>1041.8699999999999</c:v>
                </c:pt>
                <c:pt idx="106">
                  <c:v>1041.8699999999999</c:v>
                </c:pt>
                <c:pt idx="107">
                  <c:v>1041.8699999999999</c:v>
                </c:pt>
                <c:pt idx="108">
                  <c:v>1041.8699999999999</c:v>
                </c:pt>
                <c:pt idx="109">
                  <c:v>1041.8699999999999</c:v>
                </c:pt>
                <c:pt idx="110">
                  <c:v>1041.8699999999999</c:v>
                </c:pt>
                <c:pt idx="111">
                  <c:v>1041.8699999999999</c:v>
                </c:pt>
                <c:pt idx="112">
                  <c:v>1041.8699999999999</c:v>
                </c:pt>
                <c:pt idx="113">
                  <c:v>1041.8699999999999</c:v>
                </c:pt>
                <c:pt idx="114">
                  <c:v>1041.8699999999999</c:v>
                </c:pt>
                <c:pt idx="115">
                  <c:v>1041.8699999999999</c:v>
                </c:pt>
                <c:pt idx="116">
                  <c:v>1041.8699999999999</c:v>
                </c:pt>
                <c:pt idx="117">
                  <c:v>1041.8699999999999</c:v>
                </c:pt>
                <c:pt idx="118">
                  <c:v>1041.8699999999999</c:v>
                </c:pt>
                <c:pt idx="119">
                  <c:v>1041.8699999999999</c:v>
                </c:pt>
                <c:pt idx="120">
                  <c:v>1041.8699999999999</c:v>
                </c:pt>
                <c:pt idx="121">
                  <c:v>1041.8699999999999</c:v>
                </c:pt>
                <c:pt idx="122">
                  <c:v>1041.8699999999999</c:v>
                </c:pt>
                <c:pt idx="123">
                  <c:v>1041.8699999999999</c:v>
                </c:pt>
                <c:pt idx="124">
                  <c:v>1041.8699999999999</c:v>
                </c:pt>
                <c:pt idx="125">
                  <c:v>1041.8699999999999</c:v>
                </c:pt>
                <c:pt idx="126">
                  <c:v>1041.8699999999999</c:v>
                </c:pt>
                <c:pt idx="127">
                  <c:v>1041.8699999999999</c:v>
                </c:pt>
                <c:pt idx="128">
                  <c:v>1041.8699999999999</c:v>
                </c:pt>
                <c:pt idx="129">
                  <c:v>1041.8699999999999</c:v>
                </c:pt>
                <c:pt idx="130">
                  <c:v>1041.8699999999999</c:v>
                </c:pt>
                <c:pt idx="131">
                  <c:v>1041.8699999999999</c:v>
                </c:pt>
                <c:pt idx="132">
                  <c:v>1041.8699999999999</c:v>
                </c:pt>
                <c:pt idx="133">
                  <c:v>1041.8699999999999</c:v>
                </c:pt>
                <c:pt idx="134">
                  <c:v>1041.8699999999999</c:v>
                </c:pt>
                <c:pt idx="135">
                  <c:v>1041.8699999999999</c:v>
                </c:pt>
                <c:pt idx="136">
                  <c:v>1041.8699999999999</c:v>
                </c:pt>
                <c:pt idx="137">
                  <c:v>1041.8699999999999</c:v>
                </c:pt>
                <c:pt idx="138">
                  <c:v>1041.8699999999999</c:v>
                </c:pt>
                <c:pt idx="139">
                  <c:v>1041.8699999999999</c:v>
                </c:pt>
                <c:pt idx="140">
                  <c:v>1041.8699999999999</c:v>
                </c:pt>
                <c:pt idx="141">
                  <c:v>1041.8699999999999</c:v>
                </c:pt>
                <c:pt idx="142">
                  <c:v>1041.8699999999999</c:v>
                </c:pt>
                <c:pt idx="143">
                  <c:v>1041.8699999999999</c:v>
                </c:pt>
                <c:pt idx="144">
                  <c:v>1041.8699999999999</c:v>
                </c:pt>
                <c:pt idx="145">
                  <c:v>1041.8699999999999</c:v>
                </c:pt>
                <c:pt idx="146">
                  <c:v>1041.8699999999999</c:v>
                </c:pt>
                <c:pt idx="147">
                  <c:v>1041.8699999999999</c:v>
                </c:pt>
                <c:pt idx="148">
                  <c:v>1041.8699999999999</c:v>
                </c:pt>
                <c:pt idx="149">
                  <c:v>1041.8699999999999</c:v>
                </c:pt>
                <c:pt idx="150">
                  <c:v>1041.8699999999999</c:v>
                </c:pt>
                <c:pt idx="151">
                  <c:v>1041.8699999999999</c:v>
                </c:pt>
                <c:pt idx="152">
                  <c:v>1041.8699999999999</c:v>
                </c:pt>
                <c:pt idx="153">
                  <c:v>1041.8699999999999</c:v>
                </c:pt>
                <c:pt idx="154">
                  <c:v>1041.8699999999999</c:v>
                </c:pt>
                <c:pt idx="155">
                  <c:v>1041.8699999999999</c:v>
                </c:pt>
                <c:pt idx="156">
                  <c:v>1041.8699999999999</c:v>
                </c:pt>
                <c:pt idx="157">
                  <c:v>1041.8699999999999</c:v>
                </c:pt>
                <c:pt idx="158">
                  <c:v>1041.8699999999999</c:v>
                </c:pt>
                <c:pt idx="159">
                  <c:v>1041.8699999999999</c:v>
                </c:pt>
                <c:pt idx="160">
                  <c:v>1041.8699999999999</c:v>
                </c:pt>
                <c:pt idx="161">
                  <c:v>1041.8699999999999</c:v>
                </c:pt>
                <c:pt idx="162">
                  <c:v>1041.8699999999999</c:v>
                </c:pt>
                <c:pt idx="163">
                  <c:v>1041.8699999999999</c:v>
                </c:pt>
                <c:pt idx="164">
                  <c:v>1041.8699999999999</c:v>
                </c:pt>
                <c:pt idx="165">
                  <c:v>1041.8699999999999</c:v>
                </c:pt>
                <c:pt idx="166">
                  <c:v>1041.8699999999999</c:v>
                </c:pt>
                <c:pt idx="167">
                  <c:v>1041.8699999999999</c:v>
                </c:pt>
                <c:pt idx="168">
                  <c:v>1041.8699999999999</c:v>
                </c:pt>
                <c:pt idx="169">
                  <c:v>1041.8699999999999</c:v>
                </c:pt>
                <c:pt idx="170">
                  <c:v>1041.8699999999999</c:v>
                </c:pt>
                <c:pt idx="171">
                  <c:v>1041.8699999999999</c:v>
                </c:pt>
                <c:pt idx="172">
                  <c:v>1041.8699999999999</c:v>
                </c:pt>
                <c:pt idx="173">
                  <c:v>1041.8699999999999</c:v>
                </c:pt>
                <c:pt idx="174">
                  <c:v>1041.8699999999999</c:v>
                </c:pt>
                <c:pt idx="175">
                  <c:v>1041.8699999999999</c:v>
                </c:pt>
                <c:pt idx="176">
                  <c:v>1041.8699999999999</c:v>
                </c:pt>
                <c:pt idx="177">
                  <c:v>1041.8699999999999</c:v>
                </c:pt>
                <c:pt idx="178">
                  <c:v>1041.8699999999999</c:v>
                </c:pt>
                <c:pt idx="179">
                  <c:v>1041.8699999999999</c:v>
                </c:pt>
                <c:pt idx="180">
                  <c:v>1041.8699999999999</c:v>
                </c:pt>
                <c:pt idx="181">
                  <c:v>1041.8699999999999</c:v>
                </c:pt>
                <c:pt idx="182">
                  <c:v>1041.8699999999999</c:v>
                </c:pt>
                <c:pt idx="183">
                  <c:v>1041.8699999999999</c:v>
                </c:pt>
                <c:pt idx="184">
                  <c:v>1041.8699999999999</c:v>
                </c:pt>
                <c:pt idx="185">
                  <c:v>1041.8699999999999</c:v>
                </c:pt>
                <c:pt idx="186">
                  <c:v>1041.8699999999999</c:v>
                </c:pt>
                <c:pt idx="187">
                  <c:v>1041.8699999999999</c:v>
                </c:pt>
                <c:pt idx="188">
                  <c:v>1041.8699999999999</c:v>
                </c:pt>
                <c:pt idx="189">
                  <c:v>1041.8699999999999</c:v>
                </c:pt>
                <c:pt idx="190">
                  <c:v>1041.8699999999999</c:v>
                </c:pt>
                <c:pt idx="191">
                  <c:v>1041.8699999999999</c:v>
                </c:pt>
                <c:pt idx="192">
                  <c:v>1041.8699999999999</c:v>
                </c:pt>
                <c:pt idx="193">
                  <c:v>1041.8699999999999</c:v>
                </c:pt>
                <c:pt idx="194">
                  <c:v>1041.8699999999999</c:v>
                </c:pt>
                <c:pt idx="195">
                  <c:v>1041.8699999999999</c:v>
                </c:pt>
                <c:pt idx="196">
                  <c:v>1041.8699999999999</c:v>
                </c:pt>
                <c:pt idx="197">
                  <c:v>1041.8699999999999</c:v>
                </c:pt>
                <c:pt idx="198">
                  <c:v>1041.8699999999999</c:v>
                </c:pt>
                <c:pt idx="199">
                  <c:v>1041.8699999999999</c:v>
                </c:pt>
                <c:pt idx="200">
                  <c:v>1041.8699999999999</c:v>
                </c:pt>
                <c:pt idx="201">
                  <c:v>1041.8699999999999</c:v>
                </c:pt>
                <c:pt idx="202">
                  <c:v>1041.8699999999999</c:v>
                </c:pt>
                <c:pt idx="203">
                  <c:v>1041.8699999999999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 causes of variability were eliminated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10.10. XmR charts'!$C$1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10.10. XmR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10.10. XmR charts'!$C$2:$C$205</c:f>
              <c:numCache>
                <c:formatCode>General</c:formatCode>
                <c:ptCount val="204"/>
                <c:pt idx="0">
                  <c:v>5045</c:v>
                </c:pt>
                <c:pt idx="1">
                  <c:v>4350</c:v>
                </c:pt>
                <c:pt idx="2">
                  <c:v>4350</c:v>
                </c:pt>
                <c:pt idx="3">
                  <c:v>3975</c:v>
                </c:pt>
                <c:pt idx="4">
                  <c:v>4290</c:v>
                </c:pt>
                <c:pt idx="5">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numCache>
            </c:numRef>
          </c:val>
          <c:smooth val="0"/>
          <c:extLst>
            <c:ext xmlns:c16="http://schemas.microsoft.com/office/drawing/2014/chart" uri="{C3380CC4-5D6E-409C-BE32-E72D297353CC}">
              <c16:uniqueId val="{00000000-329B-41D6-8340-43856FD2F6C5}"/>
            </c:ext>
          </c:extLst>
        </c:ser>
        <c:ser>
          <c:idx val="1"/>
          <c:order val="1"/>
          <c:tx>
            <c:strRef>
              <c:f>'Fig 10.10. XmR charts'!$D$1</c:f>
              <c:strCache>
                <c:ptCount val="1"/>
                <c:pt idx="0">
                  <c:v>Mean</c:v>
                </c:pt>
              </c:strCache>
            </c:strRef>
          </c:tx>
          <c:spPr>
            <a:ln w="28575" cap="rnd">
              <a:solidFill>
                <a:schemeClr val="tx1"/>
              </a:solidFill>
              <a:round/>
            </a:ln>
            <a:effectLst/>
          </c:spPr>
          <c:marker>
            <c:symbol val="none"/>
          </c:marker>
          <c:cat>
            <c:strRef>
              <c:f>'Fig 10.10. XmR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10.10. XmR charts'!$D$2:$D$205</c:f>
              <c:numCache>
                <c:formatCode>0.00</c:formatCode>
                <c:ptCount val="204"/>
                <c:pt idx="0">
                  <c:v>4498.18</c:v>
                </c:pt>
                <c:pt idx="1">
                  <c:v>4498.18</c:v>
                </c:pt>
                <c:pt idx="2">
                  <c:v>4498.18</c:v>
                </c:pt>
                <c:pt idx="3">
                  <c:v>4498.18</c:v>
                </c:pt>
                <c:pt idx="4">
                  <c:v>4498.18</c:v>
                </c:pt>
                <c:pt idx="5">
                  <c:v>4498.18</c:v>
                </c:pt>
                <c:pt idx="6">
                  <c:v>4498.18</c:v>
                </c:pt>
                <c:pt idx="7">
                  <c:v>4498.18</c:v>
                </c:pt>
                <c:pt idx="8">
                  <c:v>4498.18</c:v>
                </c:pt>
                <c:pt idx="9">
                  <c:v>4498.18</c:v>
                </c:pt>
                <c:pt idx="10">
                  <c:v>4498.18</c:v>
                </c:pt>
                <c:pt idx="11">
                  <c:v>4498.18</c:v>
                </c:pt>
                <c:pt idx="12">
                  <c:v>4498.18</c:v>
                </c:pt>
                <c:pt idx="13">
                  <c:v>4498.18</c:v>
                </c:pt>
                <c:pt idx="14">
                  <c:v>4498.18</c:v>
                </c:pt>
                <c:pt idx="15">
                  <c:v>4498.18</c:v>
                </c:pt>
                <c:pt idx="16">
                  <c:v>4498.18</c:v>
                </c:pt>
                <c:pt idx="17">
                  <c:v>4498.18</c:v>
                </c:pt>
                <c:pt idx="18">
                  <c:v>4498.18</c:v>
                </c:pt>
                <c:pt idx="19">
                  <c:v>4498.18</c:v>
                </c:pt>
                <c:pt idx="20">
                  <c:v>4498.18</c:v>
                </c:pt>
                <c:pt idx="21">
                  <c:v>4498.18</c:v>
                </c:pt>
                <c:pt idx="22">
                  <c:v>4498.18</c:v>
                </c:pt>
                <c:pt idx="23">
                  <c:v>4498.18</c:v>
                </c:pt>
                <c:pt idx="24">
                  <c:v>4498.18</c:v>
                </c:pt>
                <c:pt idx="25">
                  <c:v>4498.18</c:v>
                </c:pt>
                <c:pt idx="26">
                  <c:v>4498.18</c:v>
                </c:pt>
                <c:pt idx="27">
                  <c:v>4498.18</c:v>
                </c:pt>
                <c:pt idx="28">
                  <c:v>4498.18</c:v>
                </c:pt>
                <c:pt idx="29">
                  <c:v>4498.18</c:v>
                </c:pt>
                <c:pt idx="30">
                  <c:v>4498.18</c:v>
                </c:pt>
                <c:pt idx="31">
                  <c:v>4498.18</c:v>
                </c:pt>
                <c:pt idx="32">
                  <c:v>4498.18</c:v>
                </c:pt>
                <c:pt idx="33">
                  <c:v>4498.18</c:v>
                </c:pt>
                <c:pt idx="34">
                  <c:v>4498.18</c:v>
                </c:pt>
                <c:pt idx="35">
                  <c:v>4498.18</c:v>
                </c:pt>
                <c:pt idx="36">
                  <c:v>4498.18</c:v>
                </c:pt>
                <c:pt idx="37">
                  <c:v>4498.18</c:v>
                </c:pt>
                <c:pt idx="38">
                  <c:v>4498.18</c:v>
                </c:pt>
                <c:pt idx="39">
                  <c:v>4498.18</c:v>
                </c:pt>
                <c:pt idx="40">
                  <c:v>4498.18</c:v>
                </c:pt>
                <c:pt idx="41">
                  <c:v>4498.18</c:v>
                </c:pt>
                <c:pt idx="42">
                  <c:v>4498.18</c:v>
                </c:pt>
                <c:pt idx="43">
                  <c:v>4498.18</c:v>
                </c:pt>
                <c:pt idx="44">
                  <c:v>4498.18</c:v>
                </c:pt>
                <c:pt idx="45">
                  <c:v>4498.18</c:v>
                </c:pt>
                <c:pt idx="46">
                  <c:v>4498.18</c:v>
                </c:pt>
                <c:pt idx="47">
                  <c:v>4498.18</c:v>
                </c:pt>
                <c:pt idx="48">
                  <c:v>4498.18</c:v>
                </c:pt>
                <c:pt idx="49">
                  <c:v>4498.18</c:v>
                </c:pt>
                <c:pt idx="50">
                  <c:v>4498.18</c:v>
                </c:pt>
                <c:pt idx="51">
                  <c:v>4498.18</c:v>
                </c:pt>
                <c:pt idx="52">
                  <c:v>4498.18</c:v>
                </c:pt>
                <c:pt idx="53">
                  <c:v>4498.18</c:v>
                </c:pt>
                <c:pt idx="54">
                  <c:v>4498.18</c:v>
                </c:pt>
                <c:pt idx="55">
                  <c:v>4498.18</c:v>
                </c:pt>
                <c:pt idx="56">
                  <c:v>4498.18</c:v>
                </c:pt>
                <c:pt idx="57">
                  <c:v>4498.18</c:v>
                </c:pt>
                <c:pt idx="58">
                  <c:v>4498.18</c:v>
                </c:pt>
                <c:pt idx="59">
                  <c:v>4498.18</c:v>
                </c:pt>
                <c:pt idx="60">
                  <c:v>4498.18</c:v>
                </c:pt>
                <c:pt idx="61">
                  <c:v>4498.18</c:v>
                </c:pt>
                <c:pt idx="62">
                  <c:v>4498.18</c:v>
                </c:pt>
                <c:pt idx="63">
                  <c:v>4498.18</c:v>
                </c:pt>
                <c:pt idx="64">
                  <c:v>4498.18</c:v>
                </c:pt>
                <c:pt idx="65">
                  <c:v>4498.18</c:v>
                </c:pt>
                <c:pt idx="66">
                  <c:v>4498.18</c:v>
                </c:pt>
                <c:pt idx="67">
                  <c:v>4498.18</c:v>
                </c:pt>
                <c:pt idx="68">
                  <c:v>4498.18</c:v>
                </c:pt>
                <c:pt idx="69">
                  <c:v>4498.18</c:v>
                </c:pt>
                <c:pt idx="70">
                  <c:v>4498.18</c:v>
                </c:pt>
                <c:pt idx="71">
                  <c:v>4498.18</c:v>
                </c:pt>
                <c:pt idx="72">
                  <c:v>4498.18</c:v>
                </c:pt>
                <c:pt idx="73">
                  <c:v>4498.18</c:v>
                </c:pt>
                <c:pt idx="74">
                  <c:v>4498.18</c:v>
                </c:pt>
                <c:pt idx="75">
                  <c:v>4498.18</c:v>
                </c:pt>
                <c:pt idx="76">
                  <c:v>4498.18</c:v>
                </c:pt>
                <c:pt idx="77">
                  <c:v>4498.18</c:v>
                </c:pt>
                <c:pt idx="78">
                  <c:v>4498.18</c:v>
                </c:pt>
                <c:pt idx="79">
                  <c:v>4498.18</c:v>
                </c:pt>
                <c:pt idx="80">
                  <c:v>4498.18</c:v>
                </c:pt>
                <c:pt idx="81">
                  <c:v>4498.18</c:v>
                </c:pt>
                <c:pt idx="82">
                  <c:v>4498.18</c:v>
                </c:pt>
                <c:pt idx="83">
                  <c:v>4498.18</c:v>
                </c:pt>
                <c:pt idx="84">
                  <c:v>4498.18</c:v>
                </c:pt>
                <c:pt idx="85">
                  <c:v>4498.18</c:v>
                </c:pt>
                <c:pt idx="86">
                  <c:v>4498.18</c:v>
                </c:pt>
                <c:pt idx="87">
                  <c:v>4498.18</c:v>
                </c:pt>
                <c:pt idx="88">
                  <c:v>4498.18</c:v>
                </c:pt>
                <c:pt idx="89">
                  <c:v>4498.18</c:v>
                </c:pt>
                <c:pt idx="90">
                  <c:v>4498.18</c:v>
                </c:pt>
                <c:pt idx="91">
                  <c:v>4498.18</c:v>
                </c:pt>
                <c:pt idx="92">
                  <c:v>4498.18</c:v>
                </c:pt>
                <c:pt idx="93">
                  <c:v>4498.18</c:v>
                </c:pt>
                <c:pt idx="94">
                  <c:v>4498.18</c:v>
                </c:pt>
                <c:pt idx="95">
                  <c:v>4498.18</c:v>
                </c:pt>
                <c:pt idx="96">
                  <c:v>4498.18</c:v>
                </c:pt>
                <c:pt idx="97">
                  <c:v>4498.18</c:v>
                </c:pt>
                <c:pt idx="98">
                  <c:v>4498.18</c:v>
                </c:pt>
                <c:pt idx="99">
                  <c:v>4498.18</c:v>
                </c:pt>
                <c:pt idx="100">
                  <c:v>4498.18</c:v>
                </c:pt>
                <c:pt idx="101">
                  <c:v>4498.18</c:v>
                </c:pt>
                <c:pt idx="102">
                  <c:v>4498.18</c:v>
                </c:pt>
                <c:pt idx="103">
                  <c:v>4498.18</c:v>
                </c:pt>
                <c:pt idx="104">
                  <c:v>4498.18</c:v>
                </c:pt>
                <c:pt idx="105">
                  <c:v>4498.18</c:v>
                </c:pt>
                <c:pt idx="106">
                  <c:v>4498.18</c:v>
                </c:pt>
                <c:pt idx="107">
                  <c:v>4498.18</c:v>
                </c:pt>
                <c:pt idx="108">
                  <c:v>4498.18</c:v>
                </c:pt>
                <c:pt idx="109">
                  <c:v>4498.18</c:v>
                </c:pt>
                <c:pt idx="110">
                  <c:v>4498.18</c:v>
                </c:pt>
                <c:pt idx="111">
                  <c:v>4498.18</c:v>
                </c:pt>
                <c:pt idx="112">
                  <c:v>4498.18</c:v>
                </c:pt>
                <c:pt idx="113">
                  <c:v>4498.18</c:v>
                </c:pt>
                <c:pt idx="114">
                  <c:v>4498.18</c:v>
                </c:pt>
                <c:pt idx="115">
                  <c:v>4498.18</c:v>
                </c:pt>
                <c:pt idx="116">
                  <c:v>4498.18</c:v>
                </c:pt>
                <c:pt idx="117">
                  <c:v>4498.18</c:v>
                </c:pt>
                <c:pt idx="118">
                  <c:v>4498.18</c:v>
                </c:pt>
                <c:pt idx="119">
                  <c:v>4498.18</c:v>
                </c:pt>
                <c:pt idx="120">
                  <c:v>4498.18</c:v>
                </c:pt>
                <c:pt idx="121">
                  <c:v>4498.18</c:v>
                </c:pt>
                <c:pt idx="122">
                  <c:v>4498.18</c:v>
                </c:pt>
                <c:pt idx="123">
                  <c:v>4498.18</c:v>
                </c:pt>
                <c:pt idx="124">
                  <c:v>4498.18</c:v>
                </c:pt>
                <c:pt idx="125">
                  <c:v>4498.18</c:v>
                </c:pt>
                <c:pt idx="126">
                  <c:v>4498.18</c:v>
                </c:pt>
                <c:pt idx="127">
                  <c:v>4498.18</c:v>
                </c:pt>
                <c:pt idx="128">
                  <c:v>4498.18</c:v>
                </c:pt>
                <c:pt idx="129">
                  <c:v>4498.18</c:v>
                </c:pt>
                <c:pt idx="130">
                  <c:v>4498.18</c:v>
                </c:pt>
                <c:pt idx="131">
                  <c:v>4498.18</c:v>
                </c:pt>
                <c:pt idx="132">
                  <c:v>4498.18</c:v>
                </c:pt>
                <c:pt idx="133">
                  <c:v>4498.18</c:v>
                </c:pt>
                <c:pt idx="134">
                  <c:v>4498.18</c:v>
                </c:pt>
                <c:pt idx="135">
                  <c:v>4498.18</c:v>
                </c:pt>
                <c:pt idx="136">
                  <c:v>4498.18</c:v>
                </c:pt>
                <c:pt idx="137">
                  <c:v>4498.18</c:v>
                </c:pt>
                <c:pt idx="138">
                  <c:v>4498.18</c:v>
                </c:pt>
                <c:pt idx="139">
                  <c:v>4498.18</c:v>
                </c:pt>
                <c:pt idx="140">
                  <c:v>4498.18</c:v>
                </c:pt>
                <c:pt idx="141">
                  <c:v>4498.18</c:v>
                </c:pt>
                <c:pt idx="142">
                  <c:v>4498.18</c:v>
                </c:pt>
                <c:pt idx="143">
                  <c:v>4498.18</c:v>
                </c:pt>
                <c:pt idx="144">
                  <c:v>4498.18</c:v>
                </c:pt>
                <c:pt idx="145">
                  <c:v>4498.18</c:v>
                </c:pt>
                <c:pt idx="146">
                  <c:v>4498.18</c:v>
                </c:pt>
                <c:pt idx="147">
                  <c:v>4498.18</c:v>
                </c:pt>
                <c:pt idx="148">
                  <c:v>4498.18</c:v>
                </c:pt>
                <c:pt idx="149">
                  <c:v>4498.18</c:v>
                </c:pt>
                <c:pt idx="150">
                  <c:v>4498.18</c:v>
                </c:pt>
                <c:pt idx="151">
                  <c:v>4498.18</c:v>
                </c:pt>
                <c:pt idx="152">
                  <c:v>4498.18</c:v>
                </c:pt>
                <c:pt idx="153">
                  <c:v>4498.18</c:v>
                </c:pt>
                <c:pt idx="154">
                  <c:v>4498.18</c:v>
                </c:pt>
                <c:pt idx="155">
                  <c:v>4498.18</c:v>
                </c:pt>
                <c:pt idx="156">
                  <c:v>4498.18</c:v>
                </c:pt>
                <c:pt idx="157">
                  <c:v>4498.18</c:v>
                </c:pt>
                <c:pt idx="158">
                  <c:v>4498.18</c:v>
                </c:pt>
                <c:pt idx="159">
                  <c:v>4498.18</c:v>
                </c:pt>
                <c:pt idx="160">
                  <c:v>4498.18</c:v>
                </c:pt>
                <c:pt idx="161">
                  <c:v>4498.18</c:v>
                </c:pt>
                <c:pt idx="162">
                  <c:v>4498.18</c:v>
                </c:pt>
                <c:pt idx="163">
                  <c:v>4498.18</c:v>
                </c:pt>
                <c:pt idx="164">
                  <c:v>4498.18</c:v>
                </c:pt>
                <c:pt idx="165">
                  <c:v>4498.18</c:v>
                </c:pt>
                <c:pt idx="166">
                  <c:v>4498.18</c:v>
                </c:pt>
                <c:pt idx="167">
                  <c:v>4498.18</c:v>
                </c:pt>
                <c:pt idx="168">
                  <c:v>4498.18</c:v>
                </c:pt>
                <c:pt idx="169">
                  <c:v>4498.18</c:v>
                </c:pt>
                <c:pt idx="170">
                  <c:v>4498.18</c:v>
                </c:pt>
                <c:pt idx="171">
                  <c:v>4498.18</c:v>
                </c:pt>
                <c:pt idx="172">
                  <c:v>4498.18</c:v>
                </c:pt>
                <c:pt idx="173">
                  <c:v>4498.18</c:v>
                </c:pt>
                <c:pt idx="174">
                  <c:v>4498.18</c:v>
                </c:pt>
                <c:pt idx="175">
                  <c:v>4498.18</c:v>
                </c:pt>
                <c:pt idx="176">
                  <c:v>4498.18</c:v>
                </c:pt>
                <c:pt idx="177">
                  <c:v>4498.18</c:v>
                </c:pt>
                <c:pt idx="178">
                  <c:v>4498.18</c:v>
                </c:pt>
                <c:pt idx="179">
                  <c:v>4498.18</c:v>
                </c:pt>
                <c:pt idx="180">
                  <c:v>4498.18</c:v>
                </c:pt>
                <c:pt idx="181">
                  <c:v>4498.18</c:v>
                </c:pt>
                <c:pt idx="182">
                  <c:v>4498.18</c:v>
                </c:pt>
                <c:pt idx="183">
                  <c:v>4498.18</c:v>
                </c:pt>
                <c:pt idx="184">
                  <c:v>4498.18</c:v>
                </c:pt>
                <c:pt idx="185">
                  <c:v>4498.18</c:v>
                </c:pt>
                <c:pt idx="186">
                  <c:v>4498.18</c:v>
                </c:pt>
                <c:pt idx="187">
                  <c:v>4498.18</c:v>
                </c:pt>
                <c:pt idx="188">
                  <c:v>4498.18</c:v>
                </c:pt>
                <c:pt idx="189">
                  <c:v>4498.18</c:v>
                </c:pt>
                <c:pt idx="190">
                  <c:v>4498.18</c:v>
                </c:pt>
                <c:pt idx="191">
                  <c:v>4498.18</c:v>
                </c:pt>
                <c:pt idx="192">
                  <c:v>4498.18</c:v>
                </c:pt>
                <c:pt idx="193">
                  <c:v>4498.18</c:v>
                </c:pt>
                <c:pt idx="194">
                  <c:v>4498.18</c:v>
                </c:pt>
                <c:pt idx="195">
                  <c:v>4498.18</c:v>
                </c:pt>
                <c:pt idx="196">
                  <c:v>4498.18</c:v>
                </c:pt>
                <c:pt idx="197">
                  <c:v>4498.18</c:v>
                </c:pt>
                <c:pt idx="198">
                  <c:v>4498.18</c:v>
                </c:pt>
                <c:pt idx="199">
                  <c:v>4498.18</c:v>
                </c:pt>
                <c:pt idx="200">
                  <c:v>4498.18</c:v>
                </c:pt>
                <c:pt idx="201">
                  <c:v>4498.18</c:v>
                </c:pt>
                <c:pt idx="202">
                  <c:v>4498.18</c:v>
                </c:pt>
                <c:pt idx="203">
                  <c:v>4498.18</c:v>
                </c:pt>
              </c:numCache>
            </c:numRef>
          </c:val>
          <c:smooth val="0"/>
          <c:extLst>
            <c:ext xmlns:c16="http://schemas.microsoft.com/office/drawing/2014/chart" uri="{C3380CC4-5D6E-409C-BE32-E72D297353CC}">
              <c16:uniqueId val="{00000001-329B-41D6-8340-43856FD2F6C5}"/>
            </c:ext>
          </c:extLst>
        </c:ser>
        <c:ser>
          <c:idx val="2"/>
          <c:order val="2"/>
          <c:tx>
            <c:strRef>
              <c:f>'Fig 10.10. XmR charts'!$E$1</c:f>
              <c:strCache>
                <c:ptCount val="1"/>
                <c:pt idx="0">
                  <c:v>UPL</c:v>
                </c:pt>
              </c:strCache>
            </c:strRef>
          </c:tx>
          <c:spPr>
            <a:ln w="28575" cap="rnd">
              <a:solidFill>
                <a:srgbClr val="D72323"/>
              </a:solidFill>
              <a:prstDash val="dash"/>
              <a:round/>
            </a:ln>
            <a:effectLst/>
          </c:spPr>
          <c:marker>
            <c:symbol val="none"/>
          </c:marker>
          <c:cat>
            <c:strRef>
              <c:f>'Fig 10.10. XmR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10.10. XmR charts'!$E$2:$E$205</c:f>
              <c:numCache>
                <c:formatCode>0.00</c:formatCode>
                <c:ptCount val="204"/>
                <c:pt idx="0">
                  <c:v>5346.21</c:v>
                </c:pt>
                <c:pt idx="1">
                  <c:v>5346.21</c:v>
                </c:pt>
                <c:pt idx="2">
                  <c:v>5346.21</c:v>
                </c:pt>
                <c:pt idx="3">
                  <c:v>5346.21</c:v>
                </c:pt>
                <c:pt idx="4">
                  <c:v>5346.21</c:v>
                </c:pt>
                <c:pt idx="5">
                  <c:v>5346.21</c:v>
                </c:pt>
                <c:pt idx="6">
                  <c:v>5346.21</c:v>
                </c:pt>
                <c:pt idx="7">
                  <c:v>5346.21</c:v>
                </c:pt>
                <c:pt idx="8">
                  <c:v>5346.21</c:v>
                </c:pt>
                <c:pt idx="9">
                  <c:v>5346.21</c:v>
                </c:pt>
                <c:pt idx="10">
                  <c:v>5346.21</c:v>
                </c:pt>
                <c:pt idx="11">
                  <c:v>5346.21</c:v>
                </c:pt>
                <c:pt idx="12">
                  <c:v>5346.21</c:v>
                </c:pt>
                <c:pt idx="13">
                  <c:v>5346.21</c:v>
                </c:pt>
                <c:pt idx="14">
                  <c:v>5346.21</c:v>
                </c:pt>
                <c:pt idx="15">
                  <c:v>5346.21</c:v>
                </c:pt>
                <c:pt idx="16">
                  <c:v>5346.21</c:v>
                </c:pt>
                <c:pt idx="17">
                  <c:v>5346.21</c:v>
                </c:pt>
                <c:pt idx="18">
                  <c:v>5346.21</c:v>
                </c:pt>
                <c:pt idx="19">
                  <c:v>5346.21</c:v>
                </c:pt>
                <c:pt idx="20">
                  <c:v>5346.21</c:v>
                </c:pt>
                <c:pt idx="21">
                  <c:v>5346.21</c:v>
                </c:pt>
                <c:pt idx="22">
                  <c:v>5346.21</c:v>
                </c:pt>
                <c:pt idx="23">
                  <c:v>5346.21</c:v>
                </c:pt>
                <c:pt idx="24">
                  <c:v>5346.21</c:v>
                </c:pt>
                <c:pt idx="25">
                  <c:v>5346.21</c:v>
                </c:pt>
                <c:pt idx="26">
                  <c:v>5346.21</c:v>
                </c:pt>
                <c:pt idx="27">
                  <c:v>5346.21</c:v>
                </c:pt>
                <c:pt idx="28">
                  <c:v>5346.21</c:v>
                </c:pt>
                <c:pt idx="29">
                  <c:v>5346.21</c:v>
                </c:pt>
                <c:pt idx="30">
                  <c:v>5346.21</c:v>
                </c:pt>
                <c:pt idx="31">
                  <c:v>5346.21</c:v>
                </c:pt>
                <c:pt idx="32">
                  <c:v>5346.21</c:v>
                </c:pt>
                <c:pt idx="33">
                  <c:v>5346.21</c:v>
                </c:pt>
                <c:pt idx="34">
                  <c:v>5346.21</c:v>
                </c:pt>
                <c:pt idx="35">
                  <c:v>5346.21</c:v>
                </c:pt>
                <c:pt idx="36">
                  <c:v>5346.21</c:v>
                </c:pt>
                <c:pt idx="37">
                  <c:v>5346.21</c:v>
                </c:pt>
                <c:pt idx="38">
                  <c:v>5346.21</c:v>
                </c:pt>
                <c:pt idx="39">
                  <c:v>5346.21</c:v>
                </c:pt>
                <c:pt idx="40">
                  <c:v>5346.21</c:v>
                </c:pt>
                <c:pt idx="41">
                  <c:v>5346.21</c:v>
                </c:pt>
                <c:pt idx="42">
                  <c:v>5346.21</c:v>
                </c:pt>
                <c:pt idx="43">
                  <c:v>5346.21</c:v>
                </c:pt>
                <c:pt idx="44">
                  <c:v>5346.21</c:v>
                </c:pt>
                <c:pt idx="45">
                  <c:v>5346.21</c:v>
                </c:pt>
                <c:pt idx="46">
                  <c:v>5346.21</c:v>
                </c:pt>
                <c:pt idx="47">
                  <c:v>5346.21</c:v>
                </c:pt>
                <c:pt idx="48">
                  <c:v>5346.21</c:v>
                </c:pt>
                <c:pt idx="49">
                  <c:v>5346.21</c:v>
                </c:pt>
                <c:pt idx="50">
                  <c:v>5346.21</c:v>
                </c:pt>
                <c:pt idx="51">
                  <c:v>5346.21</c:v>
                </c:pt>
                <c:pt idx="52">
                  <c:v>5346.21</c:v>
                </c:pt>
                <c:pt idx="53">
                  <c:v>5346.21</c:v>
                </c:pt>
                <c:pt idx="54">
                  <c:v>5346.21</c:v>
                </c:pt>
                <c:pt idx="55">
                  <c:v>5346.21</c:v>
                </c:pt>
                <c:pt idx="56">
                  <c:v>5346.21</c:v>
                </c:pt>
                <c:pt idx="57">
                  <c:v>5346.21</c:v>
                </c:pt>
                <c:pt idx="58">
                  <c:v>5346.21</c:v>
                </c:pt>
                <c:pt idx="59">
                  <c:v>5346.21</c:v>
                </c:pt>
                <c:pt idx="60">
                  <c:v>5346.21</c:v>
                </c:pt>
                <c:pt idx="61">
                  <c:v>5346.21</c:v>
                </c:pt>
                <c:pt idx="62">
                  <c:v>5346.21</c:v>
                </c:pt>
                <c:pt idx="63">
                  <c:v>5346.21</c:v>
                </c:pt>
                <c:pt idx="64">
                  <c:v>5346.21</c:v>
                </c:pt>
                <c:pt idx="65">
                  <c:v>5346.21</c:v>
                </c:pt>
                <c:pt idx="66">
                  <c:v>5346.21</c:v>
                </c:pt>
                <c:pt idx="67">
                  <c:v>5346.21</c:v>
                </c:pt>
                <c:pt idx="68">
                  <c:v>5346.21</c:v>
                </c:pt>
                <c:pt idx="69">
                  <c:v>5346.21</c:v>
                </c:pt>
                <c:pt idx="70">
                  <c:v>5346.21</c:v>
                </c:pt>
                <c:pt idx="71">
                  <c:v>5346.21</c:v>
                </c:pt>
                <c:pt idx="72">
                  <c:v>5346.21</c:v>
                </c:pt>
                <c:pt idx="73">
                  <c:v>5346.21</c:v>
                </c:pt>
                <c:pt idx="74">
                  <c:v>5346.21</c:v>
                </c:pt>
                <c:pt idx="75">
                  <c:v>5346.21</c:v>
                </c:pt>
                <c:pt idx="76">
                  <c:v>5346.21</c:v>
                </c:pt>
                <c:pt idx="77">
                  <c:v>5346.21</c:v>
                </c:pt>
                <c:pt idx="78">
                  <c:v>5346.21</c:v>
                </c:pt>
                <c:pt idx="79">
                  <c:v>5346.21</c:v>
                </c:pt>
                <c:pt idx="80">
                  <c:v>5346.21</c:v>
                </c:pt>
                <c:pt idx="81">
                  <c:v>5346.21</c:v>
                </c:pt>
                <c:pt idx="82">
                  <c:v>5346.21</c:v>
                </c:pt>
                <c:pt idx="83">
                  <c:v>5346.21</c:v>
                </c:pt>
                <c:pt idx="84">
                  <c:v>5346.21</c:v>
                </c:pt>
                <c:pt idx="85">
                  <c:v>5346.21</c:v>
                </c:pt>
                <c:pt idx="86">
                  <c:v>5346.21</c:v>
                </c:pt>
                <c:pt idx="87">
                  <c:v>5346.21</c:v>
                </c:pt>
                <c:pt idx="88">
                  <c:v>5346.21</c:v>
                </c:pt>
                <c:pt idx="89">
                  <c:v>5346.21</c:v>
                </c:pt>
                <c:pt idx="90">
                  <c:v>5346.21</c:v>
                </c:pt>
                <c:pt idx="91">
                  <c:v>5346.21</c:v>
                </c:pt>
                <c:pt idx="92">
                  <c:v>5346.21</c:v>
                </c:pt>
                <c:pt idx="93">
                  <c:v>5346.21</c:v>
                </c:pt>
                <c:pt idx="94">
                  <c:v>5346.21</c:v>
                </c:pt>
                <c:pt idx="95">
                  <c:v>5346.21</c:v>
                </c:pt>
                <c:pt idx="96">
                  <c:v>5346.21</c:v>
                </c:pt>
                <c:pt idx="97">
                  <c:v>5346.21</c:v>
                </c:pt>
                <c:pt idx="98">
                  <c:v>5346.21</c:v>
                </c:pt>
                <c:pt idx="99">
                  <c:v>5346.21</c:v>
                </c:pt>
                <c:pt idx="100">
                  <c:v>5346.21</c:v>
                </c:pt>
                <c:pt idx="101">
                  <c:v>5346.21</c:v>
                </c:pt>
                <c:pt idx="102">
                  <c:v>5346.21</c:v>
                </c:pt>
                <c:pt idx="103">
                  <c:v>5346.21</c:v>
                </c:pt>
                <c:pt idx="104">
                  <c:v>5346.21</c:v>
                </c:pt>
                <c:pt idx="105">
                  <c:v>5346.21</c:v>
                </c:pt>
                <c:pt idx="106">
                  <c:v>5346.21</c:v>
                </c:pt>
                <c:pt idx="107">
                  <c:v>5346.21</c:v>
                </c:pt>
                <c:pt idx="108">
                  <c:v>5346.21</c:v>
                </c:pt>
                <c:pt idx="109">
                  <c:v>5346.21</c:v>
                </c:pt>
                <c:pt idx="110">
                  <c:v>5346.21</c:v>
                </c:pt>
                <c:pt idx="111">
                  <c:v>5346.21</c:v>
                </c:pt>
                <c:pt idx="112">
                  <c:v>5346.21</c:v>
                </c:pt>
                <c:pt idx="113">
                  <c:v>5346.21</c:v>
                </c:pt>
                <c:pt idx="114">
                  <c:v>5346.21</c:v>
                </c:pt>
                <c:pt idx="115">
                  <c:v>5346.21</c:v>
                </c:pt>
                <c:pt idx="116">
                  <c:v>5346.21</c:v>
                </c:pt>
                <c:pt idx="117">
                  <c:v>5346.21</c:v>
                </c:pt>
                <c:pt idx="118">
                  <c:v>5346.21</c:v>
                </c:pt>
                <c:pt idx="119">
                  <c:v>5346.21</c:v>
                </c:pt>
                <c:pt idx="120">
                  <c:v>5346.21</c:v>
                </c:pt>
                <c:pt idx="121">
                  <c:v>5346.21</c:v>
                </c:pt>
                <c:pt idx="122">
                  <c:v>5346.21</c:v>
                </c:pt>
                <c:pt idx="123">
                  <c:v>5346.21</c:v>
                </c:pt>
                <c:pt idx="124">
                  <c:v>5346.21</c:v>
                </c:pt>
                <c:pt idx="125">
                  <c:v>5346.21</c:v>
                </c:pt>
                <c:pt idx="126">
                  <c:v>5346.21</c:v>
                </c:pt>
                <c:pt idx="127">
                  <c:v>5346.21</c:v>
                </c:pt>
                <c:pt idx="128">
                  <c:v>5346.21</c:v>
                </c:pt>
                <c:pt idx="129">
                  <c:v>5346.21</c:v>
                </c:pt>
                <c:pt idx="130">
                  <c:v>5346.21</c:v>
                </c:pt>
                <c:pt idx="131">
                  <c:v>5346.21</c:v>
                </c:pt>
                <c:pt idx="132">
                  <c:v>5346.21</c:v>
                </c:pt>
                <c:pt idx="133">
                  <c:v>5346.21</c:v>
                </c:pt>
                <c:pt idx="134">
                  <c:v>5346.21</c:v>
                </c:pt>
                <c:pt idx="135">
                  <c:v>5346.21</c:v>
                </c:pt>
                <c:pt idx="136">
                  <c:v>5346.21</c:v>
                </c:pt>
                <c:pt idx="137">
                  <c:v>5346.21</c:v>
                </c:pt>
                <c:pt idx="138">
                  <c:v>5346.21</c:v>
                </c:pt>
                <c:pt idx="139">
                  <c:v>5346.21</c:v>
                </c:pt>
                <c:pt idx="140">
                  <c:v>5346.21</c:v>
                </c:pt>
                <c:pt idx="141">
                  <c:v>5346.21</c:v>
                </c:pt>
                <c:pt idx="142">
                  <c:v>5346.21</c:v>
                </c:pt>
                <c:pt idx="143">
                  <c:v>5346.21</c:v>
                </c:pt>
                <c:pt idx="144">
                  <c:v>5346.21</c:v>
                </c:pt>
                <c:pt idx="145">
                  <c:v>5346.21</c:v>
                </c:pt>
                <c:pt idx="146">
                  <c:v>5346.21</c:v>
                </c:pt>
                <c:pt idx="147">
                  <c:v>5346.21</c:v>
                </c:pt>
                <c:pt idx="148">
                  <c:v>5346.21</c:v>
                </c:pt>
                <c:pt idx="149">
                  <c:v>5346.21</c:v>
                </c:pt>
                <c:pt idx="150">
                  <c:v>5346.21</c:v>
                </c:pt>
                <c:pt idx="151">
                  <c:v>5346.21</c:v>
                </c:pt>
                <c:pt idx="152">
                  <c:v>5346.21</c:v>
                </c:pt>
                <c:pt idx="153">
                  <c:v>5346.21</c:v>
                </c:pt>
                <c:pt idx="154">
                  <c:v>5346.21</c:v>
                </c:pt>
                <c:pt idx="155">
                  <c:v>5346.21</c:v>
                </c:pt>
                <c:pt idx="156">
                  <c:v>5346.21</c:v>
                </c:pt>
                <c:pt idx="157">
                  <c:v>5346.21</c:v>
                </c:pt>
                <c:pt idx="158">
                  <c:v>5346.21</c:v>
                </c:pt>
                <c:pt idx="159">
                  <c:v>5346.21</c:v>
                </c:pt>
                <c:pt idx="160">
                  <c:v>5346.21</c:v>
                </c:pt>
                <c:pt idx="161">
                  <c:v>5346.21</c:v>
                </c:pt>
                <c:pt idx="162">
                  <c:v>5346.21</c:v>
                </c:pt>
                <c:pt idx="163">
                  <c:v>5346.21</c:v>
                </c:pt>
                <c:pt idx="164">
                  <c:v>5346.21</c:v>
                </c:pt>
                <c:pt idx="165">
                  <c:v>5346.21</c:v>
                </c:pt>
                <c:pt idx="166">
                  <c:v>5346.21</c:v>
                </c:pt>
                <c:pt idx="167">
                  <c:v>5346.21</c:v>
                </c:pt>
                <c:pt idx="168">
                  <c:v>5346.21</c:v>
                </c:pt>
                <c:pt idx="169">
                  <c:v>5346.21</c:v>
                </c:pt>
                <c:pt idx="170">
                  <c:v>5346.21</c:v>
                </c:pt>
                <c:pt idx="171">
                  <c:v>5346.21</c:v>
                </c:pt>
                <c:pt idx="172">
                  <c:v>5346.21</c:v>
                </c:pt>
                <c:pt idx="173">
                  <c:v>5346.21</c:v>
                </c:pt>
                <c:pt idx="174">
                  <c:v>5346.21</c:v>
                </c:pt>
                <c:pt idx="175">
                  <c:v>5346.21</c:v>
                </c:pt>
                <c:pt idx="176">
                  <c:v>5346.21</c:v>
                </c:pt>
                <c:pt idx="177">
                  <c:v>5346.21</c:v>
                </c:pt>
                <c:pt idx="178">
                  <c:v>5346.21</c:v>
                </c:pt>
                <c:pt idx="179">
                  <c:v>5346.21</c:v>
                </c:pt>
                <c:pt idx="180">
                  <c:v>5346.21</c:v>
                </c:pt>
                <c:pt idx="181">
                  <c:v>5346.21</c:v>
                </c:pt>
                <c:pt idx="182">
                  <c:v>5346.21</c:v>
                </c:pt>
                <c:pt idx="183">
                  <c:v>5346.21</c:v>
                </c:pt>
                <c:pt idx="184">
                  <c:v>5346.21</c:v>
                </c:pt>
                <c:pt idx="185">
                  <c:v>5346.21</c:v>
                </c:pt>
                <c:pt idx="186">
                  <c:v>5346.21</c:v>
                </c:pt>
                <c:pt idx="187">
                  <c:v>5346.21</c:v>
                </c:pt>
                <c:pt idx="188">
                  <c:v>5346.21</c:v>
                </c:pt>
                <c:pt idx="189">
                  <c:v>5346.21</c:v>
                </c:pt>
                <c:pt idx="190">
                  <c:v>5346.21</c:v>
                </c:pt>
                <c:pt idx="191">
                  <c:v>5346.21</c:v>
                </c:pt>
                <c:pt idx="192">
                  <c:v>5346.21</c:v>
                </c:pt>
                <c:pt idx="193">
                  <c:v>5346.21</c:v>
                </c:pt>
                <c:pt idx="194">
                  <c:v>5346.21</c:v>
                </c:pt>
                <c:pt idx="195">
                  <c:v>5346.21</c:v>
                </c:pt>
                <c:pt idx="196">
                  <c:v>5346.21</c:v>
                </c:pt>
                <c:pt idx="197">
                  <c:v>5346.21</c:v>
                </c:pt>
                <c:pt idx="198">
                  <c:v>5346.21</c:v>
                </c:pt>
                <c:pt idx="199">
                  <c:v>5346.21</c:v>
                </c:pt>
                <c:pt idx="200">
                  <c:v>5346.21</c:v>
                </c:pt>
                <c:pt idx="201">
                  <c:v>5346.21</c:v>
                </c:pt>
                <c:pt idx="202">
                  <c:v>5346.21</c:v>
                </c:pt>
                <c:pt idx="203">
                  <c:v>5346.21</c:v>
                </c:pt>
              </c:numCache>
            </c:numRef>
          </c:val>
          <c:smooth val="0"/>
          <c:extLst>
            <c:ext xmlns:c16="http://schemas.microsoft.com/office/drawing/2014/chart" uri="{C3380CC4-5D6E-409C-BE32-E72D297353CC}">
              <c16:uniqueId val="{00000002-329B-41D6-8340-43856FD2F6C5}"/>
            </c:ext>
          </c:extLst>
        </c:ser>
        <c:ser>
          <c:idx val="3"/>
          <c:order val="3"/>
          <c:tx>
            <c:strRef>
              <c:f>'Fig 10.10. XmR charts'!$F$1</c:f>
              <c:strCache>
                <c:ptCount val="1"/>
                <c:pt idx="0">
                  <c:v>LPL</c:v>
                </c:pt>
              </c:strCache>
            </c:strRef>
          </c:tx>
          <c:spPr>
            <a:ln w="28575" cap="rnd">
              <a:solidFill>
                <a:srgbClr val="D72323"/>
              </a:solidFill>
              <a:prstDash val="dash"/>
              <a:round/>
            </a:ln>
            <a:effectLst/>
          </c:spPr>
          <c:marker>
            <c:symbol val="none"/>
          </c:marker>
          <c:cat>
            <c:strRef>
              <c:f>'Fig 10.10. XmR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10.10. XmR charts'!$F$2:$F$205</c:f>
              <c:numCache>
                <c:formatCode>0.00</c:formatCode>
                <c:ptCount val="204"/>
                <c:pt idx="0">
                  <c:v>3650.15</c:v>
                </c:pt>
                <c:pt idx="1">
                  <c:v>3650.15</c:v>
                </c:pt>
                <c:pt idx="2">
                  <c:v>3650.15</c:v>
                </c:pt>
                <c:pt idx="3">
                  <c:v>3650.15</c:v>
                </c:pt>
                <c:pt idx="4">
                  <c:v>3650.15</c:v>
                </c:pt>
                <c:pt idx="5">
                  <c:v>3650.15</c:v>
                </c:pt>
                <c:pt idx="6">
                  <c:v>3650.15</c:v>
                </c:pt>
                <c:pt idx="7">
                  <c:v>3650.15</c:v>
                </c:pt>
                <c:pt idx="8">
                  <c:v>3650.15</c:v>
                </c:pt>
                <c:pt idx="9">
                  <c:v>3650.15</c:v>
                </c:pt>
                <c:pt idx="10">
                  <c:v>3650.15</c:v>
                </c:pt>
                <c:pt idx="11">
                  <c:v>3650.15</c:v>
                </c:pt>
                <c:pt idx="12">
                  <c:v>3650.15</c:v>
                </c:pt>
                <c:pt idx="13">
                  <c:v>3650.15</c:v>
                </c:pt>
                <c:pt idx="14">
                  <c:v>3650.15</c:v>
                </c:pt>
                <c:pt idx="15">
                  <c:v>3650.15</c:v>
                </c:pt>
                <c:pt idx="16">
                  <c:v>3650.15</c:v>
                </c:pt>
                <c:pt idx="17">
                  <c:v>3650.15</c:v>
                </c:pt>
                <c:pt idx="18">
                  <c:v>3650.15</c:v>
                </c:pt>
                <c:pt idx="19">
                  <c:v>3650.15</c:v>
                </c:pt>
                <c:pt idx="20">
                  <c:v>3650.15</c:v>
                </c:pt>
                <c:pt idx="21">
                  <c:v>3650.15</c:v>
                </c:pt>
                <c:pt idx="22">
                  <c:v>3650.15</c:v>
                </c:pt>
                <c:pt idx="23">
                  <c:v>3650.15</c:v>
                </c:pt>
                <c:pt idx="24">
                  <c:v>3650.15</c:v>
                </c:pt>
                <c:pt idx="25">
                  <c:v>3650.15</c:v>
                </c:pt>
                <c:pt idx="26">
                  <c:v>3650.15</c:v>
                </c:pt>
                <c:pt idx="27">
                  <c:v>3650.15</c:v>
                </c:pt>
                <c:pt idx="28">
                  <c:v>3650.15</c:v>
                </c:pt>
                <c:pt idx="29">
                  <c:v>3650.15</c:v>
                </c:pt>
                <c:pt idx="30">
                  <c:v>3650.15</c:v>
                </c:pt>
                <c:pt idx="31">
                  <c:v>3650.15</c:v>
                </c:pt>
                <c:pt idx="32">
                  <c:v>3650.15</c:v>
                </c:pt>
                <c:pt idx="33">
                  <c:v>3650.15</c:v>
                </c:pt>
                <c:pt idx="34">
                  <c:v>3650.15</c:v>
                </c:pt>
                <c:pt idx="35">
                  <c:v>3650.15</c:v>
                </c:pt>
                <c:pt idx="36">
                  <c:v>3650.15</c:v>
                </c:pt>
                <c:pt idx="37">
                  <c:v>3650.15</c:v>
                </c:pt>
                <c:pt idx="38">
                  <c:v>3650.15</c:v>
                </c:pt>
                <c:pt idx="39">
                  <c:v>3650.15</c:v>
                </c:pt>
                <c:pt idx="40">
                  <c:v>3650.15</c:v>
                </c:pt>
                <c:pt idx="41">
                  <c:v>3650.15</c:v>
                </c:pt>
                <c:pt idx="42">
                  <c:v>3650.15</c:v>
                </c:pt>
                <c:pt idx="43">
                  <c:v>3650.15</c:v>
                </c:pt>
                <c:pt idx="44">
                  <c:v>3650.15</c:v>
                </c:pt>
                <c:pt idx="45">
                  <c:v>3650.15</c:v>
                </c:pt>
                <c:pt idx="46">
                  <c:v>3650.15</c:v>
                </c:pt>
                <c:pt idx="47">
                  <c:v>3650.15</c:v>
                </c:pt>
                <c:pt idx="48">
                  <c:v>3650.15</c:v>
                </c:pt>
                <c:pt idx="49">
                  <c:v>3650.15</c:v>
                </c:pt>
                <c:pt idx="50">
                  <c:v>3650.15</c:v>
                </c:pt>
                <c:pt idx="51">
                  <c:v>3650.15</c:v>
                </c:pt>
                <c:pt idx="52">
                  <c:v>3650.15</c:v>
                </c:pt>
                <c:pt idx="53">
                  <c:v>3650.15</c:v>
                </c:pt>
                <c:pt idx="54">
                  <c:v>3650.15</c:v>
                </c:pt>
                <c:pt idx="55">
                  <c:v>3650.15</c:v>
                </c:pt>
                <c:pt idx="56">
                  <c:v>3650.15</c:v>
                </c:pt>
                <c:pt idx="57">
                  <c:v>3650.15</c:v>
                </c:pt>
                <c:pt idx="58">
                  <c:v>3650.15</c:v>
                </c:pt>
                <c:pt idx="59">
                  <c:v>3650.15</c:v>
                </c:pt>
                <c:pt idx="60">
                  <c:v>3650.15</c:v>
                </c:pt>
                <c:pt idx="61">
                  <c:v>3650.15</c:v>
                </c:pt>
                <c:pt idx="62">
                  <c:v>3650.15</c:v>
                </c:pt>
                <c:pt idx="63">
                  <c:v>3650.15</c:v>
                </c:pt>
                <c:pt idx="64">
                  <c:v>3650.15</c:v>
                </c:pt>
                <c:pt idx="65">
                  <c:v>3650.15</c:v>
                </c:pt>
                <c:pt idx="66">
                  <c:v>3650.15</c:v>
                </c:pt>
                <c:pt idx="67">
                  <c:v>3650.15</c:v>
                </c:pt>
                <c:pt idx="68">
                  <c:v>3650.15</c:v>
                </c:pt>
                <c:pt idx="69">
                  <c:v>3650.15</c:v>
                </c:pt>
                <c:pt idx="70">
                  <c:v>3650.15</c:v>
                </c:pt>
                <c:pt idx="71">
                  <c:v>3650.15</c:v>
                </c:pt>
                <c:pt idx="72">
                  <c:v>3650.15</c:v>
                </c:pt>
                <c:pt idx="73">
                  <c:v>3650.15</c:v>
                </c:pt>
                <c:pt idx="74">
                  <c:v>3650.15</c:v>
                </c:pt>
                <c:pt idx="75">
                  <c:v>3650.15</c:v>
                </c:pt>
                <c:pt idx="76">
                  <c:v>3650.15</c:v>
                </c:pt>
                <c:pt idx="77">
                  <c:v>3650.15</c:v>
                </c:pt>
                <c:pt idx="78">
                  <c:v>3650.15</c:v>
                </c:pt>
                <c:pt idx="79">
                  <c:v>3650.15</c:v>
                </c:pt>
                <c:pt idx="80">
                  <c:v>3650.15</c:v>
                </c:pt>
                <c:pt idx="81">
                  <c:v>3650.15</c:v>
                </c:pt>
                <c:pt idx="82">
                  <c:v>3650.15</c:v>
                </c:pt>
                <c:pt idx="83">
                  <c:v>3650.15</c:v>
                </c:pt>
                <c:pt idx="84">
                  <c:v>3650.15</c:v>
                </c:pt>
                <c:pt idx="85">
                  <c:v>3650.15</c:v>
                </c:pt>
                <c:pt idx="86">
                  <c:v>3650.15</c:v>
                </c:pt>
                <c:pt idx="87">
                  <c:v>3650.15</c:v>
                </c:pt>
                <c:pt idx="88">
                  <c:v>3650.15</c:v>
                </c:pt>
                <c:pt idx="89">
                  <c:v>3650.15</c:v>
                </c:pt>
                <c:pt idx="90">
                  <c:v>3650.15</c:v>
                </c:pt>
                <c:pt idx="91">
                  <c:v>3650.15</c:v>
                </c:pt>
                <c:pt idx="92">
                  <c:v>3650.15</c:v>
                </c:pt>
                <c:pt idx="93">
                  <c:v>3650.15</c:v>
                </c:pt>
                <c:pt idx="94">
                  <c:v>3650.15</c:v>
                </c:pt>
                <c:pt idx="95">
                  <c:v>3650.15</c:v>
                </c:pt>
                <c:pt idx="96">
                  <c:v>3650.15</c:v>
                </c:pt>
                <c:pt idx="97">
                  <c:v>3650.15</c:v>
                </c:pt>
                <c:pt idx="98">
                  <c:v>3650.15</c:v>
                </c:pt>
                <c:pt idx="99">
                  <c:v>3650.15</c:v>
                </c:pt>
                <c:pt idx="100">
                  <c:v>3650.15</c:v>
                </c:pt>
                <c:pt idx="101">
                  <c:v>3650.15</c:v>
                </c:pt>
                <c:pt idx="102">
                  <c:v>3650.15</c:v>
                </c:pt>
                <c:pt idx="103">
                  <c:v>3650.15</c:v>
                </c:pt>
                <c:pt idx="104">
                  <c:v>3650.15</c:v>
                </c:pt>
                <c:pt idx="105">
                  <c:v>3650.15</c:v>
                </c:pt>
                <c:pt idx="106">
                  <c:v>3650.15</c:v>
                </c:pt>
                <c:pt idx="107">
                  <c:v>3650.15</c:v>
                </c:pt>
                <c:pt idx="108">
                  <c:v>3650.15</c:v>
                </c:pt>
                <c:pt idx="109">
                  <c:v>3650.15</c:v>
                </c:pt>
                <c:pt idx="110">
                  <c:v>3650.15</c:v>
                </c:pt>
                <c:pt idx="111">
                  <c:v>3650.15</c:v>
                </c:pt>
                <c:pt idx="112">
                  <c:v>3650.15</c:v>
                </c:pt>
                <c:pt idx="113">
                  <c:v>3650.15</c:v>
                </c:pt>
                <c:pt idx="114">
                  <c:v>3650.15</c:v>
                </c:pt>
                <c:pt idx="115">
                  <c:v>3650.15</c:v>
                </c:pt>
                <c:pt idx="116">
                  <c:v>3650.15</c:v>
                </c:pt>
                <c:pt idx="117">
                  <c:v>3650.15</c:v>
                </c:pt>
                <c:pt idx="118">
                  <c:v>3650.15</c:v>
                </c:pt>
                <c:pt idx="119">
                  <c:v>3650.15</c:v>
                </c:pt>
                <c:pt idx="120">
                  <c:v>3650.15</c:v>
                </c:pt>
                <c:pt idx="121">
                  <c:v>3650.15</c:v>
                </c:pt>
                <c:pt idx="122">
                  <c:v>3650.15</c:v>
                </c:pt>
                <c:pt idx="123">
                  <c:v>3650.15</c:v>
                </c:pt>
                <c:pt idx="124">
                  <c:v>3650.15</c:v>
                </c:pt>
                <c:pt idx="125">
                  <c:v>3650.15</c:v>
                </c:pt>
                <c:pt idx="126">
                  <c:v>3650.15</c:v>
                </c:pt>
                <c:pt idx="127">
                  <c:v>3650.15</c:v>
                </c:pt>
                <c:pt idx="128">
                  <c:v>3650.15</c:v>
                </c:pt>
                <c:pt idx="129">
                  <c:v>3650.15</c:v>
                </c:pt>
                <c:pt idx="130">
                  <c:v>3650.15</c:v>
                </c:pt>
                <c:pt idx="131">
                  <c:v>3650.15</c:v>
                </c:pt>
                <c:pt idx="132">
                  <c:v>3650.15</c:v>
                </c:pt>
                <c:pt idx="133">
                  <c:v>3650.15</c:v>
                </c:pt>
                <c:pt idx="134">
                  <c:v>3650.15</c:v>
                </c:pt>
                <c:pt idx="135">
                  <c:v>3650.15</c:v>
                </c:pt>
                <c:pt idx="136">
                  <c:v>3650.15</c:v>
                </c:pt>
                <c:pt idx="137">
                  <c:v>3650.15</c:v>
                </c:pt>
                <c:pt idx="138">
                  <c:v>3650.15</c:v>
                </c:pt>
                <c:pt idx="139">
                  <c:v>3650.15</c:v>
                </c:pt>
                <c:pt idx="140">
                  <c:v>3650.15</c:v>
                </c:pt>
                <c:pt idx="141">
                  <c:v>3650.15</c:v>
                </c:pt>
                <c:pt idx="142">
                  <c:v>3650.15</c:v>
                </c:pt>
                <c:pt idx="143">
                  <c:v>3650.15</c:v>
                </c:pt>
                <c:pt idx="144">
                  <c:v>3650.15</c:v>
                </c:pt>
                <c:pt idx="145">
                  <c:v>3650.15</c:v>
                </c:pt>
                <c:pt idx="146">
                  <c:v>3650.15</c:v>
                </c:pt>
                <c:pt idx="147">
                  <c:v>3650.15</c:v>
                </c:pt>
                <c:pt idx="148">
                  <c:v>3650.15</c:v>
                </c:pt>
                <c:pt idx="149">
                  <c:v>3650.15</c:v>
                </c:pt>
                <c:pt idx="150">
                  <c:v>3650.15</c:v>
                </c:pt>
                <c:pt idx="151">
                  <c:v>3650.15</c:v>
                </c:pt>
                <c:pt idx="152">
                  <c:v>3650.15</c:v>
                </c:pt>
                <c:pt idx="153">
                  <c:v>3650.15</c:v>
                </c:pt>
                <c:pt idx="154">
                  <c:v>3650.15</c:v>
                </c:pt>
                <c:pt idx="155">
                  <c:v>3650.15</c:v>
                </c:pt>
                <c:pt idx="156">
                  <c:v>3650.15</c:v>
                </c:pt>
                <c:pt idx="157">
                  <c:v>3650.15</c:v>
                </c:pt>
                <c:pt idx="158">
                  <c:v>3650.15</c:v>
                </c:pt>
                <c:pt idx="159">
                  <c:v>3650.15</c:v>
                </c:pt>
                <c:pt idx="160">
                  <c:v>3650.15</c:v>
                </c:pt>
                <c:pt idx="161">
                  <c:v>3650.15</c:v>
                </c:pt>
                <c:pt idx="162">
                  <c:v>3650.15</c:v>
                </c:pt>
                <c:pt idx="163">
                  <c:v>3650.15</c:v>
                </c:pt>
                <c:pt idx="164">
                  <c:v>3650.15</c:v>
                </c:pt>
                <c:pt idx="165">
                  <c:v>3650.15</c:v>
                </c:pt>
                <c:pt idx="166">
                  <c:v>3650.15</c:v>
                </c:pt>
                <c:pt idx="167">
                  <c:v>3650.15</c:v>
                </c:pt>
                <c:pt idx="168">
                  <c:v>3650.15</c:v>
                </c:pt>
                <c:pt idx="169">
                  <c:v>3650.15</c:v>
                </c:pt>
                <c:pt idx="170">
                  <c:v>3650.15</c:v>
                </c:pt>
                <c:pt idx="171">
                  <c:v>3650.15</c:v>
                </c:pt>
                <c:pt idx="172">
                  <c:v>3650.15</c:v>
                </c:pt>
                <c:pt idx="173">
                  <c:v>3650.15</c:v>
                </c:pt>
                <c:pt idx="174">
                  <c:v>3650.15</c:v>
                </c:pt>
                <c:pt idx="175">
                  <c:v>3650.15</c:v>
                </c:pt>
                <c:pt idx="176">
                  <c:v>3650.15</c:v>
                </c:pt>
                <c:pt idx="177">
                  <c:v>3650.15</c:v>
                </c:pt>
                <c:pt idx="178">
                  <c:v>3650.15</c:v>
                </c:pt>
                <c:pt idx="179">
                  <c:v>3650.15</c:v>
                </c:pt>
                <c:pt idx="180">
                  <c:v>3650.15</c:v>
                </c:pt>
                <c:pt idx="181">
                  <c:v>3650.15</c:v>
                </c:pt>
                <c:pt idx="182">
                  <c:v>3650.15</c:v>
                </c:pt>
                <c:pt idx="183">
                  <c:v>3650.15</c:v>
                </c:pt>
                <c:pt idx="184">
                  <c:v>3650.15</c:v>
                </c:pt>
                <c:pt idx="185">
                  <c:v>3650.15</c:v>
                </c:pt>
                <c:pt idx="186">
                  <c:v>3650.15</c:v>
                </c:pt>
                <c:pt idx="187">
                  <c:v>3650.15</c:v>
                </c:pt>
                <c:pt idx="188">
                  <c:v>3650.15</c:v>
                </c:pt>
                <c:pt idx="189">
                  <c:v>3650.15</c:v>
                </c:pt>
                <c:pt idx="190">
                  <c:v>3650.15</c:v>
                </c:pt>
                <c:pt idx="191">
                  <c:v>3650.15</c:v>
                </c:pt>
                <c:pt idx="192">
                  <c:v>3650.15</c:v>
                </c:pt>
                <c:pt idx="193">
                  <c:v>3650.15</c:v>
                </c:pt>
                <c:pt idx="194">
                  <c:v>3650.15</c:v>
                </c:pt>
                <c:pt idx="195">
                  <c:v>3650.15</c:v>
                </c:pt>
                <c:pt idx="196">
                  <c:v>3650.15</c:v>
                </c:pt>
                <c:pt idx="197">
                  <c:v>3650.15</c:v>
                </c:pt>
                <c:pt idx="198">
                  <c:v>3650.15</c:v>
                </c:pt>
                <c:pt idx="199">
                  <c:v>3650.15</c:v>
                </c:pt>
                <c:pt idx="200">
                  <c:v>3650.15</c:v>
                </c:pt>
                <c:pt idx="201">
                  <c:v>3650.15</c:v>
                </c:pt>
                <c:pt idx="202">
                  <c:v>3650.15</c:v>
                </c:pt>
                <c:pt idx="203">
                  <c:v>3650.15</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5500"/>
          <c:min val="28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a:t>
            </a:r>
            <a:r>
              <a:rPr lang="en-US" baseline="0"/>
              <a:t> causes of variability were eliminated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10.10. XmR charts'!$C$206</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10.10. XmR charts'!$B$207:$B$270</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10.10. XmR charts'!$C$207:$C$270</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4600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329B-41D6-8340-43856FD2F6C5}"/>
            </c:ext>
          </c:extLst>
        </c:ser>
        <c:ser>
          <c:idx val="1"/>
          <c:order val="1"/>
          <c:tx>
            <c:strRef>
              <c:f>'Fig 10.10. XmR charts'!$D$206</c:f>
              <c:strCache>
                <c:ptCount val="1"/>
                <c:pt idx="0">
                  <c:v>Mean</c:v>
                </c:pt>
              </c:strCache>
            </c:strRef>
          </c:tx>
          <c:spPr>
            <a:ln w="28575" cap="rnd">
              <a:solidFill>
                <a:schemeClr val="tx1"/>
              </a:solidFill>
              <a:round/>
            </a:ln>
            <a:effectLst/>
          </c:spPr>
          <c:marker>
            <c:symbol val="none"/>
          </c:marker>
          <c:cat>
            <c:strRef>
              <c:f>'Fig 10.10. XmR charts'!$B$207:$B$270</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10.10. XmR charts'!$D$207:$D$270</c:f>
              <c:numCache>
                <c:formatCode>0.00</c:formatCode>
                <c:ptCount val="64"/>
                <c:pt idx="0">
                  <c:v>4417.8100000000004</c:v>
                </c:pt>
                <c:pt idx="1">
                  <c:v>4417.8100000000004</c:v>
                </c:pt>
                <c:pt idx="2">
                  <c:v>4417.8100000000004</c:v>
                </c:pt>
                <c:pt idx="3">
                  <c:v>4417.8100000000004</c:v>
                </c:pt>
                <c:pt idx="4">
                  <c:v>4417.8100000000004</c:v>
                </c:pt>
                <c:pt idx="5">
                  <c:v>4417.8100000000004</c:v>
                </c:pt>
                <c:pt idx="6">
                  <c:v>4417.8100000000004</c:v>
                </c:pt>
                <c:pt idx="7">
                  <c:v>4417.8100000000004</c:v>
                </c:pt>
                <c:pt idx="8">
                  <c:v>4417.8100000000004</c:v>
                </c:pt>
                <c:pt idx="9">
                  <c:v>4417.8100000000004</c:v>
                </c:pt>
                <c:pt idx="10">
                  <c:v>4417.8100000000004</c:v>
                </c:pt>
                <c:pt idx="11">
                  <c:v>4417.8100000000004</c:v>
                </c:pt>
                <c:pt idx="12">
                  <c:v>4417.8100000000004</c:v>
                </c:pt>
                <c:pt idx="13">
                  <c:v>4417.8100000000004</c:v>
                </c:pt>
                <c:pt idx="14">
                  <c:v>4417.8100000000004</c:v>
                </c:pt>
                <c:pt idx="15">
                  <c:v>4417.8100000000004</c:v>
                </c:pt>
                <c:pt idx="16">
                  <c:v>4417.8100000000004</c:v>
                </c:pt>
                <c:pt idx="17">
                  <c:v>4417.8100000000004</c:v>
                </c:pt>
                <c:pt idx="18">
                  <c:v>4417.8100000000004</c:v>
                </c:pt>
                <c:pt idx="19">
                  <c:v>4417.8100000000004</c:v>
                </c:pt>
                <c:pt idx="20">
                  <c:v>4417.8100000000004</c:v>
                </c:pt>
                <c:pt idx="21">
                  <c:v>4417.8100000000004</c:v>
                </c:pt>
                <c:pt idx="22">
                  <c:v>4417.8100000000004</c:v>
                </c:pt>
                <c:pt idx="23">
                  <c:v>4417.8100000000004</c:v>
                </c:pt>
                <c:pt idx="24">
                  <c:v>4417.8100000000004</c:v>
                </c:pt>
                <c:pt idx="25">
                  <c:v>4417.8100000000004</c:v>
                </c:pt>
                <c:pt idx="26">
                  <c:v>4417.8100000000004</c:v>
                </c:pt>
                <c:pt idx="27">
                  <c:v>4417.8100000000004</c:v>
                </c:pt>
                <c:pt idx="28">
                  <c:v>4417.8100000000004</c:v>
                </c:pt>
                <c:pt idx="29">
                  <c:v>4417.8100000000004</c:v>
                </c:pt>
                <c:pt idx="30">
                  <c:v>4417.8100000000004</c:v>
                </c:pt>
                <c:pt idx="31">
                  <c:v>4417.8100000000004</c:v>
                </c:pt>
                <c:pt idx="32">
                  <c:v>4417.8100000000004</c:v>
                </c:pt>
                <c:pt idx="33">
                  <c:v>4417.8100000000004</c:v>
                </c:pt>
                <c:pt idx="34">
                  <c:v>4417.8100000000004</c:v>
                </c:pt>
                <c:pt idx="35">
                  <c:v>4417.8100000000004</c:v>
                </c:pt>
                <c:pt idx="36">
                  <c:v>4417.8100000000004</c:v>
                </c:pt>
                <c:pt idx="37">
                  <c:v>4417.8100000000004</c:v>
                </c:pt>
                <c:pt idx="38">
                  <c:v>4417.8100000000004</c:v>
                </c:pt>
                <c:pt idx="39">
                  <c:v>4417.8100000000004</c:v>
                </c:pt>
                <c:pt idx="40">
                  <c:v>4417.8100000000004</c:v>
                </c:pt>
                <c:pt idx="41">
                  <c:v>4417.8100000000004</c:v>
                </c:pt>
                <c:pt idx="42">
                  <c:v>4417.8100000000004</c:v>
                </c:pt>
                <c:pt idx="43">
                  <c:v>4417.8100000000004</c:v>
                </c:pt>
                <c:pt idx="44">
                  <c:v>4417.8100000000004</c:v>
                </c:pt>
                <c:pt idx="45">
                  <c:v>4417.8100000000004</c:v>
                </c:pt>
                <c:pt idx="46">
                  <c:v>4417.8100000000004</c:v>
                </c:pt>
                <c:pt idx="47">
                  <c:v>4417.8100000000004</c:v>
                </c:pt>
                <c:pt idx="48">
                  <c:v>4417.8100000000004</c:v>
                </c:pt>
                <c:pt idx="49">
                  <c:v>4417.8100000000004</c:v>
                </c:pt>
                <c:pt idx="50">
                  <c:v>4417.8100000000004</c:v>
                </c:pt>
                <c:pt idx="51">
                  <c:v>4417.8100000000004</c:v>
                </c:pt>
                <c:pt idx="52">
                  <c:v>4417.8100000000004</c:v>
                </c:pt>
                <c:pt idx="53">
                  <c:v>4417.8100000000004</c:v>
                </c:pt>
                <c:pt idx="54">
                  <c:v>4417.8100000000004</c:v>
                </c:pt>
                <c:pt idx="55">
                  <c:v>4417.8100000000004</c:v>
                </c:pt>
                <c:pt idx="56">
                  <c:v>4417.8100000000004</c:v>
                </c:pt>
                <c:pt idx="57">
                  <c:v>4417.8100000000004</c:v>
                </c:pt>
                <c:pt idx="58">
                  <c:v>4417.8100000000004</c:v>
                </c:pt>
                <c:pt idx="59">
                  <c:v>4417.8100000000004</c:v>
                </c:pt>
                <c:pt idx="60">
                  <c:v>4417.8100000000004</c:v>
                </c:pt>
                <c:pt idx="61">
                  <c:v>4417.8100000000004</c:v>
                </c:pt>
                <c:pt idx="62">
                  <c:v>4417.8100000000004</c:v>
                </c:pt>
                <c:pt idx="63">
                  <c:v>4417.8100000000004</c:v>
                </c:pt>
              </c:numCache>
            </c:numRef>
          </c:val>
          <c:smooth val="0"/>
          <c:extLst>
            <c:ext xmlns:c16="http://schemas.microsoft.com/office/drawing/2014/chart" uri="{C3380CC4-5D6E-409C-BE32-E72D297353CC}">
              <c16:uniqueId val="{00000001-329B-41D6-8340-43856FD2F6C5}"/>
            </c:ext>
          </c:extLst>
        </c:ser>
        <c:ser>
          <c:idx val="2"/>
          <c:order val="2"/>
          <c:tx>
            <c:strRef>
              <c:f>'Fig 10.10. XmR charts'!$E$206</c:f>
              <c:strCache>
                <c:ptCount val="1"/>
                <c:pt idx="0">
                  <c:v>UPL</c:v>
                </c:pt>
              </c:strCache>
            </c:strRef>
          </c:tx>
          <c:spPr>
            <a:ln w="28575" cap="rnd">
              <a:solidFill>
                <a:srgbClr val="D72323"/>
              </a:solidFill>
              <a:prstDash val="dash"/>
              <a:round/>
            </a:ln>
            <a:effectLst/>
          </c:spPr>
          <c:marker>
            <c:symbol val="none"/>
          </c:marker>
          <c:cat>
            <c:strRef>
              <c:f>'Fig 10.10. XmR charts'!$B$207:$B$270</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10.10. XmR charts'!$E$207:$E$270</c:f>
              <c:numCache>
                <c:formatCode>0.00</c:formatCode>
                <c:ptCount val="64"/>
                <c:pt idx="0">
                  <c:v>4922.78</c:v>
                </c:pt>
                <c:pt idx="1">
                  <c:v>4922.78</c:v>
                </c:pt>
                <c:pt idx="2">
                  <c:v>4922.78</c:v>
                </c:pt>
                <c:pt idx="3">
                  <c:v>4922.78</c:v>
                </c:pt>
                <c:pt idx="4">
                  <c:v>4922.78</c:v>
                </c:pt>
                <c:pt idx="5">
                  <c:v>4922.78</c:v>
                </c:pt>
                <c:pt idx="6">
                  <c:v>4922.78</c:v>
                </c:pt>
                <c:pt idx="7">
                  <c:v>4922.78</c:v>
                </c:pt>
                <c:pt idx="8">
                  <c:v>4922.78</c:v>
                </c:pt>
                <c:pt idx="9">
                  <c:v>4922.78</c:v>
                </c:pt>
                <c:pt idx="10">
                  <c:v>4922.78</c:v>
                </c:pt>
                <c:pt idx="11">
                  <c:v>4922.78</c:v>
                </c:pt>
                <c:pt idx="12">
                  <c:v>4922.78</c:v>
                </c:pt>
                <c:pt idx="13">
                  <c:v>4922.78</c:v>
                </c:pt>
                <c:pt idx="14">
                  <c:v>4922.78</c:v>
                </c:pt>
                <c:pt idx="15">
                  <c:v>4922.78</c:v>
                </c:pt>
                <c:pt idx="16">
                  <c:v>4922.78</c:v>
                </c:pt>
                <c:pt idx="17">
                  <c:v>4922.78</c:v>
                </c:pt>
                <c:pt idx="18">
                  <c:v>4922.78</c:v>
                </c:pt>
                <c:pt idx="19">
                  <c:v>4922.78</c:v>
                </c:pt>
                <c:pt idx="20">
                  <c:v>4922.78</c:v>
                </c:pt>
                <c:pt idx="21">
                  <c:v>4922.78</c:v>
                </c:pt>
                <c:pt idx="22">
                  <c:v>4922.78</c:v>
                </c:pt>
                <c:pt idx="23">
                  <c:v>4922.78</c:v>
                </c:pt>
                <c:pt idx="24">
                  <c:v>4922.78</c:v>
                </c:pt>
                <c:pt idx="25">
                  <c:v>4922.78</c:v>
                </c:pt>
                <c:pt idx="26">
                  <c:v>4922.78</c:v>
                </c:pt>
                <c:pt idx="27">
                  <c:v>4922.78</c:v>
                </c:pt>
                <c:pt idx="28">
                  <c:v>4922.78</c:v>
                </c:pt>
                <c:pt idx="29">
                  <c:v>4922.78</c:v>
                </c:pt>
                <c:pt idx="30">
                  <c:v>4922.78</c:v>
                </c:pt>
                <c:pt idx="31">
                  <c:v>4922.78</c:v>
                </c:pt>
                <c:pt idx="32">
                  <c:v>4922.78</c:v>
                </c:pt>
                <c:pt idx="33">
                  <c:v>4922.78</c:v>
                </c:pt>
                <c:pt idx="34">
                  <c:v>4922.78</c:v>
                </c:pt>
                <c:pt idx="35">
                  <c:v>4922.78</c:v>
                </c:pt>
                <c:pt idx="36">
                  <c:v>4922.78</c:v>
                </c:pt>
                <c:pt idx="37">
                  <c:v>4922.78</c:v>
                </c:pt>
                <c:pt idx="38">
                  <c:v>4922.78</c:v>
                </c:pt>
                <c:pt idx="39">
                  <c:v>4922.78</c:v>
                </c:pt>
                <c:pt idx="40">
                  <c:v>4922.78</c:v>
                </c:pt>
                <c:pt idx="41">
                  <c:v>4922.78</c:v>
                </c:pt>
                <c:pt idx="42">
                  <c:v>4922.78</c:v>
                </c:pt>
                <c:pt idx="43">
                  <c:v>4922.78</c:v>
                </c:pt>
                <c:pt idx="44">
                  <c:v>4922.78</c:v>
                </c:pt>
                <c:pt idx="45">
                  <c:v>4922.78</c:v>
                </c:pt>
                <c:pt idx="46">
                  <c:v>4922.78</c:v>
                </c:pt>
                <c:pt idx="47">
                  <c:v>4922.78</c:v>
                </c:pt>
                <c:pt idx="48">
                  <c:v>4922.78</c:v>
                </c:pt>
                <c:pt idx="49">
                  <c:v>4922.78</c:v>
                </c:pt>
                <c:pt idx="50">
                  <c:v>4922.78</c:v>
                </c:pt>
                <c:pt idx="51">
                  <c:v>4922.78</c:v>
                </c:pt>
                <c:pt idx="52">
                  <c:v>4922.78</c:v>
                </c:pt>
                <c:pt idx="53">
                  <c:v>4922.78</c:v>
                </c:pt>
                <c:pt idx="54">
                  <c:v>4922.78</c:v>
                </c:pt>
                <c:pt idx="55">
                  <c:v>4922.78</c:v>
                </c:pt>
                <c:pt idx="56">
                  <c:v>4922.78</c:v>
                </c:pt>
                <c:pt idx="57">
                  <c:v>4922.78</c:v>
                </c:pt>
                <c:pt idx="58">
                  <c:v>4922.78</c:v>
                </c:pt>
                <c:pt idx="59">
                  <c:v>4922.78</c:v>
                </c:pt>
                <c:pt idx="60">
                  <c:v>4922.78</c:v>
                </c:pt>
                <c:pt idx="61">
                  <c:v>4922.78</c:v>
                </c:pt>
                <c:pt idx="62">
                  <c:v>4922.78</c:v>
                </c:pt>
                <c:pt idx="63">
                  <c:v>4922.78</c:v>
                </c:pt>
              </c:numCache>
            </c:numRef>
          </c:val>
          <c:smooth val="0"/>
          <c:extLst>
            <c:ext xmlns:c16="http://schemas.microsoft.com/office/drawing/2014/chart" uri="{C3380CC4-5D6E-409C-BE32-E72D297353CC}">
              <c16:uniqueId val="{00000002-329B-41D6-8340-43856FD2F6C5}"/>
            </c:ext>
          </c:extLst>
        </c:ser>
        <c:ser>
          <c:idx val="3"/>
          <c:order val="3"/>
          <c:tx>
            <c:strRef>
              <c:f>'Fig 10.10. XmR charts'!$F$206</c:f>
              <c:strCache>
                <c:ptCount val="1"/>
                <c:pt idx="0">
                  <c:v>LPL</c:v>
                </c:pt>
              </c:strCache>
            </c:strRef>
          </c:tx>
          <c:spPr>
            <a:ln w="28575" cap="rnd">
              <a:solidFill>
                <a:srgbClr val="D72323"/>
              </a:solidFill>
              <a:prstDash val="dash"/>
              <a:round/>
            </a:ln>
            <a:effectLst/>
          </c:spPr>
          <c:marker>
            <c:symbol val="none"/>
          </c:marker>
          <c:cat>
            <c:strRef>
              <c:f>'Fig 10.10. XmR charts'!$B$207:$B$270</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10.10. XmR charts'!$F$207:$F$270</c:f>
              <c:numCache>
                <c:formatCode>0.00</c:formatCode>
                <c:ptCount val="64"/>
                <c:pt idx="0">
                  <c:v>3912.84</c:v>
                </c:pt>
                <c:pt idx="1">
                  <c:v>3912.84</c:v>
                </c:pt>
                <c:pt idx="2">
                  <c:v>3912.84</c:v>
                </c:pt>
                <c:pt idx="3">
                  <c:v>3912.84</c:v>
                </c:pt>
                <c:pt idx="4">
                  <c:v>3912.84</c:v>
                </c:pt>
                <c:pt idx="5">
                  <c:v>3912.84</c:v>
                </c:pt>
                <c:pt idx="6">
                  <c:v>3912.84</c:v>
                </c:pt>
                <c:pt idx="7">
                  <c:v>3912.84</c:v>
                </c:pt>
                <c:pt idx="8">
                  <c:v>3912.84</c:v>
                </c:pt>
                <c:pt idx="9">
                  <c:v>3912.84</c:v>
                </c:pt>
                <c:pt idx="10">
                  <c:v>3912.84</c:v>
                </c:pt>
                <c:pt idx="11">
                  <c:v>3912.84</c:v>
                </c:pt>
                <c:pt idx="12">
                  <c:v>3912.84</c:v>
                </c:pt>
                <c:pt idx="13">
                  <c:v>3912.84</c:v>
                </c:pt>
                <c:pt idx="14">
                  <c:v>3912.84</c:v>
                </c:pt>
                <c:pt idx="15">
                  <c:v>3912.84</c:v>
                </c:pt>
                <c:pt idx="16">
                  <c:v>3912.84</c:v>
                </c:pt>
                <c:pt idx="17">
                  <c:v>3912.84</c:v>
                </c:pt>
                <c:pt idx="18">
                  <c:v>3912.84</c:v>
                </c:pt>
                <c:pt idx="19">
                  <c:v>3912.84</c:v>
                </c:pt>
                <c:pt idx="20">
                  <c:v>3912.84</c:v>
                </c:pt>
                <c:pt idx="21">
                  <c:v>3912.84</c:v>
                </c:pt>
                <c:pt idx="22">
                  <c:v>3912.84</c:v>
                </c:pt>
                <c:pt idx="23">
                  <c:v>3912.84</c:v>
                </c:pt>
                <c:pt idx="24">
                  <c:v>3912.84</c:v>
                </c:pt>
                <c:pt idx="25">
                  <c:v>3912.84</c:v>
                </c:pt>
                <c:pt idx="26">
                  <c:v>3912.84</c:v>
                </c:pt>
                <c:pt idx="27">
                  <c:v>3912.84</c:v>
                </c:pt>
                <c:pt idx="28">
                  <c:v>3912.84</c:v>
                </c:pt>
                <c:pt idx="29">
                  <c:v>3912.84</c:v>
                </c:pt>
                <c:pt idx="30">
                  <c:v>3912.84</c:v>
                </c:pt>
                <c:pt idx="31">
                  <c:v>3912.84</c:v>
                </c:pt>
                <c:pt idx="32">
                  <c:v>3912.84</c:v>
                </c:pt>
                <c:pt idx="33">
                  <c:v>3912.84</c:v>
                </c:pt>
                <c:pt idx="34">
                  <c:v>3912.84</c:v>
                </c:pt>
                <c:pt idx="35">
                  <c:v>3912.84</c:v>
                </c:pt>
                <c:pt idx="36">
                  <c:v>3912.84</c:v>
                </c:pt>
                <c:pt idx="37">
                  <c:v>3912.84</c:v>
                </c:pt>
                <c:pt idx="38">
                  <c:v>3912.84</c:v>
                </c:pt>
                <c:pt idx="39">
                  <c:v>3912.84</c:v>
                </c:pt>
                <c:pt idx="40">
                  <c:v>3912.84</c:v>
                </c:pt>
                <c:pt idx="41">
                  <c:v>3912.84</c:v>
                </c:pt>
                <c:pt idx="42">
                  <c:v>3912.84</c:v>
                </c:pt>
                <c:pt idx="43">
                  <c:v>3912.84</c:v>
                </c:pt>
                <c:pt idx="44">
                  <c:v>3912.84</c:v>
                </c:pt>
                <c:pt idx="45">
                  <c:v>3912.84</c:v>
                </c:pt>
                <c:pt idx="46">
                  <c:v>3912.84</c:v>
                </c:pt>
                <c:pt idx="47">
                  <c:v>3912.84</c:v>
                </c:pt>
                <c:pt idx="48">
                  <c:v>3912.84</c:v>
                </c:pt>
                <c:pt idx="49">
                  <c:v>3912.84</c:v>
                </c:pt>
                <c:pt idx="50">
                  <c:v>3912.84</c:v>
                </c:pt>
                <c:pt idx="51">
                  <c:v>3912.84</c:v>
                </c:pt>
                <c:pt idx="52">
                  <c:v>3912.84</c:v>
                </c:pt>
                <c:pt idx="53">
                  <c:v>3912.84</c:v>
                </c:pt>
                <c:pt idx="54">
                  <c:v>3912.84</c:v>
                </c:pt>
                <c:pt idx="55">
                  <c:v>3912.84</c:v>
                </c:pt>
                <c:pt idx="56">
                  <c:v>3912.84</c:v>
                </c:pt>
                <c:pt idx="57">
                  <c:v>3912.84</c:v>
                </c:pt>
                <c:pt idx="58">
                  <c:v>3912.84</c:v>
                </c:pt>
                <c:pt idx="59">
                  <c:v>3912.84</c:v>
                </c:pt>
                <c:pt idx="60">
                  <c:v>3912.84</c:v>
                </c:pt>
                <c:pt idx="61">
                  <c:v>3912.84</c:v>
                </c:pt>
                <c:pt idx="62">
                  <c:v>3912.84</c:v>
                </c:pt>
                <c:pt idx="63">
                  <c:v>3912.84</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5500"/>
          <c:min val="28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10.10. XmR charts'!$G$1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10.10. XmR charts'!$G$2:$G$205</c:f>
              <c:numCache>
                <c:formatCode>0</c:formatCode>
                <c:ptCount val="204"/>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numCache>
            </c:numRef>
          </c:val>
          <c:smooth val="0"/>
          <c:extLst>
            <c:ext xmlns:c16="http://schemas.microsoft.com/office/drawing/2014/chart" uri="{C3380CC4-5D6E-409C-BE32-E72D297353CC}">
              <c16:uniqueId val="{00000000-5D18-47FA-93F7-2AB89D044415}"/>
            </c:ext>
          </c:extLst>
        </c:ser>
        <c:ser>
          <c:idx val="1"/>
          <c:order val="1"/>
          <c:tx>
            <c:strRef>
              <c:f>'Fig 10.10. XmR charts'!$H$1</c:f>
              <c:strCache>
                <c:ptCount val="1"/>
                <c:pt idx="0">
                  <c:v>Ave. mR</c:v>
                </c:pt>
              </c:strCache>
            </c:strRef>
          </c:tx>
          <c:spPr>
            <a:ln w="28575" cap="rnd">
              <a:solidFill>
                <a:schemeClr val="tx1"/>
              </a:solidFill>
              <a:round/>
            </a:ln>
            <a:effectLst/>
          </c:spPr>
          <c:marker>
            <c:symbol val="none"/>
          </c:marker>
          <c:val>
            <c:numRef>
              <c:f>'Fig 10.10. XmR charts'!$H$2:$H$205</c:f>
              <c:numCache>
                <c:formatCode>0.00</c:formatCode>
                <c:ptCount val="204"/>
                <c:pt idx="0">
                  <c:v>318.81</c:v>
                </c:pt>
                <c:pt idx="1">
                  <c:v>318.81</c:v>
                </c:pt>
                <c:pt idx="2">
                  <c:v>318.81</c:v>
                </c:pt>
                <c:pt idx="3">
                  <c:v>318.81</c:v>
                </c:pt>
                <c:pt idx="4">
                  <c:v>318.81</c:v>
                </c:pt>
                <c:pt idx="5">
                  <c:v>318.81</c:v>
                </c:pt>
                <c:pt idx="6">
                  <c:v>318.81</c:v>
                </c:pt>
                <c:pt idx="7">
                  <c:v>318.81</c:v>
                </c:pt>
                <c:pt idx="8">
                  <c:v>318.81</c:v>
                </c:pt>
                <c:pt idx="9">
                  <c:v>318.81</c:v>
                </c:pt>
                <c:pt idx="10">
                  <c:v>318.81</c:v>
                </c:pt>
                <c:pt idx="11">
                  <c:v>318.81</c:v>
                </c:pt>
                <c:pt idx="12">
                  <c:v>318.81</c:v>
                </c:pt>
                <c:pt idx="13">
                  <c:v>318.81</c:v>
                </c:pt>
                <c:pt idx="14">
                  <c:v>318.81</c:v>
                </c:pt>
                <c:pt idx="15">
                  <c:v>318.81</c:v>
                </c:pt>
                <c:pt idx="16">
                  <c:v>318.81</c:v>
                </c:pt>
                <c:pt idx="17">
                  <c:v>318.81</c:v>
                </c:pt>
                <c:pt idx="18">
                  <c:v>318.81</c:v>
                </c:pt>
                <c:pt idx="19">
                  <c:v>318.81</c:v>
                </c:pt>
                <c:pt idx="20">
                  <c:v>318.81</c:v>
                </c:pt>
                <c:pt idx="21">
                  <c:v>318.81</c:v>
                </c:pt>
                <c:pt idx="22">
                  <c:v>318.81</c:v>
                </c:pt>
                <c:pt idx="23">
                  <c:v>318.81</c:v>
                </c:pt>
                <c:pt idx="24">
                  <c:v>318.81</c:v>
                </c:pt>
                <c:pt idx="25">
                  <c:v>318.81</c:v>
                </c:pt>
                <c:pt idx="26">
                  <c:v>318.81</c:v>
                </c:pt>
                <c:pt idx="27">
                  <c:v>318.81</c:v>
                </c:pt>
                <c:pt idx="28">
                  <c:v>318.81</c:v>
                </c:pt>
                <c:pt idx="29">
                  <c:v>318.81</c:v>
                </c:pt>
                <c:pt idx="30">
                  <c:v>318.81</c:v>
                </c:pt>
                <c:pt idx="31">
                  <c:v>318.81</c:v>
                </c:pt>
                <c:pt idx="32">
                  <c:v>318.81</c:v>
                </c:pt>
                <c:pt idx="33">
                  <c:v>318.81</c:v>
                </c:pt>
                <c:pt idx="34">
                  <c:v>318.81</c:v>
                </c:pt>
                <c:pt idx="35">
                  <c:v>318.81</c:v>
                </c:pt>
                <c:pt idx="36">
                  <c:v>318.81</c:v>
                </c:pt>
                <c:pt idx="37">
                  <c:v>318.81</c:v>
                </c:pt>
                <c:pt idx="38">
                  <c:v>318.81</c:v>
                </c:pt>
                <c:pt idx="39">
                  <c:v>318.81</c:v>
                </c:pt>
                <c:pt idx="40">
                  <c:v>318.81</c:v>
                </c:pt>
                <c:pt idx="41">
                  <c:v>318.81</c:v>
                </c:pt>
                <c:pt idx="42">
                  <c:v>318.81</c:v>
                </c:pt>
                <c:pt idx="43">
                  <c:v>318.81</c:v>
                </c:pt>
                <c:pt idx="44">
                  <c:v>318.81</c:v>
                </c:pt>
                <c:pt idx="45">
                  <c:v>318.81</c:v>
                </c:pt>
                <c:pt idx="46">
                  <c:v>318.81</c:v>
                </c:pt>
                <c:pt idx="47">
                  <c:v>318.81</c:v>
                </c:pt>
                <c:pt idx="48">
                  <c:v>318.81</c:v>
                </c:pt>
                <c:pt idx="49">
                  <c:v>318.81</c:v>
                </c:pt>
                <c:pt idx="50">
                  <c:v>318.81</c:v>
                </c:pt>
                <c:pt idx="51">
                  <c:v>318.81</c:v>
                </c:pt>
                <c:pt idx="52">
                  <c:v>318.81</c:v>
                </c:pt>
                <c:pt idx="53">
                  <c:v>318.81</c:v>
                </c:pt>
                <c:pt idx="54">
                  <c:v>318.81</c:v>
                </c:pt>
                <c:pt idx="55">
                  <c:v>318.81</c:v>
                </c:pt>
                <c:pt idx="56">
                  <c:v>318.81</c:v>
                </c:pt>
                <c:pt idx="57">
                  <c:v>318.81</c:v>
                </c:pt>
                <c:pt idx="58">
                  <c:v>318.81</c:v>
                </c:pt>
                <c:pt idx="59">
                  <c:v>318.81</c:v>
                </c:pt>
                <c:pt idx="60">
                  <c:v>318.81</c:v>
                </c:pt>
                <c:pt idx="61">
                  <c:v>318.81</c:v>
                </c:pt>
                <c:pt idx="62">
                  <c:v>318.81</c:v>
                </c:pt>
                <c:pt idx="63">
                  <c:v>318.81</c:v>
                </c:pt>
                <c:pt idx="64">
                  <c:v>318.81</c:v>
                </c:pt>
                <c:pt idx="65">
                  <c:v>318.81</c:v>
                </c:pt>
                <c:pt idx="66">
                  <c:v>318.81</c:v>
                </c:pt>
                <c:pt idx="67">
                  <c:v>318.81</c:v>
                </c:pt>
                <c:pt idx="68">
                  <c:v>318.81</c:v>
                </c:pt>
                <c:pt idx="69">
                  <c:v>318.81</c:v>
                </c:pt>
                <c:pt idx="70">
                  <c:v>318.81</c:v>
                </c:pt>
                <c:pt idx="71">
                  <c:v>318.81</c:v>
                </c:pt>
                <c:pt idx="72">
                  <c:v>318.81</c:v>
                </c:pt>
                <c:pt idx="73">
                  <c:v>318.81</c:v>
                </c:pt>
                <c:pt idx="74">
                  <c:v>318.81</c:v>
                </c:pt>
                <c:pt idx="75">
                  <c:v>318.81</c:v>
                </c:pt>
                <c:pt idx="76">
                  <c:v>318.81</c:v>
                </c:pt>
                <c:pt idx="77">
                  <c:v>318.81</c:v>
                </c:pt>
                <c:pt idx="78">
                  <c:v>318.81</c:v>
                </c:pt>
                <c:pt idx="79">
                  <c:v>318.81</c:v>
                </c:pt>
                <c:pt idx="80">
                  <c:v>318.81</c:v>
                </c:pt>
                <c:pt idx="81">
                  <c:v>318.81</c:v>
                </c:pt>
                <c:pt idx="82">
                  <c:v>318.81</c:v>
                </c:pt>
                <c:pt idx="83">
                  <c:v>318.81</c:v>
                </c:pt>
                <c:pt idx="84">
                  <c:v>318.81</c:v>
                </c:pt>
                <c:pt idx="85">
                  <c:v>318.81</c:v>
                </c:pt>
                <c:pt idx="86">
                  <c:v>318.81</c:v>
                </c:pt>
                <c:pt idx="87">
                  <c:v>318.81</c:v>
                </c:pt>
                <c:pt idx="88">
                  <c:v>318.81</c:v>
                </c:pt>
                <c:pt idx="89">
                  <c:v>318.81</c:v>
                </c:pt>
                <c:pt idx="90">
                  <c:v>318.81</c:v>
                </c:pt>
                <c:pt idx="91">
                  <c:v>318.81</c:v>
                </c:pt>
                <c:pt idx="92">
                  <c:v>318.81</c:v>
                </c:pt>
                <c:pt idx="93">
                  <c:v>318.81</c:v>
                </c:pt>
                <c:pt idx="94">
                  <c:v>318.81</c:v>
                </c:pt>
                <c:pt idx="95">
                  <c:v>318.81</c:v>
                </c:pt>
                <c:pt idx="96">
                  <c:v>318.81</c:v>
                </c:pt>
                <c:pt idx="97">
                  <c:v>318.81</c:v>
                </c:pt>
                <c:pt idx="98">
                  <c:v>318.81</c:v>
                </c:pt>
                <c:pt idx="99">
                  <c:v>318.81</c:v>
                </c:pt>
                <c:pt idx="100">
                  <c:v>318.81</c:v>
                </c:pt>
                <c:pt idx="101">
                  <c:v>318.81</c:v>
                </c:pt>
                <c:pt idx="102">
                  <c:v>318.81</c:v>
                </c:pt>
                <c:pt idx="103">
                  <c:v>318.81</c:v>
                </c:pt>
                <c:pt idx="104">
                  <c:v>318.81</c:v>
                </c:pt>
                <c:pt idx="105">
                  <c:v>318.81</c:v>
                </c:pt>
                <c:pt idx="106">
                  <c:v>318.81</c:v>
                </c:pt>
                <c:pt idx="107">
                  <c:v>318.81</c:v>
                </c:pt>
                <c:pt idx="108">
                  <c:v>318.81</c:v>
                </c:pt>
                <c:pt idx="109">
                  <c:v>318.81</c:v>
                </c:pt>
                <c:pt idx="110">
                  <c:v>318.81</c:v>
                </c:pt>
                <c:pt idx="111">
                  <c:v>318.81</c:v>
                </c:pt>
                <c:pt idx="112">
                  <c:v>318.81</c:v>
                </c:pt>
                <c:pt idx="113">
                  <c:v>318.81</c:v>
                </c:pt>
                <c:pt idx="114">
                  <c:v>318.81</c:v>
                </c:pt>
                <c:pt idx="115">
                  <c:v>318.81</c:v>
                </c:pt>
                <c:pt idx="116">
                  <c:v>318.81</c:v>
                </c:pt>
                <c:pt idx="117">
                  <c:v>318.81</c:v>
                </c:pt>
                <c:pt idx="118">
                  <c:v>318.81</c:v>
                </c:pt>
                <c:pt idx="119">
                  <c:v>318.81</c:v>
                </c:pt>
                <c:pt idx="120">
                  <c:v>318.81</c:v>
                </c:pt>
                <c:pt idx="121">
                  <c:v>318.81</c:v>
                </c:pt>
                <c:pt idx="122">
                  <c:v>318.81</c:v>
                </c:pt>
                <c:pt idx="123">
                  <c:v>318.81</c:v>
                </c:pt>
                <c:pt idx="124">
                  <c:v>318.81</c:v>
                </c:pt>
                <c:pt idx="125">
                  <c:v>318.81</c:v>
                </c:pt>
                <c:pt idx="126">
                  <c:v>318.81</c:v>
                </c:pt>
                <c:pt idx="127">
                  <c:v>318.81</c:v>
                </c:pt>
                <c:pt idx="128">
                  <c:v>318.81</c:v>
                </c:pt>
                <c:pt idx="129">
                  <c:v>318.81</c:v>
                </c:pt>
                <c:pt idx="130">
                  <c:v>318.81</c:v>
                </c:pt>
                <c:pt idx="131">
                  <c:v>318.81</c:v>
                </c:pt>
                <c:pt idx="132">
                  <c:v>318.81</c:v>
                </c:pt>
                <c:pt idx="133">
                  <c:v>318.81</c:v>
                </c:pt>
                <c:pt idx="134">
                  <c:v>318.81</c:v>
                </c:pt>
                <c:pt idx="135">
                  <c:v>318.81</c:v>
                </c:pt>
                <c:pt idx="136">
                  <c:v>318.81</c:v>
                </c:pt>
                <c:pt idx="137">
                  <c:v>318.81</c:v>
                </c:pt>
                <c:pt idx="138">
                  <c:v>318.81</c:v>
                </c:pt>
                <c:pt idx="139">
                  <c:v>318.81</c:v>
                </c:pt>
                <c:pt idx="140">
                  <c:v>318.81</c:v>
                </c:pt>
                <c:pt idx="141">
                  <c:v>318.81</c:v>
                </c:pt>
                <c:pt idx="142">
                  <c:v>318.81</c:v>
                </c:pt>
                <c:pt idx="143">
                  <c:v>318.81</c:v>
                </c:pt>
                <c:pt idx="144">
                  <c:v>318.81</c:v>
                </c:pt>
                <c:pt idx="145">
                  <c:v>318.81</c:v>
                </c:pt>
                <c:pt idx="146">
                  <c:v>318.81</c:v>
                </c:pt>
                <c:pt idx="147">
                  <c:v>318.81</c:v>
                </c:pt>
                <c:pt idx="148">
                  <c:v>318.81</c:v>
                </c:pt>
                <c:pt idx="149">
                  <c:v>318.81</c:v>
                </c:pt>
                <c:pt idx="150">
                  <c:v>318.81</c:v>
                </c:pt>
                <c:pt idx="151">
                  <c:v>318.81</c:v>
                </c:pt>
                <c:pt idx="152">
                  <c:v>318.81</c:v>
                </c:pt>
                <c:pt idx="153">
                  <c:v>318.81</c:v>
                </c:pt>
                <c:pt idx="154">
                  <c:v>318.81</c:v>
                </c:pt>
                <c:pt idx="155">
                  <c:v>318.81</c:v>
                </c:pt>
                <c:pt idx="156">
                  <c:v>318.81</c:v>
                </c:pt>
                <c:pt idx="157">
                  <c:v>318.81</c:v>
                </c:pt>
                <c:pt idx="158">
                  <c:v>318.81</c:v>
                </c:pt>
                <c:pt idx="159">
                  <c:v>318.81</c:v>
                </c:pt>
                <c:pt idx="160">
                  <c:v>318.81</c:v>
                </c:pt>
                <c:pt idx="161">
                  <c:v>318.81</c:v>
                </c:pt>
                <c:pt idx="162">
                  <c:v>318.81</c:v>
                </c:pt>
                <c:pt idx="163">
                  <c:v>318.81</c:v>
                </c:pt>
                <c:pt idx="164">
                  <c:v>318.81</c:v>
                </c:pt>
                <c:pt idx="165">
                  <c:v>318.81</c:v>
                </c:pt>
                <c:pt idx="166">
                  <c:v>318.81</c:v>
                </c:pt>
                <c:pt idx="167">
                  <c:v>318.81</c:v>
                </c:pt>
                <c:pt idx="168">
                  <c:v>318.81</c:v>
                </c:pt>
                <c:pt idx="169">
                  <c:v>318.81</c:v>
                </c:pt>
                <c:pt idx="170">
                  <c:v>318.81</c:v>
                </c:pt>
                <c:pt idx="171">
                  <c:v>318.81</c:v>
                </c:pt>
                <c:pt idx="172">
                  <c:v>318.81</c:v>
                </c:pt>
                <c:pt idx="173">
                  <c:v>318.81</c:v>
                </c:pt>
                <c:pt idx="174">
                  <c:v>318.81</c:v>
                </c:pt>
                <c:pt idx="175">
                  <c:v>318.81</c:v>
                </c:pt>
                <c:pt idx="176">
                  <c:v>318.81</c:v>
                </c:pt>
                <c:pt idx="177">
                  <c:v>318.81</c:v>
                </c:pt>
                <c:pt idx="178">
                  <c:v>318.81</c:v>
                </c:pt>
                <c:pt idx="179">
                  <c:v>318.81</c:v>
                </c:pt>
                <c:pt idx="180">
                  <c:v>318.81</c:v>
                </c:pt>
                <c:pt idx="181">
                  <c:v>318.81</c:v>
                </c:pt>
                <c:pt idx="182">
                  <c:v>318.81</c:v>
                </c:pt>
                <c:pt idx="183">
                  <c:v>318.81</c:v>
                </c:pt>
                <c:pt idx="184">
                  <c:v>318.81</c:v>
                </c:pt>
                <c:pt idx="185">
                  <c:v>318.81</c:v>
                </c:pt>
                <c:pt idx="186">
                  <c:v>318.81</c:v>
                </c:pt>
                <c:pt idx="187">
                  <c:v>318.81</c:v>
                </c:pt>
                <c:pt idx="188">
                  <c:v>318.81</c:v>
                </c:pt>
                <c:pt idx="189">
                  <c:v>318.81</c:v>
                </c:pt>
                <c:pt idx="190">
                  <c:v>318.81</c:v>
                </c:pt>
                <c:pt idx="191">
                  <c:v>318.81</c:v>
                </c:pt>
                <c:pt idx="192">
                  <c:v>318.81</c:v>
                </c:pt>
                <c:pt idx="193">
                  <c:v>318.81</c:v>
                </c:pt>
                <c:pt idx="194">
                  <c:v>318.81</c:v>
                </c:pt>
                <c:pt idx="195">
                  <c:v>318.81</c:v>
                </c:pt>
                <c:pt idx="196">
                  <c:v>318.81</c:v>
                </c:pt>
                <c:pt idx="197">
                  <c:v>318.81</c:v>
                </c:pt>
                <c:pt idx="198">
                  <c:v>318.81</c:v>
                </c:pt>
                <c:pt idx="199">
                  <c:v>318.81</c:v>
                </c:pt>
                <c:pt idx="200">
                  <c:v>318.81</c:v>
                </c:pt>
                <c:pt idx="201">
                  <c:v>318.81</c:v>
                </c:pt>
                <c:pt idx="202">
                  <c:v>318.81</c:v>
                </c:pt>
                <c:pt idx="203">
                  <c:v>318.81</c:v>
                </c:pt>
              </c:numCache>
            </c:numRef>
          </c:val>
          <c:smooth val="0"/>
          <c:extLst>
            <c:ext xmlns:c16="http://schemas.microsoft.com/office/drawing/2014/chart" uri="{C3380CC4-5D6E-409C-BE32-E72D297353CC}">
              <c16:uniqueId val="{00000001-5D18-47FA-93F7-2AB89D044415}"/>
            </c:ext>
          </c:extLst>
        </c:ser>
        <c:ser>
          <c:idx val="2"/>
          <c:order val="2"/>
          <c:tx>
            <c:strRef>
              <c:f>'Fig 10.10. XmR charts'!$I$1</c:f>
              <c:strCache>
                <c:ptCount val="1"/>
                <c:pt idx="0">
                  <c:v>URL</c:v>
                </c:pt>
              </c:strCache>
            </c:strRef>
          </c:tx>
          <c:spPr>
            <a:ln w="28575" cap="rnd">
              <a:solidFill>
                <a:srgbClr val="D72323"/>
              </a:solidFill>
              <a:prstDash val="dash"/>
              <a:round/>
            </a:ln>
            <a:effectLst/>
          </c:spPr>
          <c:marker>
            <c:symbol val="none"/>
          </c:marker>
          <c:val>
            <c:numRef>
              <c:f>'Fig 10.10. XmR charts'!$I$2:$I$205</c:f>
              <c:numCache>
                <c:formatCode>General</c:formatCode>
                <c:ptCount val="204"/>
                <c:pt idx="0">
                  <c:v>1041.8699999999999</c:v>
                </c:pt>
                <c:pt idx="1">
                  <c:v>1041.8699999999999</c:v>
                </c:pt>
                <c:pt idx="2">
                  <c:v>1041.8699999999999</c:v>
                </c:pt>
                <c:pt idx="3">
                  <c:v>1041.8699999999999</c:v>
                </c:pt>
                <c:pt idx="4">
                  <c:v>1041.8699999999999</c:v>
                </c:pt>
                <c:pt idx="5">
                  <c:v>1041.8699999999999</c:v>
                </c:pt>
                <c:pt idx="6">
                  <c:v>1041.8699999999999</c:v>
                </c:pt>
                <c:pt idx="7">
                  <c:v>1041.8699999999999</c:v>
                </c:pt>
                <c:pt idx="8">
                  <c:v>1041.8699999999999</c:v>
                </c:pt>
                <c:pt idx="9">
                  <c:v>1041.8699999999999</c:v>
                </c:pt>
                <c:pt idx="10">
                  <c:v>1041.8699999999999</c:v>
                </c:pt>
                <c:pt idx="11">
                  <c:v>1041.8699999999999</c:v>
                </c:pt>
                <c:pt idx="12">
                  <c:v>1041.8699999999999</c:v>
                </c:pt>
                <c:pt idx="13">
                  <c:v>1041.8699999999999</c:v>
                </c:pt>
                <c:pt idx="14">
                  <c:v>1041.8699999999999</c:v>
                </c:pt>
                <c:pt idx="15">
                  <c:v>1041.8699999999999</c:v>
                </c:pt>
                <c:pt idx="16">
                  <c:v>1041.8699999999999</c:v>
                </c:pt>
                <c:pt idx="17">
                  <c:v>1041.8699999999999</c:v>
                </c:pt>
                <c:pt idx="18">
                  <c:v>1041.8699999999999</c:v>
                </c:pt>
                <c:pt idx="19">
                  <c:v>1041.8699999999999</c:v>
                </c:pt>
                <c:pt idx="20">
                  <c:v>1041.8699999999999</c:v>
                </c:pt>
                <c:pt idx="21">
                  <c:v>1041.8699999999999</c:v>
                </c:pt>
                <c:pt idx="22">
                  <c:v>1041.8699999999999</c:v>
                </c:pt>
                <c:pt idx="23">
                  <c:v>1041.8699999999999</c:v>
                </c:pt>
                <c:pt idx="24">
                  <c:v>1041.8699999999999</c:v>
                </c:pt>
                <c:pt idx="25">
                  <c:v>1041.8699999999999</c:v>
                </c:pt>
                <c:pt idx="26">
                  <c:v>1041.8699999999999</c:v>
                </c:pt>
                <c:pt idx="27">
                  <c:v>1041.8699999999999</c:v>
                </c:pt>
                <c:pt idx="28">
                  <c:v>1041.8699999999999</c:v>
                </c:pt>
                <c:pt idx="29">
                  <c:v>1041.8699999999999</c:v>
                </c:pt>
                <c:pt idx="30">
                  <c:v>1041.8699999999999</c:v>
                </c:pt>
                <c:pt idx="31">
                  <c:v>1041.8699999999999</c:v>
                </c:pt>
                <c:pt idx="32">
                  <c:v>1041.8699999999999</c:v>
                </c:pt>
                <c:pt idx="33">
                  <c:v>1041.8699999999999</c:v>
                </c:pt>
                <c:pt idx="34">
                  <c:v>1041.8699999999999</c:v>
                </c:pt>
                <c:pt idx="35">
                  <c:v>1041.8699999999999</c:v>
                </c:pt>
                <c:pt idx="36">
                  <c:v>1041.8699999999999</c:v>
                </c:pt>
                <c:pt idx="37">
                  <c:v>1041.8699999999999</c:v>
                </c:pt>
                <c:pt idx="38">
                  <c:v>1041.8699999999999</c:v>
                </c:pt>
                <c:pt idx="39">
                  <c:v>1041.8699999999999</c:v>
                </c:pt>
                <c:pt idx="40">
                  <c:v>1041.8699999999999</c:v>
                </c:pt>
                <c:pt idx="41">
                  <c:v>1041.8699999999999</c:v>
                </c:pt>
                <c:pt idx="42">
                  <c:v>1041.8699999999999</c:v>
                </c:pt>
                <c:pt idx="43">
                  <c:v>1041.8699999999999</c:v>
                </c:pt>
                <c:pt idx="44">
                  <c:v>1041.8699999999999</c:v>
                </c:pt>
                <c:pt idx="45">
                  <c:v>1041.8699999999999</c:v>
                </c:pt>
                <c:pt idx="46">
                  <c:v>1041.8699999999999</c:v>
                </c:pt>
                <c:pt idx="47">
                  <c:v>1041.8699999999999</c:v>
                </c:pt>
                <c:pt idx="48">
                  <c:v>1041.8699999999999</c:v>
                </c:pt>
                <c:pt idx="49">
                  <c:v>1041.8699999999999</c:v>
                </c:pt>
                <c:pt idx="50">
                  <c:v>1041.8699999999999</c:v>
                </c:pt>
                <c:pt idx="51">
                  <c:v>1041.8699999999999</c:v>
                </c:pt>
                <c:pt idx="52">
                  <c:v>1041.8699999999999</c:v>
                </c:pt>
                <c:pt idx="53">
                  <c:v>1041.8699999999999</c:v>
                </c:pt>
                <c:pt idx="54">
                  <c:v>1041.8699999999999</c:v>
                </c:pt>
                <c:pt idx="55">
                  <c:v>1041.8699999999999</c:v>
                </c:pt>
                <c:pt idx="56">
                  <c:v>1041.8699999999999</c:v>
                </c:pt>
                <c:pt idx="57">
                  <c:v>1041.8699999999999</c:v>
                </c:pt>
                <c:pt idx="58">
                  <c:v>1041.8699999999999</c:v>
                </c:pt>
                <c:pt idx="59">
                  <c:v>1041.8699999999999</c:v>
                </c:pt>
                <c:pt idx="60">
                  <c:v>1041.8699999999999</c:v>
                </c:pt>
                <c:pt idx="61">
                  <c:v>1041.8699999999999</c:v>
                </c:pt>
                <c:pt idx="62">
                  <c:v>1041.8699999999999</c:v>
                </c:pt>
                <c:pt idx="63">
                  <c:v>1041.8699999999999</c:v>
                </c:pt>
                <c:pt idx="64">
                  <c:v>1041.8699999999999</c:v>
                </c:pt>
                <c:pt idx="65">
                  <c:v>1041.8699999999999</c:v>
                </c:pt>
                <c:pt idx="66">
                  <c:v>1041.8699999999999</c:v>
                </c:pt>
                <c:pt idx="67">
                  <c:v>1041.8699999999999</c:v>
                </c:pt>
                <c:pt idx="68">
                  <c:v>1041.8699999999999</c:v>
                </c:pt>
                <c:pt idx="69">
                  <c:v>1041.8699999999999</c:v>
                </c:pt>
                <c:pt idx="70">
                  <c:v>1041.8699999999999</c:v>
                </c:pt>
                <c:pt idx="71">
                  <c:v>1041.8699999999999</c:v>
                </c:pt>
                <c:pt idx="72">
                  <c:v>1041.8699999999999</c:v>
                </c:pt>
                <c:pt idx="73">
                  <c:v>1041.8699999999999</c:v>
                </c:pt>
                <c:pt idx="74">
                  <c:v>1041.8699999999999</c:v>
                </c:pt>
                <c:pt idx="75">
                  <c:v>1041.8699999999999</c:v>
                </c:pt>
                <c:pt idx="76">
                  <c:v>1041.8699999999999</c:v>
                </c:pt>
                <c:pt idx="77">
                  <c:v>1041.8699999999999</c:v>
                </c:pt>
                <c:pt idx="78">
                  <c:v>1041.8699999999999</c:v>
                </c:pt>
                <c:pt idx="79">
                  <c:v>1041.8699999999999</c:v>
                </c:pt>
                <c:pt idx="80">
                  <c:v>1041.8699999999999</c:v>
                </c:pt>
                <c:pt idx="81">
                  <c:v>1041.8699999999999</c:v>
                </c:pt>
                <c:pt idx="82">
                  <c:v>1041.8699999999999</c:v>
                </c:pt>
                <c:pt idx="83">
                  <c:v>1041.8699999999999</c:v>
                </c:pt>
                <c:pt idx="84">
                  <c:v>1041.8699999999999</c:v>
                </c:pt>
                <c:pt idx="85">
                  <c:v>1041.8699999999999</c:v>
                </c:pt>
                <c:pt idx="86">
                  <c:v>1041.8699999999999</c:v>
                </c:pt>
                <c:pt idx="87">
                  <c:v>1041.8699999999999</c:v>
                </c:pt>
                <c:pt idx="88">
                  <c:v>1041.8699999999999</c:v>
                </c:pt>
                <c:pt idx="89">
                  <c:v>1041.8699999999999</c:v>
                </c:pt>
                <c:pt idx="90">
                  <c:v>1041.8699999999999</c:v>
                </c:pt>
                <c:pt idx="91">
                  <c:v>1041.8699999999999</c:v>
                </c:pt>
                <c:pt idx="92">
                  <c:v>1041.8699999999999</c:v>
                </c:pt>
                <c:pt idx="93">
                  <c:v>1041.8699999999999</c:v>
                </c:pt>
                <c:pt idx="94">
                  <c:v>1041.8699999999999</c:v>
                </c:pt>
                <c:pt idx="95">
                  <c:v>1041.8699999999999</c:v>
                </c:pt>
                <c:pt idx="96">
                  <c:v>1041.8699999999999</c:v>
                </c:pt>
                <c:pt idx="97">
                  <c:v>1041.8699999999999</c:v>
                </c:pt>
                <c:pt idx="98">
                  <c:v>1041.8699999999999</c:v>
                </c:pt>
                <c:pt idx="99">
                  <c:v>1041.8699999999999</c:v>
                </c:pt>
                <c:pt idx="100">
                  <c:v>1041.8699999999999</c:v>
                </c:pt>
                <c:pt idx="101">
                  <c:v>1041.8699999999999</c:v>
                </c:pt>
                <c:pt idx="102">
                  <c:v>1041.8699999999999</c:v>
                </c:pt>
                <c:pt idx="103">
                  <c:v>1041.8699999999999</c:v>
                </c:pt>
                <c:pt idx="104">
                  <c:v>1041.8699999999999</c:v>
                </c:pt>
                <c:pt idx="105">
                  <c:v>1041.8699999999999</c:v>
                </c:pt>
                <c:pt idx="106">
                  <c:v>1041.8699999999999</c:v>
                </c:pt>
                <c:pt idx="107">
                  <c:v>1041.8699999999999</c:v>
                </c:pt>
                <c:pt idx="108">
                  <c:v>1041.8699999999999</c:v>
                </c:pt>
                <c:pt idx="109">
                  <c:v>1041.8699999999999</c:v>
                </c:pt>
                <c:pt idx="110">
                  <c:v>1041.8699999999999</c:v>
                </c:pt>
                <c:pt idx="111">
                  <c:v>1041.8699999999999</c:v>
                </c:pt>
                <c:pt idx="112">
                  <c:v>1041.8699999999999</c:v>
                </c:pt>
                <c:pt idx="113">
                  <c:v>1041.8699999999999</c:v>
                </c:pt>
                <c:pt idx="114">
                  <c:v>1041.8699999999999</c:v>
                </c:pt>
                <c:pt idx="115">
                  <c:v>1041.8699999999999</c:v>
                </c:pt>
                <c:pt idx="116">
                  <c:v>1041.8699999999999</c:v>
                </c:pt>
                <c:pt idx="117">
                  <c:v>1041.8699999999999</c:v>
                </c:pt>
                <c:pt idx="118">
                  <c:v>1041.8699999999999</c:v>
                </c:pt>
                <c:pt idx="119">
                  <c:v>1041.8699999999999</c:v>
                </c:pt>
                <c:pt idx="120">
                  <c:v>1041.8699999999999</c:v>
                </c:pt>
                <c:pt idx="121">
                  <c:v>1041.8699999999999</c:v>
                </c:pt>
                <c:pt idx="122">
                  <c:v>1041.8699999999999</c:v>
                </c:pt>
                <c:pt idx="123">
                  <c:v>1041.8699999999999</c:v>
                </c:pt>
                <c:pt idx="124">
                  <c:v>1041.8699999999999</c:v>
                </c:pt>
                <c:pt idx="125">
                  <c:v>1041.8699999999999</c:v>
                </c:pt>
                <c:pt idx="126">
                  <c:v>1041.8699999999999</c:v>
                </c:pt>
                <c:pt idx="127">
                  <c:v>1041.8699999999999</c:v>
                </c:pt>
                <c:pt idx="128">
                  <c:v>1041.8699999999999</c:v>
                </c:pt>
                <c:pt idx="129">
                  <c:v>1041.8699999999999</c:v>
                </c:pt>
                <c:pt idx="130">
                  <c:v>1041.8699999999999</c:v>
                </c:pt>
                <c:pt idx="131">
                  <c:v>1041.8699999999999</c:v>
                </c:pt>
                <c:pt idx="132">
                  <c:v>1041.8699999999999</c:v>
                </c:pt>
                <c:pt idx="133">
                  <c:v>1041.8699999999999</c:v>
                </c:pt>
                <c:pt idx="134">
                  <c:v>1041.8699999999999</c:v>
                </c:pt>
                <c:pt idx="135">
                  <c:v>1041.8699999999999</c:v>
                </c:pt>
                <c:pt idx="136">
                  <c:v>1041.8699999999999</c:v>
                </c:pt>
                <c:pt idx="137">
                  <c:v>1041.8699999999999</c:v>
                </c:pt>
                <c:pt idx="138">
                  <c:v>1041.8699999999999</c:v>
                </c:pt>
                <c:pt idx="139">
                  <c:v>1041.8699999999999</c:v>
                </c:pt>
                <c:pt idx="140">
                  <c:v>1041.8699999999999</c:v>
                </c:pt>
                <c:pt idx="141">
                  <c:v>1041.8699999999999</c:v>
                </c:pt>
                <c:pt idx="142">
                  <c:v>1041.8699999999999</c:v>
                </c:pt>
                <c:pt idx="143">
                  <c:v>1041.8699999999999</c:v>
                </c:pt>
                <c:pt idx="144">
                  <c:v>1041.8699999999999</c:v>
                </c:pt>
                <c:pt idx="145">
                  <c:v>1041.8699999999999</c:v>
                </c:pt>
                <c:pt idx="146">
                  <c:v>1041.8699999999999</c:v>
                </c:pt>
                <c:pt idx="147">
                  <c:v>1041.8699999999999</c:v>
                </c:pt>
                <c:pt idx="148">
                  <c:v>1041.8699999999999</c:v>
                </c:pt>
                <c:pt idx="149">
                  <c:v>1041.8699999999999</c:v>
                </c:pt>
                <c:pt idx="150">
                  <c:v>1041.8699999999999</c:v>
                </c:pt>
                <c:pt idx="151">
                  <c:v>1041.8699999999999</c:v>
                </c:pt>
                <c:pt idx="152">
                  <c:v>1041.8699999999999</c:v>
                </c:pt>
                <c:pt idx="153">
                  <c:v>1041.8699999999999</c:v>
                </c:pt>
                <c:pt idx="154">
                  <c:v>1041.8699999999999</c:v>
                </c:pt>
                <c:pt idx="155">
                  <c:v>1041.8699999999999</c:v>
                </c:pt>
                <c:pt idx="156">
                  <c:v>1041.8699999999999</c:v>
                </c:pt>
                <c:pt idx="157">
                  <c:v>1041.8699999999999</c:v>
                </c:pt>
                <c:pt idx="158">
                  <c:v>1041.8699999999999</c:v>
                </c:pt>
                <c:pt idx="159">
                  <c:v>1041.8699999999999</c:v>
                </c:pt>
                <c:pt idx="160">
                  <c:v>1041.8699999999999</c:v>
                </c:pt>
                <c:pt idx="161">
                  <c:v>1041.8699999999999</c:v>
                </c:pt>
                <c:pt idx="162">
                  <c:v>1041.8699999999999</c:v>
                </c:pt>
                <c:pt idx="163">
                  <c:v>1041.8699999999999</c:v>
                </c:pt>
                <c:pt idx="164">
                  <c:v>1041.8699999999999</c:v>
                </c:pt>
                <c:pt idx="165">
                  <c:v>1041.8699999999999</c:v>
                </c:pt>
                <c:pt idx="166">
                  <c:v>1041.8699999999999</c:v>
                </c:pt>
                <c:pt idx="167">
                  <c:v>1041.8699999999999</c:v>
                </c:pt>
                <c:pt idx="168">
                  <c:v>1041.8699999999999</c:v>
                </c:pt>
                <c:pt idx="169">
                  <c:v>1041.8699999999999</c:v>
                </c:pt>
                <c:pt idx="170">
                  <c:v>1041.8699999999999</c:v>
                </c:pt>
                <c:pt idx="171">
                  <c:v>1041.8699999999999</c:v>
                </c:pt>
                <c:pt idx="172">
                  <c:v>1041.8699999999999</c:v>
                </c:pt>
                <c:pt idx="173">
                  <c:v>1041.8699999999999</c:v>
                </c:pt>
                <c:pt idx="174">
                  <c:v>1041.8699999999999</c:v>
                </c:pt>
                <c:pt idx="175">
                  <c:v>1041.8699999999999</c:v>
                </c:pt>
                <c:pt idx="176">
                  <c:v>1041.8699999999999</c:v>
                </c:pt>
                <c:pt idx="177">
                  <c:v>1041.8699999999999</c:v>
                </c:pt>
                <c:pt idx="178">
                  <c:v>1041.8699999999999</c:v>
                </c:pt>
                <c:pt idx="179">
                  <c:v>1041.8699999999999</c:v>
                </c:pt>
                <c:pt idx="180">
                  <c:v>1041.8699999999999</c:v>
                </c:pt>
                <c:pt idx="181">
                  <c:v>1041.8699999999999</c:v>
                </c:pt>
                <c:pt idx="182">
                  <c:v>1041.8699999999999</c:v>
                </c:pt>
                <c:pt idx="183">
                  <c:v>1041.8699999999999</c:v>
                </c:pt>
                <c:pt idx="184">
                  <c:v>1041.8699999999999</c:v>
                </c:pt>
                <c:pt idx="185">
                  <c:v>1041.8699999999999</c:v>
                </c:pt>
                <c:pt idx="186">
                  <c:v>1041.8699999999999</c:v>
                </c:pt>
                <c:pt idx="187">
                  <c:v>1041.8699999999999</c:v>
                </c:pt>
                <c:pt idx="188">
                  <c:v>1041.8699999999999</c:v>
                </c:pt>
                <c:pt idx="189">
                  <c:v>1041.8699999999999</c:v>
                </c:pt>
                <c:pt idx="190">
                  <c:v>1041.8699999999999</c:v>
                </c:pt>
                <c:pt idx="191">
                  <c:v>1041.8699999999999</c:v>
                </c:pt>
                <c:pt idx="192">
                  <c:v>1041.8699999999999</c:v>
                </c:pt>
                <c:pt idx="193">
                  <c:v>1041.8699999999999</c:v>
                </c:pt>
                <c:pt idx="194">
                  <c:v>1041.8699999999999</c:v>
                </c:pt>
                <c:pt idx="195">
                  <c:v>1041.8699999999999</c:v>
                </c:pt>
                <c:pt idx="196">
                  <c:v>1041.8699999999999</c:v>
                </c:pt>
                <c:pt idx="197">
                  <c:v>1041.8699999999999</c:v>
                </c:pt>
                <c:pt idx="198">
                  <c:v>1041.8699999999999</c:v>
                </c:pt>
                <c:pt idx="199">
                  <c:v>1041.8699999999999</c:v>
                </c:pt>
                <c:pt idx="200">
                  <c:v>1041.8699999999999</c:v>
                </c:pt>
                <c:pt idx="201">
                  <c:v>1041.8699999999999</c:v>
                </c:pt>
                <c:pt idx="202">
                  <c:v>1041.8699999999999</c:v>
                </c:pt>
                <c:pt idx="203">
                  <c:v>1041.8699999999999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a:t>
                </a:r>
                <a:r>
                  <a:rPr lang="en-US" baseline="0"/>
                  <a:t> Range (mR)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10.10. XmR charts'!$G$206</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10.10. XmR charts'!$G$207:$G$270</c:f>
              <c:numCache>
                <c:formatCode>0</c:formatCode>
                <c:ptCount val="64"/>
                <c:pt idx="1">
                  <c:v>165</c:v>
                </c:pt>
                <c:pt idx="2">
                  <c:v>70</c:v>
                </c:pt>
                <c:pt idx="3">
                  <c:v>170</c:v>
                </c:pt>
                <c:pt idx="4">
                  <c:v>60</c:v>
                </c:pt>
                <c:pt idx="5">
                  <c:v>160</c:v>
                </c:pt>
                <c:pt idx="6">
                  <c:v>310</c:v>
                </c:pt>
                <c:pt idx="7">
                  <c:v>135</c:v>
                </c:pt>
                <c:pt idx="8">
                  <c:v>30</c:v>
                </c:pt>
                <c:pt idx="9">
                  <c:v>160</c:v>
                </c:pt>
                <c:pt idx="10">
                  <c:v>335</c:v>
                </c:pt>
                <c:pt idx="11">
                  <c:v>165</c:v>
                </c:pt>
                <c:pt idx="12">
                  <c:v>125</c:v>
                </c:pt>
                <c:pt idx="13">
                  <c:v>320</c:v>
                </c:pt>
                <c:pt idx="14">
                  <c:v>330</c:v>
                </c:pt>
                <c:pt idx="15">
                  <c:v>160</c:v>
                </c:pt>
                <c:pt idx="16">
                  <c:v>150</c:v>
                </c:pt>
                <c:pt idx="17">
                  <c:v>90</c:v>
                </c:pt>
                <c:pt idx="18">
                  <c:v>225</c:v>
                </c:pt>
                <c:pt idx="19">
                  <c:v>340</c:v>
                </c:pt>
                <c:pt idx="20">
                  <c:v>415</c:v>
                </c:pt>
                <c:pt idx="21">
                  <c:v>125</c:v>
                </c:pt>
                <c:pt idx="22">
                  <c:v>390</c:v>
                </c:pt>
                <c:pt idx="23">
                  <c:v>265</c:v>
                </c:pt>
                <c:pt idx="24">
                  <c:v>415</c:v>
                </c:pt>
                <c:pt idx="25">
                  <c:v>260</c:v>
                </c:pt>
                <c:pt idx="26">
                  <c:v>360</c:v>
                </c:pt>
                <c:pt idx="27">
                  <c:v>140</c:v>
                </c:pt>
                <c:pt idx="28">
                  <c:v>40</c:v>
                </c:pt>
                <c:pt idx="29">
                  <c:v>100</c:v>
                </c:pt>
                <c:pt idx="30">
                  <c:v>95</c:v>
                </c:pt>
                <c:pt idx="31">
                  <c:v>370</c:v>
                </c:pt>
                <c:pt idx="32">
                  <c:v>395</c:v>
                </c:pt>
                <c:pt idx="33">
                  <c:v>110</c:v>
                </c:pt>
                <c:pt idx="34">
                  <c:v>130</c:v>
                </c:pt>
                <c:pt idx="35">
                  <c:v>70</c:v>
                </c:pt>
                <c:pt idx="36">
                  <c:v>370</c:v>
                </c:pt>
                <c:pt idx="37">
                  <c:v>25</c:v>
                </c:pt>
                <c:pt idx="38">
                  <c:v>105</c:v>
                </c:pt>
                <c:pt idx="39">
                  <c:v>420</c:v>
                </c:pt>
                <c:pt idx="40">
                  <c:v>90</c:v>
                </c:pt>
                <c:pt idx="41">
                  <c:v>250</c:v>
                </c:pt>
                <c:pt idx="42">
                  <c:v>190</c:v>
                </c:pt>
                <c:pt idx="43">
                  <c:v>70</c:v>
                </c:pt>
                <c:pt idx="44">
                  <c:v>110</c:v>
                </c:pt>
                <c:pt idx="45">
                  <c:v>10</c:v>
                </c:pt>
                <c:pt idx="46">
                  <c:v>310</c:v>
                </c:pt>
                <c:pt idx="47">
                  <c:v>440</c:v>
                </c:pt>
                <c:pt idx="48">
                  <c:v>90</c:v>
                </c:pt>
                <c:pt idx="49">
                  <c:v>60</c:v>
                </c:pt>
                <c:pt idx="50">
                  <c:v>65</c:v>
                </c:pt>
                <c:pt idx="51">
                  <c:v>65</c:v>
                </c:pt>
                <c:pt idx="52">
                  <c:v>110</c:v>
                </c:pt>
                <c:pt idx="53">
                  <c:v>250</c:v>
                </c:pt>
                <c:pt idx="54">
                  <c:v>110</c:v>
                </c:pt>
                <c:pt idx="55">
                  <c:v>30</c:v>
                </c:pt>
                <c:pt idx="56">
                  <c:v>155</c:v>
                </c:pt>
                <c:pt idx="57">
                  <c:v>250</c:v>
                </c:pt>
                <c:pt idx="58">
                  <c:v>185</c:v>
                </c:pt>
                <c:pt idx="59">
                  <c:v>25</c:v>
                </c:pt>
                <c:pt idx="60">
                  <c:v>355</c:v>
                </c:pt>
                <c:pt idx="61">
                  <c:v>330</c:v>
                </c:pt>
                <c:pt idx="62">
                  <c:v>60</c:v>
                </c:pt>
                <c:pt idx="63">
                  <c:v>250</c:v>
                </c:pt>
              </c:numCache>
            </c:numRef>
          </c:val>
          <c:smooth val="0"/>
          <c:extLst>
            <c:ext xmlns:c16="http://schemas.microsoft.com/office/drawing/2014/chart" uri="{C3380CC4-5D6E-409C-BE32-E72D297353CC}">
              <c16:uniqueId val="{00000000-5D18-47FA-93F7-2AB89D044415}"/>
            </c:ext>
          </c:extLst>
        </c:ser>
        <c:ser>
          <c:idx val="1"/>
          <c:order val="1"/>
          <c:tx>
            <c:strRef>
              <c:f>'Fig 10.10. XmR charts'!$H$206</c:f>
              <c:strCache>
                <c:ptCount val="1"/>
                <c:pt idx="0">
                  <c:v>Ave. mR</c:v>
                </c:pt>
              </c:strCache>
            </c:strRef>
          </c:tx>
          <c:spPr>
            <a:ln w="28575" cap="rnd">
              <a:solidFill>
                <a:schemeClr val="tx1"/>
              </a:solidFill>
              <a:round/>
            </a:ln>
            <a:effectLst/>
          </c:spPr>
          <c:marker>
            <c:symbol val="none"/>
          </c:marker>
          <c:val>
            <c:numRef>
              <c:f>'Fig 10.10. XmR charts'!$H$207:$H$270</c:f>
              <c:numCache>
                <c:formatCode>0.00</c:formatCode>
                <c:ptCount val="64"/>
                <c:pt idx="0">
                  <c:v>189.84</c:v>
                </c:pt>
                <c:pt idx="1">
                  <c:v>189.84</c:v>
                </c:pt>
                <c:pt idx="2">
                  <c:v>189.84</c:v>
                </c:pt>
                <c:pt idx="3">
                  <c:v>189.84</c:v>
                </c:pt>
                <c:pt idx="4">
                  <c:v>189.84</c:v>
                </c:pt>
                <c:pt idx="5">
                  <c:v>189.84</c:v>
                </c:pt>
                <c:pt idx="6">
                  <c:v>189.84</c:v>
                </c:pt>
                <c:pt idx="7">
                  <c:v>189.84</c:v>
                </c:pt>
                <c:pt idx="8">
                  <c:v>189.84</c:v>
                </c:pt>
                <c:pt idx="9">
                  <c:v>189.84</c:v>
                </c:pt>
                <c:pt idx="10">
                  <c:v>189.84</c:v>
                </c:pt>
                <c:pt idx="11">
                  <c:v>189.84</c:v>
                </c:pt>
                <c:pt idx="12">
                  <c:v>189.84</c:v>
                </c:pt>
                <c:pt idx="13">
                  <c:v>189.84</c:v>
                </c:pt>
                <c:pt idx="14">
                  <c:v>189.84</c:v>
                </c:pt>
                <c:pt idx="15">
                  <c:v>189.84</c:v>
                </c:pt>
                <c:pt idx="16">
                  <c:v>189.84</c:v>
                </c:pt>
                <c:pt idx="17">
                  <c:v>189.84</c:v>
                </c:pt>
                <c:pt idx="18">
                  <c:v>189.84</c:v>
                </c:pt>
                <c:pt idx="19">
                  <c:v>189.84</c:v>
                </c:pt>
                <c:pt idx="20">
                  <c:v>189.84</c:v>
                </c:pt>
                <c:pt idx="21">
                  <c:v>189.84</c:v>
                </c:pt>
                <c:pt idx="22">
                  <c:v>189.84</c:v>
                </c:pt>
                <c:pt idx="23">
                  <c:v>189.84</c:v>
                </c:pt>
                <c:pt idx="24">
                  <c:v>189.84</c:v>
                </c:pt>
                <c:pt idx="25">
                  <c:v>189.84</c:v>
                </c:pt>
                <c:pt idx="26">
                  <c:v>189.84</c:v>
                </c:pt>
                <c:pt idx="27">
                  <c:v>189.84</c:v>
                </c:pt>
                <c:pt idx="28">
                  <c:v>189.84</c:v>
                </c:pt>
                <c:pt idx="29">
                  <c:v>189.84</c:v>
                </c:pt>
                <c:pt idx="30">
                  <c:v>189.84</c:v>
                </c:pt>
                <c:pt idx="31">
                  <c:v>189.84</c:v>
                </c:pt>
                <c:pt idx="32">
                  <c:v>189.84</c:v>
                </c:pt>
                <c:pt idx="33">
                  <c:v>189.84</c:v>
                </c:pt>
                <c:pt idx="34">
                  <c:v>189.84</c:v>
                </c:pt>
                <c:pt idx="35">
                  <c:v>189.84</c:v>
                </c:pt>
                <c:pt idx="36">
                  <c:v>189.84</c:v>
                </c:pt>
                <c:pt idx="37">
                  <c:v>189.84</c:v>
                </c:pt>
                <c:pt idx="38">
                  <c:v>189.84</c:v>
                </c:pt>
                <c:pt idx="39">
                  <c:v>189.84</c:v>
                </c:pt>
                <c:pt idx="40">
                  <c:v>189.84</c:v>
                </c:pt>
                <c:pt idx="41">
                  <c:v>189.84</c:v>
                </c:pt>
                <c:pt idx="42">
                  <c:v>189.84</c:v>
                </c:pt>
                <c:pt idx="43">
                  <c:v>189.84</c:v>
                </c:pt>
                <c:pt idx="44">
                  <c:v>189.84</c:v>
                </c:pt>
                <c:pt idx="45">
                  <c:v>189.84</c:v>
                </c:pt>
                <c:pt idx="46">
                  <c:v>189.84</c:v>
                </c:pt>
                <c:pt idx="47">
                  <c:v>189.84</c:v>
                </c:pt>
                <c:pt idx="48">
                  <c:v>189.84</c:v>
                </c:pt>
                <c:pt idx="49">
                  <c:v>189.84</c:v>
                </c:pt>
                <c:pt idx="50">
                  <c:v>189.84</c:v>
                </c:pt>
                <c:pt idx="51">
                  <c:v>189.84</c:v>
                </c:pt>
                <c:pt idx="52">
                  <c:v>189.84</c:v>
                </c:pt>
                <c:pt idx="53">
                  <c:v>189.84</c:v>
                </c:pt>
                <c:pt idx="54">
                  <c:v>189.84</c:v>
                </c:pt>
                <c:pt idx="55">
                  <c:v>189.84</c:v>
                </c:pt>
                <c:pt idx="56">
                  <c:v>189.84</c:v>
                </c:pt>
                <c:pt idx="57">
                  <c:v>189.84</c:v>
                </c:pt>
                <c:pt idx="58">
                  <c:v>189.84</c:v>
                </c:pt>
                <c:pt idx="59">
                  <c:v>189.84</c:v>
                </c:pt>
                <c:pt idx="60">
                  <c:v>189.84</c:v>
                </c:pt>
                <c:pt idx="61">
                  <c:v>189.84</c:v>
                </c:pt>
                <c:pt idx="62">
                  <c:v>189.84</c:v>
                </c:pt>
                <c:pt idx="63">
                  <c:v>189.84</c:v>
                </c:pt>
              </c:numCache>
            </c:numRef>
          </c:val>
          <c:smooth val="0"/>
          <c:extLst>
            <c:ext xmlns:c16="http://schemas.microsoft.com/office/drawing/2014/chart" uri="{C3380CC4-5D6E-409C-BE32-E72D297353CC}">
              <c16:uniqueId val="{00000001-5D18-47FA-93F7-2AB89D044415}"/>
            </c:ext>
          </c:extLst>
        </c:ser>
        <c:ser>
          <c:idx val="2"/>
          <c:order val="2"/>
          <c:tx>
            <c:strRef>
              <c:f>'Fig 10.10. XmR charts'!$I$206</c:f>
              <c:strCache>
                <c:ptCount val="1"/>
                <c:pt idx="0">
                  <c:v>URL</c:v>
                </c:pt>
              </c:strCache>
            </c:strRef>
          </c:tx>
          <c:spPr>
            <a:ln w="28575" cap="rnd">
              <a:solidFill>
                <a:srgbClr val="D72323"/>
              </a:solidFill>
              <a:prstDash val="dash"/>
              <a:round/>
            </a:ln>
            <a:effectLst/>
          </c:spPr>
          <c:marker>
            <c:symbol val="none"/>
          </c:marker>
          <c:val>
            <c:numRef>
              <c:f>'Fig 10.10. XmR charts'!$I$207:$I$270</c:f>
              <c:numCache>
                <c:formatCode>General</c:formatCode>
                <c:ptCount val="64"/>
                <c:pt idx="0">
                  <c:v>620.4</c:v>
                </c:pt>
                <c:pt idx="1">
                  <c:v>620.4</c:v>
                </c:pt>
                <c:pt idx="2">
                  <c:v>620.4</c:v>
                </c:pt>
                <c:pt idx="3">
                  <c:v>620.4</c:v>
                </c:pt>
                <c:pt idx="4">
                  <c:v>620.4</c:v>
                </c:pt>
                <c:pt idx="5">
                  <c:v>620.4</c:v>
                </c:pt>
                <c:pt idx="6">
                  <c:v>620.4</c:v>
                </c:pt>
                <c:pt idx="7">
                  <c:v>620.4</c:v>
                </c:pt>
                <c:pt idx="8">
                  <c:v>620.4</c:v>
                </c:pt>
                <c:pt idx="9">
                  <c:v>620.4</c:v>
                </c:pt>
                <c:pt idx="10">
                  <c:v>620.4</c:v>
                </c:pt>
                <c:pt idx="11">
                  <c:v>620.4</c:v>
                </c:pt>
                <c:pt idx="12">
                  <c:v>620.4</c:v>
                </c:pt>
                <c:pt idx="13">
                  <c:v>620.4</c:v>
                </c:pt>
                <c:pt idx="14">
                  <c:v>620.4</c:v>
                </c:pt>
                <c:pt idx="15">
                  <c:v>620.4</c:v>
                </c:pt>
                <c:pt idx="16">
                  <c:v>620.4</c:v>
                </c:pt>
                <c:pt idx="17">
                  <c:v>620.4</c:v>
                </c:pt>
                <c:pt idx="18">
                  <c:v>620.4</c:v>
                </c:pt>
                <c:pt idx="19">
                  <c:v>620.4</c:v>
                </c:pt>
                <c:pt idx="20">
                  <c:v>620.4</c:v>
                </c:pt>
                <c:pt idx="21">
                  <c:v>620.4</c:v>
                </c:pt>
                <c:pt idx="22">
                  <c:v>620.4</c:v>
                </c:pt>
                <c:pt idx="23">
                  <c:v>620.4</c:v>
                </c:pt>
                <c:pt idx="24">
                  <c:v>620.4</c:v>
                </c:pt>
                <c:pt idx="25">
                  <c:v>620.4</c:v>
                </c:pt>
                <c:pt idx="26">
                  <c:v>620.4</c:v>
                </c:pt>
                <c:pt idx="27">
                  <c:v>620.4</c:v>
                </c:pt>
                <c:pt idx="28">
                  <c:v>620.4</c:v>
                </c:pt>
                <c:pt idx="29">
                  <c:v>620.4</c:v>
                </c:pt>
                <c:pt idx="30">
                  <c:v>620.4</c:v>
                </c:pt>
                <c:pt idx="31">
                  <c:v>620.4</c:v>
                </c:pt>
                <c:pt idx="32">
                  <c:v>620.4</c:v>
                </c:pt>
                <c:pt idx="33">
                  <c:v>620.4</c:v>
                </c:pt>
                <c:pt idx="34">
                  <c:v>620.4</c:v>
                </c:pt>
                <c:pt idx="35">
                  <c:v>620.4</c:v>
                </c:pt>
                <c:pt idx="36">
                  <c:v>620.4</c:v>
                </c:pt>
                <c:pt idx="37">
                  <c:v>620.4</c:v>
                </c:pt>
                <c:pt idx="38">
                  <c:v>620.4</c:v>
                </c:pt>
                <c:pt idx="39">
                  <c:v>620.4</c:v>
                </c:pt>
                <c:pt idx="40">
                  <c:v>620.4</c:v>
                </c:pt>
                <c:pt idx="41">
                  <c:v>620.4</c:v>
                </c:pt>
                <c:pt idx="42">
                  <c:v>620.4</c:v>
                </c:pt>
                <c:pt idx="43">
                  <c:v>620.4</c:v>
                </c:pt>
                <c:pt idx="44">
                  <c:v>620.4</c:v>
                </c:pt>
                <c:pt idx="45">
                  <c:v>620.4</c:v>
                </c:pt>
                <c:pt idx="46">
                  <c:v>620.4</c:v>
                </c:pt>
                <c:pt idx="47">
                  <c:v>620.4</c:v>
                </c:pt>
                <c:pt idx="48">
                  <c:v>620.4</c:v>
                </c:pt>
                <c:pt idx="49">
                  <c:v>620.4</c:v>
                </c:pt>
                <c:pt idx="50">
                  <c:v>620.4</c:v>
                </c:pt>
                <c:pt idx="51">
                  <c:v>620.4</c:v>
                </c:pt>
                <c:pt idx="52">
                  <c:v>620.4</c:v>
                </c:pt>
                <c:pt idx="53">
                  <c:v>620.4</c:v>
                </c:pt>
                <c:pt idx="54">
                  <c:v>620.4</c:v>
                </c:pt>
                <c:pt idx="55">
                  <c:v>620.4</c:v>
                </c:pt>
                <c:pt idx="56">
                  <c:v>620.4</c:v>
                </c:pt>
                <c:pt idx="57">
                  <c:v>620.4</c:v>
                </c:pt>
                <c:pt idx="58">
                  <c:v>620.4</c:v>
                </c:pt>
                <c:pt idx="59">
                  <c:v>620.4</c:v>
                </c:pt>
                <c:pt idx="60">
                  <c:v>620.4</c:v>
                </c:pt>
                <c:pt idx="61">
                  <c:v>620.4</c:v>
                </c:pt>
                <c:pt idx="62">
                  <c:v>620.4</c:v>
                </c:pt>
                <c:pt idx="63">
                  <c:v>620.4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2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38100</xdr:colOff>
      <xdr:row>1</xdr:row>
      <xdr:rowOff>0</xdr:rowOff>
    </xdr:from>
    <xdr:ext cx="5715000" cy="1933575"/>
    <xdr:pic>
      <xdr:nvPicPr>
        <xdr:cNvPr id="2043407382" name="Chart1" title="Chart">
          <a:extLst>
            <a:ext uri="{FF2B5EF4-FFF2-40B4-BE49-F238E27FC236}">
              <a16:creationId xmlns:a16="http://schemas.microsoft.com/office/drawing/2014/main" id="{00000000-0008-0000-0100-000016ECCB7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10</xdr:row>
      <xdr:rowOff>133350</xdr:rowOff>
    </xdr:from>
    <xdr:ext cx="5715000" cy="1933575"/>
    <xdr:pic>
      <xdr:nvPicPr>
        <xdr:cNvPr id="1253506019" name="Chart2" title="Chart">
          <a:extLst>
            <a:ext uri="{FF2B5EF4-FFF2-40B4-BE49-F238E27FC236}">
              <a16:creationId xmlns:a16="http://schemas.microsoft.com/office/drawing/2014/main" id="{00000000-0008-0000-0100-0000E3FBB64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20</xdr:row>
      <xdr:rowOff>66675</xdr:rowOff>
    </xdr:from>
    <xdr:ext cx="5715000" cy="1933575"/>
    <xdr:pic>
      <xdr:nvPicPr>
        <xdr:cNvPr id="1514924920" name="Chart3" title="Chart">
          <a:extLst>
            <a:ext uri="{FF2B5EF4-FFF2-40B4-BE49-F238E27FC236}">
              <a16:creationId xmlns:a16="http://schemas.microsoft.com/office/drawing/2014/main" id="{00000000-0008-0000-0100-000078EB4B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30</xdr:row>
      <xdr:rowOff>0</xdr:rowOff>
    </xdr:from>
    <xdr:ext cx="5715000" cy="1933575"/>
    <xdr:pic>
      <xdr:nvPicPr>
        <xdr:cNvPr id="994722149" name="Chart4" title="Chart">
          <a:extLst>
            <a:ext uri="{FF2B5EF4-FFF2-40B4-BE49-F238E27FC236}">
              <a16:creationId xmlns:a16="http://schemas.microsoft.com/office/drawing/2014/main" id="{00000000-0008-0000-0100-000065414A3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38100</xdr:colOff>
      <xdr:row>1</xdr:row>
      <xdr:rowOff>0</xdr:rowOff>
    </xdr:from>
    <xdr:ext cx="5715000" cy="1933575"/>
    <xdr:pic>
      <xdr:nvPicPr>
        <xdr:cNvPr id="1236210647" name="Chart5" title="Chart">
          <a:extLst>
            <a:ext uri="{FF2B5EF4-FFF2-40B4-BE49-F238E27FC236}">
              <a16:creationId xmlns:a16="http://schemas.microsoft.com/office/drawing/2014/main" id="{00000000-0008-0000-0200-0000D713AF4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10</xdr:row>
      <xdr:rowOff>133350</xdr:rowOff>
    </xdr:from>
    <xdr:ext cx="5715000" cy="1933575"/>
    <xdr:pic>
      <xdr:nvPicPr>
        <xdr:cNvPr id="2063453731" name="Chart6" title="Chart">
          <a:extLst>
            <a:ext uri="{FF2B5EF4-FFF2-40B4-BE49-F238E27FC236}">
              <a16:creationId xmlns:a16="http://schemas.microsoft.com/office/drawing/2014/main" id="{00000000-0008-0000-0200-000023CEFD7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20</xdr:row>
      <xdr:rowOff>66675</xdr:rowOff>
    </xdr:from>
    <xdr:ext cx="5715000" cy="1933575"/>
    <xdr:pic>
      <xdr:nvPicPr>
        <xdr:cNvPr id="1225647101" name="Chart7" title="Chart">
          <a:extLst>
            <a:ext uri="{FF2B5EF4-FFF2-40B4-BE49-F238E27FC236}">
              <a16:creationId xmlns:a16="http://schemas.microsoft.com/office/drawing/2014/main" id="{00000000-0008-0000-0200-0000FDE30D4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30</xdr:row>
      <xdr:rowOff>0</xdr:rowOff>
    </xdr:from>
    <xdr:ext cx="5715000" cy="1933575"/>
    <xdr:pic>
      <xdr:nvPicPr>
        <xdr:cNvPr id="1371010279" name="Chart8" title="Chart">
          <a:extLst>
            <a:ext uri="{FF2B5EF4-FFF2-40B4-BE49-F238E27FC236}">
              <a16:creationId xmlns:a16="http://schemas.microsoft.com/office/drawing/2014/main" id="{00000000-0008-0000-0200-0000E7F4B75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17</xdr:row>
      <xdr:rowOff>0</xdr:rowOff>
    </xdr:to>
    <xdr:graphicFrame macro="">
      <xdr:nvGraphicFramePr>
        <xdr:cNvPr id="4" name="Chart 3">
          <a:extLst>
            <a:ext uri="{FF2B5EF4-FFF2-40B4-BE49-F238E27FC236}">
              <a16:creationId xmlns:a16="http://schemas.microsoft.com/office/drawing/2014/main" id="{4A2E218A-4112-2922-DF31-9DF7C693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17</xdr:row>
      <xdr:rowOff>0</xdr:rowOff>
    </xdr:from>
    <xdr:to>
      <xdr:col>18</xdr:col>
      <xdr:colOff>0</xdr:colOff>
      <xdr:row>33</xdr:row>
      <xdr:rowOff>0</xdr:rowOff>
    </xdr:to>
    <xdr:graphicFrame macro="">
      <xdr:nvGraphicFramePr>
        <xdr:cNvPr id="5" name="Chart 4">
          <a:extLst>
            <a:ext uri="{FF2B5EF4-FFF2-40B4-BE49-F238E27FC236}">
              <a16:creationId xmlns:a16="http://schemas.microsoft.com/office/drawing/2014/main" id="{5EDCD1B5-7E42-ACDD-8791-FB7E39B3B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1</xdr:row>
      <xdr:rowOff>0</xdr:rowOff>
    </xdr:from>
    <xdr:to>
      <xdr:col>16</xdr:col>
      <xdr:colOff>0</xdr:colOff>
      <xdr:row>14</xdr:row>
      <xdr:rowOff>133350</xdr:rowOff>
    </xdr:to>
    <xdr:graphicFrame macro="">
      <xdr:nvGraphicFramePr>
        <xdr:cNvPr id="2" name="Chart 1">
          <a:extLst>
            <a:ext uri="{FF2B5EF4-FFF2-40B4-BE49-F238E27FC236}">
              <a16:creationId xmlns:a16="http://schemas.microsoft.com/office/drawing/2014/main" id="{555995FC-860F-F3EE-AA13-4F03A03EF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xdr:row>
      <xdr:rowOff>0</xdr:rowOff>
    </xdr:from>
    <xdr:to>
      <xdr:col>22</xdr:col>
      <xdr:colOff>0</xdr:colOff>
      <xdr:row>14</xdr:row>
      <xdr:rowOff>133350</xdr:rowOff>
    </xdr:to>
    <xdr:graphicFrame macro="">
      <xdr:nvGraphicFramePr>
        <xdr:cNvPr id="5" name="Chart 4">
          <a:extLst>
            <a:ext uri="{FF2B5EF4-FFF2-40B4-BE49-F238E27FC236}">
              <a16:creationId xmlns:a16="http://schemas.microsoft.com/office/drawing/2014/main" id="{31A3BAA3-4BBE-FF35-9783-719CFD72E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14</xdr:row>
      <xdr:rowOff>133350</xdr:rowOff>
    </xdr:from>
    <xdr:to>
      <xdr:col>16</xdr:col>
      <xdr:colOff>0</xdr:colOff>
      <xdr:row>26</xdr:row>
      <xdr:rowOff>133350</xdr:rowOff>
    </xdr:to>
    <xdr:graphicFrame macro="">
      <xdr:nvGraphicFramePr>
        <xdr:cNvPr id="6" name="Chart 5">
          <a:extLst>
            <a:ext uri="{FF2B5EF4-FFF2-40B4-BE49-F238E27FC236}">
              <a16:creationId xmlns:a16="http://schemas.microsoft.com/office/drawing/2014/main" id="{F5A9568D-5172-19A3-E02B-240F65CEA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14</xdr:row>
      <xdr:rowOff>133350</xdr:rowOff>
    </xdr:from>
    <xdr:to>
      <xdr:col>22</xdr:col>
      <xdr:colOff>0</xdr:colOff>
      <xdr:row>26</xdr:row>
      <xdr:rowOff>133350</xdr:rowOff>
    </xdr:to>
    <xdr:graphicFrame macro="">
      <xdr:nvGraphicFramePr>
        <xdr:cNvPr id="7" name="Chart 6">
          <a:extLst>
            <a:ext uri="{FF2B5EF4-FFF2-40B4-BE49-F238E27FC236}">
              <a16:creationId xmlns:a16="http://schemas.microsoft.com/office/drawing/2014/main" id="{E23AD8AD-6E67-4D0D-F90F-08E9410AA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E2D173-1D79-430F-A629-7D1F496832D2}"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FC806E6-69BE-42A8-BB00-E528B8772B55}"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5E00768-1AD4-4F4B-BB00-E9187033F65C}"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F204509-31C9-4AC0-A403-C42185D9DB96}" autoFormatId="16" applyNumberFormats="0" applyBorderFormats="0" applyFontFormats="0" applyPatternFormats="0" applyAlignmentFormats="0" applyWidthHeightFormats="0">
  <queryTableRefresh nextId="5">
    <queryTableFields count="4">
      <queryTableField id="1" name="Stage" tableColumnId="1"/>
      <queryTableField id="2" name="Units" tableColumnId="2"/>
      <queryTableField id="3" name="Value" tableColumnId="3"/>
      <queryTableField id="4" name="Resistanc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7DD801-E43C-4DD7-87CA-4AFC36D0F73D}" name="shewharts_resistance_measurements" displayName="shewharts_resistance_measurements" ref="A1:I205" tableType="queryTable" totalsRowShown="0" headerRowDxfId="36" dataDxfId="35">
  <autoFilter ref="A1:I205" xr:uid="{FC7DD801-E43C-4DD7-87CA-4AFC36D0F73D}"/>
  <tableColumns count="9">
    <tableColumn id="1" xr3:uid="{C92C3F37-39DB-4EE5-A8C1-69E3B740104B}" uniqueName="1" name="Stage" queryTableFieldId="1" dataDxfId="34"/>
    <tableColumn id="2" xr3:uid="{803093EB-F9C6-4A42-8B29-87526E5DE3B7}" uniqueName="2" name="Value" queryTableFieldId="2" dataDxfId="33"/>
    <tableColumn id="3" xr3:uid="{322C0411-2E51-41B2-A51B-A09FBDB77F4F}" uniqueName="3" name="Resistance" queryTableFieldId="3" dataDxfId="32"/>
    <tableColumn id="4" xr3:uid="{D1D7E05C-CFC2-44A6-9D00-52CE0F78BF33}" uniqueName="4" name="Mean" queryTableFieldId="4" dataDxfId="31">
      <calculatedColumnFormula>ROUND(AVERAGE($C$2:$C$205),2)</calculatedColumnFormula>
    </tableColumn>
    <tableColumn id="5" xr3:uid="{4159FE7D-1B6A-48EF-A40C-07BAE9F1DAEB}" uniqueName="5" name="UPL" queryTableFieldId="5" dataDxfId="30">
      <calculatedColumnFormula>ROUND(D2+(2.66*H2),2)</calculatedColumnFormula>
    </tableColumn>
    <tableColumn id="6" xr3:uid="{A4FFA72D-B0DE-4AD9-A7FC-2A8CD1B6E863}" uniqueName="6" name="LPL" queryTableFieldId="6" dataDxfId="29">
      <calculatedColumnFormula>ROUND(D2-(2.66*H2),2)</calculatedColumnFormula>
    </tableColumn>
    <tableColumn id="7" xr3:uid="{50CDCE44-BFE1-47DD-8505-C9AE7C276CB2}" uniqueName="7" name="mR" queryTableFieldId="7" dataDxfId="28">
      <calculatedColumnFormula>ABS(C1-C2)</calculatedColumnFormula>
    </tableColumn>
    <tableColumn id="8" xr3:uid="{6B87EABF-93E8-4FCC-A2A9-F8EE5D665CAA}" uniqueName="8" name="Ave. mR" queryTableFieldId="8" dataDxfId="27">
      <calculatedColumnFormula>ROUND(AVERAGE($G$3:$G$205),2)</calculatedColumnFormula>
    </tableColumn>
    <tableColumn id="9" xr3:uid="{9C7F56D3-9F72-4B63-AD64-05D9B1EE07E9}" uniqueName="9" name="URL" queryTableFieldId="9" dataDxfId="26">
      <calculatedColumnFormula>ROUND(3.268*H2,2)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0E19B1-23EF-4B58-97E3-F9C519E68B75}" name="shewharts_resistance_measurements__3" displayName="shewharts_resistance_measurements__3" ref="A206:I270" tableType="queryTable" totalsRowShown="0" dataDxfId="25">
  <autoFilter ref="A206:I270" xr:uid="{F20E19B1-23EF-4B58-97E3-F9C519E68B75}"/>
  <tableColumns count="9">
    <tableColumn id="1" xr3:uid="{6D1B9163-36D6-4D95-8CD6-57F8CB61C153}" uniqueName="1" name="Stage" queryTableFieldId="1" dataDxfId="24"/>
    <tableColumn id="2" xr3:uid="{03F6630B-C0E7-49EF-AF6F-93AD5FE0CC8F}" uniqueName="2" name="Value" queryTableFieldId="2" dataDxfId="23"/>
    <tableColumn id="3" xr3:uid="{8EC50FB7-1BD5-461B-9846-0387AFF2B797}" uniqueName="3" name="Resistance" queryTableFieldId="3" dataDxfId="22"/>
    <tableColumn id="4" xr3:uid="{35F27A1E-B767-48A6-9B52-03410E0FFA61}" uniqueName="4" name="Mean" queryTableFieldId="4" dataDxfId="21">
      <calculatedColumnFormula>ROUND(AVERAGE($C$207:$C$270),2)</calculatedColumnFormula>
    </tableColumn>
    <tableColumn id="5" xr3:uid="{1F38E82C-1309-4EDD-B1ED-5D7F9716CABB}" uniqueName="5" name="UPL" queryTableFieldId="5" dataDxfId="20">
      <calculatedColumnFormula>ROUND(D207+(2.66*H207),2)</calculatedColumnFormula>
    </tableColumn>
    <tableColumn id="6" xr3:uid="{E3F29970-4B40-460E-95A8-B8ADA3219119}" uniqueName="6" name="LPL" queryTableFieldId="6" dataDxfId="19">
      <calculatedColumnFormula>ROUND(D207-(2.66*H207),2)</calculatedColumnFormula>
    </tableColumn>
    <tableColumn id="7" xr3:uid="{13D0F2B5-8C1B-4875-BAE7-F0A73BDB4A69}" uniqueName="7" name="mR" queryTableFieldId="7" dataDxfId="18"/>
    <tableColumn id="8" xr3:uid="{2B2694EB-D72E-44FE-A2B5-A852FBBBB13B}" uniqueName="8" name="Ave. mR" queryTableFieldId="8" dataDxfId="17">
      <calculatedColumnFormula>ROUND(AVERAGE($G$208:$G$270),2)</calculatedColumnFormula>
    </tableColumn>
    <tableColumn id="9" xr3:uid="{CB76FB31-6BE5-49C9-A2CF-F9441726B10A}" uniqueName="9" name="URL" queryTableFieldId="9" dataDxfId="16">
      <calculatedColumnFormula>ROUND(3.268*H207,2)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3E290C-5621-4FD1-81E1-418515C35C65}" name="shewharts_resistance_measurements4" displayName="shewharts_resistance_measurements4" ref="A1:I205" tableType="queryTable" totalsRowShown="0" headerRowDxfId="15" dataDxfId="14">
  <autoFilter ref="A1:I205" xr:uid="{713E290C-5621-4FD1-81E1-418515C35C65}"/>
  <tableColumns count="9">
    <tableColumn id="1" xr3:uid="{027ED703-C649-4151-853F-D37F1E442B92}" uniqueName="1" name="Stage" queryTableFieldId="1" dataDxfId="13"/>
    <tableColumn id="2" xr3:uid="{BAD65047-BDBD-4D70-ADDA-B8DF6C602EAC}" uniqueName="2" name="Value" queryTableFieldId="2" dataDxfId="12"/>
    <tableColumn id="3" xr3:uid="{54DF41C9-7AA8-4CBF-A741-7FAF490B264C}" uniqueName="3" name="Resistance" queryTableFieldId="3" dataDxfId="11"/>
    <tableColumn id="4" xr3:uid="{9FE1BE43-0BAC-4B8D-872E-051A8506D111}" uniqueName="4" name="Mean" queryTableFieldId="4" dataDxfId="10">
      <calculatedColumnFormula>ROUND(AVERAGE($C$2:$C$205),2)</calculatedColumnFormula>
    </tableColumn>
    <tableColumn id="5" xr3:uid="{0FB52D68-1937-4368-A216-D35AF99EEF60}" uniqueName="5" name="UPL" queryTableFieldId="5" dataDxfId="9">
      <calculatedColumnFormula>ROUND(D2+(2.66*H2),2)</calculatedColumnFormula>
    </tableColumn>
    <tableColumn id="6" xr3:uid="{305C6E8D-6EA1-4EEA-B3BB-0D67B810341E}" uniqueName="6" name="LPL" queryTableFieldId="6" dataDxfId="8">
      <calculatedColumnFormula>ROUND(D2-(2.66*H2),2)</calculatedColumnFormula>
    </tableColumn>
    <tableColumn id="7" xr3:uid="{2294B7BC-89AE-4AAB-9D14-624213EB93E4}" uniqueName="7" name="mR" queryTableFieldId="7" dataDxfId="7">
      <calculatedColumnFormula>ABS(C1-C2)</calculatedColumnFormula>
    </tableColumn>
    <tableColumn id="8" xr3:uid="{F08010E6-971F-4A1C-A807-0DB446CFA377}" uniqueName="8" name="Ave. mR" queryTableFieldId="8" dataDxfId="6">
      <calculatedColumnFormula>ROUND(AVERAGE($G$3:$G$205),2)</calculatedColumnFormula>
    </tableColumn>
    <tableColumn id="9" xr3:uid="{5C212D40-346E-42C7-A9BF-C7A6CD69EFF9}" uniqueName="9" name="URL" queryTableFieldId="9" dataDxfId="5">
      <calculatedColumnFormula>ROUND(3.268*H2,2)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2D269-8346-4015-9B08-4F0A19A7F707}" name="shewharts_resistance_measurements__4" displayName="shewharts_resistance_measurements__4" ref="A1:D270" tableType="queryTable" totalsRowShown="0" headerRowDxfId="0">
  <autoFilter ref="A1:D270" xr:uid="{9202D269-8346-4015-9B08-4F0A19A7F707}"/>
  <tableColumns count="4">
    <tableColumn id="1" xr3:uid="{8D3EE07E-7436-4BE2-83BC-9179ED966467}" uniqueName="1" name="Stage" queryTableFieldId="1" dataDxfId="2"/>
    <tableColumn id="2" xr3:uid="{C311570C-09D9-4853-8E65-564DB69F836D}" uniqueName="2" name="Units" queryTableFieldId="2" dataDxfId="1"/>
    <tableColumn id="3" xr3:uid="{A01EA9DB-CF60-4942-9C50-352523CD5DAC}" uniqueName="3" name="Value" queryTableFieldId="3" dataDxfId="4"/>
    <tableColumn id="4" xr3:uid="{D6FED3FC-E843-45BE-8EB5-F83F1AA20FDF}" uniqueName="4" name="Resistance" queryTableFieldId="4" dataDxfId="3"/>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activeCell="K33" sqref="K33"/>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28" t="s">
        <v>0</v>
      </c>
      <c r="B1" s="29"/>
      <c r="C1" s="29"/>
      <c r="D1" s="29"/>
      <c r="E1" s="29"/>
      <c r="F1" s="29"/>
      <c r="G1" s="30"/>
      <c r="H1" s="1"/>
      <c r="I1" s="1"/>
      <c r="J1" s="1"/>
      <c r="K1" s="1"/>
      <c r="L1" s="1"/>
    </row>
    <row r="2" spans="1:12" ht="15.75" customHeight="1" x14ac:dyDescent="0.25">
      <c r="A2" s="31" t="s">
        <v>230</v>
      </c>
      <c r="B2" s="32"/>
      <c r="C2" s="32"/>
      <c r="D2" s="32"/>
      <c r="E2" s="32"/>
      <c r="F2" s="32"/>
      <c r="G2" s="33"/>
      <c r="H2" s="1"/>
      <c r="I2" s="1"/>
    </row>
    <row r="3" spans="1:12" ht="15.75" customHeight="1" x14ac:dyDescent="0.25">
      <c r="A3" s="34"/>
      <c r="B3" s="35"/>
      <c r="C3" s="35"/>
      <c r="D3" s="35"/>
      <c r="E3" s="35"/>
      <c r="F3" s="35"/>
      <c r="G3" s="36"/>
      <c r="H3" s="1"/>
    </row>
    <row r="4" spans="1:12" ht="15.75" customHeight="1" x14ac:dyDescent="0.25">
      <c r="A4" s="34"/>
      <c r="B4" s="35"/>
      <c r="C4" s="35"/>
      <c r="D4" s="35"/>
      <c r="E4" s="35"/>
      <c r="F4" s="35"/>
      <c r="G4" s="36"/>
      <c r="H4" s="1"/>
    </row>
    <row r="5" spans="1:12" ht="15.75" customHeight="1" x14ac:dyDescent="0.25">
      <c r="A5" s="34"/>
      <c r="B5" s="35"/>
      <c r="C5" s="35"/>
      <c r="D5" s="35"/>
      <c r="E5" s="35"/>
      <c r="F5" s="35"/>
      <c r="G5" s="36"/>
      <c r="H5" s="1"/>
    </row>
    <row r="6" spans="1:12" ht="15.75" customHeight="1" x14ac:dyDescent="0.25">
      <c r="A6" s="34"/>
      <c r="B6" s="35"/>
      <c r="C6" s="35"/>
      <c r="D6" s="35"/>
      <c r="E6" s="35"/>
      <c r="F6" s="35"/>
      <c r="G6" s="36"/>
      <c r="H6" s="1"/>
    </row>
    <row r="7" spans="1:12" ht="15.75" customHeight="1" x14ac:dyDescent="0.25">
      <c r="A7" s="34"/>
      <c r="B7" s="35"/>
      <c r="C7" s="35"/>
      <c r="D7" s="35"/>
      <c r="E7" s="35"/>
      <c r="F7" s="35"/>
      <c r="G7" s="36"/>
      <c r="H7" s="1"/>
    </row>
    <row r="8" spans="1:12" ht="15.75" customHeight="1" x14ac:dyDescent="0.25">
      <c r="A8" s="34"/>
      <c r="B8" s="35"/>
      <c r="C8" s="35"/>
      <c r="D8" s="35"/>
      <c r="E8" s="35"/>
      <c r="F8" s="35"/>
      <c r="G8" s="36"/>
      <c r="H8" s="1"/>
    </row>
    <row r="9" spans="1:12" ht="15.75" customHeight="1" x14ac:dyDescent="0.25">
      <c r="A9" s="34"/>
      <c r="B9" s="35"/>
      <c r="C9" s="35"/>
      <c r="D9" s="35"/>
      <c r="E9" s="35"/>
      <c r="F9" s="35"/>
      <c r="G9" s="36"/>
      <c r="H9" s="1"/>
    </row>
    <row r="10" spans="1:12" ht="15.75" customHeight="1" x14ac:dyDescent="0.25">
      <c r="A10" s="34"/>
      <c r="B10" s="35"/>
      <c r="C10" s="35"/>
      <c r="D10" s="35"/>
      <c r="E10" s="35"/>
      <c r="F10" s="35"/>
      <c r="G10" s="36"/>
      <c r="H10" s="1"/>
    </row>
    <row r="11" spans="1:12" ht="15.75" customHeight="1" x14ac:dyDescent="0.25">
      <c r="A11" s="34"/>
      <c r="B11" s="35"/>
      <c r="C11" s="35"/>
      <c r="D11" s="35"/>
      <c r="E11" s="35"/>
      <c r="F11" s="35"/>
      <c r="G11" s="36"/>
      <c r="H11" s="1"/>
    </row>
    <row r="12" spans="1:12" ht="15.75" customHeight="1" x14ac:dyDescent="0.25">
      <c r="A12" s="34"/>
      <c r="B12" s="35"/>
      <c r="C12" s="35"/>
      <c r="D12" s="35"/>
      <c r="E12" s="35"/>
      <c r="F12" s="35"/>
      <c r="G12" s="36"/>
      <c r="H12" s="1"/>
    </row>
    <row r="13" spans="1:12" ht="15.75" customHeight="1" x14ac:dyDescent="0.25">
      <c r="A13" s="34"/>
      <c r="B13" s="35"/>
      <c r="C13" s="35"/>
      <c r="D13" s="35"/>
      <c r="E13" s="35"/>
      <c r="F13" s="35"/>
      <c r="G13" s="36"/>
      <c r="H13" s="1"/>
    </row>
    <row r="14" spans="1:12" ht="15.75" customHeight="1" x14ac:dyDescent="0.25">
      <c r="A14" s="34"/>
      <c r="B14" s="35"/>
      <c r="C14" s="35"/>
      <c r="D14" s="35"/>
      <c r="E14" s="35"/>
      <c r="F14" s="35"/>
      <c r="G14" s="36"/>
      <c r="H14" s="1"/>
    </row>
    <row r="15" spans="1:12" ht="15.75" customHeight="1" x14ac:dyDescent="0.25">
      <c r="A15" s="34"/>
      <c r="B15" s="35"/>
      <c r="C15" s="35"/>
      <c r="D15" s="35"/>
      <c r="E15" s="35"/>
      <c r="F15" s="35"/>
      <c r="G15" s="36"/>
      <c r="H15" s="1"/>
    </row>
    <row r="16" spans="1:12" ht="15.75" customHeight="1" x14ac:dyDescent="0.25">
      <c r="A16" s="34"/>
      <c r="B16" s="35"/>
      <c r="C16" s="35"/>
      <c r="D16" s="35"/>
      <c r="E16" s="35"/>
      <c r="F16" s="35"/>
      <c r="G16" s="36"/>
      <c r="H16" s="1"/>
    </row>
    <row r="17" spans="1:8" ht="15.75" customHeight="1" x14ac:dyDescent="0.25">
      <c r="A17" s="34"/>
      <c r="B17" s="35"/>
      <c r="C17" s="35"/>
      <c r="D17" s="35"/>
      <c r="E17" s="35"/>
      <c r="F17" s="35"/>
      <c r="G17" s="36"/>
      <c r="H17" s="1"/>
    </row>
    <row r="18" spans="1:8" ht="15.75" customHeight="1" x14ac:dyDescent="0.25">
      <c r="A18" s="34"/>
      <c r="B18" s="35"/>
      <c r="C18" s="35"/>
      <c r="D18" s="35"/>
      <c r="E18" s="35"/>
      <c r="F18" s="35"/>
      <c r="G18" s="36"/>
      <c r="H18" s="1"/>
    </row>
    <row r="19" spans="1:8" ht="15.75" customHeight="1" x14ac:dyDescent="0.25">
      <c r="A19" s="34"/>
      <c r="B19" s="35"/>
      <c r="C19" s="35"/>
      <c r="D19" s="35"/>
      <c r="E19" s="35"/>
      <c r="F19" s="35"/>
      <c r="G19" s="36"/>
      <c r="H19" s="1"/>
    </row>
    <row r="20" spans="1:8" ht="15.75" customHeight="1" x14ac:dyDescent="0.25">
      <c r="A20" s="34"/>
      <c r="B20" s="35"/>
      <c r="C20" s="35"/>
      <c r="D20" s="35"/>
      <c r="E20" s="35"/>
      <c r="F20" s="35"/>
      <c r="G20" s="36"/>
      <c r="H20" s="1"/>
    </row>
    <row r="21" spans="1:8" ht="15.75" customHeight="1" x14ac:dyDescent="0.25">
      <c r="A21" s="34"/>
      <c r="B21" s="35"/>
      <c r="C21" s="35"/>
      <c r="D21" s="35"/>
      <c r="E21" s="35"/>
      <c r="F21" s="35"/>
      <c r="G21" s="36"/>
      <c r="H21" s="1"/>
    </row>
    <row r="22" spans="1:8" ht="15.75" customHeight="1" x14ac:dyDescent="0.25">
      <c r="A22" s="34"/>
      <c r="B22" s="35"/>
      <c r="C22" s="35"/>
      <c r="D22" s="35"/>
      <c r="E22" s="35"/>
      <c r="F22" s="35"/>
      <c r="G22" s="36"/>
      <c r="H22" s="1"/>
    </row>
    <row r="23" spans="1:8" ht="15.75" customHeight="1" x14ac:dyDescent="0.25">
      <c r="A23" s="34"/>
      <c r="B23" s="35"/>
      <c r="C23" s="35"/>
      <c r="D23" s="35"/>
      <c r="E23" s="35"/>
      <c r="F23" s="35"/>
      <c r="G23" s="36"/>
      <c r="H23" s="1"/>
    </row>
    <row r="24" spans="1:8" ht="15.75" customHeight="1" x14ac:dyDescent="0.25">
      <c r="A24" s="34"/>
      <c r="B24" s="35"/>
      <c r="C24" s="35"/>
      <c r="D24" s="35"/>
      <c r="E24" s="35"/>
      <c r="F24" s="35"/>
      <c r="G24" s="36"/>
      <c r="H24" s="1"/>
    </row>
    <row r="25" spans="1:8" ht="15.75" customHeight="1" x14ac:dyDescent="0.25">
      <c r="A25" s="34"/>
      <c r="B25" s="35"/>
      <c r="C25" s="35"/>
      <c r="D25" s="35"/>
      <c r="E25" s="35"/>
      <c r="F25" s="35"/>
      <c r="G25" s="36"/>
      <c r="H25" s="1"/>
    </row>
    <row r="26" spans="1:8" ht="15.75" customHeight="1" x14ac:dyDescent="0.25">
      <c r="A26" s="34"/>
      <c r="B26" s="35"/>
      <c r="C26" s="35"/>
      <c r="D26" s="35"/>
      <c r="E26" s="35"/>
      <c r="F26" s="35"/>
      <c r="G26" s="36"/>
      <c r="H26" s="1"/>
    </row>
    <row r="27" spans="1:8" ht="16.2" customHeight="1" x14ac:dyDescent="0.25">
      <c r="A27" s="34"/>
      <c r="B27" s="35"/>
      <c r="C27" s="35"/>
      <c r="D27" s="35"/>
      <c r="E27" s="35"/>
      <c r="F27" s="35"/>
      <c r="G27" s="36"/>
      <c r="H27" s="1"/>
    </row>
    <row r="28" spans="1:8" ht="15.75" customHeight="1" x14ac:dyDescent="0.25">
      <c r="A28" s="34"/>
      <c r="B28" s="35"/>
      <c r="C28" s="35"/>
      <c r="D28" s="35"/>
      <c r="E28" s="35"/>
      <c r="F28" s="35"/>
      <c r="G28" s="36"/>
    </row>
    <row r="29" spans="1:8" ht="15.75" customHeight="1" x14ac:dyDescent="0.25">
      <c r="A29" s="37"/>
      <c r="B29" s="38"/>
      <c r="C29" s="38"/>
      <c r="D29" s="38"/>
      <c r="E29" s="38"/>
      <c r="F29" s="38"/>
      <c r="G29" s="39"/>
    </row>
    <row r="30" spans="1:8" ht="15.75" customHeight="1" x14ac:dyDescent="0.25">
      <c r="A30" s="40" t="s">
        <v>223</v>
      </c>
      <c r="B30" s="41"/>
      <c r="C30" s="41"/>
      <c r="D30" s="41"/>
      <c r="E30" s="41"/>
      <c r="F30" s="41"/>
      <c r="G30" s="42"/>
    </row>
    <row r="31" spans="1:8" ht="15.75" customHeight="1" x14ac:dyDescent="0.25">
      <c r="A31" s="19" t="s">
        <v>224</v>
      </c>
      <c r="B31" s="20"/>
      <c r="C31" s="20"/>
      <c r="D31" s="20"/>
      <c r="E31" s="20"/>
      <c r="F31" s="20"/>
      <c r="G31" s="21"/>
    </row>
    <row r="32" spans="1:8" ht="15.75" customHeight="1" x14ac:dyDescent="0.25">
      <c r="A32" s="22" t="s">
        <v>225</v>
      </c>
      <c r="B32" s="23"/>
      <c r="C32" s="23"/>
      <c r="D32" s="23"/>
      <c r="E32" s="23"/>
      <c r="F32" s="23"/>
      <c r="G32" s="24"/>
    </row>
    <row r="33" spans="1:7" ht="15.75" customHeight="1" x14ac:dyDescent="0.25">
      <c r="A33" s="19" t="s">
        <v>226</v>
      </c>
      <c r="B33" s="20"/>
      <c r="C33" s="20"/>
      <c r="D33" s="20"/>
      <c r="E33" s="20"/>
      <c r="F33" s="20"/>
      <c r="G33" s="21"/>
    </row>
    <row r="34" spans="1:7" ht="15.75" customHeight="1" x14ac:dyDescent="0.25">
      <c r="A34" s="22" t="s">
        <v>227</v>
      </c>
      <c r="B34" s="23"/>
      <c r="C34" s="23"/>
      <c r="D34" s="23"/>
      <c r="E34" s="23"/>
      <c r="F34" s="23"/>
      <c r="G34" s="24"/>
    </row>
    <row r="35" spans="1:7" ht="15.75" customHeight="1" x14ac:dyDescent="0.25">
      <c r="A35" s="19" t="s">
        <v>228</v>
      </c>
      <c r="B35" s="20"/>
      <c r="C35" s="20"/>
      <c r="D35" s="20"/>
      <c r="E35" s="20"/>
      <c r="F35" s="20"/>
      <c r="G35" s="21"/>
    </row>
    <row r="36" spans="1:7" ht="15.75" customHeight="1" x14ac:dyDescent="0.25">
      <c r="A36" s="25" t="s">
        <v>229</v>
      </c>
      <c r="B36" s="26"/>
      <c r="C36" s="26"/>
      <c r="D36" s="26"/>
      <c r="E36" s="26"/>
      <c r="F36" s="26"/>
      <c r="G36" s="27"/>
    </row>
    <row r="37" spans="1:7" ht="15.75" customHeight="1" x14ac:dyDescent="0.25">
      <c r="A37" s="40" t="s">
        <v>232</v>
      </c>
      <c r="B37" s="41"/>
      <c r="C37" s="41"/>
      <c r="D37" s="41"/>
      <c r="E37" s="41"/>
      <c r="F37" s="41"/>
      <c r="G37" s="42"/>
    </row>
    <row r="38" spans="1:7" ht="26.4" x14ac:dyDescent="0.25">
      <c r="A38" s="43" t="s">
        <v>233</v>
      </c>
      <c r="B38" s="44" t="s">
        <v>231</v>
      </c>
      <c r="C38" s="44"/>
      <c r="D38" s="44"/>
      <c r="E38" s="44"/>
      <c r="F38" s="44"/>
      <c r="G38" s="45"/>
    </row>
  </sheetData>
  <mergeCells count="11">
    <mergeCell ref="A37:G37"/>
    <mergeCell ref="B38:G38"/>
    <mergeCell ref="A33:G33"/>
    <mergeCell ref="A34:G34"/>
    <mergeCell ref="A35:G35"/>
    <mergeCell ref="A36:G36"/>
    <mergeCell ref="A1:G1"/>
    <mergeCell ref="A2:G29"/>
    <mergeCell ref="A30:G30"/>
    <mergeCell ref="A31:G31"/>
    <mergeCell ref="A32:G32"/>
  </mergeCells>
  <hyperlinks>
    <hyperlink ref="A33" r:id="rId1" xr:uid="{0E2A4E61-2852-463D-900C-2628523F9E9D}"/>
    <hyperlink ref="A31" r:id="rId2" xr:uid="{B4B3C4FF-9409-40D9-88A6-24FC6E7B9652}"/>
    <hyperlink ref="A35" r:id="rId3" xr:uid="{913AC487-825F-4C9F-9495-EF677365020E}"/>
    <hyperlink ref="A36" r:id="rId4" xr:uid="{AF454943-63FD-48BB-BC89-28FBC3BC9839}"/>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67"/>
  <sheetViews>
    <sheetView workbookViewId="0">
      <pane ySplit="1" topLeftCell="A2" activePane="bottomLeft" state="frozen"/>
      <selection pane="bottomLeft" sqref="A1:E1048576"/>
    </sheetView>
  </sheetViews>
  <sheetFormatPr defaultColWidth="12.6640625" defaultRowHeight="15.75" customHeight="1" x14ac:dyDescent="0.25"/>
  <cols>
    <col min="1" max="1" width="5.21875" bestFit="1" customWidth="1"/>
    <col min="2" max="5" width="5.5546875" bestFit="1" customWidth="1"/>
  </cols>
  <sheetData>
    <row r="1" spans="1:5" ht="15.75" customHeight="1" x14ac:dyDescent="0.25">
      <c r="A1" s="2" t="s">
        <v>1</v>
      </c>
      <c r="B1" s="3" t="s">
        <v>2</v>
      </c>
      <c r="C1" s="3" t="s">
        <v>3</v>
      </c>
      <c r="D1" s="4" t="s">
        <v>4</v>
      </c>
      <c r="E1" s="5" t="s">
        <v>5</v>
      </c>
    </row>
    <row r="2" spans="1:5" ht="15.75" customHeight="1" x14ac:dyDescent="0.25">
      <c r="A2" s="6" t="s">
        <v>6</v>
      </c>
      <c r="B2" s="3">
        <f t="shared" ref="B2:B151" ca="1" si="0">NORMINV(RAND(), 10, 1.5)</f>
        <v>9.9878552810492707</v>
      </c>
      <c r="C2" s="3">
        <f t="shared" ref="C2:C151" ca="1" si="1">NORMINV(RAND(), 9.75, 1.6)</f>
        <v>7.3660050384458984</v>
      </c>
      <c r="D2" s="3">
        <f t="shared" ref="D2:D151" ca="1" si="2">NORMINV(RAND(), 10.1, 1.4)</f>
        <v>9.6810350866190884</v>
      </c>
      <c r="E2" s="3">
        <f t="shared" ref="E2:E151" ca="1" si="3">NORMINV(RAND(), 10.2, 1.5)</f>
        <v>7.0238194535220204</v>
      </c>
    </row>
    <row r="3" spans="1:5" ht="15.75" customHeight="1" x14ac:dyDescent="0.25">
      <c r="A3" s="6">
        <v>2</v>
      </c>
      <c r="B3" s="3">
        <f t="shared" ca="1" si="0"/>
        <v>8.5363618608271992</v>
      </c>
      <c r="C3" s="3">
        <f t="shared" ca="1" si="1"/>
        <v>8.9867861825011541</v>
      </c>
      <c r="D3" s="3">
        <f t="shared" ca="1" si="2"/>
        <v>11.688974324431129</v>
      </c>
      <c r="E3" s="3">
        <f t="shared" ca="1" si="3"/>
        <v>10.377678589987665</v>
      </c>
    </row>
    <row r="4" spans="1:5" ht="15.75" customHeight="1" x14ac:dyDescent="0.25">
      <c r="A4" s="6">
        <v>3</v>
      </c>
      <c r="B4" s="3">
        <f t="shared" ca="1" si="0"/>
        <v>8.328438549444817</v>
      </c>
      <c r="C4" s="3">
        <f t="shared" ca="1" si="1"/>
        <v>9.9738355691553995</v>
      </c>
      <c r="D4" s="3">
        <f t="shared" ca="1" si="2"/>
        <v>7.7462508841110775</v>
      </c>
      <c r="E4" s="3">
        <f t="shared" ca="1" si="3"/>
        <v>9.8771694261197727</v>
      </c>
    </row>
    <row r="5" spans="1:5" ht="15.75" customHeight="1" x14ac:dyDescent="0.25">
      <c r="A5" s="6">
        <v>4</v>
      </c>
      <c r="B5" s="3">
        <f t="shared" ca="1" si="0"/>
        <v>8.2549465971386553</v>
      </c>
      <c r="C5" s="3">
        <f t="shared" ca="1" si="1"/>
        <v>13.55129156596472</v>
      </c>
      <c r="D5" s="3">
        <f t="shared" ca="1" si="2"/>
        <v>9.9130890470899864</v>
      </c>
      <c r="E5" s="3">
        <f t="shared" ca="1" si="3"/>
        <v>8.7383070604982276</v>
      </c>
    </row>
    <row r="6" spans="1:5" ht="15.75" customHeight="1" x14ac:dyDescent="0.25">
      <c r="A6" s="6">
        <v>5</v>
      </c>
      <c r="B6" s="3">
        <f t="shared" ca="1" si="0"/>
        <v>9.7156683857753716</v>
      </c>
      <c r="C6" s="3">
        <f t="shared" ca="1" si="1"/>
        <v>9.0896446970375511</v>
      </c>
      <c r="D6" s="3">
        <f t="shared" ca="1" si="2"/>
        <v>11.17031221332943</v>
      </c>
      <c r="E6" s="3">
        <f t="shared" ca="1" si="3"/>
        <v>8.9912214719050105</v>
      </c>
    </row>
    <row r="7" spans="1:5" ht="15.75" customHeight="1" x14ac:dyDescent="0.25">
      <c r="A7" s="6">
        <v>6</v>
      </c>
      <c r="B7" s="3">
        <f t="shared" ca="1" si="0"/>
        <v>10.34241254048467</v>
      </c>
      <c r="C7" s="3">
        <f t="shared" ca="1" si="1"/>
        <v>10.496962803068419</v>
      </c>
      <c r="D7" s="3">
        <f t="shared" ca="1" si="2"/>
        <v>9.495827549293498</v>
      </c>
      <c r="E7" s="3">
        <f t="shared" ca="1" si="3"/>
        <v>11.794018913700155</v>
      </c>
    </row>
    <row r="8" spans="1:5" ht="15.75" customHeight="1" x14ac:dyDescent="0.25">
      <c r="A8" s="6">
        <v>7</v>
      </c>
      <c r="B8" s="3">
        <f t="shared" ca="1" si="0"/>
        <v>8.0851323691671375</v>
      </c>
      <c r="C8" s="3">
        <f t="shared" ca="1" si="1"/>
        <v>8.1080592633465489</v>
      </c>
      <c r="D8" s="3">
        <f t="shared" ca="1" si="2"/>
        <v>12.816058750823053</v>
      </c>
      <c r="E8" s="3">
        <f t="shared" ca="1" si="3"/>
        <v>9.9810600709886224</v>
      </c>
    </row>
    <row r="9" spans="1:5" ht="15.75" customHeight="1" x14ac:dyDescent="0.25">
      <c r="A9" s="6">
        <v>8</v>
      </c>
      <c r="B9" s="3">
        <f t="shared" ca="1" si="0"/>
        <v>11.687055861772842</v>
      </c>
      <c r="C9" s="3">
        <f t="shared" ca="1" si="1"/>
        <v>9.3167189801327037</v>
      </c>
      <c r="D9" s="3">
        <f t="shared" ca="1" si="2"/>
        <v>13.407006812742782</v>
      </c>
      <c r="E9" s="3">
        <f t="shared" ca="1" si="3"/>
        <v>9.6162817888852299</v>
      </c>
    </row>
    <row r="10" spans="1:5" ht="15.75" customHeight="1" x14ac:dyDescent="0.25">
      <c r="A10" s="6">
        <v>9</v>
      </c>
      <c r="B10" s="3">
        <f t="shared" ca="1" si="0"/>
        <v>6.3250994158911835</v>
      </c>
      <c r="C10" s="3">
        <f t="shared" ca="1" si="1"/>
        <v>10.303658304528284</v>
      </c>
      <c r="D10" s="3">
        <f t="shared" ca="1" si="2"/>
        <v>11.700803620695554</v>
      </c>
      <c r="E10" s="3">
        <f t="shared" ca="1" si="3"/>
        <v>9.4527478420984608</v>
      </c>
    </row>
    <row r="11" spans="1:5" ht="15.75" customHeight="1" x14ac:dyDescent="0.25">
      <c r="A11" s="6">
        <v>10</v>
      </c>
      <c r="B11" s="3">
        <f t="shared" ca="1" si="0"/>
        <v>9.8425211776009682</v>
      </c>
      <c r="C11" s="3">
        <f t="shared" ca="1" si="1"/>
        <v>8.717451677330514</v>
      </c>
      <c r="D11" s="3">
        <f t="shared" ca="1" si="2"/>
        <v>9.6262006927698529</v>
      </c>
      <c r="E11" s="3">
        <f t="shared" ca="1" si="3"/>
        <v>10.193589936625045</v>
      </c>
    </row>
    <row r="12" spans="1:5" ht="15.75" customHeight="1" x14ac:dyDescent="0.25">
      <c r="A12" s="6">
        <v>11</v>
      </c>
      <c r="B12" s="3">
        <f t="shared" ca="1" si="0"/>
        <v>12.154547054768027</v>
      </c>
      <c r="C12" s="3">
        <f t="shared" ca="1" si="1"/>
        <v>10.238001507757614</v>
      </c>
      <c r="D12" s="3">
        <f t="shared" ca="1" si="2"/>
        <v>11.586932699040897</v>
      </c>
      <c r="E12" s="3">
        <f t="shared" ca="1" si="3"/>
        <v>12.157941544439492</v>
      </c>
    </row>
    <row r="13" spans="1:5" ht="15.75" customHeight="1" x14ac:dyDescent="0.25">
      <c r="A13" s="6">
        <v>12</v>
      </c>
      <c r="B13" s="3">
        <f t="shared" ca="1" si="0"/>
        <v>12.170177274926989</v>
      </c>
      <c r="C13" s="3">
        <f t="shared" ca="1" si="1"/>
        <v>8.5765287906417722</v>
      </c>
      <c r="D13" s="3">
        <f t="shared" ca="1" si="2"/>
        <v>11.244444172627979</v>
      </c>
      <c r="E13" s="3">
        <f t="shared" ca="1" si="3"/>
        <v>8.4908222901863724</v>
      </c>
    </row>
    <row r="14" spans="1:5" ht="15.75" customHeight="1" x14ac:dyDescent="0.25">
      <c r="A14" s="6">
        <v>13</v>
      </c>
      <c r="B14" s="3">
        <f t="shared" ca="1" si="0"/>
        <v>8.1283254686378239</v>
      </c>
      <c r="C14" s="3">
        <f t="shared" ca="1" si="1"/>
        <v>9.7637413781088895</v>
      </c>
      <c r="D14" s="3">
        <f t="shared" ca="1" si="2"/>
        <v>11.889302307762314</v>
      </c>
      <c r="E14" s="3">
        <f t="shared" ca="1" si="3"/>
        <v>8.8124128184049226</v>
      </c>
    </row>
    <row r="15" spans="1:5" ht="15.75" customHeight="1" x14ac:dyDescent="0.25">
      <c r="A15" s="6">
        <v>14</v>
      </c>
      <c r="B15" s="3">
        <f t="shared" ca="1" si="0"/>
        <v>12.759939274788582</v>
      </c>
      <c r="C15" s="3">
        <f t="shared" ca="1" si="1"/>
        <v>11.830228475349816</v>
      </c>
      <c r="D15" s="3">
        <f t="shared" ca="1" si="2"/>
        <v>10.47074585237127</v>
      </c>
      <c r="E15" s="3">
        <f t="shared" ca="1" si="3"/>
        <v>11.572903933391752</v>
      </c>
    </row>
    <row r="16" spans="1:5" ht="15.75" customHeight="1" x14ac:dyDescent="0.25">
      <c r="A16" s="6">
        <v>15</v>
      </c>
      <c r="B16" s="3">
        <f t="shared" ca="1" si="0"/>
        <v>8.4312070204278591</v>
      </c>
      <c r="C16" s="3">
        <f t="shared" ca="1" si="1"/>
        <v>11.295852017277335</v>
      </c>
      <c r="D16" s="3">
        <f t="shared" ca="1" si="2"/>
        <v>11.558874300573137</v>
      </c>
      <c r="E16" s="3">
        <f t="shared" ca="1" si="3"/>
        <v>10.059595143879312</v>
      </c>
    </row>
    <row r="17" spans="1:5" ht="15.75" customHeight="1" x14ac:dyDescent="0.25">
      <c r="A17" s="6">
        <v>16</v>
      </c>
      <c r="B17" s="3">
        <f t="shared" ca="1" si="0"/>
        <v>10.016567461687178</v>
      </c>
      <c r="C17" s="3">
        <f t="shared" ca="1" si="1"/>
        <v>9.758306047482332</v>
      </c>
      <c r="D17" s="3">
        <f t="shared" ca="1" si="2"/>
        <v>10.75234951035296</v>
      </c>
      <c r="E17" s="3">
        <f t="shared" ca="1" si="3"/>
        <v>11.910374208130994</v>
      </c>
    </row>
    <row r="18" spans="1:5" ht="15.75" customHeight="1" x14ac:dyDescent="0.25">
      <c r="A18" s="6">
        <v>17</v>
      </c>
      <c r="B18" s="3">
        <f t="shared" ca="1" si="0"/>
        <v>8.2622508014654716</v>
      </c>
      <c r="C18" s="3">
        <f t="shared" ca="1" si="1"/>
        <v>9.3320991262208111</v>
      </c>
      <c r="D18" s="3">
        <f t="shared" ca="1" si="2"/>
        <v>9.2447642166524666</v>
      </c>
      <c r="E18" s="3">
        <f t="shared" ca="1" si="3"/>
        <v>13.110273413182451</v>
      </c>
    </row>
    <row r="19" spans="1:5" ht="15.75" customHeight="1" x14ac:dyDescent="0.25">
      <c r="A19" s="6">
        <v>18</v>
      </c>
      <c r="B19" s="3">
        <f t="shared" ca="1" si="0"/>
        <v>7.4356671880908589</v>
      </c>
      <c r="C19" s="3">
        <f t="shared" ca="1" si="1"/>
        <v>7.0821266056220438</v>
      </c>
      <c r="D19" s="3">
        <f t="shared" ca="1" si="2"/>
        <v>11.279804384735145</v>
      </c>
      <c r="E19" s="3">
        <f t="shared" ca="1" si="3"/>
        <v>9.7460472580063193</v>
      </c>
    </row>
    <row r="20" spans="1:5" ht="15.75" customHeight="1" x14ac:dyDescent="0.25">
      <c r="A20" s="6">
        <v>19</v>
      </c>
      <c r="B20" s="3">
        <f t="shared" ca="1" si="0"/>
        <v>11.160997034939649</v>
      </c>
      <c r="C20" s="3">
        <f t="shared" ca="1" si="1"/>
        <v>7.9275473787636752</v>
      </c>
      <c r="D20" s="3">
        <f t="shared" ca="1" si="2"/>
        <v>8.5587684000312283</v>
      </c>
      <c r="E20" s="3">
        <f t="shared" ca="1" si="3"/>
        <v>10.164280663447268</v>
      </c>
    </row>
    <row r="21" spans="1:5" ht="15.75" customHeight="1" x14ac:dyDescent="0.25">
      <c r="A21" s="6">
        <v>20</v>
      </c>
      <c r="B21" s="3">
        <f t="shared" ca="1" si="0"/>
        <v>7.5883674666293626</v>
      </c>
      <c r="C21" s="3">
        <f t="shared" ca="1" si="1"/>
        <v>9.7960366577255158</v>
      </c>
      <c r="D21" s="3">
        <f t="shared" ca="1" si="2"/>
        <v>12.806335802046963</v>
      </c>
      <c r="E21" s="3">
        <f t="shared" ca="1" si="3"/>
        <v>9.1488401542788598</v>
      </c>
    </row>
    <row r="22" spans="1:5" ht="15.75" customHeight="1" x14ac:dyDescent="0.25">
      <c r="A22" s="6">
        <v>21</v>
      </c>
      <c r="B22" s="3">
        <f t="shared" ca="1" si="0"/>
        <v>8.9897088261393385</v>
      </c>
      <c r="C22" s="3">
        <f t="shared" ca="1" si="1"/>
        <v>11.324187814785809</v>
      </c>
      <c r="D22" s="3">
        <f t="shared" ca="1" si="2"/>
        <v>9.5574541150900085</v>
      </c>
      <c r="E22" s="3">
        <f t="shared" ca="1" si="3"/>
        <v>10.000031611462321</v>
      </c>
    </row>
    <row r="23" spans="1:5" ht="15.75" customHeight="1" x14ac:dyDescent="0.25">
      <c r="A23" s="6">
        <v>22</v>
      </c>
      <c r="B23" s="3">
        <f t="shared" ca="1" si="0"/>
        <v>7.791738253932917</v>
      </c>
      <c r="C23" s="3">
        <f t="shared" ca="1" si="1"/>
        <v>8.1008304303691148</v>
      </c>
      <c r="D23" s="3">
        <f t="shared" ca="1" si="2"/>
        <v>11.132066092951025</v>
      </c>
      <c r="E23" s="3">
        <f t="shared" ca="1" si="3"/>
        <v>11.188924953221123</v>
      </c>
    </row>
    <row r="24" spans="1:5" ht="15.75" customHeight="1" x14ac:dyDescent="0.25">
      <c r="A24" s="6">
        <v>23</v>
      </c>
      <c r="B24" s="3">
        <f t="shared" ca="1" si="0"/>
        <v>8.579731899440187</v>
      </c>
      <c r="C24" s="3">
        <f t="shared" ca="1" si="1"/>
        <v>11.528800674511231</v>
      </c>
      <c r="D24" s="3">
        <f t="shared" ca="1" si="2"/>
        <v>8.7788574818202392</v>
      </c>
      <c r="E24" s="3">
        <f t="shared" ca="1" si="3"/>
        <v>11.62055042252859</v>
      </c>
    </row>
    <row r="25" spans="1:5" ht="15.75" customHeight="1" x14ac:dyDescent="0.25">
      <c r="A25" s="6">
        <v>24</v>
      </c>
      <c r="B25" s="3">
        <f t="shared" ca="1" si="0"/>
        <v>8.3030572520561812</v>
      </c>
      <c r="C25" s="3">
        <f t="shared" ca="1" si="1"/>
        <v>10.195660530505943</v>
      </c>
      <c r="D25" s="3">
        <f t="shared" ca="1" si="2"/>
        <v>8.6846675600736933</v>
      </c>
      <c r="E25" s="3">
        <f t="shared" ca="1" si="3"/>
        <v>11.63593191492266</v>
      </c>
    </row>
    <row r="26" spans="1:5" ht="15.75" customHeight="1" x14ac:dyDescent="0.25">
      <c r="A26" s="6">
        <v>25</v>
      </c>
      <c r="B26" s="3">
        <f t="shared" ca="1" si="0"/>
        <v>8.8872189257084973</v>
      </c>
      <c r="C26" s="3">
        <f t="shared" ca="1" si="1"/>
        <v>7.6007995182096009</v>
      </c>
      <c r="D26" s="3">
        <f t="shared" ca="1" si="2"/>
        <v>10.250557549506645</v>
      </c>
      <c r="E26" s="3">
        <f t="shared" ca="1" si="3"/>
        <v>10.065246271718214</v>
      </c>
    </row>
    <row r="27" spans="1:5" ht="15.75" customHeight="1" x14ac:dyDescent="0.25">
      <c r="A27" s="6">
        <v>26</v>
      </c>
      <c r="B27" s="3">
        <f t="shared" ca="1" si="0"/>
        <v>10.924717113873154</v>
      </c>
      <c r="C27" s="3">
        <f t="shared" ca="1" si="1"/>
        <v>8.408724457261691</v>
      </c>
      <c r="D27" s="3">
        <f t="shared" ca="1" si="2"/>
        <v>11.835390745550425</v>
      </c>
      <c r="E27" s="3">
        <f t="shared" ca="1" si="3"/>
        <v>8.3029157770683426</v>
      </c>
    </row>
    <row r="28" spans="1:5" ht="15.75" customHeight="1" x14ac:dyDescent="0.25">
      <c r="A28" s="6">
        <v>27</v>
      </c>
      <c r="B28" s="3">
        <f t="shared" ca="1" si="0"/>
        <v>12.396390152734586</v>
      </c>
      <c r="C28" s="3">
        <f t="shared" ca="1" si="1"/>
        <v>8.9507239156125564</v>
      </c>
      <c r="D28" s="3">
        <f t="shared" ca="1" si="2"/>
        <v>10.764642545253668</v>
      </c>
      <c r="E28" s="3">
        <f t="shared" ca="1" si="3"/>
        <v>9.1496718442287595</v>
      </c>
    </row>
    <row r="29" spans="1:5" ht="13.2" x14ac:dyDescent="0.25">
      <c r="A29" s="6">
        <v>28</v>
      </c>
      <c r="B29" s="3">
        <f t="shared" ca="1" si="0"/>
        <v>12.177677313215659</v>
      </c>
      <c r="C29" s="3">
        <f t="shared" ca="1" si="1"/>
        <v>9.9016368105460444</v>
      </c>
      <c r="D29" s="3">
        <f t="shared" ca="1" si="2"/>
        <v>13.306546881571363</v>
      </c>
      <c r="E29" s="3">
        <f t="shared" ca="1" si="3"/>
        <v>11.063567951631198</v>
      </c>
    </row>
    <row r="30" spans="1:5" ht="13.2" x14ac:dyDescent="0.25">
      <c r="A30" s="6">
        <v>29</v>
      </c>
      <c r="B30" s="3">
        <f t="shared" ca="1" si="0"/>
        <v>9.0899572310728072</v>
      </c>
      <c r="C30" s="3">
        <f t="shared" ca="1" si="1"/>
        <v>8.7035192643257577</v>
      </c>
      <c r="D30" s="3">
        <f t="shared" ca="1" si="2"/>
        <v>9.2319077125112834</v>
      </c>
      <c r="E30" s="3">
        <f t="shared" ca="1" si="3"/>
        <v>7.4303125104579886</v>
      </c>
    </row>
    <row r="31" spans="1:5" ht="13.2" x14ac:dyDescent="0.25">
      <c r="A31" s="6">
        <v>30</v>
      </c>
      <c r="B31" s="3">
        <f t="shared" ca="1" si="0"/>
        <v>10.405794150928518</v>
      </c>
      <c r="C31" s="3">
        <f t="shared" ca="1" si="1"/>
        <v>9.5662400375199912</v>
      </c>
      <c r="D31" s="3">
        <f t="shared" ca="1" si="2"/>
        <v>12.0419089648406</v>
      </c>
      <c r="E31" s="3">
        <f t="shared" ca="1" si="3"/>
        <v>11.44070660586851</v>
      </c>
    </row>
    <row r="32" spans="1:5" ht="13.2" x14ac:dyDescent="0.25">
      <c r="A32" s="6">
        <v>31</v>
      </c>
      <c r="B32" s="3">
        <f t="shared" ca="1" si="0"/>
        <v>11.741676570791148</v>
      </c>
      <c r="C32" s="3">
        <f t="shared" ca="1" si="1"/>
        <v>10.798961614668624</v>
      </c>
      <c r="D32" s="3">
        <f t="shared" ca="1" si="2"/>
        <v>10.378834470548584</v>
      </c>
      <c r="E32" s="3">
        <f t="shared" ca="1" si="3"/>
        <v>11.033144585600434</v>
      </c>
    </row>
    <row r="33" spans="1:5" ht="13.2" x14ac:dyDescent="0.25">
      <c r="A33" s="6">
        <v>32</v>
      </c>
      <c r="B33" s="3">
        <f t="shared" ca="1" si="0"/>
        <v>11.008913236021435</v>
      </c>
      <c r="C33" s="3">
        <f t="shared" ca="1" si="1"/>
        <v>8.1610296590159006</v>
      </c>
      <c r="D33" s="3">
        <f t="shared" ca="1" si="2"/>
        <v>8.5148273798224974</v>
      </c>
      <c r="E33" s="3">
        <f t="shared" ca="1" si="3"/>
        <v>11.575320856019808</v>
      </c>
    </row>
    <row r="34" spans="1:5" ht="13.2" x14ac:dyDescent="0.25">
      <c r="A34" s="6">
        <v>33</v>
      </c>
      <c r="B34" s="3">
        <f t="shared" ca="1" si="0"/>
        <v>10.262646759785664</v>
      </c>
      <c r="C34" s="3">
        <f t="shared" ca="1" si="1"/>
        <v>10.076758201704861</v>
      </c>
      <c r="D34" s="3">
        <f t="shared" ca="1" si="2"/>
        <v>9.0733182721080592</v>
      </c>
      <c r="E34" s="3">
        <f t="shared" ca="1" si="3"/>
        <v>5.8649431396085543</v>
      </c>
    </row>
    <row r="35" spans="1:5" ht="13.2" x14ac:dyDescent="0.25">
      <c r="A35" s="6">
        <v>34</v>
      </c>
      <c r="B35" s="3">
        <f t="shared" ca="1" si="0"/>
        <v>9.9525238948266423</v>
      </c>
      <c r="C35" s="3">
        <f t="shared" ca="1" si="1"/>
        <v>8.7968476953407855</v>
      </c>
      <c r="D35" s="3">
        <f t="shared" ca="1" si="2"/>
        <v>9.5403859043779935</v>
      </c>
      <c r="E35" s="3">
        <f t="shared" ca="1" si="3"/>
        <v>10.909748814671621</v>
      </c>
    </row>
    <row r="36" spans="1:5" ht="13.2" x14ac:dyDescent="0.25">
      <c r="A36" s="6">
        <v>35</v>
      </c>
      <c r="B36" s="3">
        <f t="shared" ca="1" si="0"/>
        <v>7.7189071245338265</v>
      </c>
      <c r="C36" s="3">
        <f t="shared" ca="1" si="1"/>
        <v>11.238361190315404</v>
      </c>
      <c r="D36" s="3">
        <f t="shared" ca="1" si="2"/>
        <v>12.150238980270061</v>
      </c>
      <c r="E36" s="3">
        <f t="shared" ca="1" si="3"/>
        <v>9.2864920676488651</v>
      </c>
    </row>
    <row r="37" spans="1:5" ht="13.2" x14ac:dyDescent="0.25">
      <c r="A37" s="6">
        <v>36</v>
      </c>
      <c r="B37" s="3">
        <f t="shared" ca="1" si="0"/>
        <v>11.100437943373535</v>
      </c>
      <c r="C37" s="3">
        <f t="shared" ca="1" si="1"/>
        <v>9.4516449892728893</v>
      </c>
      <c r="D37" s="3">
        <f t="shared" ca="1" si="2"/>
        <v>7.6731962410164023</v>
      </c>
      <c r="E37" s="3">
        <f t="shared" ca="1" si="3"/>
        <v>12.127768575812825</v>
      </c>
    </row>
    <row r="38" spans="1:5" ht="13.2" x14ac:dyDescent="0.25">
      <c r="A38" s="6">
        <v>37</v>
      </c>
      <c r="B38" s="3">
        <f t="shared" ca="1" si="0"/>
        <v>10.955661312814929</v>
      </c>
      <c r="C38" s="3">
        <f t="shared" ca="1" si="1"/>
        <v>10.609768988727929</v>
      </c>
      <c r="D38" s="3">
        <f t="shared" ca="1" si="2"/>
        <v>13.093722517124171</v>
      </c>
      <c r="E38" s="3">
        <f t="shared" ca="1" si="3"/>
        <v>13.274323171271716</v>
      </c>
    </row>
    <row r="39" spans="1:5" ht="13.2" x14ac:dyDescent="0.25">
      <c r="A39" s="6">
        <v>38</v>
      </c>
      <c r="B39" s="3">
        <f t="shared" ca="1" si="0"/>
        <v>11.35273718446359</v>
      </c>
      <c r="C39" s="3">
        <f t="shared" ca="1" si="1"/>
        <v>10.29075586144315</v>
      </c>
      <c r="D39" s="3">
        <f t="shared" ca="1" si="2"/>
        <v>10.480863402539047</v>
      </c>
      <c r="E39" s="3">
        <f t="shared" ca="1" si="3"/>
        <v>10.037842993216787</v>
      </c>
    </row>
    <row r="40" spans="1:5" ht="13.2" x14ac:dyDescent="0.25">
      <c r="A40" s="6">
        <v>39</v>
      </c>
      <c r="B40" s="3">
        <f t="shared" ca="1" si="0"/>
        <v>11.054334705602681</v>
      </c>
      <c r="C40" s="3">
        <f t="shared" ca="1" si="1"/>
        <v>10.303233498007357</v>
      </c>
      <c r="D40" s="3">
        <f t="shared" ca="1" si="2"/>
        <v>9.5964525973479873</v>
      </c>
      <c r="E40" s="3">
        <f t="shared" ca="1" si="3"/>
        <v>9.1374668396542713</v>
      </c>
    </row>
    <row r="41" spans="1:5" ht="13.2" x14ac:dyDescent="0.25">
      <c r="A41" s="6">
        <v>40</v>
      </c>
      <c r="B41" s="3">
        <f t="shared" ca="1" si="0"/>
        <v>8.9935639425496561</v>
      </c>
      <c r="C41" s="3">
        <f t="shared" ca="1" si="1"/>
        <v>9.1508097164176281</v>
      </c>
      <c r="D41" s="3">
        <f t="shared" ca="1" si="2"/>
        <v>9.2885882971440417</v>
      </c>
      <c r="E41" s="3">
        <f t="shared" ca="1" si="3"/>
        <v>7.8722829357066733</v>
      </c>
    </row>
    <row r="42" spans="1:5" ht="13.2" x14ac:dyDescent="0.25">
      <c r="A42" s="6">
        <v>41</v>
      </c>
      <c r="B42" s="3">
        <f t="shared" ca="1" si="0"/>
        <v>10.288235903978858</v>
      </c>
      <c r="C42" s="3">
        <f t="shared" ca="1" si="1"/>
        <v>9.2954353365077527</v>
      </c>
      <c r="D42" s="3">
        <f t="shared" ca="1" si="2"/>
        <v>11.124550904148592</v>
      </c>
      <c r="E42" s="3">
        <f t="shared" ca="1" si="3"/>
        <v>8.6743966604663036</v>
      </c>
    </row>
    <row r="43" spans="1:5" ht="13.2" x14ac:dyDescent="0.25">
      <c r="A43" s="6">
        <v>42</v>
      </c>
      <c r="B43" s="3">
        <f t="shared" ca="1" si="0"/>
        <v>13.816149898487872</v>
      </c>
      <c r="C43" s="3">
        <f t="shared" ca="1" si="1"/>
        <v>10.959928348801977</v>
      </c>
      <c r="D43" s="3">
        <f t="shared" ca="1" si="2"/>
        <v>10.040603926824435</v>
      </c>
      <c r="E43" s="3">
        <f t="shared" ca="1" si="3"/>
        <v>10.008025668331733</v>
      </c>
    </row>
    <row r="44" spans="1:5" ht="13.2" x14ac:dyDescent="0.25">
      <c r="A44" s="6">
        <v>43</v>
      </c>
      <c r="B44" s="3">
        <f t="shared" ca="1" si="0"/>
        <v>11.040452584711938</v>
      </c>
      <c r="C44" s="3">
        <f t="shared" ca="1" si="1"/>
        <v>11.111666239466921</v>
      </c>
      <c r="D44" s="3">
        <f t="shared" ca="1" si="2"/>
        <v>9.2689932412876708</v>
      </c>
      <c r="E44" s="3">
        <f t="shared" ca="1" si="3"/>
        <v>10.925741086203931</v>
      </c>
    </row>
    <row r="45" spans="1:5" ht="13.2" x14ac:dyDescent="0.25">
      <c r="A45" s="6">
        <v>44</v>
      </c>
      <c r="B45" s="3">
        <f t="shared" ca="1" si="0"/>
        <v>9.0265861423649643</v>
      </c>
      <c r="C45" s="3">
        <f t="shared" ca="1" si="1"/>
        <v>10.212032309082284</v>
      </c>
      <c r="D45" s="3">
        <f t="shared" ca="1" si="2"/>
        <v>10.216399418246432</v>
      </c>
      <c r="E45" s="3">
        <f t="shared" ca="1" si="3"/>
        <v>7.8015827552888632</v>
      </c>
    </row>
    <row r="46" spans="1:5" ht="13.2" x14ac:dyDescent="0.25">
      <c r="A46" s="6">
        <v>45</v>
      </c>
      <c r="B46" s="3">
        <f t="shared" ca="1" si="0"/>
        <v>9.9176301448991868</v>
      </c>
      <c r="C46" s="3">
        <f t="shared" ca="1" si="1"/>
        <v>12.301584054660317</v>
      </c>
      <c r="D46" s="3">
        <f t="shared" ca="1" si="2"/>
        <v>9.7722356634728094</v>
      </c>
      <c r="E46" s="3">
        <f t="shared" ca="1" si="3"/>
        <v>9.6710659545226836</v>
      </c>
    </row>
    <row r="47" spans="1:5" ht="13.2" x14ac:dyDescent="0.25">
      <c r="A47" s="6">
        <v>46</v>
      </c>
      <c r="B47" s="3">
        <f t="shared" ca="1" si="0"/>
        <v>8.9448503589837713</v>
      </c>
      <c r="C47" s="3">
        <f t="shared" ca="1" si="1"/>
        <v>10.795621024249852</v>
      </c>
      <c r="D47" s="3">
        <f t="shared" ca="1" si="2"/>
        <v>11.652748916178821</v>
      </c>
      <c r="E47" s="3">
        <f t="shared" ca="1" si="3"/>
        <v>9.5864740647404965</v>
      </c>
    </row>
    <row r="48" spans="1:5" ht="13.2" x14ac:dyDescent="0.25">
      <c r="A48" s="6">
        <v>47</v>
      </c>
      <c r="B48" s="3">
        <f t="shared" ca="1" si="0"/>
        <v>10.127225285090951</v>
      </c>
      <c r="C48" s="3">
        <f t="shared" ca="1" si="1"/>
        <v>10.846236088161289</v>
      </c>
      <c r="D48" s="3">
        <f t="shared" ca="1" si="2"/>
        <v>8.4020876783751088</v>
      </c>
      <c r="E48" s="3">
        <f t="shared" ca="1" si="3"/>
        <v>12.991492673115335</v>
      </c>
    </row>
    <row r="49" spans="1:5" ht="13.2" x14ac:dyDescent="0.25">
      <c r="A49" s="6">
        <v>48</v>
      </c>
      <c r="B49" s="3">
        <f t="shared" ca="1" si="0"/>
        <v>7.3082482897014316</v>
      </c>
      <c r="C49" s="3">
        <f t="shared" ca="1" si="1"/>
        <v>10.865757361688765</v>
      </c>
      <c r="D49" s="3">
        <f t="shared" ca="1" si="2"/>
        <v>7.8809401676090669</v>
      </c>
      <c r="E49" s="3">
        <f t="shared" ca="1" si="3"/>
        <v>9.9113255112667584</v>
      </c>
    </row>
    <row r="50" spans="1:5" ht="13.2" x14ac:dyDescent="0.25">
      <c r="A50" s="6">
        <v>49</v>
      </c>
      <c r="B50" s="3">
        <f t="shared" ca="1" si="0"/>
        <v>9.349493063661825</v>
      </c>
      <c r="C50" s="3">
        <f t="shared" ca="1" si="1"/>
        <v>10.982529692709326</v>
      </c>
      <c r="D50" s="3">
        <f t="shared" ca="1" si="2"/>
        <v>9.2109274579748668</v>
      </c>
      <c r="E50" s="3">
        <f t="shared" ca="1" si="3"/>
        <v>10.637124291111586</v>
      </c>
    </row>
    <row r="51" spans="1:5" ht="13.2" x14ac:dyDescent="0.25">
      <c r="A51" s="6">
        <v>50</v>
      </c>
      <c r="B51" s="3">
        <f t="shared" ca="1" si="0"/>
        <v>8.9340002967006935</v>
      </c>
      <c r="C51" s="3">
        <f t="shared" ca="1" si="1"/>
        <v>11.901747804262314</v>
      </c>
      <c r="D51" s="3">
        <f t="shared" ca="1" si="2"/>
        <v>10.014380515167502</v>
      </c>
      <c r="E51" s="3">
        <f t="shared" ca="1" si="3"/>
        <v>10.291768360417205</v>
      </c>
    </row>
    <row r="52" spans="1:5" ht="13.2" x14ac:dyDescent="0.25">
      <c r="A52" s="6">
        <v>51</v>
      </c>
      <c r="B52" s="3">
        <f t="shared" ca="1" si="0"/>
        <v>9.2704479508437849</v>
      </c>
      <c r="C52" s="3">
        <f t="shared" ca="1" si="1"/>
        <v>11.255433955531755</v>
      </c>
      <c r="D52" s="3">
        <f t="shared" ca="1" si="2"/>
        <v>12.227750196277599</v>
      </c>
      <c r="E52" s="3">
        <f t="shared" ca="1" si="3"/>
        <v>10.001622000216912</v>
      </c>
    </row>
    <row r="53" spans="1:5" ht="13.2" x14ac:dyDescent="0.25">
      <c r="A53" s="6">
        <v>52</v>
      </c>
      <c r="B53" s="3">
        <f t="shared" ca="1" si="0"/>
        <v>9.9676881028897224</v>
      </c>
      <c r="C53" s="3">
        <f t="shared" ca="1" si="1"/>
        <v>8.1584095437007953</v>
      </c>
      <c r="D53" s="3">
        <f t="shared" ca="1" si="2"/>
        <v>8.4851127964466215</v>
      </c>
      <c r="E53" s="3">
        <f t="shared" ca="1" si="3"/>
        <v>8.3337341635679945</v>
      </c>
    </row>
    <row r="54" spans="1:5" ht="13.2" x14ac:dyDescent="0.25">
      <c r="A54" s="6">
        <v>53</v>
      </c>
      <c r="B54" s="3">
        <f t="shared" ca="1" si="0"/>
        <v>10.952583147114446</v>
      </c>
      <c r="C54" s="3">
        <f t="shared" ca="1" si="1"/>
        <v>9.8681495861155959</v>
      </c>
      <c r="D54" s="3">
        <f t="shared" ca="1" si="2"/>
        <v>13.193417181404</v>
      </c>
      <c r="E54" s="3">
        <f t="shared" ca="1" si="3"/>
        <v>11.163368315030596</v>
      </c>
    </row>
    <row r="55" spans="1:5" ht="13.2" x14ac:dyDescent="0.25">
      <c r="A55" s="6">
        <v>54</v>
      </c>
      <c r="B55" s="3">
        <f t="shared" ca="1" si="0"/>
        <v>9.4959412738828313</v>
      </c>
      <c r="C55" s="3">
        <f t="shared" ca="1" si="1"/>
        <v>8.2823379559299397</v>
      </c>
      <c r="D55" s="3">
        <f t="shared" ca="1" si="2"/>
        <v>8.5641372433080889</v>
      </c>
      <c r="E55" s="3">
        <f t="shared" ca="1" si="3"/>
        <v>11.182769602949106</v>
      </c>
    </row>
    <row r="56" spans="1:5" ht="13.2" x14ac:dyDescent="0.25">
      <c r="A56" s="6">
        <v>55</v>
      </c>
      <c r="B56" s="3">
        <f t="shared" ca="1" si="0"/>
        <v>10.303962603881155</v>
      </c>
      <c r="C56" s="3">
        <f t="shared" ca="1" si="1"/>
        <v>10.204887884962124</v>
      </c>
      <c r="D56" s="3">
        <f t="shared" ca="1" si="2"/>
        <v>11.139539905261763</v>
      </c>
      <c r="E56" s="3">
        <f t="shared" ca="1" si="3"/>
        <v>10.697372216729176</v>
      </c>
    </row>
    <row r="57" spans="1:5" ht="13.2" x14ac:dyDescent="0.25">
      <c r="A57" s="6">
        <v>56</v>
      </c>
      <c r="B57" s="3">
        <f t="shared" ca="1" si="0"/>
        <v>9.4681942197278968</v>
      </c>
      <c r="C57" s="3">
        <f t="shared" ca="1" si="1"/>
        <v>8.0137060372219278</v>
      </c>
      <c r="D57" s="3">
        <f t="shared" ca="1" si="2"/>
        <v>13.934293539293321</v>
      </c>
      <c r="E57" s="3">
        <f t="shared" ca="1" si="3"/>
        <v>11.387168370749377</v>
      </c>
    </row>
    <row r="58" spans="1:5" ht="13.2" x14ac:dyDescent="0.25">
      <c r="A58" s="6">
        <v>57</v>
      </c>
      <c r="B58" s="3">
        <f t="shared" ca="1" si="0"/>
        <v>11.772686509500179</v>
      </c>
      <c r="C58" s="3">
        <f t="shared" ca="1" si="1"/>
        <v>7.2708165121170358</v>
      </c>
      <c r="D58" s="3">
        <f t="shared" ca="1" si="2"/>
        <v>9.2345399645305903</v>
      </c>
      <c r="E58" s="3">
        <f t="shared" ca="1" si="3"/>
        <v>7.0419245017289702</v>
      </c>
    </row>
    <row r="59" spans="1:5" ht="13.2" x14ac:dyDescent="0.25">
      <c r="A59" s="6">
        <v>58</v>
      </c>
      <c r="B59" s="3">
        <f t="shared" ca="1" si="0"/>
        <v>5.9802074813857509</v>
      </c>
      <c r="C59" s="3">
        <f t="shared" ca="1" si="1"/>
        <v>10.849161001821415</v>
      </c>
      <c r="D59" s="3">
        <f t="shared" ca="1" si="2"/>
        <v>10.18846428857761</v>
      </c>
      <c r="E59" s="3">
        <f t="shared" ca="1" si="3"/>
        <v>8.5367593842822522</v>
      </c>
    </row>
    <row r="60" spans="1:5" ht="13.2" x14ac:dyDescent="0.25">
      <c r="A60" s="6">
        <v>59</v>
      </c>
      <c r="B60" s="3">
        <f t="shared" ca="1" si="0"/>
        <v>9.3773701799480236</v>
      </c>
      <c r="C60" s="3">
        <f t="shared" ca="1" si="1"/>
        <v>9.7755642500784941</v>
      </c>
      <c r="D60" s="3">
        <f t="shared" ca="1" si="2"/>
        <v>10.26795785578031</v>
      </c>
      <c r="E60" s="3">
        <f t="shared" ca="1" si="3"/>
        <v>9.6450685990862937</v>
      </c>
    </row>
    <row r="61" spans="1:5" ht="13.2" x14ac:dyDescent="0.25">
      <c r="A61" s="6">
        <v>60</v>
      </c>
      <c r="B61" s="3">
        <f t="shared" ca="1" si="0"/>
        <v>9.8731993206047921</v>
      </c>
      <c r="C61" s="3">
        <f t="shared" ca="1" si="1"/>
        <v>8.8685487845516953</v>
      </c>
      <c r="D61" s="3">
        <f t="shared" ca="1" si="2"/>
        <v>7.2155360010026524</v>
      </c>
      <c r="E61" s="3">
        <f t="shared" ca="1" si="3"/>
        <v>7.0543442533188339</v>
      </c>
    </row>
    <row r="62" spans="1:5" ht="13.2" x14ac:dyDescent="0.25">
      <c r="A62" s="6">
        <v>61</v>
      </c>
      <c r="B62" s="3">
        <f t="shared" ca="1" si="0"/>
        <v>9.9011461121173276</v>
      </c>
      <c r="C62" s="3">
        <f t="shared" ca="1" si="1"/>
        <v>10.697704259678302</v>
      </c>
      <c r="D62" s="3">
        <f t="shared" ca="1" si="2"/>
        <v>8.7730225745596044</v>
      </c>
      <c r="E62" s="3">
        <f t="shared" ca="1" si="3"/>
        <v>6.991358356196808</v>
      </c>
    </row>
    <row r="63" spans="1:5" ht="13.2" x14ac:dyDescent="0.25">
      <c r="A63" s="6">
        <v>62</v>
      </c>
      <c r="B63" s="3">
        <f t="shared" ca="1" si="0"/>
        <v>8.3251581824017968</v>
      </c>
      <c r="C63" s="3">
        <f t="shared" ca="1" si="1"/>
        <v>8.0377083397938112</v>
      </c>
      <c r="D63" s="3">
        <f t="shared" ca="1" si="2"/>
        <v>10.809255725064068</v>
      </c>
      <c r="E63" s="3">
        <f t="shared" ca="1" si="3"/>
        <v>9.7626415538187548</v>
      </c>
    </row>
    <row r="64" spans="1:5" ht="13.2" x14ac:dyDescent="0.25">
      <c r="A64" s="6">
        <v>63</v>
      </c>
      <c r="B64" s="3">
        <f t="shared" ca="1" si="0"/>
        <v>9.3525288920701755</v>
      </c>
      <c r="C64" s="3">
        <f t="shared" ca="1" si="1"/>
        <v>7.6831378454619728</v>
      </c>
      <c r="D64" s="3">
        <f t="shared" ca="1" si="2"/>
        <v>10.827607400065583</v>
      </c>
      <c r="E64" s="3">
        <f t="shared" ca="1" si="3"/>
        <v>9.9514888394721801</v>
      </c>
    </row>
    <row r="65" spans="1:5" ht="13.2" x14ac:dyDescent="0.25">
      <c r="A65" s="6">
        <v>64</v>
      </c>
      <c r="B65" s="3">
        <f t="shared" ca="1" si="0"/>
        <v>9.6971546051085546</v>
      </c>
      <c r="C65" s="3">
        <f t="shared" ca="1" si="1"/>
        <v>9.2058209593121827</v>
      </c>
      <c r="D65" s="3">
        <f t="shared" ca="1" si="2"/>
        <v>10.747506730409819</v>
      </c>
      <c r="E65" s="3">
        <f t="shared" ca="1" si="3"/>
        <v>8.6913933511370747</v>
      </c>
    </row>
    <row r="66" spans="1:5" ht="13.2" x14ac:dyDescent="0.25">
      <c r="A66" s="6">
        <v>65</v>
      </c>
      <c r="B66" s="3">
        <f t="shared" ca="1" si="0"/>
        <v>9.9209501782602558</v>
      </c>
      <c r="C66" s="3">
        <f t="shared" ca="1" si="1"/>
        <v>10.667028269613175</v>
      </c>
      <c r="D66" s="3">
        <f t="shared" ca="1" si="2"/>
        <v>11.590792663654746</v>
      </c>
      <c r="E66" s="3">
        <f t="shared" ca="1" si="3"/>
        <v>11.072630935264012</v>
      </c>
    </row>
    <row r="67" spans="1:5" ht="13.2" x14ac:dyDescent="0.25">
      <c r="A67" s="6">
        <v>66</v>
      </c>
      <c r="B67" s="3">
        <f t="shared" ca="1" si="0"/>
        <v>6.7200829467985557</v>
      </c>
      <c r="C67" s="3">
        <f t="shared" ca="1" si="1"/>
        <v>9.5980606337808396</v>
      </c>
      <c r="D67" s="3">
        <f t="shared" ca="1" si="2"/>
        <v>11.625996497720564</v>
      </c>
      <c r="E67" s="3">
        <f t="shared" ca="1" si="3"/>
        <v>11.35545117066737</v>
      </c>
    </row>
    <row r="68" spans="1:5" ht="13.2" x14ac:dyDescent="0.25">
      <c r="A68" s="6">
        <v>67</v>
      </c>
      <c r="B68" s="3">
        <f t="shared" ca="1" si="0"/>
        <v>9.7283321047421421</v>
      </c>
      <c r="C68" s="3">
        <f t="shared" ca="1" si="1"/>
        <v>7.9839239088374274</v>
      </c>
      <c r="D68" s="3">
        <f t="shared" ca="1" si="2"/>
        <v>7.1863098022871066</v>
      </c>
      <c r="E68" s="3">
        <f t="shared" ca="1" si="3"/>
        <v>11.740576079016051</v>
      </c>
    </row>
    <row r="69" spans="1:5" ht="13.2" x14ac:dyDescent="0.25">
      <c r="A69" s="6">
        <v>68</v>
      </c>
      <c r="B69" s="3">
        <f t="shared" ca="1" si="0"/>
        <v>7.7245345775077663</v>
      </c>
      <c r="C69" s="3">
        <f t="shared" ca="1" si="1"/>
        <v>8.5182765922170134</v>
      </c>
      <c r="D69" s="3">
        <f t="shared" ca="1" si="2"/>
        <v>7.5314388594512103</v>
      </c>
      <c r="E69" s="3">
        <f t="shared" ca="1" si="3"/>
        <v>9.7108343988475028</v>
      </c>
    </row>
    <row r="70" spans="1:5" ht="13.2" x14ac:dyDescent="0.25">
      <c r="A70" s="6">
        <v>69</v>
      </c>
      <c r="B70" s="3">
        <f t="shared" ca="1" si="0"/>
        <v>16.747845449902137</v>
      </c>
      <c r="C70" s="3">
        <f t="shared" ca="1" si="1"/>
        <v>9.2658262467926296</v>
      </c>
      <c r="D70" s="3">
        <f t="shared" ca="1" si="2"/>
        <v>9.1532095278269345</v>
      </c>
      <c r="E70" s="3">
        <f t="shared" ca="1" si="3"/>
        <v>11.018853768810247</v>
      </c>
    </row>
    <row r="71" spans="1:5" ht="13.2" x14ac:dyDescent="0.25">
      <c r="A71" s="6">
        <v>70</v>
      </c>
      <c r="B71" s="3">
        <f t="shared" ca="1" si="0"/>
        <v>9.6291071009878024</v>
      </c>
      <c r="C71" s="3">
        <f t="shared" ca="1" si="1"/>
        <v>10.792804685824558</v>
      </c>
      <c r="D71" s="3">
        <f t="shared" ca="1" si="2"/>
        <v>11.709859787880497</v>
      </c>
      <c r="E71" s="3">
        <f t="shared" ca="1" si="3"/>
        <v>9.538968596800899</v>
      </c>
    </row>
    <row r="72" spans="1:5" ht="13.2" x14ac:dyDescent="0.25">
      <c r="A72" s="6">
        <v>71</v>
      </c>
      <c r="B72" s="3">
        <f t="shared" ca="1" si="0"/>
        <v>7.8169745208557462</v>
      </c>
      <c r="C72" s="3">
        <f t="shared" ca="1" si="1"/>
        <v>10.217590649146373</v>
      </c>
      <c r="D72" s="3">
        <f t="shared" ca="1" si="2"/>
        <v>10.239581412989887</v>
      </c>
      <c r="E72" s="3">
        <f t="shared" ca="1" si="3"/>
        <v>10.473590249820079</v>
      </c>
    </row>
    <row r="73" spans="1:5" ht="13.2" x14ac:dyDescent="0.25">
      <c r="A73" s="6">
        <v>72</v>
      </c>
      <c r="B73" s="3">
        <f t="shared" ca="1" si="0"/>
        <v>7.0305611102501313</v>
      </c>
      <c r="C73" s="3">
        <f t="shared" ca="1" si="1"/>
        <v>9.0042218202838207</v>
      </c>
      <c r="D73" s="3">
        <f t="shared" ca="1" si="2"/>
        <v>12.034716319341165</v>
      </c>
      <c r="E73" s="3">
        <f t="shared" ca="1" si="3"/>
        <v>11.839816665866046</v>
      </c>
    </row>
    <row r="74" spans="1:5" ht="13.2" x14ac:dyDescent="0.25">
      <c r="A74" s="6">
        <v>73</v>
      </c>
      <c r="B74" s="3">
        <f t="shared" ca="1" si="0"/>
        <v>8.237049569759936</v>
      </c>
      <c r="C74" s="3">
        <f t="shared" ca="1" si="1"/>
        <v>7.2852276959090645</v>
      </c>
      <c r="D74" s="3">
        <f t="shared" ca="1" si="2"/>
        <v>9.0751137749535218</v>
      </c>
      <c r="E74" s="3">
        <f t="shared" ca="1" si="3"/>
        <v>12.686863021787525</v>
      </c>
    </row>
    <row r="75" spans="1:5" ht="13.2" x14ac:dyDescent="0.25">
      <c r="A75" s="6">
        <v>74</v>
      </c>
      <c r="B75" s="3">
        <f t="shared" ca="1" si="0"/>
        <v>8.8805207145703662</v>
      </c>
      <c r="C75" s="3">
        <f t="shared" ca="1" si="1"/>
        <v>10.6541162691267</v>
      </c>
      <c r="D75" s="3">
        <f t="shared" ca="1" si="2"/>
        <v>9.6973866603915369</v>
      </c>
      <c r="E75" s="3">
        <f t="shared" ca="1" si="3"/>
        <v>12.306532967676581</v>
      </c>
    </row>
    <row r="76" spans="1:5" ht="13.2" x14ac:dyDescent="0.25">
      <c r="A76" s="6">
        <v>75</v>
      </c>
      <c r="B76" s="3">
        <f t="shared" ca="1" si="0"/>
        <v>9.1272089441103095</v>
      </c>
      <c r="C76" s="3">
        <f t="shared" ca="1" si="1"/>
        <v>8.2354912357027974</v>
      </c>
      <c r="D76" s="3">
        <f t="shared" ca="1" si="2"/>
        <v>10.69912400433835</v>
      </c>
      <c r="E76" s="3">
        <f t="shared" ca="1" si="3"/>
        <v>12.60103959050817</v>
      </c>
    </row>
    <row r="77" spans="1:5" ht="13.2" x14ac:dyDescent="0.25">
      <c r="A77" s="6">
        <v>76</v>
      </c>
      <c r="B77" s="3">
        <f t="shared" ca="1" si="0"/>
        <v>7.9651756564395093</v>
      </c>
      <c r="C77" s="3">
        <f t="shared" ca="1" si="1"/>
        <v>12.295388706715286</v>
      </c>
      <c r="D77" s="3">
        <f t="shared" ca="1" si="2"/>
        <v>11.695526315537347</v>
      </c>
      <c r="E77" s="3">
        <f t="shared" ca="1" si="3"/>
        <v>9.2444732986694138</v>
      </c>
    </row>
    <row r="78" spans="1:5" ht="13.2" x14ac:dyDescent="0.25">
      <c r="A78" s="6">
        <v>77</v>
      </c>
      <c r="B78" s="3">
        <f t="shared" ca="1" si="0"/>
        <v>7.7855732113540483</v>
      </c>
      <c r="C78" s="3">
        <f t="shared" ca="1" si="1"/>
        <v>8.0684095053187512</v>
      </c>
      <c r="D78" s="3">
        <f t="shared" ca="1" si="2"/>
        <v>10.529503219003789</v>
      </c>
      <c r="E78" s="3">
        <f t="shared" ca="1" si="3"/>
        <v>8.350791802554383</v>
      </c>
    </row>
    <row r="79" spans="1:5" ht="13.2" x14ac:dyDescent="0.25">
      <c r="A79" s="6">
        <v>78</v>
      </c>
      <c r="B79" s="3">
        <f t="shared" ca="1" si="0"/>
        <v>10.162629389181586</v>
      </c>
      <c r="C79" s="3">
        <f t="shared" ca="1" si="1"/>
        <v>10.50568082423692</v>
      </c>
      <c r="D79" s="3">
        <f t="shared" ca="1" si="2"/>
        <v>8.5098586751745522</v>
      </c>
      <c r="E79" s="3">
        <f t="shared" ca="1" si="3"/>
        <v>14.092019500887657</v>
      </c>
    </row>
    <row r="80" spans="1:5" ht="13.2" x14ac:dyDescent="0.25">
      <c r="A80" s="6">
        <v>79</v>
      </c>
      <c r="B80" s="3">
        <f t="shared" ca="1" si="0"/>
        <v>9.7114653300325688</v>
      </c>
      <c r="C80" s="3">
        <f t="shared" ca="1" si="1"/>
        <v>6.5047394918870758</v>
      </c>
      <c r="D80" s="3">
        <f t="shared" ca="1" si="2"/>
        <v>9.8664537635757785</v>
      </c>
      <c r="E80" s="3">
        <f t="shared" ca="1" si="3"/>
        <v>10.540721987424018</v>
      </c>
    </row>
    <row r="81" spans="1:5" ht="13.2" x14ac:dyDescent="0.25">
      <c r="A81" s="6">
        <v>80</v>
      </c>
      <c r="B81" s="3">
        <f t="shared" ca="1" si="0"/>
        <v>7.8363795645256475</v>
      </c>
      <c r="C81" s="3">
        <f t="shared" ca="1" si="1"/>
        <v>10.857212522290194</v>
      </c>
      <c r="D81" s="3">
        <f t="shared" ca="1" si="2"/>
        <v>13.470820224948824</v>
      </c>
      <c r="E81" s="3">
        <f t="shared" ca="1" si="3"/>
        <v>8.3982972584447513</v>
      </c>
    </row>
    <row r="82" spans="1:5" ht="13.2" x14ac:dyDescent="0.25">
      <c r="A82" s="6">
        <v>81</v>
      </c>
      <c r="B82" s="3">
        <f t="shared" ca="1" si="0"/>
        <v>8.9639822965463463</v>
      </c>
      <c r="C82" s="3">
        <f t="shared" ca="1" si="1"/>
        <v>11.565788999611812</v>
      </c>
      <c r="D82" s="3">
        <f t="shared" ca="1" si="2"/>
        <v>11.496366428761924</v>
      </c>
      <c r="E82" s="3">
        <f t="shared" ca="1" si="3"/>
        <v>12.570144859239189</v>
      </c>
    </row>
    <row r="83" spans="1:5" ht="13.2" x14ac:dyDescent="0.25">
      <c r="A83" s="6">
        <v>82</v>
      </c>
      <c r="B83" s="3">
        <f t="shared" ca="1" si="0"/>
        <v>10.954311114280397</v>
      </c>
      <c r="C83" s="3">
        <f t="shared" ca="1" si="1"/>
        <v>9.4837501128760024</v>
      </c>
      <c r="D83" s="3">
        <f t="shared" ca="1" si="2"/>
        <v>9.205992701548471</v>
      </c>
      <c r="E83" s="3">
        <f t="shared" ca="1" si="3"/>
        <v>9.4603537223110266</v>
      </c>
    </row>
    <row r="84" spans="1:5" ht="13.2" x14ac:dyDescent="0.25">
      <c r="A84" s="6">
        <v>83</v>
      </c>
      <c r="B84" s="3">
        <f t="shared" ca="1" si="0"/>
        <v>11.490825013508445</v>
      </c>
      <c r="C84" s="3">
        <f t="shared" ca="1" si="1"/>
        <v>7.9943335818141206</v>
      </c>
      <c r="D84" s="3">
        <f t="shared" ca="1" si="2"/>
        <v>9.6385939968558887</v>
      </c>
      <c r="E84" s="3">
        <f t="shared" ca="1" si="3"/>
        <v>12.305245439339593</v>
      </c>
    </row>
    <row r="85" spans="1:5" ht="13.2" x14ac:dyDescent="0.25">
      <c r="A85" s="6">
        <v>84</v>
      </c>
      <c r="B85" s="3">
        <f t="shared" ca="1" si="0"/>
        <v>8.8038884544273071</v>
      </c>
      <c r="C85" s="3">
        <f t="shared" ca="1" si="1"/>
        <v>10.844331060313758</v>
      </c>
      <c r="D85" s="3">
        <f t="shared" ca="1" si="2"/>
        <v>8.9290241013839733</v>
      </c>
      <c r="E85" s="3">
        <f t="shared" ca="1" si="3"/>
        <v>11.650937803530482</v>
      </c>
    </row>
    <row r="86" spans="1:5" ht="13.2" x14ac:dyDescent="0.25">
      <c r="A86" s="6">
        <v>85</v>
      </c>
      <c r="B86" s="3">
        <f t="shared" ca="1" si="0"/>
        <v>9.5485328796672242</v>
      </c>
      <c r="C86" s="3">
        <f t="shared" ca="1" si="1"/>
        <v>10.761395981546432</v>
      </c>
      <c r="D86" s="3">
        <f t="shared" ca="1" si="2"/>
        <v>10.761596366135683</v>
      </c>
      <c r="E86" s="3">
        <f t="shared" ca="1" si="3"/>
        <v>10.429225322892419</v>
      </c>
    </row>
    <row r="87" spans="1:5" ht="13.2" x14ac:dyDescent="0.25">
      <c r="A87" s="6">
        <v>86</v>
      </c>
      <c r="B87" s="3">
        <f t="shared" ca="1" si="0"/>
        <v>10.177924658712133</v>
      </c>
      <c r="C87" s="3">
        <f t="shared" ca="1" si="1"/>
        <v>11.176384370951494</v>
      </c>
      <c r="D87" s="3">
        <f t="shared" ca="1" si="2"/>
        <v>9.2366559759269631</v>
      </c>
      <c r="E87" s="3">
        <f t="shared" ca="1" si="3"/>
        <v>11.348220873879656</v>
      </c>
    </row>
    <row r="88" spans="1:5" ht="13.2" x14ac:dyDescent="0.25">
      <c r="A88" s="6">
        <v>87</v>
      </c>
      <c r="B88" s="3">
        <f t="shared" ca="1" si="0"/>
        <v>9.8014401376982843</v>
      </c>
      <c r="C88" s="3">
        <f t="shared" ca="1" si="1"/>
        <v>5.4825256816196886</v>
      </c>
      <c r="D88" s="3">
        <f t="shared" ca="1" si="2"/>
        <v>8.8301875086606785</v>
      </c>
      <c r="E88" s="3">
        <f t="shared" ca="1" si="3"/>
        <v>10.527321537722516</v>
      </c>
    </row>
    <row r="89" spans="1:5" ht="13.2" x14ac:dyDescent="0.25">
      <c r="A89" s="6">
        <v>88</v>
      </c>
      <c r="B89" s="3">
        <f t="shared" ca="1" si="0"/>
        <v>9.6474980488211983</v>
      </c>
      <c r="C89" s="3">
        <f t="shared" ca="1" si="1"/>
        <v>9.1477328022755007</v>
      </c>
      <c r="D89" s="3">
        <f t="shared" ca="1" si="2"/>
        <v>8.8422313673408528</v>
      </c>
      <c r="E89" s="3">
        <f t="shared" ca="1" si="3"/>
        <v>9.225079769918672</v>
      </c>
    </row>
    <row r="90" spans="1:5" ht="13.2" x14ac:dyDescent="0.25">
      <c r="A90" s="6">
        <v>89</v>
      </c>
      <c r="B90" s="3">
        <f t="shared" ca="1" si="0"/>
        <v>9.093457539013091</v>
      </c>
      <c r="C90" s="3">
        <f t="shared" ca="1" si="1"/>
        <v>11.327987636568526</v>
      </c>
      <c r="D90" s="3">
        <f t="shared" ca="1" si="2"/>
        <v>7.8278116045137658</v>
      </c>
      <c r="E90" s="3">
        <f t="shared" ca="1" si="3"/>
        <v>12.404877011511594</v>
      </c>
    </row>
    <row r="91" spans="1:5" ht="13.2" x14ac:dyDescent="0.25">
      <c r="A91" s="6">
        <v>90</v>
      </c>
      <c r="B91" s="3">
        <f t="shared" ca="1" si="0"/>
        <v>11.001238997367834</v>
      </c>
      <c r="C91" s="3">
        <f t="shared" ca="1" si="1"/>
        <v>7.9133247440569559</v>
      </c>
      <c r="D91" s="3">
        <f t="shared" ca="1" si="2"/>
        <v>8.7239157641905685</v>
      </c>
      <c r="E91" s="3">
        <f t="shared" ca="1" si="3"/>
        <v>11.498435230605715</v>
      </c>
    </row>
    <row r="92" spans="1:5" ht="13.2" x14ac:dyDescent="0.25">
      <c r="A92" s="6">
        <v>91</v>
      </c>
      <c r="B92" s="3">
        <f t="shared" ca="1" si="0"/>
        <v>7.0265166095845517</v>
      </c>
      <c r="C92" s="3">
        <f t="shared" ca="1" si="1"/>
        <v>7.5308450979431534</v>
      </c>
      <c r="D92" s="3">
        <f t="shared" ca="1" si="2"/>
        <v>8.5533679585736646</v>
      </c>
      <c r="E92" s="3">
        <f t="shared" ca="1" si="3"/>
        <v>9.469356658720633</v>
      </c>
    </row>
    <row r="93" spans="1:5" ht="13.2" x14ac:dyDescent="0.25">
      <c r="A93" s="6">
        <v>92</v>
      </c>
      <c r="B93" s="3">
        <f t="shared" ca="1" si="0"/>
        <v>9.9815364671435951</v>
      </c>
      <c r="C93" s="3">
        <f t="shared" ca="1" si="1"/>
        <v>13.002785189289598</v>
      </c>
      <c r="D93" s="3">
        <f t="shared" ca="1" si="2"/>
        <v>10.788144818970968</v>
      </c>
      <c r="E93" s="3">
        <f t="shared" ca="1" si="3"/>
        <v>10.427157760806388</v>
      </c>
    </row>
    <row r="94" spans="1:5" ht="13.2" x14ac:dyDescent="0.25">
      <c r="A94" s="6">
        <v>93</v>
      </c>
      <c r="B94" s="3">
        <f t="shared" ca="1" si="0"/>
        <v>7.8565659453490904</v>
      </c>
      <c r="C94" s="3">
        <f t="shared" ca="1" si="1"/>
        <v>8.9897071390955574</v>
      </c>
      <c r="D94" s="3">
        <f t="shared" ca="1" si="2"/>
        <v>10.248267711667417</v>
      </c>
      <c r="E94" s="3">
        <f t="shared" ca="1" si="3"/>
        <v>9.1355496821987803</v>
      </c>
    </row>
    <row r="95" spans="1:5" ht="13.2" x14ac:dyDescent="0.25">
      <c r="A95" s="6">
        <v>94</v>
      </c>
      <c r="B95" s="3">
        <f t="shared" ca="1" si="0"/>
        <v>7.3635755434901036</v>
      </c>
      <c r="C95" s="3">
        <f t="shared" ca="1" si="1"/>
        <v>10.724663901167684</v>
      </c>
      <c r="D95" s="3">
        <f t="shared" ca="1" si="2"/>
        <v>10.135621719069396</v>
      </c>
      <c r="E95" s="3">
        <f t="shared" ca="1" si="3"/>
        <v>11.216786543327053</v>
      </c>
    </row>
    <row r="96" spans="1:5" ht="13.2" x14ac:dyDescent="0.25">
      <c r="A96" s="6">
        <v>95</v>
      </c>
      <c r="B96" s="3">
        <f t="shared" ca="1" si="0"/>
        <v>10.360181779125645</v>
      </c>
      <c r="C96" s="3">
        <f t="shared" ca="1" si="1"/>
        <v>8.7577301684905322</v>
      </c>
      <c r="D96" s="3">
        <f t="shared" ca="1" si="2"/>
        <v>10.77878070500171</v>
      </c>
      <c r="E96" s="3">
        <f t="shared" ca="1" si="3"/>
        <v>9.4526638585401503</v>
      </c>
    </row>
    <row r="97" spans="1:5" ht="13.2" x14ac:dyDescent="0.25">
      <c r="A97" s="6">
        <v>96</v>
      </c>
      <c r="B97" s="3">
        <f t="shared" ca="1" si="0"/>
        <v>9.5868310148136366</v>
      </c>
      <c r="C97" s="3">
        <f t="shared" ca="1" si="1"/>
        <v>10.544912777479958</v>
      </c>
      <c r="D97" s="3">
        <f t="shared" ca="1" si="2"/>
        <v>7.8147636877640387</v>
      </c>
      <c r="E97" s="3">
        <f t="shared" ca="1" si="3"/>
        <v>9.7662220621902822</v>
      </c>
    </row>
    <row r="98" spans="1:5" ht="13.2" x14ac:dyDescent="0.25">
      <c r="A98" s="6">
        <v>97</v>
      </c>
      <c r="B98" s="3">
        <f t="shared" ca="1" si="0"/>
        <v>10.687462912735207</v>
      </c>
      <c r="C98" s="3">
        <f t="shared" ca="1" si="1"/>
        <v>6.8181062631559497</v>
      </c>
      <c r="D98" s="3">
        <f t="shared" ca="1" si="2"/>
        <v>8.9792656717028532</v>
      </c>
      <c r="E98" s="3">
        <f t="shared" ca="1" si="3"/>
        <v>9.8507638473253074</v>
      </c>
    </row>
    <row r="99" spans="1:5" ht="13.2" x14ac:dyDescent="0.25">
      <c r="A99" s="6">
        <v>98</v>
      </c>
      <c r="B99" s="3">
        <f t="shared" ca="1" si="0"/>
        <v>10.077790257051399</v>
      </c>
      <c r="C99" s="3">
        <f t="shared" ca="1" si="1"/>
        <v>9.4066802652515662</v>
      </c>
      <c r="D99" s="3">
        <f t="shared" ca="1" si="2"/>
        <v>9.1810305332674513</v>
      </c>
      <c r="E99" s="3">
        <f t="shared" ca="1" si="3"/>
        <v>10.787092049913312</v>
      </c>
    </row>
    <row r="100" spans="1:5" ht="13.2" x14ac:dyDescent="0.25">
      <c r="A100" s="6">
        <v>99</v>
      </c>
      <c r="B100" s="3">
        <f t="shared" ca="1" si="0"/>
        <v>10.803026506041453</v>
      </c>
      <c r="C100" s="3">
        <f t="shared" ca="1" si="1"/>
        <v>11.099377806964565</v>
      </c>
      <c r="D100" s="3">
        <f t="shared" ca="1" si="2"/>
        <v>7.5327179070339358</v>
      </c>
      <c r="E100" s="3">
        <f t="shared" ca="1" si="3"/>
        <v>11.48957358711038</v>
      </c>
    </row>
    <row r="101" spans="1:5" ht="13.2" x14ac:dyDescent="0.25">
      <c r="A101" s="6">
        <v>100</v>
      </c>
      <c r="B101" s="3">
        <f t="shared" ca="1" si="0"/>
        <v>7.8422985715668139</v>
      </c>
      <c r="C101" s="3">
        <f t="shared" ca="1" si="1"/>
        <v>10.167099453701457</v>
      </c>
      <c r="D101" s="3">
        <f t="shared" ca="1" si="2"/>
        <v>11.667861828746357</v>
      </c>
      <c r="E101" s="3">
        <f t="shared" ca="1" si="3"/>
        <v>8.991175927208749</v>
      </c>
    </row>
    <row r="102" spans="1:5" ht="13.2" x14ac:dyDescent="0.25">
      <c r="A102" s="6">
        <v>101</v>
      </c>
      <c r="B102" s="3">
        <f t="shared" ca="1" si="0"/>
        <v>10.701223953490159</v>
      </c>
      <c r="C102" s="3">
        <f t="shared" ca="1" si="1"/>
        <v>13.320889506565589</v>
      </c>
      <c r="D102" s="3">
        <f t="shared" ca="1" si="2"/>
        <v>10.948350319056862</v>
      </c>
      <c r="E102" s="3">
        <f t="shared" ca="1" si="3"/>
        <v>8.808974846200039</v>
      </c>
    </row>
    <row r="103" spans="1:5" ht="13.2" x14ac:dyDescent="0.25">
      <c r="A103" s="6">
        <v>102</v>
      </c>
      <c r="B103" s="3">
        <f t="shared" ca="1" si="0"/>
        <v>11.858949828313071</v>
      </c>
      <c r="C103" s="3">
        <f t="shared" ca="1" si="1"/>
        <v>9.5441776201139312</v>
      </c>
      <c r="D103" s="3">
        <f t="shared" ca="1" si="2"/>
        <v>10.896041086009372</v>
      </c>
      <c r="E103" s="3">
        <f t="shared" ca="1" si="3"/>
        <v>10.50702777191473</v>
      </c>
    </row>
    <row r="104" spans="1:5" ht="13.2" x14ac:dyDescent="0.25">
      <c r="A104" s="6">
        <v>103</v>
      </c>
      <c r="B104" s="3">
        <f t="shared" ca="1" si="0"/>
        <v>8.4574344345114003</v>
      </c>
      <c r="C104" s="3">
        <f t="shared" ca="1" si="1"/>
        <v>8.712347281762602</v>
      </c>
      <c r="D104" s="3">
        <f t="shared" ca="1" si="2"/>
        <v>9.2965753801233877</v>
      </c>
      <c r="E104" s="3">
        <f t="shared" ca="1" si="3"/>
        <v>7.8753594537188896</v>
      </c>
    </row>
    <row r="105" spans="1:5" ht="13.2" x14ac:dyDescent="0.25">
      <c r="A105" s="6">
        <v>104</v>
      </c>
      <c r="B105" s="3">
        <f t="shared" ca="1" si="0"/>
        <v>10.910050199671673</v>
      </c>
      <c r="C105" s="3">
        <f t="shared" ca="1" si="1"/>
        <v>8.7157286215095624</v>
      </c>
      <c r="D105" s="3">
        <f t="shared" ca="1" si="2"/>
        <v>11.456859268307738</v>
      </c>
      <c r="E105" s="3">
        <f t="shared" ca="1" si="3"/>
        <v>10.17686824078678</v>
      </c>
    </row>
    <row r="106" spans="1:5" ht="13.2" x14ac:dyDescent="0.25">
      <c r="A106" s="6">
        <v>105</v>
      </c>
      <c r="B106" s="3">
        <f t="shared" ca="1" si="0"/>
        <v>11.583972565998049</v>
      </c>
      <c r="C106" s="3">
        <f t="shared" ca="1" si="1"/>
        <v>7.6601901306122286</v>
      </c>
      <c r="D106" s="3">
        <f t="shared" ca="1" si="2"/>
        <v>12.075222779768216</v>
      </c>
      <c r="E106" s="3">
        <f t="shared" ca="1" si="3"/>
        <v>9.5061773844957624</v>
      </c>
    </row>
    <row r="107" spans="1:5" ht="13.2" x14ac:dyDescent="0.25">
      <c r="A107" s="6">
        <v>106</v>
      </c>
      <c r="B107" s="3">
        <f t="shared" ca="1" si="0"/>
        <v>9.4546847025614333</v>
      </c>
      <c r="C107" s="3">
        <f t="shared" ca="1" si="1"/>
        <v>12.661763397845625</v>
      </c>
      <c r="D107" s="3">
        <f t="shared" ca="1" si="2"/>
        <v>12.944590353311709</v>
      </c>
      <c r="E107" s="3">
        <f t="shared" ca="1" si="3"/>
        <v>10.130536077585251</v>
      </c>
    </row>
    <row r="108" spans="1:5" ht="13.2" x14ac:dyDescent="0.25">
      <c r="A108" s="6">
        <v>107</v>
      </c>
      <c r="B108" s="3">
        <f t="shared" ca="1" si="0"/>
        <v>6.5132856946249387</v>
      </c>
      <c r="C108" s="3">
        <f t="shared" ca="1" si="1"/>
        <v>10.155629859768535</v>
      </c>
      <c r="D108" s="3">
        <f t="shared" ca="1" si="2"/>
        <v>9.1585991577006549</v>
      </c>
      <c r="E108" s="3">
        <f t="shared" ca="1" si="3"/>
        <v>8.6999470898548772</v>
      </c>
    </row>
    <row r="109" spans="1:5" ht="13.2" x14ac:dyDescent="0.25">
      <c r="A109" s="6">
        <v>108</v>
      </c>
      <c r="B109" s="3">
        <f t="shared" ca="1" si="0"/>
        <v>12.526446767133047</v>
      </c>
      <c r="C109" s="3">
        <f t="shared" ca="1" si="1"/>
        <v>10.897328269808863</v>
      </c>
      <c r="D109" s="3">
        <f t="shared" ca="1" si="2"/>
        <v>12.614617308130379</v>
      </c>
      <c r="E109" s="3">
        <f t="shared" ca="1" si="3"/>
        <v>9.1188605973218131</v>
      </c>
    </row>
    <row r="110" spans="1:5" ht="13.2" x14ac:dyDescent="0.25">
      <c r="A110" s="6">
        <v>109</v>
      </c>
      <c r="B110" s="3">
        <f t="shared" ca="1" si="0"/>
        <v>12.401500240303008</v>
      </c>
      <c r="C110" s="3">
        <f t="shared" ca="1" si="1"/>
        <v>8.8311258282797365</v>
      </c>
      <c r="D110" s="3">
        <f t="shared" ca="1" si="2"/>
        <v>11.864475084256561</v>
      </c>
      <c r="E110" s="3">
        <f t="shared" ca="1" si="3"/>
        <v>11.616566870202311</v>
      </c>
    </row>
    <row r="111" spans="1:5" ht="13.2" x14ac:dyDescent="0.25">
      <c r="A111" s="6">
        <v>110</v>
      </c>
      <c r="B111" s="3">
        <f t="shared" ca="1" si="0"/>
        <v>11.326690421513005</v>
      </c>
      <c r="C111" s="3">
        <f t="shared" ca="1" si="1"/>
        <v>10.570409881403338</v>
      </c>
      <c r="D111" s="3">
        <f t="shared" ca="1" si="2"/>
        <v>13.591690459033584</v>
      </c>
      <c r="E111" s="3">
        <f t="shared" ca="1" si="3"/>
        <v>11.264796254374646</v>
      </c>
    </row>
    <row r="112" spans="1:5" ht="13.2" x14ac:dyDescent="0.25">
      <c r="A112" s="6">
        <v>111</v>
      </c>
      <c r="B112" s="3">
        <f t="shared" ca="1" si="0"/>
        <v>8.9276743528939768</v>
      </c>
      <c r="C112" s="3">
        <f t="shared" ca="1" si="1"/>
        <v>11.223357687714186</v>
      </c>
      <c r="D112" s="3">
        <f t="shared" ca="1" si="2"/>
        <v>10.032399132137723</v>
      </c>
      <c r="E112" s="3">
        <f t="shared" ca="1" si="3"/>
        <v>9.4083095536138188</v>
      </c>
    </row>
    <row r="113" spans="1:5" ht="13.2" x14ac:dyDescent="0.25">
      <c r="A113" s="6">
        <v>112</v>
      </c>
      <c r="B113" s="3">
        <f t="shared" ca="1" si="0"/>
        <v>9.6444310239593918</v>
      </c>
      <c r="C113" s="3">
        <f t="shared" ca="1" si="1"/>
        <v>11.419220109428831</v>
      </c>
      <c r="D113" s="3">
        <f t="shared" ca="1" si="2"/>
        <v>10.579119988526022</v>
      </c>
      <c r="E113" s="3">
        <f t="shared" ca="1" si="3"/>
        <v>12.08758096606228</v>
      </c>
    </row>
    <row r="114" spans="1:5" ht="13.2" x14ac:dyDescent="0.25">
      <c r="A114" s="6">
        <v>113</v>
      </c>
      <c r="B114" s="3">
        <f t="shared" ca="1" si="0"/>
        <v>8.3751943198078589</v>
      </c>
      <c r="C114" s="3">
        <f t="shared" ca="1" si="1"/>
        <v>10.987794392579106</v>
      </c>
      <c r="D114" s="3">
        <f t="shared" ca="1" si="2"/>
        <v>9.0258105098393404</v>
      </c>
      <c r="E114" s="3">
        <f t="shared" ca="1" si="3"/>
        <v>10.162992875687085</v>
      </c>
    </row>
    <row r="115" spans="1:5" ht="13.2" x14ac:dyDescent="0.25">
      <c r="A115" s="6">
        <v>114</v>
      </c>
      <c r="B115" s="3">
        <f t="shared" ca="1" si="0"/>
        <v>9.7129736047208883</v>
      </c>
      <c r="C115" s="3">
        <f t="shared" ca="1" si="1"/>
        <v>7.9653226143283549</v>
      </c>
      <c r="D115" s="3">
        <f t="shared" ca="1" si="2"/>
        <v>11.131623213671253</v>
      </c>
      <c r="E115" s="3">
        <f t="shared" ca="1" si="3"/>
        <v>11.096502915327513</v>
      </c>
    </row>
    <row r="116" spans="1:5" ht="13.2" x14ac:dyDescent="0.25">
      <c r="A116" s="6">
        <v>115</v>
      </c>
      <c r="B116" s="3">
        <f t="shared" ca="1" si="0"/>
        <v>7.2368600515514405</v>
      </c>
      <c r="C116" s="3">
        <f t="shared" ca="1" si="1"/>
        <v>7.8339975928183057</v>
      </c>
      <c r="D116" s="3">
        <f t="shared" ca="1" si="2"/>
        <v>10.52017356167708</v>
      </c>
      <c r="E116" s="3">
        <f t="shared" ca="1" si="3"/>
        <v>8.5701955678403792</v>
      </c>
    </row>
    <row r="117" spans="1:5" ht="13.2" x14ac:dyDescent="0.25">
      <c r="A117" s="6">
        <v>116</v>
      </c>
      <c r="B117" s="3">
        <f t="shared" ca="1" si="0"/>
        <v>12.912246966836051</v>
      </c>
      <c r="C117" s="3">
        <f t="shared" ca="1" si="1"/>
        <v>12.000758488636107</v>
      </c>
      <c r="D117" s="3">
        <f t="shared" ca="1" si="2"/>
        <v>12.455824562707155</v>
      </c>
      <c r="E117" s="3">
        <f t="shared" ca="1" si="3"/>
        <v>11.682473920088215</v>
      </c>
    </row>
    <row r="118" spans="1:5" ht="13.2" x14ac:dyDescent="0.25">
      <c r="A118" s="6">
        <v>117</v>
      </c>
      <c r="B118" s="3">
        <f t="shared" ca="1" si="0"/>
        <v>9.7103190177144594</v>
      </c>
      <c r="C118" s="3">
        <f t="shared" ca="1" si="1"/>
        <v>7.4602160230974679</v>
      </c>
      <c r="D118" s="3">
        <f t="shared" ca="1" si="2"/>
        <v>8.0771834647154872</v>
      </c>
      <c r="E118" s="3">
        <f t="shared" ca="1" si="3"/>
        <v>10.733987162990818</v>
      </c>
    </row>
    <row r="119" spans="1:5" ht="13.2" x14ac:dyDescent="0.25">
      <c r="A119" s="6">
        <v>118</v>
      </c>
      <c r="B119" s="3">
        <f t="shared" ca="1" si="0"/>
        <v>6.5527412446724806</v>
      </c>
      <c r="C119" s="3">
        <f t="shared" ca="1" si="1"/>
        <v>10.970829177634631</v>
      </c>
      <c r="D119" s="3">
        <f t="shared" ca="1" si="2"/>
        <v>11.104511599670891</v>
      </c>
      <c r="E119" s="3">
        <f t="shared" ca="1" si="3"/>
        <v>10.947118544169124</v>
      </c>
    </row>
    <row r="120" spans="1:5" ht="13.2" x14ac:dyDescent="0.25">
      <c r="A120" s="6">
        <v>119</v>
      </c>
      <c r="B120" s="3">
        <f t="shared" ca="1" si="0"/>
        <v>8.4237276751031196</v>
      </c>
      <c r="C120" s="3">
        <f t="shared" ca="1" si="1"/>
        <v>7.7330776351942916</v>
      </c>
      <c r="D120" s="3">
        <f t="shared" ca="1" si="2"/>
        <v>9.3138655492269944</v>
      </c>
      <c r="E120" s="3">
        <f t="shared" ca="1" si="3"/>
        <v>11.451440198840954</v>
      </c>
    </row>
    <row r="121" spans="1:5" ht="13.2" x14ac:dyDescent="0.25">
      <c r="A121" s="6">
        <v>120</v>
      </c>
      <c r="B121" s="3">
        <f t="shared" ca="1" si="0"/>
        <v>10.582606092987138</v>
      </c>
      <c r="C121" s="3">
        <f t="shared" ca="1" si="1"/>
        <v>7.6450653666931334</v>
      </c>
      <c r="D121" s="3">
        <f t="shared" ca="1" si="2"/>
        <v>7.7485028045898385</v>
      </c>
      <c r="E121" s="3">
        <f t="shared" ca="1" si="3"/>
        <v>11.430548700452418</v>
      </c>
    </row>
    <row r="122" spans="1:5" ht="13.2" x14ac:dyDescent="0.25">
      <c r="A122" s="6">
        <v>121</v>
      </c>
      <c r="B122" s="3">
        <f t="shared" ca="1" si="0"/>
        <v>10.550361536373494</v>
      </c>
      <c r="C122" s="3">
        <f t="shared" ca="1" si="1"/>
        <v>13.080302672299457</v>
      </c>
      <c r="D122" s="3">
        <f t="shared" ca="1" si="2"/>
        <v>8.2060178879267998</v>
      </c>
      <c r="E122" s="3">
        <f t="shared" ca="1" si="3"/>
        <v>9.067342415368163</v>
      </c>
    </row>
    <row r="123" spans="1:5" ht="13.2" x14ac:dyDescent="0.25">
      <c r="A123" s="6">
        <v>122</v>
      </c>
      <c r="B123" s="3">
        <f t="shared" ca="1" si="0"/>
        <v>8.8435936893558029</v>
      </c>
      <c r="C123" s="3">
        <f t="shared" ca="1" si="1"/>
        <v>8.9003603796782489</v>
      </c>
      <c r="D123" s="3">
        <f t="shared" ca="1" si="2"/>
        <v>12.746284671153131</v>
      </c>
      <c r="E123" s="3">
        <f t="shared" ca="1" si="3"/>
        <v>9.196852857891507</v>
      </c>
    </row>
    <row r="124" spans="1:5" ht="13.2" x14ac:dyDescent="0.25">
      <c r="A124" s="6">
        <v>123</v>
      </c>
      <c r="B124" s="3">
        <f t="shared" ca="1" si="0"/>
        <v>9.3103532867594563</v>
      </c>
      <c r="C124" s="3">
        <f t="shared" ca="1" si="1"/>
        <v>11.517872239608153</v>
      </c>
      <c r="D124" s="3">
        <f t="shared" ca="1" si="2"/>
        <v>11.534532962641896</v>
      </c>
      <c r="E124" s="3">
        <f t="shared" ca="1" si="3"/>
        <v>9.5346304962631656</v>
      </c>
    </row>
    <row r="125" spans="1:5" ht="13.2" x14ac:dyDescent="0.25">
      <c r="A125" s="6">
        <v>124</v>
      </c>
      <c r="B125" s="3">
        <f t="shared" ca="1" si="0"/>
        <v>11.924530134356194</v>
      </c>
      <c r="C125" s="3">
        <f t="shared" ca="1" si="1"/>
        <v>6.9268566924746882</v>
      </c>
      <c r="D125" s="3">
        <f t="shared" ca="1" si="2"/>
        <v>11.225679753314008</v>
      </c>
      <c r="E125" s="3">
        <f t="shared" ca="1" si="3"/>
        <v>9.2728028148685375</v>
      </c>
    </row>
    <row r="126" spans="1:5" ht="13.2" x14ac:dyDescent="0.25">
      <c r="A126" s="6">
        <v>125</v>
      </c>
      <c r="B126" s="3">
        <f t="shared" ca="1" si="0"/>
        <v>11.139857405989488</v>
      </c>
      <c r="C126" s="3">
        <f t="shared" ca="1" si="1"/>
        <v>9.4577676255229015</v>
      </c>
      <c r="D126" s="3">
        <f t="shared" ca="1" si="2"/>
        <v>10.738726871639701</v>
      </c>
      <c r="E126" s="3">
        <f t="shared" ca="1" si="3"/>
        <v>11.818696513093698</v>
      </c>
    </row>
    <row r="127" spans="1:5" ht="13.2" x14ac:dyDescent="0.25">
      <c r="A127" s="6">
        <v>126</v>
      </c>
      <c r="B127" s="3">
        <f t="shared" ca="1" si="0"/>
        <v>10.249382314217559</v>
      </c>
      <c r="C127" s="3">
        <f t="shared" ca="1" si="1"/>
        <v>6.3317749961047509</v>
      </c>
      <c r="D127" s="3">
        <f t="shared" ca="1" si="2"/>
        <v>10.267203665620572</v>
      </c>
      <c r="E127" s="3">
        <f t="shared" ca="1" si="3"/>
        <v>9.6547743153115118</v>
      </c>
    </row>
    <row r="128" spans="1:5" ht="13.2" x14ac:dyDescent="0.25">
      <c r="A128" s="6">
        <v>127</v>
      </c>
      <c r="B128" s="3">
        <f t="shared" ca="1" si="0"/>
        <v>11.718477904153939</v>
      </c>
      <c r="C128" s="3">
        <f t="shared" ca="1" si="1"/>
        <v>12.239633167292451</v>
      </c>
      <c r="D128" s="3">
        <f t="shared" ca="1" si="2"/>
        <v>10.072286032913198</v>
      </c>
      <c r="E128" s="3">
        <f t="shared" ca="1" si="3"/>
        <v>10.354351039319312</v>
      </c>
    </row>
    <row r="129" spans="1:5" ht="13.2" x14ac:dyDescent="0.25">
      <c r="A129" s="6">
        <v>128</v>
      </c>
      <c r="B129" s="3">
        <f t="shared" ca="1" si="0"/>
        <v>6.2989825250818807</v>
      </c>
      <c r="C129" s="3">
        <f t="shared" ca="1" si="1"/>
        <v>8.9279997944890717</v>
      </c>
      <c r="D129" s="3">
        <f t="shared" ca="1" si="2"/>
        <v>10.988424644507171</v>
      </c>
      <c r="E129" s="3">
        <f t="shared" ca="1" si="3"/>
        <v>11.526131437575012</v>
      </c>
    </row>
    <row r="130" spans="1:5" ht="13.2" x14ac:dyDescent="0.25">
      <c r="A130" s="6">
        <v>129</v>
      </c>
      <c r="B130" s="3">
        <f t="shared" ca="1" si="0"/>
        <v>10.628873231473383</v>
      </c>
      <c r="C130" s="3">
        <f t="shared" ca="1" si="1"/>
        <v>9.787919483742165</v>
      </c>
      <c r="D130" s="3">
        <f t="shared" ca="1" si="2"/>
        <v>10.160375296873724</v>
      </c>
      <c r="E130" s="3">
        <f t="shared" ca="1" si="3"/>
        <v>11.679101511908927</v>
      </c>
    </row>
    <row r="131" spans="1:5" ht="13.2" x14ac:dyDescent="0.25">
      <c r="A131" s="6">
        <v>130</v>
      </c>
      <c r="B131" s="3">
        <f t="shared" ca="1" si="0"/>
        <v>8.8845745496156603</v>
      </c>
      <c r="C131" s="3">
        <f t="shared" ca="1" si="1"/>
        <v>10.019282323897537</v>
      </c>
      <c r="D131" s="3">
        <f t="shared" ca="1" si="2"/>
        <v>9.8134692401817549</v>
      </c>
      <c r="E131" s="3">
        <f t="shared" ca="1" si="3"/>
        <v>11.21404241384597</v>
      </c>
    </row>
    <row r="132" spans="1:5" ht="13.2" x14ac:dyDescent="0.25">
      <c r="A132" s="6">
        <v>131</v>
      </c>
      <c r="B132" s="3">
        <f t="shared" ca="1" si="0"/>
        <v>10.986640184753739</v>
      </c>
      <c r="C132" s="3">
        <f t="shared" ca="1" si="1"/>
        <v>9.3577288538680978</v>
      </c>
      <c r="D132" s="3">
        <f t="shared" ca="1" si="2"/>
        <v>9.1837533022927147</v>
      </c>
      <c r="E132" s="3">
        <f t="shared" ca="1" si="3"/>
        <v>9.5500318172619636</v>
      </c>
    </row>
    <row r="133" spans="1:5" ht="13.2" x14ac:dyDescent="0.25">
      <c r="A133" s="6">
        <v>132</v>
      </c>
      <c r="B133" s="3">
        <f t="shared" ca="1" si="0"/>
        <v>10.792760100705475</v>
      </c>
      <c r="C133" s="3">
        <f t="shared" ca="1" si="1"/>
        <v>10.03178146937775</v>
      </c>
      <c r="D133" s="3">
        <f t="shared" ca="1" si="2"/>
        <v>8.8334887950251275</v>
      </c>
      <c r="E133" s="3">
        <f t="shared" ca="1" si="3"/>
        <v>8.5241673679846386</v>
      </c>
    </row>
    <row r="134" spans="1:5" ht="13.2" x14ac:dyDescent="0.25">
      <c r="A134" s="6">
        <v>133</v>
      </c>
      <c r="B134" s="3">
        <f t="shared" ca="1" si="0"/>
        <v>9.7733318011317678</v>
      </c>
      <c r="C134" s="3">
        <f t="shared" ca="1" si="1"/>
        <v>9.0239874467504304</v>
      </c>
      <c r="D134" s="3">
        <f t="shared" ca="1" si="2"/>
        <v>9.103062092877634</v>
      </c>
      <c r="E134" s="3">
        <f t="shared" ca="1" si="3"/>
        <v>10.236530470268594</v>
      </c>
    </row>
    <row r="135" spans="1:5" ht="13.2" x14ac:dyDescent="0.25">
      <c r="A135" s="6">
        <v>134</v>
      </c>
      <c r="B135" s="3">
        <f t="shared" ca="1" si="0"/>
        <v>10.24456323643887</v>
      </c>
      <c r="C135" s="3">
        <f t="shared" ca="1" si="1"/>
        <v>8.5763165703692916</v>
      </c>
      <c r="D135" s="3">
        <f t="shared" ca="1" si="2"/>
        <v>10.526287393398446</v>
      </c>
      <c r="E135" s="3">
        <f t="shared" ca="1" si="3"/>
        <v>10.350314643934981</v>
      </c>
    </row>
    <row r="136" spans="1:5" ht="13.2" x14ac:dyDescent="0.25">
      <c r="A136" s="6">
        <v>135</v>
      </c>
      <c r="B136" s="3">
        <f t="shared" ca="1" si="0"/>
        <v>10.932574197484092</v>
      </c>
      <c r="C136" s="3">
        <f t="shared" ca="1" si="1"/>
        <v>11.594900259156185</v>
      </c>
      <c r="D136" s="3">
        <f t="shared" ca="1" si="2"/>
        <v>10.736196084444801</v>
      </c>
      <c r="E136" s="3">
        <f t="shared" ca="1" si="3"/>
        <v>9.7151886633715812</v>
      </c>
    </row>
    <row r="137" spans="1:5" ht="13.2" x14ac:dyDescent="0.25">
      <c r="A137" s="6">
        <v>136</v>
      </c>
      <c r="B137" s="3">
        <f t="shared" ca="1" si="0"/>
        <v>8.3620102009800803</v>
      </c>
      <c r="C137" s="3">
        <f t="shared" ca="1" si="1"/>
        <v>11.066876036097243</v>
      </c>
      <c r="D137" s="3">
        <f t="shared" ca="1" si="2"/>
        <v>7.6757466174046911</v>
      </c>
      <c r="E137" s="3">
        <f t="shared" ca="1" si="3"/>
        <v>8.067692398245347</v>
      </c>
    </row>
    <row r="138" spans="1:5" ht="13.2" x14ac:dyDescent="0.25">
      <c r="A138" s="6">
        <v>137</v>
      </c>
      <c r="B138" s="3">
        <f t="shared" ca="1" si="0"/>
        <v>12.9008768251155</v>
      </c>
      <c r="C138" s="3">
        <f t="shared" ca="1" si="1"/>
        <v>11.231735553458723</v>
      </c>
      <c r="D138" s="3">
        <f t="shared" ca="1" si="2"/>
        <v>9.5627451954121661</v>
      </c>
      <c r="E138" s="3">
        <f t="shared" ca="1" si="3"/>
        <v>12.255525538858947</v>
      </c>
    </row>
    <row r="139" spans="1:5" ht="13.2" x14ac:dyDescent="0.25">
      <c r="A139" s="6">
        <v>138</v>
      </c>
      <c r="B139" s="3">
        <f t="shared" ca="1" si="0"/>
        <v>8.9055456237898643</v>
      </c>
      <c r="C139" s="3">
        <f t="shared" ca="1" si="1"/>
        <v>9.9417163575757268</v>
      </c>
      <c r="D139" s="3">
        <f t="shared" ca="1" si="2"/>
        <v>11.052508139299</v>
      </c>
      <c r="E139" s="3">
        <f t="shared" ca="1" si="3"/>
        <v>10.850317619793255</v>
      </c>
    </row>
    <row r="140" spans="1:5" ht="13.2" x14ac:dyDescent="0.25">
      <c r="A140" s="6">
        <v>139</v>
      </c>
      <c r="B140" s="3">
        <f t="shared" ca="1" si="0"/>
        <v>12.310906062854725</v>
      </c>
      <c r="C140" s="3">
        <f t="shared" ca="1" si="1"/>
        <v>9.5668781945432499</v>
      </c>
      <c r="D140" s="3">
        <f t="shared" ca="1" si="2"/>
        <v>12.453886873365198</v>
      </c>
      <c r="E140" s="3">
        <f t="shared" ca="1" si="3"/>
        <v>11.923027076513497</v>
      </c>
    </row>
    <row r="141" spans="1:5" ht="13.2" x14ac:dyDescent="0.25">
      <c r="A141" s="6">
        <v>140</v>
      </c>
      <c r="B141" s="3">
        <f t="shared" ca="1" si="0"/>
        <v>10.061237294740719</v>
      </c>
      <c r="C141" s="3">
        <f t="shared" ca="1" si="1"/>
        <v>10.569747542033152</v>
      </c>
      <c r="D141" s="3">
        <f t="shared" ca="1" si="2"/>
        <v>10.851014488301397</v>
      </c>
      <c r="E141" s="3">
        <f t="shared" ca="1" si="3"/>
        <v>12.287489559900683</v>
      </c>
    </row>
    <row r="142" spans="1:5" ht="13.2" x14ac:dyDescent="0.25">
      <c r="A142" s="6">
        <v>141</v>
      </c>
      <c r="B142" s="3">
        <f t="shared" ca="1" si="0"/>
        <v>9.0007263501222585</v>
      </c>
      <c r="C142" s="3">
        <f t="shared" ca="1" si="1"/>
        <v>7.1059478095136672</v>
      </c>
      <c r="D142" s="3">
        <f t="shared" ca="1" si="2"/>
        <v>9.1956770220970263</v>
      </c>
      <c r="E142" s="3">
        <f t="shared" ca="1" si="3"/>
        <v>9.9525344842794716</v>
      </c>
    </row>
    <row r="143" spans="1:5" ht="13.2" x14ac:dyDescent="0.25">
      <c r="A143" s="6">
        <v>142</v>
      </c>
      <c r="B143" s="3">
        <f t="shared" ca="1" si="0"/>
        <v>9.8646189800456785</v>
      </c>
      <c r="C143" s="3">
        <f t="shared" ca="1" si="1"/>
        <v>6.8019524994553429</v>
      </c>
      <c r="D143" s="3">
        <f t="shared" ca="1" si="2"/>
        <v>10.514686599539974</v>
      </c>
      <c r="E143" s="3">
        <f t="shared" ca="1" si="3"/>
        <v>7.8957553311523068</v>
      </c>
    </row>
    <row r="144" spans="1:5" ht="13.2" x14ac:dyDescent="0.25">
      <c r="A144" s="6">
        <v>143</v>
      </c>
      <c r="B144" s="3">
        <f t="shared" ca="1" si="0"/>
        <v>11.91224398132232</v>
      </c>
      <c r="C144" s="3">
        <f t="shared" ca="1" si="1"/>
        <v>13.073032665217072</v>
      </c>
      <c r="D144" s="3">
        <f t="shared" ca="1" si="2"/>
        <v>11.727169526902431</v>
      </c>
      <c r="E144" s="3">
        <f t="shared" ca="1" si="3"/>
        <v>8.5223536361822063</v>
      </c>
    </row>
    <row r="145" spans="1:5" ht="13.2" x14ac:dyDescent="0.25">
      <c r="A145" s="6">
        <v>144</v>
      </c>
      <c r="B145" s="3">
        <f t="shared" ca="1" si="0"/>
        <v>7.1924492918640937</v>
      </c>
      <c r="C145" s="3">
        <f t="shared" ca="1" si="1"/>
        <v>11.336932688537125</v>
      </c>
      <c r="D145" s="3">
        <f t="shared" ca="1" si="2"/>
        <v>8.5605353781217701</v>
      </c>
      <c r="E145" s="3">
        <f t="shared" ca="1" si="3"/>
        <v>12.850268138884118</v>
      </c>
    </row>
    <row r="146" spans="1:5" ht="13.2" x14ac:dyDescent="0.25">
      <c r="A146" s="6">
        <v>145</v>
      </c>
      <c r="B146" s="3">
        <f t="shared" ca="1" si="0"/>
        <v>7.868480373672738</v>
      </c>
      <c r="C146" s="3">
        <f t="shared" ca="1" si="1"/>
        <v>13.331917207839375</v>
      </c>
      <c r="D146" s="3">
        <f t="shared" ca="1" si="2"/>
        <v>10.467480634506652</v>
      </c>
      <c r="E146" s="3">
        <f t="shared" ca="1" si="3"/>
        <v>9.90027189972011</v>
      </c>
    </row>
    <row r="147" spans="1:5" ht="13.2" x14ac:dyDescent="0.25">
      <c r="A147" s="6">
        <v>146</v>
      </c>
      <c r="B147" s="3">
        <f t="shared" ca="1" si="0"/>
        <v>10.044888222627387</v>
      </c>
      <c r="C147" s="3">
        <f t="shared" ca="1" si="1"/>
        <v>9.3638625857591844</v>
      </c>
      <c r="D147" s="3">
        <f t="shared" ca="1" si="2"/>
        <v>11.799249371944006</v>
      </c>
      <c r="E147" s="3">
        <f t="shared" ca="1" si="3"/>
        <v>11.963463746731012</v>
      </c>
    </row>
    <row r="148" spans="1:5" ht="13.2" x14ac:dyDescent="0.25">
      <c r="A148" s="6">
        <v>147</v>
      </c>
      <c r="B148" s="3">
        <f t="shared" ca="1" si="0"/>
        <v>9.2354249927575456</v>
      </c>
      <c r="C148" s="3">
        <f t="shared" ca="1" si="1"/>
        <v>11.111510144158373</v>
      </c>
      <c r="D148" s="3">
        <f t="shared" ca="1" si="2"/>
        <v>10.930986719032504</v>
      </c>
      <c r="E148" s="3">
        <f t="shared" ca="1" si="3"/>
        <v>9.8000067290692918</v>
      </c>
    </row>
    <row r="149" spans="1:5" ht="13.2" x14ac:dyDescent="0.25">
      <c r="A149" s="6">
        <v>148</v>
      </c>
      <c r="B149" s="3">
        <f t="shared" ca="1" si="0"/>
        <v>9.608768706534196</v>
      </c>
      <c r="C149" s="3">
        <f t="shared" ca="1" si="1"/>
        <v>11.840002638439602</v>
      </c>
      <c r="D149" s="3">
        <f t="shared" ca="1" si="2"/>
        <v>7.6730138025452135</v>
      </c>
      <c r="E149" s="3">
        <f t="shared" ca="1" si="3"/>
        <v>10.340447146292131</v>
      </c>
    </row>
    <row r="150" spans="1:5" ht="13.2" x14ac:dyDescent="0.25">
      <c r="A150" s="6">
        <v>149</v>
      </c>
      <c r="B150" s="3">
        <f t="shared" ca="1" si="0"/>
        <v>11.085012820601627</v>
      </c>
      <c r="C150" s="3">
        <f t="shared" ca="1" si="1"/>
        <v>11.402010190967959</v>
      </c>
      <c r="D150" s="3">
        <f t="shared" ca="1" si="2"/>
        <v>9.4451554440965086</v>
      </c>
      <c r="E150" s="3">
        <f t="shared" ca="1" si="3"/>
        <v>9.6602632809882181</v>
      </c>
    </row>
    <row r="151" spans="1:5" ht="13.2" x14ac:dyDescent="0.25">
      <c r="A151" s="6">
        <v>150</v>
      </c>
      <c r="B151" s="3">
        <f t="shared" ca="1" si="0"/>
        <v>11.616227611566107</v>
      </c>
      <c r="C151" s="3">
        <f t="shared" ca="1" si="1"/>
        <v>9.5924568665168373</v>
      </c>
      <c r="D151" s="3">
        <f t="shared" ca="1" si="2"/>
        <v>8.6404403564434649</v>
      </c>
      <c r="E151" s="3">
        <f t="shared" ca="1" si="3"/>
        <v>10.118006372997126</v>
      </c>
    </row>
    <row r="152" spans="1:5" ht="13.2" x14ac:dyDescent="0.25">
      <c r="A152" s="6"/>
      <c r="B152" s="3"/>
      <c r="C152" s="7"/>
    </row>
    <row r="153" spans="1:5" ht="13.2" x14ac:dyDescent="0.25">
      <c r="A153" s="6"/>
      <c r="B153" s="3"/>
      <c r="C153" s="7"/>
    </row>
    <row r="154" spans="1:5" ht="13.2" x14ac:dyDescent="0.25">
      <c r="A154" s="6"/>
      <c r="B154" s="3"/>
      <c r="C154" s="7"/>
    </row>
    <row r="155" spans="1:5" ht="13.2" x14ac:dyDescent="0.25">
      <c r="A155" s="6"/>
      <c r="B155" s="3"/>
      <c r="C155" s="7"/>
    </row>
    <row r="156" spans="1:5" ht="13.2" x14ac:dyDescent="0.25">
      <c r="A156" s="6"/>
      <c r="B156" s="3"/>
      <c r="C156" s="7"/>
    </row>
    <row r="157" spans="1:5" ht="13.2" x14ac:dyDescent="0.25">
      <c r="A157" s="6"/>
      <c r="B157" s="3"/>
      <c r="C157" s="7"/>
    </row>
    <row r="158" spans="1:5" ht="13.2" x14ac:dyDescent="0.25">
      <c r="A158" s="6"/>
      <c r="B158" s="3"/>
      <c r="C158" s="7"/>
    </row>
    <row r="159" spans="1:5" ht="13.2" x14ac:dyDescent="0.25">
      <c r="A159" s="6"/>
      <c r="B159" s="3"/>
      <c r="C159" s="7"/>
    </row>
    <row r="160" spans="1:5" ht="13.2" x14ac:dyDescent="0.25">
      <c r="A160" s="6"/>
      <c r="B160" s="3"/>
      <c r="C160" s="7"/>
    </row>
    <row r="161" spans="1:3" ht="13.2" x14ac:dyDescent="0.25">
      <c r="A161" s="6"/>
      <c r="B161" s="3"/>
      <c r="C161" s="7"/>
    </row>
    <row r="162" spans="1:3" ht="13.2" x14ac:dyDescent="0.25">
      <c r="A162" s="6"/>
      <c r="B162" s="3"/>
      <c r="C162" s="7"/>
    </row>
    <row r="163" spans="1:3" ht="13.2" x14ac:dyDescent="0.25">
      <c r="A163" s="6"/>
      <c r="B163" s="3"/>
      <c r="C163" s="7"/>
    </row>
    <row r="164" spans="1:3" ht="13.2" x14ac:dyDescent="0.25">
      <c r="A164" s="6"/>
      <c r="B164" s="3"/>
      <c r="C164" s="7"/>
    </row>
    <row r="165" spans="1:3" ht="13.2" x14ac:dyDescent="0.25">
      <c r="A165" s="6"/>
      <c r="B165" s="3"/>
      <c r="C165" s="7"/>
    </row>
    <row r="166" spans="1:3" ht="13.2" x14ac:dyDescent="0.25">
      <c r="A166" s="6"/>
      <c r="B166" s="3"/>
      <c r="C166" s="7"/>
    </row>
    <row r="167" spans="1:3" ht="13.2" x14ac:dyDescent="0.25">
      <c r="A167" s="6"/>
      <c r="B167" s="3"/>
      <c r="C167" s="7"/>
    </row>
    <row r="168" spans="1:3" ht="13.2" x14ac:dyDescent="0.25">
      <c r="A168" s="6"/>
      <c r="B168" s="3"/>
      <c r="C168" s="7"/>
    </row>
    <row r="169" spans="1:3" ht="13.2" x14ac:dyDescent="0.25">
      <c r="A169" s="6"/>
      <c r="B169" s="3"/>
      <c r="C169" s="7"/>
    </row>
    <row r="170" spans="1:3" ht="13.2" x14ac:dyDescent="0.25">
      <c r="A170" s="6"/>
      <c r="B170" s="3"/>
      <c r="C170" s="7"/>
    </row>
    <row r="171" spans="1:3" ht="13.2" x14ac:dyDescent="0.25">
      <c r="A171" s="6"/>
      <c r="B171" s="3"/>
      <c r="C171" s="7"/>
    </row>
    <row r="172" spans="1:3" ht="13.2" x14ac:dyDescent="0.25">
      <c r="A172" s="6"/>
      <c r="B172" s="3"/>
      <c r="C172" s="7"/>
    </row>
    <row r="173" spans="1:3" ht="13.2" x14ac:dyDescent="0.25">
      <c r="A173" s="6"/>
      <c r="B173" s="3"/>
      <c r="C173" s="7"/>
    </row>
    <row r="174" spans="1:3" ht="13.2" x14ac:dyDescent="0.25">
      <c r="A174" s="6"/>
      <c r="B174" s="3"/>
      <c r="C174" s="7"/>
    </row>
    <row r="175" spans="1:3" ht="13.2" x14ac:dyDescent="0.25">
      <c r="A175" s="6"/>
      <c r="B175" s="3"/>
      <c r="C175" s="7"/>
    </row>
    <row r="176" spans="1:3" ht="13.2" x14ac:dyDescent="0.25">
      <c r="A176" s="6"/>
      <c r="B176" s="3"/>
      <c r="C176" s="7"/>
    </row>
    <row r="177" spans="1:3" ht="13.2" x14ac:dyDescent="0.25">
      <c r="A177" s="6"/>
      <c r="B177" s="3"/>
      <c r="C177" s="7"/>
    </row>
    <row r="178" spans="1:3" ht="13.2" x14ac:dyDescent="0.25">
      <c r="A178" s="6"/>
      <c r="B178" s="3"/>
      <c r="C178" s="7"/>
    </row>
    <row r="179" spans="1:3" ht="13.2" x14ac:dyDescent="0.25">
      <c r="A179" s="6"/>
      <c r="B179" s="3"/>
      <c r="C179" s="7"/>
    </row>
    <row r="180" spans="1:3" ht="13.2" x14ac:dyDescent="0.25">
      <c r="A180" s="6"/>
      <c r="B180" s="3"/>
      <c r="C180" s="7"/>
    </row>
    <row r="181" spans="1:3" ht="13.2" x14ac:dyDescent="0.25">
      <c r="A181" s="6"/>
      <c r="B181" s="3"/>
      <c r="C181" s="7"/>
    </row>
    <row r="182" spans="1:3" ht="13.2" x14ac:dyDescent="0.25">
      <c r="A182" s="6"/>
      <c r="B182" s="3"/>
      <c r="C182" s="7"/>
    </row>
    <row r="183" spans="1:3" ht="13.2" x14ac:dyDescent="0.25">
      <c r="A183" s="6"/>
      <c r="B183" s="3"/>
      <c r="C183" s="7"/>
    </row>
    <row r="184" spans="1:3" ht="13.2" x14ac:dyDescent="0.25">
      <c r="A184" s="6"/>
      <c r="B184" s="3"/>
      <c r="C184" s="7"/>
    </row>
    <row r="185" spans="1:3" ht="13.2" x14ac:dyDescent="0.25">
      <c r="A185" s="6"/>
      <c r="B185" s="3"/>
      <c r="C185" s="7"/>
    </row>
    <row r="186" spans="1:3" ht="13.2" x14ac:dyDescent="0.25">
      <c r="A186" s="6"/>
      <c r="B186" s="3"/>
      <c r="C186" s="7"/>
    </row>
    <row r="187" spans="1:3" ht="13.2" x14ac:dyDescent="0.25">
      <c r="A187" s="6"/>
      <c r="B187" s="3"/>
      <c r="C187" s="7"/>
    </row>
    <row r="188" spans="1:3" ht="13.2" x14ac:dyDescent="0.25">
      <c r="A188" s="6"/>
      <c r="B188" s="3"/>
      <c r="C188" s="7"/>
    </row>
    <row r="189" spans="1:3" ht="13.2" x14ac:dyDescent="0.25">
      <c r="A189" s="6"/>
      <c r="B189" s="3"/>
      <c r="C189" s="7"/>
    </row>
    <row r="190" spans="1:3" ht="13.2" x14ac:dyDescent="0.25">
      <c r="A190" s="6"/>
      <c r="B190" s="3"/>
      <c r="C190" s="7"/>
    </row>
    <row r="191" spans="1:3" ht="13.2" x14ac:dyDescent="0.25">
      <c r="A191" s="6"/>
      <c r="B191" s="3"/>
      <c r="C191" s="7"/>
    </row>
    <row r="192" spans="1:3" ht="13.2" x14ac:dyDescent="0.25">
      <c r="A192" s="6"/>
      <c r="B192" s="3"/>
      <c r="C192" s="7"/>
    </row>
    <row r="193" spans="1:3" ht="13.2" x14ac:dyDescent="0.25">
      <c r="A193" s="6"/>
      <c r="B193" s="3"/>
      <c r="C193" s="7"/>
    </row>
    <row r="194" spans="1:3" ht="13.2" x14ac:dyDescent="0.25">
      <c r="A194" s="6"/>
      <c r="B194" s="3"/>
      <c r="C194" s="7"/>
    </row>
    <row r="195" spans="1:3" ht="13.2" x14ac:dyDescent="0.25">
      <c r="A195" s="6"/>
      <c r="B195" s="3"/>
      <c r="C195" s="7"/>
    </row>
    <row r="196" spans="1:3" ht="13.2" x14ac:dyDescent="0.25">
      <c r="A196" s="6"/>
      <c r="B196" s="3"/>
      <c r="C196" s="7"/>
    </row>
    <row r="197" spans="1:3" ht="13.2" x14ac:dyDescent="0.25">
      <c r="A197" s="6"/>
      <c r="B197" s="3"/>
      <c r="C197" s="7"/>
    </row>
    <row r="198" spans="1:3" ht="13.2" x14ac:dyDescent="0.25">
      <c r="A198" s="6"/>
      <c r="B198" s="3"/>
      <c r="C198" s="7"/>
    </row>
    <row r="199" spans="1:3" ht="13.2" x14ac:dyDescent="0.25">
      <c r="A199" s="6"/>
      <c r="B199" s="3"/>
      <c r="C199" s="7"/>
    </row>
    <row r="200" spans="1:3" ht="13.2" x14ac:dyDescent="0.25">
      <c r="A200" s="6"/>
      <c r="B200" s="3"/>
      <c r="C200" s="7"/>
    </row>
    <row r="201" spans="1:3" ht="13.2" x14ac:dyDescent="0.25">
      <c r="A201" s="6"/>
      <c r="B201" s="3"/>
      <c r="C201" s="7"/>
    </row>
    <row r="202" spans="1:3" ht="13.2" x14ac:dyDescent="0.25">
      <c r="A202" s="6"/>
      <c r="B202" s="3"/>
      <c r="C202" s="7"/>
    </row>
    <row r="203" spans="1:3" ht="13.2" x14ac:dyDescent="0.25">
      <c r="A203" s="6"/>
      <c r="B203" s="3"/>
      <c r="C203" s="7"/>
    </row>
    <row r="204" spans="1:3" ht="13.2" x14ac:dyDescent="0.25">
      <c r="A204" s="6"/>
      <c r="B204" s="3"/>
      <c r="C204" s="7"/>
    </row>
    <row r="205" spans="1:3" ht="13.2" x14ac:dyDescent="0.25">
      <c r="A205" s="6"/>
      <c r="B205" s="3"/>
      <c r="C205" s="7"/>
    </row>
    <row r="206" spans="1:3" ht="13.2" x14ac:dyDescent="0.25">
      <c r="A206" s="6"/>
      <c r="B206" s="3"/>
      <c r="C206" s="7"/>
    </row>
    <row r="207" spans="1:3" ht="13.2" x14ac:dyDescent="0.25">
      <c r="A207" s="6"/>
      <c r="B207" s="3"/>
      <c r="C207" s="7"/>
    </row>
    <row r="208" spans="1:3" ht="13.2" x14ac:dyDescent="0.25">
      <c r="A208" s="6"/>
      <c r="B208" s="3"/>
      <c r="C208" s="7"/>
    </row>
    <row r="209" spans="1:3" ht="13.2" x14ac:dyDescent="0.25">
      <c r="A209" s="6"/>
      <c r="B209" s="3"/>
      <c r="C209" s="7"/>
    </row>
    <row r="210" spans="1:3" ht="13.2" x14ac:dyDescent="0.25">
      <c r="A210" s="6"/>
      <c r="B210" s="3"/>
      <c r="C210" s="7"/>
    </row>
    <row r="211" spans="1:3" ht="13.2" x14ac:dyDescent="0.25">
      <c r="A211" s="6"/>
      <c r="B211" s="3"/>
      <c r="C211" s="7"/>
    </row>
    <row r="212" spans="1:3" ht="13.2" x14ac:dyDescent="0.25">
      <c r="A212" s="6"/>
      <c r="B212" s="3"/>
      <c r="C212" s="7"/>
    </row>
    <row r="213" spans="1:3" ht="13.2" x14ac:dyDescent="0.25">
      <c r="A213" s="6"/>
      <c r="B213" s="3"/>
      <c r="C213" s="7"/>
    </row>
    <row r="214" spans="1:3" ht="13.2" x14ac:dyDescent="0.25">
      <c r="A214" s="6"/>
      <c r="B214" s="3"/>
      <c r="C214" s="7"/>
    </row>
    <row r="215" spans="1:3" ht="13.2" x14ac:dyDescent="0.25">
      <c r="A215" s="6"/>
      <c r="B215" s="3"/>
      <c r="C215" s="7"/>
    </row>
    <row r="216" spans="1:3" ht="13.2" x14ac:dyDescent="0.25">
      <c r="A216" s="6"/>
      <c r="B216" s="3"/>
      <c r="C216" s="7"/>
    </row>
    <row r="217" spans="1:3" ht="13.2" x14ac:dyDescent="0.25">
      <c r="A217" s="6"/>
      <c r="B217" s="3"/>
      <c r="C217" s="7"/>
    </row>
    <row r="218" spans="1:3" ht="13.2" x14ac:dyDescent="0.25">
      <c r="A218" s="6"/>
      <c r="B218" s="3"/>
      <c r="C218" s="7"/>
    </row>
    <row r="219" spans="1:3" ht="13.2" x14ac:dyDescent="0.25">
      <c r="A219" s="6"/>
      <c r="B219" s="3"/>
      <c r="C219" s="7"/>
    </row>
    <row r="220" spans="1:3" ht="13.2" x14ac:dyDescent="0.25">
      <c r="A220" s="6"/>
      <c r="B220" s="3"/>
      <c r="C220" s="7"/>
    </row>
    <row r="221" spans="1:3" ht="13.2" x14ac:dyDescent="0.25">
      <c r="A221" s="6"/>
      <c r="B221" s="3"/>
      <c r="C221" s="7"/>
    </row>
    <row r="222" spans="1:3" ht="13.2" x14ac:dyDescent="0.25">
      <c r="A222" s="6"/>
      <c r="B222" s="3"/>
      <c r="C222" s="7"/>
    </row>
    <row r="223" spans="1:3" ht="13.2" x14ac:dyDescent="0.25">
      <c r="A223" s="6"/>
      <c r="B223" s="3"/>
      <c r="C223" s="7"/>
    </row>
    <row r="224" spans="1:3" ht="13.2" x14ac:dyDescent="0.25">
      <c r="A224" s="6"/>
      <c r="B224" s="3"/>
      <c r="C224" s="7"/>
    </row>
    <row r="225" spans="1:3" ht="13.2" x14ac:dyDescent="0.25">
      <c r="A225" s="6"/>
      <c r="B225" s="3"/>
      <c r="C225" s="7"/>
    </row>
    <row r="226" spans="1:3" ht="13.2" x14ac:dyDescent="0.25">
      <c r="A226" s="6"/>
      <c r="B226" s="3"/>
      <c r="C226" s="7"/>
    </row>
    <row r="227" spans="1:3" ht="13.2" x14ac:dyDescent="0.25">
      <c r="A227" s="6"/>
      <c r="B227" s="3"/>
      <c r="C227" s="7"/>
    </row>
    <row r="228" spans="1:3" ht="13.2" x14ac:dyDescent="0.25">
      <c r="A228" s="6"/>
      <c r="B228" s="3"/>
      <c r="C228" s="7"/>
    </row>
    <row r="229" spans="1:3" ht="13.2" x14ac:dyDescent="0.25">
      <c r="A229" s="6"/>
      <c r="B229" s="3"/>
      <c r="C229" s="7"/>
    </row>
    <row r="230" spans="1:3" ht="13.2" x14ac:dyDescent="0.25">
      <c r="A230" s="6"/>
      <c r="B230" s="3"/>
      <c r="C230" s="7"/>
    </row>
    <row r="231" spans="1:3" ht="13.2" x14ac:dyDescent="0.25">
      <c r="A231" s="6"/>
      <c r="B231" s="3"/>
      <c r="C231" s="7"/>
    </row>
    <row r="232" spans="1:3" ht="13.2" x14ac:dyDescent="0.25">
      <c r="A232" s="6"/>
      <c r="B232" s="3"/>
      <c r="C232" s="7"/>
    </row>
    <row r="233" spans="1:3" ht="13.2" x14ac:dyDescent="0.25">
      <c r="A233" s="6"/>
      <c r="B233" s="3"/>
      <c r="C233" s="7"/>
    </row>
    <row r="234" spans="1:3" ht="13.2" x14ac:dyDescent="0.25">
      <c r="A234" s="6"/>
      <c r="B234" s="3"/>
      <c r="C234" s="7"/>
    </row>
    <row r="235" spans="1:3" ht="13.2" x14ac:dyDescent="0.25">
      <c r="A235" s="6"/>
      <c r="B235" s="3"/>
      <c r="C235" s="7"/>
    </row>
    <row r="236" spans="1:3" ht="13.2" x14ac:dyDescent="0.25">
      <c r="A236" s="6"/>
      <c r="B236" s="3"/>
      <c r="C236" s="7"/>
    </row>
    <row r="237" spans="1:3" ht="13.2" x14ac:dyDescent="0.25">
      <c r="A237" s="6"/>
      <c r="B237" s="3"/>
      <c r="C237" s="7"/>
    </row>
    <row r="238" spans="1:3" ht="13.2" x14ac:dyDescent="0.25">
      <c r="A238" s="6"/>
      <c r="B238" s="3"/>
      <c r="C238" s="7"/>
    </row>
    <row r="239" spans="1:3" ht="13.2" x14ac:dyDescent="0.25">
      <c r="A239" s="6"/>
      <c r="B239" s="3"/>
      <c r="C239" s="7"/>
    </row>
    <row r="240" spans="1:3" ht="13.2" x14ac:dyDescent="0.25">
      <c r="A240" s="6"/>
      <c r="B240" s="3"/>
      <c r="C240" s="7"/>
    </row>
    <row r="241" spans="1:3" ht="13.2" x14ac:dyDescent="0.25">
      <c r="A241" s="6"/>
      <c r="B241" s="3"/>
      <c r="C241" s="7"/>
    </row>
    <row r="242" spans="1:3" ht="13.2" x14ac:dyDescent="0.25">
      <c r="A242" s="6"/>
      <c r="B242" s="3"/>
      <c r="C242" s="7"/>
    </row>
    <row r="243" spans="1:3" ht="13.2" x14ac:dyDescent="0.25">
      <c r="A243" s="6"/>
      <c r="B243" s="3"/>
      <c r="C243" s="7"/>
    </row>
    <row r="244" spans="1:3" ht="13.2" x14ac:dyDescent="0.25">
      <c r="A244" s="6"/>
      <c r="B244" s="3"/>
      <c r="C244" s="7"/>
    </row>
    <row r="245" spans="1:3" ht="13.2" x14ac:dyDescent="0.25">
      <c r="A245" s="6"/>
      <c r="B245" s="3"/>
      <c r="C245" s="7"/>
    </row>
    <row r="246" spans="1:3" ht="13.2" x14ac:dyDescent="0.25">
      <c r="A246" s="6"/>
      <c r="B246" s="3"/>
      <c r="C246" s="7"/>
    </row>
    <row r="247" spans="1:3" ht="13.2" x14ac:dyDescent="0.25">
      <c r="A247" s="6"/>
      <c r="B247" s="3"/>
      <c r="C247" s="7"/>
    </row>
    <row r="248" spans="1:3" ht="13.2" x14ac:dyDescent="0.25">
      <c r="A248" s="6"/>
      <c r="B248" s="3"/>
      <c r="C248" s="7"/>
    </row>
    <row r="249" spans="1:3" ht="13.2" x14ac:dyDescent="0.25">
      <c r="A249" s="6"/>
      <c r="B249" s="3"/>
      <c r="C249" s="7"/>
    </row>
    <row r="250" spans="1:3" ht="13.2" x14ac:dyDescent="0.25">
      <c r="A250" s="6"/>
      <c r="B250" s="3"/>
      <c r="C250" s="7"/>
    </row>
    <row r="251" spans="1:3" ht="13.2" x14ac:dyDescent="0.25">
      <c r="A251" s="6"/>
      <c r="B251" s="3"/>
      <c r="C251" s="7"/>
    </row>
    <row r="252" spans="1:3" ht="13.2" x14ac:dyDescent="0.25">
      <c r="A252" s="6"/>
      <c r="B252" s="3"/>
      <c r="C252" s="7"/>
    </row>
    <row r="253" spans="1:3" ht="13.2" x14ac:dyDescent="0.25">
      <c r="A253" s="6"/>
      <c r="B253" s="3"/>
      <c r="C253" s="7"/>
    </row>
    <row r="254" spans="1:3" ht="13.2" x14ac:dyDescent="0.25">
      <c r="A254" s="6"/>
      <c r="B254" s="3"/>
      <c r="C254" s="7"/>
    </row>
    <row r="255" spans="1:3" ht="13.2" x14ac:dyDescent="0.25">
      <c r="A255" s="6"/>
      <c r="B255" s="3"/>
      <c r="C255" s="7"/>
    </row>
    <row r="256" spans="1:3" ht="13.2" x14ac:dyDescent="0.25">
      <c r="A256" s="6"/>
      <c r="B256" s="3"/>
      <c r="C256" s="7"/>
    </row>
    <row r="257" spans="1:3" ht="13.2" x14ac:dyDescent="0.25">
      <c r="A257" s="6"/>
      <c r="B257" s="3"/>
      <c r="C257" s="7"/>
    </row>
    <row r="258" spans="1:3" ht="13.2" x14ac:dyDescent="0.25">
      <c r="A258" s="6"/>
      <c r="B258" s="3"/>
      <c r="C258" s="7"/>
    </row>
    <row r="259" spans="1:3" ht="13.2" x14ac:dyDescent="0.25">
      <c r="A259" s="6"/>
      <c r="B259" s="3"/>
      <c r="C259" s="7"/>
    </row>
    <row r="260" spans="1:3" ht="13.2" x14ac:dyDescent="0.25">
      <c r="A260" s="6"/>
      <c r="B260" s="3"/>
      <c r="C260" s="7"/>
    </row>
    <row r="261" spans="1:3" ht="13.2" x14ac:dyDescent="0.25">
      <c r="A261" s="6"/>
      <c r="B261" s="3"/>
      <c r="C261" s="7"/>
    </row>
    <row r="262" spans="1:3" ht="13.2" x14ac:dyDescent="0.25">
      <c r="A262" s="6"/>
      <c r="B262" s="3"/>
      <c r="C262" s="7"/>
    </row>
    <row r="263" spans="1:3" ht="13.2" x14ac:dyDescent="0.25">
      <c r="A263" s="6"/>
      <c r="B263" s="3"/>
      <c r="C263" s="7"/>
    </row>
    <row r="264" spans="1:3" ht="13.2" x14ac:dyDescent="0.25">
      <c r="A264" s="6"/>
      <c r="B264" s="3"/>
      <c r="C264" s="7"/>
    </row>
    <row r="265" spans="1:3" ht="13.2" x14ac:dyDescent="0.25">
      <c r="A265" s="6"/>
      <c r="B265" s="3"/>
      <c r="C265" s="7"/>
    </row>
    <row r="266" spans="1:3" ht="13.2" x14ac:dyDescent="0.25">
      <c r="A266" s="6"/>
      <c r="B266" s="3"/>
      <c r="C266" s="7"/>
    </row>
    <row r="267" spans="1:3" ht="13.2" x14ac:dyDescent="0.25">
      <c r="A267" s="6"/>
      <c r="B267" s="3"/>
      <c r="C267" s="7"/>
    </row>
    <row r="268" spans="1:3" ht="13.2" x14ac:dyDescent="0.25">
      <c r="A268" s="6"/>
      <c r="B268" s="3"/>
      <c r="C268" s="7"/>
    </row>
    <row r="269" spans="1:3" ht="13.2" x14ac:dyDescent="0.25">
      <c r="A269" s="6"/>
      <c r="B269" s="3"/>
      <c r="C269" s="7"/>
    </row>
    <row r="270" spans="1:3" ht="13.2" x14ac:dyDescent="0.25">
      <c r="A270" s="6"/>
      <c r="B270" s="3"/>
      <c r="C270" s="7"/>
    </row>
    <row r="271" spans="1:3" ht="13.2" x14ac:dyDescent="0.25">
      <c r="A271" s="6"/>
      <c r="B271" s="3"/>
      <c r="C271" s="7"/>
    </row>
    <row r="272" spans="1:3" ht="13.2" x14ac:dyDescent="0.25">
      <c r="A272" s="6"/>
      <c r="B272" s="3"/>
      <c r="C272" s="7"/>
    </row>
    <row r="273" spans="1:3" ht="13.2" x14ac:dyDescent="0.25">
      <c r="A273" s="6"/>
      <c r="B273" s="3"/>
      <c r="C273" s="7"/>
    </row>
    <row r="274" spans="1:3" ht="13.2" x14ac:dyDescent="0.25">
      <c r="A274" s="6"/>
      <c r="B274" s="3"/>
      <c r="C274" s="7"/>
    </row>
    <row r="275" spans="1:3" ht="13.2" x14ac:dyDescent="0.25">
      <c r="A275" s="6"/>
      <c r="B275" s="3"/>
      <c r="C275" s="7"/>
    </row>
    <row r="276" spans="1:3" ht="13.2" x14ac:dyDescent="0.25">
      <c r="A276" s="6"/>
      <c r="B276" s="3"/>
      <c r="C276" s="7"/>
    </row>
    <row r="277" spans="1:3" ht="13.2" x14ac:dyDescent="0.25">
      <c r="A277" s="6"/>
      <c r="B277" s="3"/>
      <c r="C277" s="7"/>
    </row>
    <row r="278" spans="1:3" ht="13.2" x14ac:dyDescent="0.25">
      <c r="A278" s="6"/>
      <c r="B278" s="3"/>
      <c r="C278" s="7"/>
    </row>
    <row r="279" spans="1:3" ht="13.2" x14ac:dyDescent="0.25">
      <c r="A279" s="6"/>
      <c r="B279" s="3"/>
      <c r="C279" s="7"/>
    </row>
    <row r="280" spans="1:3" ht="13.2" x14ac:dyDescent="0.25">
      <c r="A280" s="6"/>
      <c r="B280" s="3"/>
      <c r="C280" s="7"/>
    </row>
    <row r="281" spans="1:3" ht="13.2" x14ac:dyDescent="0.25">
      <c r="A281" s="6"/>
      <c r="B281" s="3"/>
      <c r="C281" s="7"/>
    </row>
    <row r="282" spans="1:3" ht="13.2" x14ac:dyDescent="0.25">
      <c r="A282" s="6"/>
      <c r="B282" s="3"/>
      <c r="C282" s="7"/>
    </row>
    <row r="283" spans="1:3" ht="13.2" x14ac:dyDescent="0.25">
      <c r="A283" s="6"/>
      <c r="B283" s="3"/>
      <c r="C283" s="7"/>
    </row>
    <row r="284" spans="1:3" ht="13.2" x14ac:dyDescent="0.25">
      <c r="A284" s="6"/>
      <c r="B284" s="3"/>
      <c r="C284" s="7"/>
    </row>
    <row r="285" spans="1:3" ht="13.2" x14ac:dyDescent="0.25">
      <c r="A285" s="6"/>
      <c r="B285" s="3"/>
      <c r="C285" s="7"/>
    </row>
    <row r="286" spans="1:3" ht="13.2" x14ac:dyDescent="0.25">
      <c r="A286" s="6"/>
      <c r="B286" s="3"/>
      <c r="C286" s="7"/>
    </row>
    <row r="287" spans="1:3" ht="13.2" x14ac:dyDescent="0.25">
      <c r="A287" s="6"/>
      <c r="B287" s="3"/>
      <c r="C287" s="7"/>
    </row>
    <row r="288" spans="1:3" ht="13.2" x14ac:dyDescent="0.25">
      <c r="A288" s="6"/>
      <c r="B288" s="3"/>
      <c r="C288" s="7"/>
    </row>
    <row r="289" spans="1:3" ht="13.2" x14ac:dyDescent="0.25">
      <c r="A289" s="6"/>
      <c r="B289" s="3"/>
      <c r="C289" s="7"/>
    </row>
    <row r="290" spans="1:3" ht="13.2" x14ac:dyDescent="0.25">
      <c r="A290" s="6"/>
      <c r="B290" s="3"/>
      <c r="C290" s="7"/>
    </row>
    <row r="291" spans="1:3" ht="13.2" x14ac:dyDescent="0.25">
      <c r="A291" s="6"/>
      <c r="B291" s="3"/>
      <c r="C291" s="7"/>
    </row>
    <row r="292" spans="1:3" ht="13.2" x14ac:dyDescent="0.25">
      <c r="A292" s="6"/>
      <c r="B292" s="3"/>
      <c r="C292" s="7"/>
    </row>
    <row r="293" spans="1:3" ht="13.2" x14ac:dyDescent="0.25">
      <c r="A293" s="6"/>
      <c r="B293" s="3"/>
      <c r="C293" s="7"/>
    </row>
    <row r="294" spans="1:3" ht="13.2" x14ac:dyDescent="0.25">
      <c r="A294" s="6"/>
      <c r="B294" s="3"/>
      <c r="C294" s="7"/>
    </row>
    <row r="295" spans="1:3" ht="13.2" x14ac:dyDescent="0.25">
      <c r="A295" s="6"/>
      <c r="B295" s="3"/>
      <c r="C295" s="7"/>
    </row>
    <row r="296" spans="1:3" ht="13.2" x14ac:dyDescent="0.25">
      <c r="A296" s="6"/>
      <c r="B296" s="3"/>
      <c r="C296" s="7"/>
    </row>
    <row r="297" spans="1:3" ht="13.2" x14ac:dyDescent="0.25">
      <c r="A297" s="6"/>
      <c r="B297" s="3"/>
      <c r="C297" s="7"/>
    </row>
    <row r="298" spans="1:3" ht="13.2" x14ac:dyDescent="0.25">
      <c r="A298" s="6"/>
      <c r="B298" s="3"/>
      <c r="C298" s="7"/>
    </row>
    <row r="299" spans="1:3" ht="13.2" x14ac:dyDescent="0.25">
      <c r="A299" s="6"/>
      <c r="B299" s="3"/>
      <c r="C299" s="7"/>
    </row>
    <row r="300" spans="1:3" ht="13.2" x14ac:dyDescent="0.25">
      <c r="A300" s="6"/>
      <c r="B300" s="3"/>
      <c r="C300" s="7"/>
    </row>
    <row r="301" spans="1:3" ht="13.2" x14ac:dyDescent="0.25">
      <c r="A301" s="6"/>
      <c r="B301" s="3"/>
      <c r="C301" s="7"/>
    </row>
    <row r="302" spans="1:3" ht="13.2" x14ac:dyDescent="0.25">
      <c r="A302" s="6"/>
      <c r="B302" s="3"/>
      <c r="C302" s="7"/>
    </row>
    <row r="303" spans="1:3" ht="13.2" x14ac:dyDescent="0.25">
      <c r="A303" s="6"/>
      <c r="B303" s="3"/>
      <c r="C303" s="7"/>
    </row>
    <row r="304" spans="1:3" ht="13.2" x14ac:dyDescent="0.25">
      <c r="A304" s="6"/>
      <c r="B304" s="3"/>
      <c r="C304" s="7"/>
    </row>
    <row r="305" spans="1:3" ht="13.2" x14ac:dyDescent="0.25">
      <c r="A305" s="6"/>
      <c r="B305" s="3"/>
      <c r="C305" s="7"/>
    </row>
    <row r="306" spans="1:3" ht="13.2" x14ac:dyDescent="0.25">
      <c r="A306" s="6"/>
      <c r="B306" s="3"/>
      <c r="C306" s="7"/>
    </row>
    <row r="307" spans="1:3" ht="13.2" x14ac:dyDescent="0.25">
      <c r="A307" s="6"/>
      <c r="B307" s="3"/>
      <c r="C307" s="7"/>
    </row>
    <row r="308" spans="1:3" ht="13.2" x14ac:dyDescent="0.25">
      <c r="A308" s="6"/>
      <c r="B308" s="3"/>
      <c r="C308" s="7"/>
    </row>
    <row r="309" spans="1:3" ht="13.2" x14ac:dyDescent="0.25">
      <c r="A309" s="6"/>
      <c r="B309" s="3"/>
      <c r="C309" s="7"/>
    </row>
    <row r="310" spans="1:3" ht="13.2" x14ac:dyDescent="0.25">
      <c r="A310" s="6"/>
      <c r="B310" s="3"/>
      <c r="C310" s="7"/>
    </row>
    <row r="311" spans="1:3" ht="13.2" x14ac:dyDescent="0.25">
      <c r="A311" s="6"/>
      <c r="B311" s="3"/>
      <c r="C311" s="7"/>
    </row>
    <row r="312" spans="1:3" ht="13.2" x14ac:dyDescent="0.25">
      <c r="A312" s="6"/>
      <c r="B312" s="3"/>
      <c r="C312" s="7"/>
    </row>
    <row r="313" spans="1:3" ht="13.2" x14ac:dyDescent="0.25">
      <c r="A313" s="6"/>
      <c r="B313" s="3"/>
      <c r="C313" s="7"/>
    </row>
    <row r="314" spans="1:3" ht="13.2" x14ac:dyDescent="0.25">
      <c r="A314" s="6"/>
      <c r="B314" s="3"/>
      <c r="C314" s="7"/>
    </row>
    <row r="315" spans="1:3" ht="13.2" x14ac:dyDescent="0.25">
      <c r="A315" s="6"/>
      <c r="B315" s="3"/>
      <c r="C315" s="7"/>
    </row>
    <row r="316" spans="1:3" ht="13.2" x14ac:dyDescent="0.25">
      <c r="A316" s="6"/>
      <c r="B316" s="3"/>
      <c r="C316" s="7"/>
    </row>
    <row r="317" spans="1:3" ht="13.2" x14ac:dyDescent="0.25">
      <c r="A317" s="6"/>
      <c r="B317" s="3"/>
      <c r="C317" s="7"/>
    </row>
    <row r="318" spans="1:3" ht="13.2" x14ac:dyDescent="0.25">
      <c r="A318" s="6"/>
      <c r="B318" s="3"/>
      <c r="C318" s="7"/>
    </row>
    <row r="319" spans="1:3" ht="13.2" x14ac:dyDescent="0.25">
      <c r="A319" s="6"/>
      <c r="B319" s="3"/>
      <c r="C319" s="7"/>
    </row>
    <row r="320" spans="1:3" ht="13.2" x14ac:dyDescent="0.25">
      <c r="A320" s="6"/>
      <c r="B320" s="3"/>
      <c r="C320" s="7"/>
    </row>
    <row r="321" spans="1:3" ht="13.2" x14ac:dyDescent="0.25">
      <c r="A321" s="6"/>
      <c r="B321" s="3"/>
      <c r="C321" s="7"/>
    </row>
    <row r="322" spans="1:3" ht="13.2" x14ac:dyDescent="0.25">
      <c r="A322" s="6"/>
      <c r="B322" s="3"/>
      <c r="C322" s="7"/>
    </row>
    <row r="323" spans="1:3" ht="13.2" x14ac:dyDescent="0.25">
      <c r="A323" s="6"/>
      <c r="B323" s="3"/>
      <c r="C323" s="7"/>
    </row>
    <row r="324" spans="1:3" ht="13.2" x14ac:dyDescent="0.25">
      <c r="A324" s="6"/>
      <c r="B324" s="3"/>
      <c r="C324" s="7"/>
    </row>
    <row r="325" spans="1:3" ht="13.2" x14ac:dyDescent="0.25">
      <c r="A325" s="6"/>
      <c r="B325" s="3"/>
      <c r="C325" s="7"/>
    </row>
    <row r="326" spans="1:3" ht="13.2" x14ac:dyDescent="0.25">
      <c r="A326" s="6"/>
      <c r="B326" s="3"/>
      <c r="C326" s="7"/>
    </row>
    <row r="327" spans="1:3" ht="13.2" x14ac:dyDescent="0.25">
      <c r="A327" s="6"/>
      <c r="B327" s="3"/>
      <c r="C327" s="7"/>
    </row>
    <row r="328" spans="1:3" ht="13.2" x14ac:dyDescent="0.25">
      <c r="A328" s="6"/>
      <c r="B328" s="3"/>
      <c r="C328" s="7"/>
    </row>
    <row r="329" spans="1:3" ht="13.2" x14ac:dyDescent="0.25">
      <c r="A329" s="6"/>
      <c r="B329" s="3"/>
      <c r="C329" s="7"/>
    </row>
    <row r="330" spans="1:3" ht="13.2" x14ac:dyDescent="0.25">
      <c r="A330" s="6"/>
      <c r="B330" s="3"/>
      <c r="C330" s="7"/>
    </row>
    <row r="331" spans="1:3" ht="13.2" x14ac:dyDescent="0.25">
      <c r="A331" s="6"/>
      <c r="B331" s="3"/>
      <c r="C331" s="7"/>
    </row>
    <row r="332" spans="1:3" ht="13.2" x14ac:dyDescent="0.25">
      <c r="A332" s="6"/>
      <c r="B332" s="3"/>
      <c r="C332" s="7"/>
    </row>
    <row r="333" spans="1:3" ht="13.2" x14ac:dyDescent="0.25">
      <c r="A333" s="6"/>
      <c r="B333" s="3"/>
      <c r="C333" s="7"/>
    </row>
    <row r="334" spans="1:3" ht="13.2" x14ac:dyDescent="0.25">
      <c r="A334" s="6"/>
      <c r="B334" s="3"/>
      <c r="C334" s="7"/>
    </row>
    <row r="335" spans="1:3" ht="13.2" x14ac:dyDescent="0.25">
      <c r="A335" s="6"/>
      <c r="B335" s="3"/>
      <c r="C335" s="7"/>
    </row>
    <row r="336" spans="1:3" ht="13.2" x14ac:dyDescent="0.25">
      <c r="A336" s="6"/>
      <c r="B336" s="3"/>
      <c r="C336" s="7"/>
    </row>
    <row r="337" spans="1:3" ht="13.2" x14ac:dyDescent="0.25">
      <c r="A337" s="6"/>
      <c r="B337" s="3"/>
      <c r="C337" s="7"/>
    </row>
    <row r="338" spans="1:3" ht="13.2" x14ac:dyDescent="0.25">
      <c r="A338" s="6"/>
      <c r="B338" s="3"/>
      <c r="C338" s="7"/>
    </row>
    <row r="339" spans="1:3" ht="13.2" x14ac:dyDescent="0.25">
      <c r="A339" s="6"/>
      <c r="B339" s="3"/>
      <c r="C339" s="7"/>
    </row>
    <row r="340" spans="1:3" ht="13.2" x14ac:dyDescent="0.25">
      <c r="A340" s="6"/>
      <c r="B340" s="3"/>
      <c r="C340" s="7"/>
    </row>
    <row r="341" spans="1:3" ht="13.2" x14ac:dyDescent="0.25">
      <c r="A341" s="6"/>
      <c r="B341" s="3"/>
      <c r="C341" s="7"/>
    </row>
    <row r="342" spans="1:3" ht="13.2" x14ac:dyDescent="0.25">
      <c r="A342" s="6"/>
      <c r="B342" s="3"/>
      <c r="C342" s="7"/>
    </row>
    <row r="343" spans="1:3" ht="13.2" x14ac:dyDescent="0.25">
      <c r="A343" s="6"/>
      <c r="B343" s="3"/>
      <c r="C343" s="7"/>
    </row>
    <row r="344" spans="1:3" ht="13.2" x14ac:dyDescent="0.25">
      <c r="A344" s="6"/>
      <c r="B344" s="3"/>
      <c r="C344" s="7"/>
    </row>
    <row r="345" spans="1:3" ht="13.2" x14ac:dyDescent="0.25">
      <c r="A345" s="6"/>
      <c r="B345" s="3"/>
      <c r="C345" s="7"/>
    </row>
    <row r="346" spans="1:3" ht="13.2" x14ac:dyDescent="0.25">
      <c r="A346" s="6"/>
      <c r="B346" s="3"/>
      <c r="C346" s="7"/>
    </row>
    <row r="347" spans="1:3" ht="13.2" x14ac:dyDescent="0.25">
      <c r="A347" s="6"/>
      <c r="B347" s="3"/>
      <c r="C347" s="7"/>
    </row>
    <row r="348" spans="1:3" ht="13.2" x14ac:dyDescent="0.25">
      <c r="A348" s="6"/>
      <c r="B348" s="3"/>
      <c r="C348" s="7"/>
    </row>
    <row r="349" spans="1:3" ht="13.2" x14ac:dyDescent="0.25">
      <c r="A349" s="6"/>
      <c r="B349" s="3"/>
      <c r="C349" s="7"/>
    </row>
    <row r="350" spans="1:3" ht="13.2" x14ac:dyDescent="0.25">
      <c r="A350" s="6"/>
      <c r="B350" s="3"/>
      <c r="C350" s="7"/>
    </row>
    <row r="351" spans="1:3" ht="13.2" x14ac:dyDescent="0.25">
      <c r="A351" s="6"/>
      <c r="B351" s="3"/>
      <c r="C351" s="7"/>
    </row>
    <row r="352" spans="1:3" ht="13.2" x14ac:dyDescent="0.25">
      <c r="A352" s="6"/>
      <c r="B352" s="3"/>
      <c r="C352" s="7"/>
    </row>
    <row r="353" spans="1:3" ht="13.2" x14ac:dyDescent="0.25">
      <c r="A353" s="6"/>
      <c r="B353" s="3"/>
      <c r="C353" s="7"/>
    </row>
    <row r="354" spans="1:3" ht="13.2" x14ac:dyDescent="0.25">
      <c r="A354" s="6"/>
      <c r="B354" s="3"/>
      <c r="C354" s="7"/>
    </row>
    <row r="355" spans="1:3" ht="13.2" x14ac:dyDescent="0.25">
      <c r="A355" s="6"/>
      <c r="B355" s="3"/>
      <c r="C355" s="7"/>
    </row>
    <row r="356" spans="1:3" ht="13.2" x14ac:dyDescent="0.25">
      <c r="A356" s="6"/>
      <c r="B356" s="3"/>
      <c r="C356" s="7"/>
    </row>
    <row r="357" spans="1:3" ht="13.2" x14ac:dyDescent="0.25">
      <c r="A357" s="6"/>
      <c r="B357" s="3"/>
      <c r="C357" s="7"/>
    </row>
    <row r="358" spans="1:3" ht="13.2" x14ac:dyDescent="0.25">
      <c r="A358" s="6"/>
      <c r="B358" s="3"/>
      <c r="C358" s="7"/>
    </row>
    <row r="359" spans="1:3" ht="13.2" x14ac:dyDescent="0.25">
      <c r="A359" s="6"/>
      <c r="B359" s="3"/>
      <c r="C359" s="7"/>
    </row>
    <row r="360" spans="1:3" ht="13.2" x14ac:dyDescent="0.25">
      <c r="A360" s="6"/>
      <c r="B360" s="3"/>
      <c r="C360" s="7"/>
    </row>
    <row r="361" spans="1:3" ht="13.2" x14ac:dyDescent="0.25">
      <c r="A361" s="6"/>
      <c r="B361" s="3"/>
      <c r="C361" s="7"/>
    </row>
    <row r="362" spans="1:3" ht="13.2" x14ac:dyDescent="0.25">
      <c r="A362" s="6"/>
      <c r="B362" s="3"/>
      <c r="C362" s="7"/>
    </row>
    <row r="363" spans="1:3" ht="13.2" x14ac:dyDescent="0.25">
      <c r="A363" s="6"/>
      <c r="B363" s="3"/>
      <c r="C363" s="7"/>
    </row>
    <row r="364" spans="1:3" ht="13.2" x14ac:dyDescent="0.25">
      <c r="A364" s="6"/>
      <c r="B364" s="3"/>
      <c r="C364" s="7"/>
    </row>
    <row r="365" spans="1:3" ht="13.2" x14ac:dyDescent="0.25">
      <c r="A365" s="6"/>
      <c r="B365" s="3"/>
      <c r="C365" s="7"/>
    </row>
    <row r="366" spans="1:3" ht="13.2" x14ac:dyDescent="0.25">
      <c r="A366" s="6"/>
      <c r="B366" s="3"/>
      <c r="C366" s="7"/>
    </row>
    <row r="367" spans="1:3" ht="13.2" x14ac:dyDescent="0.25">
      <c r="A367" s="6"/>
      <c r="B367" s="3"/>
      <c r="C367" s="7"/>
    </row>
    <row r="368" spans="1:3" ht="13.2" x14ac:dyDescent="0.25">
      <c r="A368" s="6"/>
      <c r="B368" s="3"/>
      <c r="C368" s="7"/>
    </row>
    <row r="369" spans="1:3" ht="13.2" x14ac:dyDescent="0.25">
      <c r="A369" s="6"/>
      <c r="B369" s="3"/>
      <c r="C369" s="7"/>
    </row>
    <row r="370" spans="1:3" ht="13.2" x14ac:dyDescent="0.25">
      <c r="A370" s="6"/>
      <c r="B370" s="3"/>
      <c r="C370" s="7"/>
    </row>
    <row r="371" spans="1:3" ht="13.2" x14ac:dyDescent="0.25">
      <c r="A371" s="6"/>
      <c r="B371" s="3"/>
      <c r="C371" s="7"/>
    </row>
    <row r="372" spans="1:3" ht="13.2" x14ac:dyDescent="0.25">
      <c r="A372" s="6"/>
      <c r="B372" s="3"/>
      <c r="C372" s="7"/>
    </row>
    <row r="373" spans="1:3" ht="13.2" x14ac:dyDescent="0.25">
      <c r="A373" s="6"/>
      <c r="B373" s="3"/>
      <c r="C373" s="7"/>
    </row>
    <row r="374" spans="1:3" ht="13.2" x14ac:dyDescent="0.25">
      <c r="A374" s="6"/>
      <c r="B374" s="3"/>
      <c r="C374" s="7"/>
    </row>
    <row r="375" spans="1:3" ht="13.2" x14ac:dyDescent="0.25">
      <c r="A375" s="6"/>
      <c r="B375" s="3"/>
      <c r="C375" s="7"/>
    </row>
    <row r="376" spans="1:3" ht="13.2" x14ac:dyDescent="0.25">
      <c r="A376" s="6"/>
      <c r="B376" s="3"/>
      <c r="C376" s="7"/>
    </row>
    <row r="377" spans="1:3" ht="13.2" x14ac:dyDescent="0.25">
      <c r="A377" s="6"/>
      <c r="B377" s="3"/>
      <c r="C377" s="7"/>
    </row>
    <row r="378" spans="1:3" ht="13.2" x14ac:dyDescent="0.25">
      <c r="A378" s="6"/>
      <c r="B378" s="3"/>
      <c r="C378" s="7"/>
    </row>
    <row r="379" spans="1:3" ht="13.2" x14ac:dyDescent="0.25">
      <c r="A379" s="6"/>
      <c r="B379" s="3"/>
      <c r="C379" s="7"/>
    </row>
    <row r="380" spans="1:3" ht="13.2" x14ac:dyDescent="0.25">
      <c r="A380" s="6"/>
      <c r="B380" s="3"/>
      <c r="C380" s="7"/>
    </row>
    <row r="381" spans="1:3" ht="13.2" x14ac:dyDescent="0.25">
      <c r="A381" s="6"/>
      <c r="B381" s="3"/>
      <c r="C381" s="7"/>
    </row>
    <row r="382" spans="1:3" ht="13.2" x14ac:dyDescent="0.25">
      <c r="A382" s="6"/>
      <c r="B382" s="3"/>
      <c r="C382" s="7"/>
    </row>
    <row r="383" spans="1:3" ht="13.2" x14ac:dyDescent="0.25">
      <c r="A383" s="6"/>
      <c r="B383" s="3"/>
      <c r="C383" s="7"/>
    </row>
    <row r="384" spans="1:3" ht="13.2" x14ac:dyDescent="0.25">
      <c r="A384" s="6"/>
      <c r="B384" s="3"/>
      <c r="C384" s="7"/>
    </row>
    <row r="385" spans="1:3" ht="13.2" x14ac:dyDescent="0.25">
      <c r="A385" s="6"/>
      <c r="B385" s="3"/>
      <c r="C385" s="7"/>
    </row>
    <row r="386" spans="1:3" ht="13.2" x14ac:dyDescent="0.25">
      <c r="A386" s="6"/>
      <c r="B386" s="3"/>
      <c r="C386" s="7"/>
    </row>
    <row r="387" spans="1:3" ht="13.2" x14ac:dyDescent="0.25">
      <c r="A387" s="6"/>
      <c r="B387" s="3"/>
      <c r="C387" s="7"/>
    </row>
    <row r="388" spans="1:3" ht="13.2" x14ac:dyDescent="0.25">
      <c r="A388" s="6"/>
      <c r="B388" s="3"/>
      <c r="C388" s="7"/>
    </row>
    <row r="389" spans="1:3" ht="13.2" x14ac:dyDescent="0.25">
      <c r="A389" s="6"/>
      <c r="B389" s="3"/>
      <c r="C389" s="7"/>
    </row>
    <row r="390" spans="1:3" ht="13.2" x14ac:dyDescent="0.25">
      <c r="A390" s="6"/>
      <c r="B390" s="3"/>
      <c r="C390" s="7"/>
    </row>
    <row r="391" spans="1:3" ht="13.2" x14ac:dyDescent="0.25">
      <c r="A391" s="6"/>
      <c r="B391" s="3"/>
      <c r="C391" s="7"/>
    </row>
    <row r="392" spans="1:3" ht="13.2" x14ac:dyDescent="0.25">
      <c r="A392" s="6"/>
      <c r="B392" s="3"/>
      <c r="C392" s="7"/>
    </row>
    <row r="393" spans="1:3" ht="13.2" x14ac:dyDescent="0.25">
      <c r="A393" s="6"/>
      <c r="B393" s="3"/>
      <c r="C393" s="7"/>
    </row>
    <row r="394" spans="1:3" ht="13.2" x14ac:dyDescent="0.25">
      <c r="A394" s="6"/>
      <c r="B394" s="3"/>
      <c r="C394" s="7"/>
    </row>
    <row r="395" spans="1:3" ht="13.2" x14ac:dyDescent="0.25">
      <c r="A395" s="6"/>
      <c r="B395" s="3"/>
      <c r="C395" s="7"/>
    </row>
    <row r="396" spans="1:3" ht="13.2" x14ac:dyDescent="0.25">
      <c r="A396" s="6"/>
      <c r="B396" s="3"/>
      <c r="C396" s="7"/>
    </row>
    <row r="397" spans="1:3" ht="13.2" x14ac:dyDescent="0.25">
      <c r="A397" s="6"/>
      <c r="B397" s="3"/>
      <c r="C397" s="7"/>
    </row>
    <row r="398" spans="1:3" ht="13.2" x14ac:dyDescent="0.25">
      <c r="A398" s="6"/>
      <c r="B398" s="3"/>
      <c r="C398" s="7"/>
    </row>
    <row r="399" spans="1:3" ht="13.2" x14ac:dyDescent="0.25">
      <c r="A399" s="6"/>
      <c r="B399" s="3"/>
      <c r="C399" s="7"/>
    </row>
    <row r="400" spans="1:3" ht="13.2" x14ac:dyDescent="0.25">
      <c r="A400" s="6"/>
      <c r="B400" s="3"/>
      <c r="C400" s="7"/>
    </row>
    <row r="401" spans="1:3" ht="13.2" x14ac:dyDescent="0.25">
      <c r="A401" s="6"/>
      <c r="B401" s="3"/>
      <c r="C401" s="7"/>
    </row>
    <row r="402" spans="1:3" ht="13.2" x14ac:dyDescent="0.25">
      <c r="A402" s="6"/>
      <c r="B402" s="3"/>
      <c r="C402" s="7"/>
    </row>
    <row r="403" spans="1:3" ht="13.2" x14ac:dyDescent="0.25">
      <c r="A403" s="6"/>
      <c r="B403" s="3"/>
      <c r="C403" s="7"/>
    </row>
    <row r="404" spans="1:3" ht="13.2" x14ac:dyDescent="0.25">
      <c r="A404" s="6"/>
      <c r="B404" s="3"/>
      <c r="C404" s="7"/>
    </row>
    <row r="405" spans="1:3" ht="13.2" x14ac:dyDescent="0.25">
      <c r="A405" s="6"/>
      <c r="B405" s="3"/>
      <c r="C405" s="7"/>
    </row>
    <row r="406" spans="1:3" ht="13.2" x14ac:dyDescent="0.25">
      <c r="A406" s="6"/>
      <c r="B406" s="3"/>
      <c r="C406" s="7"/>
    </row>
    <row r="407" spans="1:3" ht="13.2" x14ac:dyDescent="0.25">
      <c r="A407" s="6"/>
      <c r="B407" s="3"/>
      <c r="C407" s="7"/>
    </row>
    <row r="408" spans="1:3" ht="13.2" x14ac:dyDescent="0.25">
      <c r="A408" s="6"/>
      <c r="B408" s="3"/>
      <c r="C408" s="7"/>
    </row>
    <row r="409" spans="1:3" ht="13.2" x14ac:dyDescent="0.25">
      <c r="A409" s="6"/>
      <c r="B409" s="3"/>
      <c r="C409" s="7"/>
    </row>
    <row r="410" spans="1:3" ht="13.2" x14ac:dyDescent="0.25">
      <c r="A410" s="6"/>
      <c r="B410" s="3"/>
      <c r="C410" s="7"/>
    </row>
    <row r="411" spans="1:3" ht="13.2" x14ac:dyDescent="0.25">
      <c r="A411" s="6"/>
      <c r="B411" s="3"/>
      <c r="C411" s="7"/>
    </row>
    <row r="412" spans="1:3" ht="13.2" x14ac:dyDescent="0.25">
      <c r="A412" s="6"/>
      <c r="B412" s="3"/>
      <c r="C412" s="7"/>
    </row>
    <row r="413" spans="1:3" ht="13.2" x14ac:dyDescent="0.25">
      <c r="A413" s="6"/>
      <c r="B413" s="3"/>
      <c r="C413" s="7"/>
    </row>
    <row r="414" spans="1:3" ht="13.2" x14ac:dyDescent="0.25">
      <c r="A414" s="6"/>
      <c r="B414" s="3"/>
      <c r="C414" s="7"/>
    </row>
    <row r="415" spans="1:3" ht="13.2" x14ac:dyDescent="0.25">
      <c r="A415" s="6"/>
      <c r="B415" s="3"/>
      <c r="C415" s="7"/>
    </row>
    <row r="416" spans="1:3" ht="13.2" x14ac:dyDescent="0.25">
      <c r="A416" s="6"/>
      <c r="B416" s="3"/>
      <c r="C416" s="7"/>
    </row>
    <row r="417" spans="1:3" ht="13.2" x14ac:dyDescent="0.25">
      <c r="A417" s="6"/>
      <c r="B417" s="3"/>
      <c r="C417" s="7"/>
    </row>
    <row r="418" spans="1:3" ht="13.2" x14ac:dyDescent="0.25">
      <c r="A418" s="6"/>
      <c r="B418" s="3"/>
      <c r="C418" s="7"/>
    </row>
    <row r="419" spans="1:3" ht="13.2" x14ac:dyDescent="0.25">
      <c r="A419" s="6"/>
      <c r="B419" s="3"/>
      <c r="C419" s="7"/>
    </row>
    <row r="420" spans="1:3" ht="13.2" x14ac:dyDescent="0.25">
      <c r="A420" s="6"/>
      <c r="B420" s="3"/>
      <c r="C420" s="7"/>
    </row>
    <row r="421" spans="1:3" ht="13.2" x14ac:dyDescent="0.25">
      <c r="A421" s="6"/>
      <c r="B421" s="3"/>
      <c r="C421" s="7"/>
    </row>
    <row r="422" spans="1:3" ht="13.2" x14ac:dyDescent="0.25">
      <c r="A422" s="6"/>
      <c r="B422" s="3"/>
      <c r="C422" s="7"/>
    </row>
    <row r="423" spans="1:3" ht="13.2" x14ac:dyDescent="0.25">
      <c r="A423" s="6"/>
      <c r="B423" s="3"/>
      <c r="C423" s="7"/>
    </row>
    <row r="424" spans="1:3" ht="13.2" x14ac:dyDescent="0.25">
      <c r="A424" s="6"/>
      <c r="B424" s="3"/>
      <c r="C424" s="7"/>
    </row>
    <row r="425" spans="1:3" ht="13.2" x14ac:dyDescent="0.25">
      <c r="A425" s="6"/>
      <c r="B425" s="3"/>
      <c r="C425" s="7"/>
    </row>
    <row r="426" spans="1:3" ht="13.2" x14ac:dyDescent="0.25">
      <c r="A426" s="6"/>
      <c r="B426" s="3"/>
      <c r="C426" s="7"/>
    </row>
    <row r="427" spans="1:3" ht="13.2" x14ac:dyDescent="0.25">
      <c r="A427" s="6"/>
      <c r="B427" s="3"/>
      <c r="C427" s="7"/>
    </row>
    <row r="428" spans="1:3" ht="13.2" x14ac:dyDescent="0.25">
      <c r="A428" s="6"/>
      <c r="B428" s="3"/>
      <c r="C428" s="7"/>
    </row>
    <row r="429" spans="1:3" ht="13.2" x14ac:dyDescent="0.25">
      <c r="A429" s="6"/>
      <c r="B429" s="3"/>
      <c r="C429" s="7"/>
    </row>
    <row r="430" spans="1:3" ht="13.2" x14ac:dyDescent="0.25">
      <c r="A430" s="6"/>
      <c r="B430" s="3"/>
      <c r="C430" s="7"/>
    </row>
    <row r="431" spans="1:3" ht="13.2" x14ac:dyDescent="0.25">
      <c r="A431" s="6"/>
      <c r="B431" s="3"/>
      <c r="C431" s="7"/>
    </row>
    <row r="432" spans="1:3" ht="13.2" x14ac:dyDescent="0.25">
      <c r="A432" s="6"/>
      <c r="B432" s="3"/>
      <c r="C432" s="7"/>
    </row>
    <row r="433" spans="1:3" ht="13.2" x14ac:dyDescent="0.25">
      <c r="A433" s="6"/>
      <c r="B433" s="3"/>
      <c r="C433" s="7"/>
    </row>
    <row r="434" spans="1:3" ht="13.2" x14ac:dyDescent="0.25">
      <c r="A434" s="6"/>
      <c r="B434" s="3"/>
      <c r="C434" s="7"/>
    </row>
    <row r="435" spans="1:3" ht="13.2" x14ac:dyDescent="0.25">
      <c r="A435" s="6"/>
      <c r="B435" s="3"/>
      <c r="C435" s="7"/>
    </row>
    <row r="436" spans="1:3" ht="13.2" x14ac:dyDescent="0.25">
      <c r="A436" s="6"/>
      <c r="B436" s="3"/>
      <c r="C436" s="7"/>
    </row>
    <row r="437" spans="1:3" ht="13.2" x14ac:dyDescent="0.25">
      <c r="A437" s="6"/>
      <c r="B437" s="3"/>
      <c r="C437" s="7"/>
    </row>
    <row r="438" spans="1:3" ht="13.2" x14ac:dyDescent="0.25">
      <c r="A438" s="6"/>
      <c r="B438" s="3"/>
      <c r="C438" s="7"/>
    </row>
    <row r="439" spans="1:3" ht="13.2" x14ac:dyDescent="0.25">
      <c r="A439" s="6"/>
      <c r="B439" s="3"/>
      <c r="C439" s="7"/>
    </row>
    <row r="440" spans="1:3" ht="13.2" x14ac:dyDescent="0.25">
      <c r="A440" s="6"/>
      <c r="B440" s="3"/>
      <c r="C440" s="7"/>
    </row>
    <row r="441" spans="1:3" ht="13.2" x14ac:dyDescent="0.25">
      <c r="A441" s="6"/>
      <c r="B441" s="3"/>
      <c r="C441" s="7"/>
    </row>
    <row r="442" spans="1:3" ht="13.2" x14ac:dyDescent="0.25">
      <c r="A442" s="6"/>
      <c r="B442" s="3"/>
      <c r="C442" s="7"/>
    </row>
    <row r="443" spans="1:3" ht="13.2" x14ac:dyDescent="0.25">
      <c r="A443" s="6"/>
      <c r="B443" s="3"/>
      <c r="C443" s="7"/>
    </row>
    <row r="444" spans="1:3" ht="13.2" x14ac:dyDescent="0.25">
      <c r="A444" s="6"/>
      <c r="B444" s="3"/>
      <c r="C444" s="7"/>
    </row>
    <row r="445" spans="1:3" ht="13.2" x14ac:dyDescent="0.25">
      <c r="A445" s="6"/>
      <c r="B445" s="3"/>
      <c r="C445" s="7"/>
    </row>
    <row r="446" spans="1:3" ht="13.2" x14ac:dyDescent="0.25">
      <c r="A446" s="6"/>
      <c r="B446" s="3"/>
      <c r="C446" s="7"/>
    </row>
    <row r="447" spans="1:3" ht="13.2" x14ac:dyDescent="0.25">
      <c r="A447" s="6"/>
      <c r="B447" s="3"/>
      <c r="C447" s="7"/>
    </row>
    <row r="448" spans="1:3" ht="13.2" x14ac:dyDescent="0.25">
      <c r="A448" s="6"/>
      <c r="B448" s="3"/>
      <c r="C448" s="7"/>
    </row>
    <row r="449" spans="1:3" ht="13.2" x14ac:dyDescent="0.25">
      <c r="A449" s="6"/>
      <c r="B449" s="3"/>
      <c r="C449" s="7"/>
    </row>
    <row r="450" spans="1:3" ht="13.2" x14ac:dyDescent="0.25">
      <c r="A450" s="6"/>
      <c r="B450" s="3"/>
      <c r="C450" s="7"/>
    </row>
    <row r="451" spans="1:3" ht="13.2" x14ac:dyDescent="0.25">
      <c r="A451" s="6"/>
      <c r="B451" s="3"/>
      <c r="C451" s="7"/>
    </row>
    <row r="452" spans="1:3" ht="13.2" x14ac:dyDescent="0.25">
      <c r="A452" s="6"/>
      <c r="B452" s="3"/>
      <c r="C452" s="7"/>
    </row>
    <row r="453" spans="1:3" ht="13.2" x14ac:dyDescent="0.25">
      <c r="A453" s="6"/>
      <c r="B453" s="3"/>
      <c r="C453" s="7"/>
    </row>
    <row r="454" spans="1:3" ht="13.2" x14ac:dyDescent="0.25">
      <c r="A454" s="6"/>
      <c r="B454" s="3"/>
      <c r="C454" s="7"/>
    </row>
    <row r="455" spans="1:3" ht="13.2" x14ac:dyDescent="0.25">
      <c r="A455" s="6"/>
      <c r="B455" s="3"/>
      <c r="C455" s="7"/>
    </row>
    <row r="456" spans="1:3" ht="13.2" x14ac:dyDescent="0.25">
      <c r="A456" s="6"/>
      <c r="B456" s="3"/>
      <c r="C456" s="7"/>
    </row>
    <row r="457" spans="1:3" ht="13.2" x14ac:dyDescent="0.25">
      <c r="A457" s="6"/>
      <c r="B457" s="3"/>
      <c r="C457" s="7"/>
    </row>
    <row r="458" spans="1:3" ht="13.2" x14ac:dyDescent="0.25">
      <c r="A458" s="6"/>
      <c r="B458" s="3"/>
      <c r="C458" s="7"/>
    </row>
    <row r="459" spans="1:3" ht="13.2" x14ac:dyDescent="0.25">
      <c r="A459" s="6"/>
      <c r="B459" s="3"/>
      <c r="C459" s="7"/>
    </row>
    <row r="460" spans="1:3" ht="13.2" x14ac:dyDescent="0.25">
      <c r="A460" s="6"/>
      <c r="B460" s="3"/>
      <c r="C460" s="7"/>
    </row>
    <row r="461" spans="1:3" ht="13.2" x14ac:dyDescent="0.25">
      <c r="A461" s="6"/>
      <c r="B461" s="3"/>
      <c r="C461" s="7"/>
    </row>
    <row r="462" spans="1:3" ht="13.2" x14ac:dyDescent="0.25">
      <c r="A462" s="6"/>
      <c r="B462" s="3"/>
      <c r="C462" s="7"/>
    </row>
    <row r="463" spans="1:3" ht="13.2" x14ac:dyDescent="0.25">
      <c r="A463" s="6"/>
      <c r="B463" s="3"/>
      <c r="C463" s="7"/>
    </row>
    <row r="464" spans="1:3" ht="13.2" x14ac:dyDescent="0.25">
      <c r="A464" s="6"/>
      <c r="B464" s="3"/>
      <c r="C464" s="7"/>
    </row>
    <row r="465" spans="1:3" ht="13.2" x14ac:dyDescent="0.25">
      <c r="A465" s="6"/>
      <c r="B465" s="3"/>
      <c r="C465" s="7"/>
    </row>
    <row r="466" spans="1:3" ht="13.2" x14ac:dyDescent="0.25">
      <c r="A466" s="6"/>
      <c r="B466" s="3"/>
      <c r="C466" s="7"/>
    </row>
    <row r="467" spans="1:3" ht="13.2" x14ac:dyDescent="0.25">
      <c r="A467" s="6"/>
      <c r="B467" s="3"/>
      <c r="C467" s="7"/>
    </row>
    <row r="468" spans="1:3" ht="13.2" x14ac:dyDescent="0.25">
      <c r="A468" s="6"/>
      <c r="B468" s="3"/>
      <c r="C468" s="7"/>
    </row>
    <row r="469" spans="1:3" ht="13.2" x14ac:dyDescent="0.25">
      <c r="A469" s="6"/>
      <c r="B469" s="3"/>
      <c r="C469" s="7"/>
    </row>
    <row r="470" spans="1:3" ht="13.2" x14ac:dyDescent="0.25">
      <c r="A470" s="6"/>
      <c r="B470" s="3"/>
      <c r="C470" s="7"/>
    </row>
    <row r="471" spans="1:3" ht="13.2" x14ac:dyDescent="0.25">
      <c r="A471" s="6"/>
      <c r="B471" s="3"/>
      <c r="C471" s="7"/>
    </row>
    <row r="472" spans="1:3" ht="13.2" x14ac:dyDescent="0.25">
      <c r="A472" s="6"/>
      <c r="B472" s="3"/>
      <c r="C472" s="7"/>
    </row>
    <row r="473" spans="1:3" ht="13.2" x14ac:dyDescent="0.25">
      <c r="A473" s="6"/>
      <c r="B473" s="3"/>
      <c r="C473" s="7"/>
    </row>
    <row r="474" spans="1:3" ht="13.2" x14ac:dyDescent="0.25">
      <c r="A474" s="6"/>
      <c r="B474" s="3"/>
      <c r="C474" s="7"/>
    </row>
    <row r="475" spans="1:3" ht="13.2" x14ac:dyDescent="0.25">
      <c r="A475" s="6"/>
      <c r="B475" s="3"/>
      <c r="C475" s="7"/>
    </row>
    <row r="476" spans="1:3" ht="13.2" x14ac:dyDescent="0.25">
      <c r="A476" s="6"/>
      <c r="B476" s="3"/>
      <c r="C476" s="7"/>
    </row>
    <row r="477" spans="1:3" ht="13.2" x14ac:dyDescent="0.25">
      <c r="A477" s="6"/>
      <c r="B477" s="3"/>
      <c r="C477" s="7"/>
    </row>
    <row r="478" spans="1:3" ht="13.2" x14ac:dyDescent="0.25">
      <c r="A478" s="6"/>
      <c r="B478" s="3"/>
      <c r="C478" s="7"/>
    </row>
    <row r="479" spans="1:3" ht="13.2" x14ac:dyDescent="0.25">
      <c r="A479" s="6"/>
      <c r="B479" s="3"/>
      <c r="C479" s="7"/>
    </row>
    <row r="480" spans="1:3" ht="13.2" x14ac:dyDescent="0.25">
      <c r="A480" s="6"/>
      <c r="B480" s="3"/>
      <c r="C480" s="7"/>
    </row>
    <row r="481" spans="1:3" ht="13.2" x14ac:dyDescent="0.25">
      <c r="A481" s="6"/>
      <c r="B481" s="3"/>
      <c r="C481" s="7"/>
    </row>
    <row r="482" spans="1:3" ht="13.2" x14ac:dyDescent="0.25">
      <c r="A482" s="6"/>
      <c r="B482" s="3"/>
      <c r="C482" s="7"/>
    </row>
    <row r="483" spans="1:3" ht="13.2" x14ac:dyDescent="0.25">
      <c r="A483" s="6"/>
      <c r="B483" s="3"/>
      <c r="C483" s="7"/>
    </row>
    <row r="484" spans="1:3" ht="13.2" x14ac:dyDescent="0.25">
      <c r="A484" s="6"/>
      <c r="B484" s="3"/>
      <c r="C484" s="7"/>
    </row>
    <row r="485" spans="1:3" ht="13.2" x14ac:dyDescent="0.25">
      <c r="A485" s="6"/>
      <c r="B485" s="3"/>
      <c r="C485" s="7"/>
    </row>
    <row r="486" spans="1:3" ht="13.2" x14ac:dyDescent="0.25">
      <c r="A486" s="6"/>
      <c r="B486" s="3"/>
      <c r="C486" s="7"/>
    </row>
    <row r="487" spans="1:3" ht="13.2" x14ac:dyDescent="0.25">
      <c r="A487" s="6"/>
      <c r="B487" s="3"/>
      <c r="C487" s="7"/>
    </row>
    <row r="488" spans="1:3" ht="13.2" x14ac:dyDescent="0.25">
      <c r="A488" s="6"/>
      <c r="B488" s="3"/>
      <c r="C488" s="7"/>
    </row>
    <row r="489" spans="1:3" ht="13.2" x14ac:dyDescent="0.25">
      <c r="A489" s="6"/>
      <c r="B489" s="3"/>
      <c r="C489" s="7"/>
    </row>
    <row r="490" spans="1:3" ht="13.2" x14ac:dyDescent="0.25">
      <c r="A490" s="6"/>
      <c r="B490" s="3"/>
      <c r="C490" s="7"/>
    </row>
    <row r="491" spans="1:3" ht="13.2" x14ac:dyDescent="0.25">
      <c r="A491" s="6"/>
      <c r="B491" s="3"/>
      <c r="C491" s="7"/>
    </row>
    <row r="492" spans="1:3" ht="13.2" x14ac:dyDescent="0.25">
      <c r="A492" s="6"/>
      <c r="B492" s="3"/>
      <c r="C492" s="7"/>
    </row>
    <row r="493" spans="1:3" ht="13.2" x14ac:dyDescent="0.25">
      <c r="A493" s="6"/>
      <c r="B493" s="3"/>
      <c r="C493" s="7"/>
    </row>
    <row r="494" spans="1:3" ht="13.2" x14ac:dyDescent="0.25">
      <c r="A494" s="6"/>
      <c r="B494" s="3"/>
      <c r="C494" s="7"/>
    </row>
    <row r="495" spans="1:3" ht="13.2" x14ac:dyDescent="0.25">
      <c r="A495" s="6"/>
      <c r="B495" s="3"/>
      <c r="C495" s="7"/>
    </row>
    <row r="496" spans="1:3" ht="13.2" x14ac:dyDescent="0.25">
      <c r="A496" s="6"/>
      <c r="B496" s="3"/>
      <c r="C496" s="7"/>
    </row>
    <row r="497" spans="1:3" ht="13.2" x14ac:dyDescent="0.25">
      <c r="A497" s="6"/>
      <c r="B497" s="3"/>
      <c r="C497" s="7"/>
    </row>
    <row r="498" spans="1:3" ht="13.2" x14ac:dyDescent="0.25">
      <c r="A498" s="6"/>
      <c r="B498" s="3"/>
      <c r="C498" s="7"/>
    </row>
    <row r="499" spans="1:3" ht="13.2" x14ac:dyDescent="0.25">
      <c r="A499" s="6"/>
      <c r="B499" s="3"/>
      <c r="C499" s="7"/>
    </row>
    <row r="500" spans="1:3" ht="13.2" x14ac:dyDescent="0.25">
      <c r="A500" s="6"/>
      <c r="B500" s="3"/>
      <c r="C500" s="7"/>
    </row>
    <row r="501" spans="1:3" ht="13.2" x14ac:dyDescent="0.25">
      <c r="A501" s="6"/>
      <c r="B501" s="3"/>
      <c r="C501" s="7"/>
    </row>
    <row r="502" spans="1:3" ht="13.2" x14ac:dyDescent="0.25">
      <c r="A502" s="6"/>
      <c r="B502" s="3"/>
      <c r="C502" s="7"/>
    </row>
    <row r="503" spans="1:3" ht="13.2" x14ac:dyDescent="0.25">
      <c r="A503" s="6"/>
      <c r="B503" s="3"/>
      <c r="C503" s="7"/>
    </row>
    <row r="504" spans="1:3" ht="13.2" x14ac:dyDescent="0.25">
      <c r="A504" s="6"/>
      <c r="B504" s="3"/>
      <c r="C504" s="7"/>
    </row>
    <row r="505" spans="1:3" ht="13.2" x14ac:dyDescent="0.25">
      <c r="A505" s="6"/>
      <c r="B505" s="3"/>
      <c r="C505" s="7"/>
    </row>
    <row r="506" spans="1:3" ht="13.2" x14ac:dyDescent="0.25">
      <c r="A506" s="6"/>
      <c r="B506" s="3"/>
      <c r="C506" s="7"/>
    </row>
    <row r="507" spans="1:3" ht="13.2" x14ac:dyDescent="0.25">
      <c r="A507" s="6"/>
      <c r="B507" s="3"/>
      <c r="C507" s="7"/>
    </row>
    <row r="508" spans="1:3" ht="13.2" x14ac:dyDescent="0.25">
      <c r="A508" s="6"/>
      <c r="B508" s="3"/>
      <c r="C508" s="7"/>
    </row>
    <row r="509" spans="1:3" ht="13.2" x14ac:dyDescent="0.25">
      <c r="A509" s="6"/>
      <c r="B509" s="3"/>
      <c r="C509" s="7"/>
    </row>
    <row r="510" spans="1:3" ht="13.2" x14ac:dyDescent="0.25">
      <c r="A510" s="6"/>
      <c r="B510" s="3"/>
      <c r="C510" s="7"/>
    </row>
    <row r="511" spans="1:3" ht="13.2" x14ac:dyDescent="0.25">
      <c r="A511" s="6"/>
      <c r="B511" s="3"/>
      <c r="C511" s="7"/>
    </row>
    <row r="512" spans="1:3" ht="13.2" x14ac:dyDescent="0.25">
      <c r="A512" s="6"/>
      <c r="B512" s="3"/>
      <c r="C512" s="7"/>
    </row>
    <row r="513" spans="1:3" ht="13.2" x14ac:dyDescent="0.25">
      <c r="A513" s="6"/>
      <c r="B513" s="3"/>
      <c r="C513" s="7"/>
    </row>
    <row r="514" spans="1:3" ht="13.2" x14ac:dyDescent="0.25">
      <c r="A514" s="6"/>
      <c r="B514" s="3"/>
      <c r="C514" s="7"/>
    </row>
    <row r="515" spans="1:3" ht="13.2" x14ac:dyDescent="0.25">
      <c r="A515" s="6"/>
      <c r="B515" s="3"/>
      <c r="C515" s="7"/>
    </row>
    <row r="516" spans="1:3" ht="13.2" x14ac:dyDescent="0.25">
      <c r="A516" s="6"/>
      <c r="B516" s="3"/>
      <c r="C516" s="7"/>
    </row>
    <row r="517" spans="1:3" ht="13.2" x14ac:dyDescent="0.25">
      <c r="A517" s="6"/>
      <c r="B517" s="3"/>
      <c r="C517" s="7"/>
    </row>
    <row r="518" spans="1:3" ht="13.2" x14ac:dyDescent="0.25">
      <c r="A518" s="6"/>
      <c r="B518" s="3"/>
      <c r="C518" s="7"/>
    </row>
    <row r="519" spans="1:3" ht="13.2" x14ac:dyDescent="0.25">
      <c r="A519" s="6"/>
      <c r="B519" s="3"/>
      <c r="C519" s="7"/>
    </row>
    <row r="520" spans="1:3" ht="13.2" x14ac:dyDescent="0.25">
      <c r="A520" s="6"/>
      <c r="B520" s="3"/>
      <c r="C520" s="7"/>
    </row>
    <row r="521" spans="1:3" ht="13.2" x14ac:dyDescent="0.25">
      <c r="A521" s="6"/>
      <c r="B521" s="3"/>
      <c r="C521" s="7"/>
    </row>
    <row r="522" spans="1:3" ht="13.2" x14ac:dyDescent="0.25">
      <c r="A522" s="6"/>
      <c r="B522" s="3"/>
      <c r="C522" s="7"/>
    </row>
    <row r="523" spans="1:3" ht="13.2" x14ac:dyDescent="0.25">
      <c r="A523" s="6"/>
      <c r="B523" s="3"/>
      <c r="C523" s="7"/>
    </row>
    <row r="524" spans="1:3" ht="13.2" x14ac:dyDescent="0.25">
      <c r="A524" s="6"/>
      <c r="B524" s="3"/>
      <c r="C524" s="7"/>
    </row>
    <row r="525" spans="1:3" ht="13.2" x14ac:dyDescent="0.25">
      <c r="A525" s="6"/>
      <c r="B525" s="3"/>
      <c r="C525" s="7"/>
    </row>
    <row r="526" spans="1:3" ht="13.2" x14ac:dyDescent="0.25">
      <c r="A526" s="6"/>
      <c r="B526" s="3"/>
      <c r="C526" s="7"/>
    </row>
    <row r="527" spans="1:3" ht="13.2" x14ac:dyDescent="0.25">
      <c r="A527" s="6"/>
      <c r="B527" s="3"/>
      <c r="C527" s="7"/>
    </row>
    <row r="528" spans="1:3" ht="13.2" x14ac:dyDescent="0.25">
      <c r="A528" s="6"/>
      <c r="B528" s="3"/>
      <c r="C528" s="7"/>
    </row>
    <row r="529" spans="1:3" ht="13.2" x14ac:dyDescent="0.25">
      <c r="A529" s="6"/>
      <c r="B529" s="3"/>
      <c r="C529" s="7"/>
    </row>
    <row r="530" spans="1:3" ht="13.2" x14ac:dyDescent="0.25">
      <c r="A530" s="6"/>
      <c r="B530" s="3"/>
      <c r="C530" s="7"/>
    </row>
    <row r="531" spans="1:3" ht="13.2" x14ac:dyDescent="0.25">
      <c r="A531" s="6"/>
      <c r="B531" s="3"/>
      <c r="C531" s="7"/>
    </row>
    <row r="532" spans="1:3" ht="13.2" x14ac:dyDescent="0.25">
      <c r="A532" s="6"/>
      <c r="B532" s="3"/>
      <c r="C532" s="7"/>
    </row>
    <row r="533" spans="1:3" ht="13.2" x14ac:dyDescent="0.25">
      <c r="A533" s="6"/>
      <c r="B533" s="3"/>
      <c r="C533" s="7"/>
    </row>
    <row r="534" spans="1:3" ht="13.2" x14ac:dyDescent="0.25">
      <c r="A534" s="6"/>
      <c r="B534" s="3"/>
      <c r="C534" s="7"/>
    </row>
    <row r="535" spans="1:3" ht="13.2" x14ac:dyDescent="0.25">
      <c r="A535" s="6"/>
      <c r="B535" s="3"/>
      <c r="C535" s="7"/>
    </row>
    <row r="536" spans="1:3" ht="13.2" x14ac:dyDescent="0.25">
      <c r="A536" s="6"/>
      <c r="B536" s="3"/>
      <c r="C536" s="7"/>
    </row>
    <row r="537" spans="1:3" ht="13.2" x14ac:dyDescent="0.25">
      <c r="A537" s="6"/>
      <c r="B537" s="3"/>
      <c r="C537" s="7"/>
    </row>
    <row r="538" spans="1:3" ht="13.2" x14ac:dyDescent="0.25">
      <c r="A538" s="6"/>
      <c r="B538" s="3"/>
      <c r="C538" s="7"/>
    </row>
    <row r="539" spans="1:3" ht="13.2" x14ac:dyDescent="0.25">
      <c r="A539" s="6"/>
      <c r="B539" s="3"/>
      <c r="C539" s="7"/>
    </row>
    <row r="540" spans="1:3" ht="13.2" x14ac:dyDescent="0.25">
      <c r="A540" s="6"/>
      <c r="B540" s="3"/>
      <c r="C540" s="7"/>
    </row>
    <row r="541" spans="1:3" ht="13.2" x14ac:dyDescent="0.25">
      <c r="A541" s="6"/>
      <c r="B541" s="3"/>
      <c r="C541" s="7"/>
    </row>
    <row r="542" spans="1:3" ht="13.2" x14ac:dyDescent="0.25">
      <c r="A542" s="6"/>
      <c r="B542" s="3"/>
      <c r="C542" s="7"/>
    </row>
    <row r="543" spans="1:3" ht="13.2" x14ac:dyDescent="0.25">
      <c r="A543" s="6"/>
      <c r="B543" s="3"/>
      <c r="C543" s="7"/>
    </row>
    <row r="544" spans="1:3" ht="13.2" x14ac:dyDescent="0.25">
      <c r="A544" s="6"/>
      <c r="B544" s="3"/>
      <c r="C544" s="7"/>
    </row>
    <row r="545" spans="1:3" ht="13.2" x14ac:dyDescent="0.25">
      <c r="A545" s="6"/>
      <c r="B545" s="3"/>
      <c r="C545" s="7"/>
    </row>
    <row r="546" spans="1:3" ht="13.2" x14ac:dyDescent="0.25">
      <c r="A546" s="6"/>
      <c r="B546" s="3"/>
      <c r="C546" s="7"/>
    </row>
    <row r="547" spans="1:3" ht="13.2" x14ac:dyDescent="0.25">
      <c r="A547" s="6"/>
      <c r="B547" s="3"/>
      <c r="C547" s="7"/>
    </row>
    <row r="548" spans="1:3" ht="13.2" x14ac:dyDescent="0.25">
      <c r="A548" s="6"/>
      <c r="B548" s="3"/>
      <c r="C548" s="7"/>
    </row>
    <row r="549" spans="1:3" ht="13.2" x14ac:dyDescent="0.25">
      <c r="A549" s="6"/>
      <c r="B549" s="3"/>
      <c r="C549" s="7"/>
    </row>
    <row r="550" spans="1:3" ht="13.2" x14ac:dyDescent="0.25">
      <c r="A550" s="6"/>
      <c r="B550" s="3"/>
      <c r="C550" s="7"/>
    </row>
    <row r="551" spans="1:3" ht="13.2" x14ac:dyDescent="0.25">
      <c r="A551" s="6"/>
      <c r="B551" s="3"/>
      <c r="C551" s="7"/>
    </row>
    <row r="552" spans="1:3" ht="13.2" x14ac:dyDescent="0.25">
      <c r="A552" s="6"/>
      <c r="B552" s="3"/>
      <c r="C552" s="7"/>
    </row>
    <row r="553" spans="1:3" ht="13.2" x14ac:dyDescent="0.25">
      <c r="A553" s="6"/>
      <c r="B553" s="3"/>
      <c r="C553" s="7"/>
    </row>
    <row r="554" spans="1:3" ht="13.2" x14ac:dyDescent="0.25">
      <c r="A554" s="6"/>
      <c r="B554" s="3"/>
      <c r="C554" s="7"/>
    </row>
    <row r="555" spans="1:3" ht="13.2" x14ac:dyDescent="0.25">
      <c r="A555" s="6"/>
      <c r="B555" s="3"/>
      <c r="C555" s="7"/>
    </row>
    <row r="556" spans="1:3" ht="13.2" x14ac:dyDescent="0.25">
      <c r="A556" s="6"/>
      <c r="B556" s="3"/>
      <c r="C556" s="7"/>
    </row>
    <row r="557" spans="1:3" ht="13.2" x14ac:dyDescent="0.25">
      <c r="A557" s="6"/>
      <c r="B557" s="3"/>
      <c r="C557" s="7"/>
    </row>
    <row r="558" spans="1:3" ht="13.2" x14ac:dyDescent="0.25">
      <c r="A558" s="6"/>
      <c r="B558" s="3"/>
      <c r="C558" s="7"/>
    </row>
    <row r="559" spans="1:3" ht="13.2" x14ac:dyDescent="0.25">
      <c r="A559" s="6"/>
      <c r="B559" s="3"/>
      <c r="C559" s="7"/>
    </row>
    <row r="560" spans="1:3" ht="13.2" x14ac:dyDescent="0.25">
      <c r="A560" s="6"/>
      <c r="B560" s="3"/>
      <c r="C560" s="7"/>
    </row>
    <row r="561" spans="1:3" ht="13.2" x14ac:dyDescent="0.25">
      <c r="A561" s="6"/>
      <c r="B561" s="3"/>
      <c r="C561" s="7"/>
    </row>
    <row r="562" spans="1:3" ht="13.2" x14ac:dyDescent="0.25">
      <c r="A562" s="6"/>
      <c r="B562" s="3"/>
      <c r="C562" s="7"/>
    </row>
    <row r="563" spans="1:3" ht="13.2" x14ac:dyDescent="0.25">
      <c r="A563" s="6"/>
      <c r="B563" s="3"/>
      <c r="C563" s="7"/>
    </row>
    <row r="564" spans="1:3" ht="13.2" x14ac:dyDescent="0.25">
      <c r="A564" s="6"/>
      <c r="B564" s="3"/>
      <c r="C564" s="7"/>
    </row>
    <row r="565" spans="1:3" ht="13.2" x14ac:dyDescent="0.25">
      <c r="A565" s="6"/>
      <c r="B565" s="3"/>
      <c r="C565" s="7"/>
    </row>
    <row r="566" spans="1:3" ht="13.2" x14ac:dyDescent="0.25">
      <c r="A566" s="6"/>
      <c r="B566" s="3"/>
      <c r="C566" s="7"/>
    </row>
    <row r="567" spans="1:3" ht="13.2" x14ac:dyDescent="0.25">
      <c r="A567" s="6"/>
      <c r="B567" s="3"/>
      <c r="C567" s="7"/>
    </row>
    <row r="568" spans="1:3" ht="13.2" x14ac:dyDescent="0.25">
      <c r="A568" s="6"/>
      <c r="B568" s="3"/>
      <c r="C568" s="7"/>
    </row>
    <row r="569" spans="1:3" ht="13.2" x14ac:dyDescent="0.25">
      <c r="A569" s="6"/>
      <c r="B569" s="3"/>
      <c r="C569" s="7"/>
    </row>
    <row r="570" spans="1:3" ht="13.2" x14ac:dyDescent="0.25">
      <c r="A570" s="6"/>
      <c r="B570" s="3"/>
      <c r="C570" s="7"/>
    </row>
    <row r="571" spans="1:3" ht="13.2" x14ac:dyDescent="0.25">
      <c r="A571" s="6"/>
      <c r="B571" s="3"/>
      <c r="C571" s="7"/>
    </row>
    <row r="572" spans="1:3" ht="13.2" x14ac:dyDescent="0.25">
      <c r="A572" s="6"/>
      <c r="B572" s="3"/>
      <c r="C572" s="7"/>
    </row>
    <row r="573" spans="1:3" ht="13.2" x14ac:dyDescent="0.25">
      <c r="A573" s="6"/>
      <c r="B573" s="3"/>
      <c r="C573" s="7"/>
    </row>
    <row r="574" spans="1:3" ht="13.2" x14ac:dyDescent="0.25">
      <c r="A574" s="6"/>
      <c r="B574" s="3"/>
      <c r="C574" s="7"/>
    </row>
    <row r="575" spans="1:3" ht="13.2" x14ac:dyDescent="0.25">
      <c r="A575" s="6"/>
      <c r="B575" s="3"/>
      <c r="C575" s="7"/>
    </row>
    <row r="576" spans="1:3" ht="13.2" x14ac:dyDescent="0.25">
      <c r="A576" s="6"/>
      <c r="B576" s="3"/>
      <c r="C576" s="7"/>
    </row>
    <row r="577" spans="1:3" ht="13.2" x14ac:dyDescent="0.25">
      <c r="A577" s="6"/>
      <c r="B577" s="3"/>
      <c r="C577" s="7"/>
    </row>
    <row r="578" spans="1:3" ht="13.2" x14ac:dyDescent="0.25">
      <c r="A578" s="6"/>
      <c r="B578" s="3"/>
      <c r="C578" s="7"/>
    </row>
    <row r="579" spans="1:3" ht="13.2" x14ac:dyDescent="0.25">
      <c r="A579" s="6"/>
      <c r="B579" s="3"/>
      <c r="C579" s="7"/>
    </row>
    <row r="580" spans="1:3" ht="13.2" x14ac:dyDescent="0.25">
      <c r="A580" s="6"/>
      <c r="B580" s="3"/>
      <c r="C580" s="7"/>
    </row>
    <row r="581" spans="1:3" ht="13.2" x14ac:dyDescent="0.25">
      <c r="A581" s="6"/>
      <c r="B581" s="3"/>
      <c r="C581" s="7"/>
    </row>
    <row r="582" spans="1:3" ht="13.2" x14ac:dyDescent="0.25">
      <c r="A582" s="6"/>
      <c r="B582" s="3"/>
      <c r="C582" s="7"/>
    </row>
    <row r="583" spans="1:3" ht="13.2" x14ac:dyDescent="0.25">
      <c r="A583" s="6"/>
      <c r="B583" s="3"/>
      <c r="C583" s="7"/>
    </row>
    <row r="584" spans="1:3" ht="13.2" x14ac:dyDescent="0.25">
      <c r="A584" s="6"/>
      <c r="B584" s="3"/>
      <c r="C584" s="7"/>
    </row>
    <row r="585" spans="1:3" ht="13.2" x14ac:dyDescent="0.25">
      <c r="A585" s="6"/>
      <c r="B585" s="3"/>
      <c r="C585" s="7"/>
    </row>
    <row r="586" spans="1:3" ht="13.2" x14ac:dyDescent="0.25">
      <c r="A586" s="6"/>
      <c r="B586" s="3"/>
      <c r="C586" s="7"/>
    </row>
    <row r="587" spans="1:3" ht="13.2" x14ac:dyDescent="0.25">
      <c r="A587" s="6"/>
      <c r="B587" s="3"/>
      <c r="C587" s="7"/>
    </row>
    <row r="588" spans="1:3" ht="13.2" x14ac:dyDescent="0.25">
      <c r="A588" s="6"/>
      <c r="B588" s="3"/>
      <c r="C588" s="7"/>
    </row>
    <row r="589" spans="1:3" ht="13.2" x14ac:dyDescent="0.25">
      <c r="A589" s="6"/>
      <c r="B589" s="3"/>
      <c r="C589" s="7"/>
    </row>
    <row r="590" spans="1:3" ht="13.2" x14ac:dyDescent="0.25">
      <c r="A590" s="6"/>
      <c r="B590" s="3"/>
      <c r="C590" s="7"/>
    </row>
    <row r="591" spans="1:3" ht="13.2" x14ac:dyDescent="0.25">
      <c r="A591" s="6"/>
      <c r="B591" s="3"/>
      <c r="C591" s="7"/>
    </row>
    <row r="592" spans="1:3" ht="13.2" x14ac:dyDescent="0.25">
      <c r="A592" s="6"/>
      <c r="B592" s="3"/>
      <c r="C592" s="7"/>
    </row>
    <row r="593" spans="1:3" ht="13.2" x14ac:dyDescent="0.25">
      <c r="A593" s="6"/>
      <c r="B593" s="3"/>
      <c r="C593" s="7"/>
    </row>
    <row r="594" spans="1:3" ht="13.2" x14ac:dyDescent="0.25">
      <c r="A594" s="6"/>
      <c r="B594" s="3"/>
      <c r="C594" s="7"/>
    </row>
    <row r="595" spans="1:3" ht="13.2" x14ac:dyDescent="0.25">
      <c r="A595" s="6"/>
      <c r="B595" s="3"/>
      <c r="C595" s="7"/>
    </row>
    <row r="596" spans="1:3" ht="13.2" x14ac:dyDescent="0.25">
      <c r="A596" s="6"/>
      <c r="B596" s="3"/>
      <c r="C596" s="7"/>
    </row>
    <row r="597" spans="1:3" ht="13.2" x14ac:dyDescent="0.25">
      <c r="A597" s="6"/>
      <c r="B597" s="3"/>
      <c r="C597" s="7"/>
    </row>
    <row r="598" spans="1:3" ht="13.2" x14ac:dyDescent="0.25">
      <c r="A598" s="6"/>
      <c r="B598" s="3"/>
      <c r="C598" s="7"/>
    </row>
    <row r="599" spans="1:3" ht="13.2" x14ac:dyDescent="0.25">
      <c r="A599" s="6"/>
      <c r="B599" s="3"/>
      <c r="C599" s="7"/>
    </row>
    <row r="600" spans="1:3" ht="13.2" x14ac:dyDescent="0.25">
      <c r="A600" s="6"/>
      <c r="B600" s="3"/>
      <c r="C600" s="7"/>
    </row>
    <row r="601" spans="1:3" ht="13.2" x14ac:dyDescent="0.25">
      <c r="A601" s="6"/>
      <c r="B601" s="3"/>
      <c r="C601" s="7"/>
    </row>
    <row r="602" spans="1:3" ht="13.2" x14ac:dyDescent="0.25">
      <c r="A602" s="6"/>
      <c r="B602" s="3"/>
      <c r="C602" s="7"/>
    </row>
    <row r="603" spans="1:3" ht="13.2" x14ac:dyDescent="0.25">
      <c r="A603" s="6"/>
      <c r="B603" s="3"/>
      <c r="C603" s="7"/>
    </row>
    <row r="604" spans="1:3" ht="13.2" x14ac:dyDescent="0.25">
      <c r="A604" s="6"/>
      <c r="B604" s="3"/>
      <c r="C604" s="7"/>
    </row>
    <row r="605" spans="1:3" ht="13.2" x14ac:dyDescent="0.25">
      <c r="A605" s="6"/>
      <c r="B605" s="3"/>
      <c r="C605" s="7"/>
    </row>
    <row r="606" spans="1:3" ht="13.2" x14ac:dyDescent="0.25">
      <c r="A606" s="6"/>
      <c r="B606" s="3"/>
      <c r="C606" s="7"/>
    </row>
    <row r="607" spans="1:3" ht="13.2" x14ac:dyDescent="0.25">
      <c r="A607" s="6"/>
      <c r="B607" s="3"/>
      <c r="C607" s="7"/>
    </row>
    <row r="608" spans="1:3" ht="13.2" x14ac:dyDescent="0.25">
      <c r="A608" s="6"/>
      <c r="B608" s="3"/>
      <c r="C608" s="7"/>
    </row>
    <row r="609" spans="1:3" ht="13.2" x14ac:dyDescent="0.25">
      <c r="A609" s="6"/>
      <c r="B609" s="3"/>
      <c r="C609" s="7"/>
    </row>
    <row r="610" spans="1:3" ht="13.2" x14ac:dyDescent="0.25">
      <c r="A610" s="6"/>
      <c r="B610" s="3"/>
      <c r="C610" s="7"/>
    </row>
    <row r="611" spans="1:3" ht="13.2" x14ac:dyDescent="0.25">
      <c r="A611" s="6"/>
      <c r="B611" s="3"/>
      <c r="C611" s="7"/>
    </row>
    <row r="612" spans="1:3" ht="13.2" x14ac:dyDescent="0.25">
      <c r="A612" s="6"/>
      <c r="B612" s="3"/>
      <c r="C612" s="7"/>
    </row>
    <row r="613" spans="1:3" ht="13.2" x14ac:dyDescent="0.25">
      <c r="A613" s="6"/>
      <c r="B613" s="3"/>
      <c r="C613" s="7"/>
    </row>
    <row r="614" spans="1:3" ht="13.2" x14ac:dyDescent="0.25">
      <c r="A614" s="6"/>
      <c r="B614" s="3"/>
      <c r="C614" s="7"/>
    </row>
    <row r="615" spans="1:3" ht="13.2" x14ac:dyDescent="0.25">
      <c r="A615" s="6"/>
      <c r="B615" s="3"/>
      <c r="C615" s="7"/>
    </row>
    <row r="616" spans="1:3" ht="13.2" x14ac:dyDescent="0.25">
      <c r="A616" s="6"/>
      <c r="B616" s="3"/>
      <c r="C616" s="7"/>
    </row>
    <row r="617" spans="1:3" ht="13.2" x14ac:dyDescent="0.25">
      <c r="A617" s="6"/>
      <c r="B617" s="3"/>
      <c r="C617" s="7"/>
    </row>
    <row r="618" spans="1:3" ht="13.2" x14ac:dyDescent="0.25">
      <c r="A618" s="6"/>
      <c r="B618" s="3"/>
      <c r="C618" s="7"/>
    </row>
    <row r="619" spans="1:3" ht="13.2" x14ac:dyDescent="0.25">
      <c r="A619" s="6"/>
      <c r="B619" s="3"/>
      <c r="C619" s="7"/>
    </row>
    <row r="620" spans="1:3" ht="13.2" x14ac:dyDescent="0.25">
      <c r="A620" s="6"/>
      <c r="B620" s="3"/>
      <c r="C620" s="7"/>
    </row>
    <row r="621" spans="1:3" ht="13.2" x14ac:dyDescent="0.25">
      <c r="A621" s="6"/>
      <c r="B621" s="3"/>
      <c r="C621" s="7"/>
    </row>
    <row r="622" spans="1:3" ht="13.2" x14ac:dyDescent="0.25">
      <c r="A622" s="6"/>
      <c r="B622" s="3"/>
      <c r="C622" s="7"/>
    </row>
    <row r="623" spans="1:3" ht="13.2" x14ac:dyDescent="0.25">
      <c r="A623" s="6"/>
      <c r="B623" s="3"/>
      <c r="C623" s="7"/>
    </row>
    <row r="624" spans="1:3" ht="13.2" x14ac:dyDescent="0.25">
      <c r="A624" s="6"/>
      <c r="B624" s="3"/>
      <c r="C624" s="7"/>
    </row>
    <row r="625" spans="1:3" ht="13.2" x14ac:dyDescent="0.25">
      <c r="A625" s="6"/>
      <c r="B625" s="3"/>
      <c r="C625" s="7"/>
    </row>
    <row r="626" spans="1:3" ht="13.2" x14ac:dyDescent="0.25">
      <c r="A626" s="6"/>
      <c r="B626" s="3"/>
      <c r="C626" s="7"/>
    </row>
    <row r="627" spans="1:3" ht="13.2" x14ac:dyDescent="0.25">
      <c r="A627" s="6"/>
      <c r="B627" s="3"/>
      <c r="C627" s="7"/>
    </row>
    <row r="628" spans="1:3" ht="13.2" x14ac:dyDescent="0.25">
      <c r="A628" s="6"/>
      <c r="B628" s="3"/>
      <c r="C628" s="7"/>
    </row>
    <row r="629" spans="1:3" ht="13.2" x14ac:dyDescent="0.25">
      <c r="A629" s="6"/>
      <c r="B629" s="3"/>
      <c r="C629" s="7"/>
    </row>
    <row r="630" spans="1:3" ht="13.2" x14ac:dyDescent="0.25">
      <c r="A630" s="6"/>
      <c r="B630" s="3"/>
      <c r="C630" s="7"/>
    </row>
    <row r="631" spans="1:3" ht="13.2" x14ac:dyDescent="0.25">
      <c r="A631" s="6"/>
      <c r="B631" s="3"/>
      <c r="C631" s="7"/>
    </row>
    <row r="632" spans="1:3" ht="13.2" x14ac:dyDescent="0.25">
      <c r="A632" s="6"/>
      <c r="B632" s="3"/>
      <c r="C632" s="7"/>
    </row>
    <row r="633" spans="1:3" ht="13.2" x14ac:dyDescent="0.25">
      <c r="A633" s="6"/>
      <c r="B633" s="3"/>
      <c r="C633" s="7"/>
    </row>
    <row r="634" spans="1:3" ht="13.2" x14ac:dyDescent="0.25">
      <c r="A634" s="6"/>
      <c r="B634" s="3"/>
      <c r="C634" s="7"/>
    </row>
    <row r="635" spans="1:3" ht="13.2" x14ac:dyDescent="0.25">
      <c r="A635" s="6"/>
      <c r="B635" s="3"/>
      <c r="C635" s="7"/>
    </row>
    <row r="636" spans="1:3" ht="13.2" x14ac:dyDescent="0.25">
      <c r="A636" s="6"/>
      <c r="B636" s="3"/>
      <c r="C636" s="7"/>
    </row>
    <row r="637" spans="1:3" ht="13.2" x14ac:dyDescent="0.25">
      <c r="A637" s="6"/>
      <c r="B637" s="3"/>
      <c r="C637" s="7"/>
    </row>
    <row r="638" spans="1:3" ht="13.2" x14ac:dyDescent="0.25">
      <c r="A638" s="6"/>
      <c r="B638" s="3"/>
      <c r="C638" s="7"/>
    </row>
    <row r="639" spans="1:3" ht="13.2" x14ac:dyDescent="0.25">
      <c r="A639" s="6"/>
      <c r="B639" s="3"/>
      <c r="C639" s="7"/>
    </row>
    <row r="640" spans="1:3" ht="13.2" x14ac:dyDescent="0.25">
      <c r="A640" s="6"/>
      <c r="B640" s="3"/>
      <c r="C640" s="7"/>
    </row>
    <row r="641" spans="1:3" ht="13.2" x14ac:dyDescent="0.25">
      <c r="A641" s="6"/>
      <c r="B641" s="3"/>
      <c r="C641" s="7"/>
    </row>
    <row r="642" spans="1:3" ht="13.2" x14ac:dyDescent="0.25">
      <c r="A642" s="6"/>
      <c r="B642" s="3"/>
      <c r="C642" s="7"/>
    </row>
    <row r="643" spans="1:3" ht="13.2" x14ac:dyDescent="0.25">
      <c r="A643" s="6"/>
      <c r="B643" s="3"/>
      <c r="C643" s="7"/>
    </row>
    <row r="644" spans="1:3" ht="13.2" x14ac:dyDescent="0.25">
      <c r="A644" s="6"/>
      <c r="B644" s="3"/>
      <c r="C644" s="7"/>
    </row>
    <row r="645" spans="1:3" ht="13.2" x14ac:dyDescent="0.25">
      <c r="A645" s="6"/>
      <c r="B645" s="3"/>
      <c r="C645" s="7"/>
    </row>
    <row r="646" spans="1:3" ht="13.2" x14ac:dyDescent="0.25">
      <c r="A646" s="6"/>
      <c r="B646" s="3"/>
      <c r="C646" s="7"/>
    </row>
    <row r="647" spans="1:3" ht="13.2" x14ac:dyDescent="0.25">
      <c r="A647" s="6"/>
      <c r="B647" s="3"/>
      <c r="C647" s="7"/>
    </row>
    <row r="648" spans="1:3" ht="13.2" x14ac:dyDescent="0.25">
      <c r="A648" s="6"/>
      <c r="B648" s="3"/>
      <c r="C648" s="7"/>
    </row>
    <row r="649" spans="1:3" ht="13.2" x14ac:dyDescent="0.25">
      <c r="A649" s="6"/>
      <c r="B649" s="3"/>
      <c r="C649" s="7"/>
    </row>
    <row r="650" spans="1:3" ht="13.2" x14ac:dyDescent="0.25">
      <c r="A650" s="6"/>
      <c r="B650" s="3"/>
      <c r="C650" s="7"/>
    </row>
    <row r="651" spans="1:3" ht="13.2" x14ac:dyDescent="0.25">
      <c r="A651" s="6"/>
      <c r="B651" s="3"/>
      <c r="C651" s="7"/>
    </row>
    <row r="652" spans="1:3" ht="13.2" x14ac:dyDescent="0.25">
      <c r="A652" s="6"/>
      <c r="B652" s="3"/>
      <c r="C652" s="7"/>
    </row>
    <row r="653" spans="1:3" ht="13.2" x14ac:dyDescent="0.25">
      <c r="A653" s="6"/>
      <c r="B653" s="3"/>
      <c r="C653" s="7"/>
    </row>
    <row r="654" spans="1:3" ht="13.2" x14ac:dyDescent="0.25">
      <c r="A654" s="6"/>
      <c r="B654" s="3"/>
      <c r="C654" s="7"/>
    </row>
    <row r="655" spans="1:3" ht="13.2" x14ac:dyDescent="0.25">
      <c r="A655" s="6"/>
      <c r="B655" s="3"/>
      <c r="C655" s="7"/>
    </row>
    <row r="656" spans="1:3" ht="13.2" x14ac:dyDescent="0.25">
      <c r="A656" s="6"/>
      <c r="B656" s="3"/>
      <c r="C656" s="7"/>
    </row>
    <row r="657" spans="1:3" ht="13.2" x14ac:dyDescent="0.25">
      <c r="A657" s="6"/>
      <c r="B657" s="3"/>
      <c r="C657" s="7"/>
    </row>
    <row r="658" spans="1:3" ht="13.2" x14ac:dyDescent="0.25">
      <c r="A658" s="6"/>
      <c r="B658" s="3"/>
      <c r="C658" s="7"/>
    </row>
    <row r="659" spans="1:3" ht="13.2" x14ac:dyDescent="0.25">
      <c r="A659" s="6"/>
      <c r="B659" s="3"/>
      <c r="C659" s="7"/>
    </row>
    <row r="660" spans="1:3" ht="13.2" x14ac:dyDescent="0.25">
      <c r="A660" s="6"/>
      <c r="B660" s="3"/>
      <c r="C660" s="7"/>
    </row>
    <row r="661" spans="1:3" ht="13.2" x14ac:dyDescent="0.25">
      <c r="A661" s="6"/>
      <c r="B661" s="3"/>
      <c r="C661" s="7"/>
    </row>
    <row r="662" spans="1:3" ht="13.2" x14ac:dyDescent="0.25">
      <c r="A662" s="6"/>
      <c r="B662" s="3"/>
      <c r="C662" s="7"/>
    </row>
    <row r="663" spans="1:3" ht="13.2" x14ac:dyDescent="0.25">
      <c r="A663" s="6"/>
      <c r="B663" s="3"/>
      <c r="C663" s="7"/>
    </row>
    <row r="664" spans="1:3" ht="13.2" x14ac:dyDescent="0.25">
      <c r="A664" s="6"/>
      <c r="B664" s="3"/>
      <c r="C664" s="7"/>
    </row>
    <row r="665" spans="1:3" ht="13.2" x14ac:dyDescent="0.25">
      <c r="A665" s="6"/>
      <c r="B665" s="3"/>
      <c r="C665" s="7"/>
    </row>
    <row r="666" spans="1:3" ht="13.2" x14ac:dyDescent="0.25">
      <c r="A666" s="6"/>
      <c r="B666" s="3"/>
      <c r="C666" s="7"/>
    </row>
    <row r="667" spans="1:3" ht="13.2" x14ac:dyDescent="0.25">
      <c r="A667" s="6"/>
      <c r="B667" s="3"/>
      <c r="C667" s="7"/>
    </row>
    <row r="668" spans="1:3" ht="13.2" x14ac:dyDescent="0.25">
      <c r="A668" s="6"/>
      <c r="B668" s="3"/>
      <c r="C668" s="7"/>
    </row>
    <row r="669" spans="1:3" ht="13.2" x14ac:dyDescent="0.25">
      <c r="A669" s="6"/>
      <c r="B669" s="3"/>
      <c r="C669" s="7"/>
    </row>
    <row r="670" spans="1:3" ht="13.2" x14ac:dyDescent="0.25">
      <c r="A670" s="6"/>
      <c r="B670" s="3"/>
      <c r="C670" s="7"/>
    </row>
    <row r="671" spans="1:3" ht="13.2" x14ac:dyDescent="0.25">
      <c r="A671" s="6"/>
      <c r="B671" s="3"/>
      <c r="C671" s="7"/>
    </row>
    <row r="672" spans="1:3" ht="13.2" x14ac:dyDescent="0.25">
      <c r="A672" s="6"/>
      <c r="B672" s="3"/>
      <c r="C672" s="7"/>
    </row>
    <row r="673" spans="1:3" ht="13.2" x14ac:dyDescent="0.25">
      <c r="A673" s="6"/>
      <c r="B673" s="3"/>
      <c r="C673" s="7"/>
    </row>
    <row r="674" spans="1:3" ht="13.2" x14ac:dyDescent="0.25">
      <c r="A674" s="6"/>
      <c r="B674" s="3"/>
      <c r="C674" s="7"/>
    </row>
    <row r="675" spans="1:3" ht="13.2" x14ac:dyDescent="0.25">
      <c r="A675" s="6"/>
      <c r="B675" s="3"/>
      <c r="C675" s="7"/>
    </row>
    <row r="676" spans="1:3" ht="13.2" x14ac:dyDescent="0.25">
      <c r="A676" s="6"/>
      <c r="B676" s="3"/>
      <c r="C676" s="7"/>
    </row>
    <row r="677" spans="1:3" ht="13.2" x14ac:dyDescent="0.25">
      <c r="A677" s="6"/>
      <c r="B677" s="3"/>
      <c r="C677" s="7"/>
    </row>
    <row r="678" spans="1:3" ht="13.2" x14ac:dyDescent="0.25">
      <c r="A678" s="6"/>
      <c r="B678" s="3"/>
      <c r="C678" s="7"/>
    </row>
    <row r="679" spans="1:3" ht="13.2" x14ac:dyDescent="0.25">
      <c r="A679" s="6"/>
      <c r="B679" s="3"/>
      <c r="C679" s="7"/>
    </row>
    <row r="680" spans="1:3" ht="13.2" x14ac:dyDescent="0.25">
      <c r="A680" s="6"/>
      <c r="B680" s="3"/>
      <c r="C680" s="7"/>
    </row>
    <row r="681" spans="1:3" ht="13.2" x14ac:dyDescent="0.25">
      <c r="A681" s="6"/>
      <c r="B681" s="3"/>
      <c r="C681" s="7"/>
    </row>
    <row r="682" spans="1:3" ht="13.2" x14ac:dyDescent="0.25">
      <c r="A682" s="6"/>
      <c r="B682" s="3"/>
      <c r="C682" s="7"/>
    </row>
    <row r="683" spans="1:3" ht="13.2" x14ac:dyDescent="0.25">
      <c r="A683" s="6"/>
      <c r="B683" s="3"/>
      <c r="C683" s="7"/>
    </row>
    <row r="684" spans="1:3" ht="13.2" x14ac:dyDescent="0.25">
      <c r="A684" s="6"/>
      <c r="B684" s="3"/>
      <c r="C684" s="7"/>
    </row>
    <row r="685" spans="1:3" ht="13.2" x14ac:dyDescent="0.25">
      <c r="A685" s="6"/>
      <c r="B685" s="3"/>
      <c r="C685" s="7"/>
    </row>
    <row r="686" spans="1:3" ht="13.2" x14ac:dyDescent="0.25">
      <c r="A686" s="6"/>
      <c r="B686" s="3"/>
      <c r="C686" s="7"/>
    </row>
    <row r="687" spans="1:3" ht="13.2" x14ac:dyDescent="0.25">
      <c r="A687" s="6"/>
      <c r="B687" s="3"/>
      <c r="C687" s="7"/>
    </row>
    <row r="688" spans="1:3" ht="13.2" x14ac:dyDescent="0.25">
      <c r="A688" s="6"/>
      <c r="B688" s="3"/>
      <c r="C688" s="7"/>
    </row>
    <row r="689" spans="1:3" ht="13.2" x14ac:dyDescent="0.25">
      <c r="A689" s="6"/>
      <c r="B689" s="3"/>
      <c r="C689" s="7"/>
    </row>
    <row r="690" spans="1:3" ht="13.2" x14ac:dyDescent="0.25">
      <c r="A690" s="6"/>
      <c r="B690" s="3"/>
      <c r="C690" s="7"/>
    </row>
    <row r="691" spans="1:3" ht="13.2" x14ac:dyDescent="0.25">
      <c r="A691" s="6"/>
      <c r="B691" s="3"/>
      <c r="C691" s="7"/>
    </row>
    <row r="692" spans="1:3" ht="13.2" x14ac:dyDescent="0.25">
      <c r="A692" s="6"/>
      <c r="B692" s="3"/>
      <c r="C692" s="7"/>
    </row>
    <row r="693" spans="1:3" ht="13.2" x14ac:dyDescent="0.25">
      <c r="A693" s="6"/>
      <c r="B693" s="3"/>
      <c r="C693" s="7"/>
    </row>
    <row r="694" spans="1:3" ht="13.2" x14ac:dyDescent="0.25">
      <c r="A694" s="6"/>
      <c r="B694" s="3"/>
      <c r="C694" s="7"/>
    </row>
    <row r="695" spans="1:3" ht="13.2" x14ac:dyDescent="0.25">
      <c r="A695" s="6"/>
      <c r="B695" s="3"/>
      <c r="C695" s="7"/>
    </row>
    <row r="696" spans="1:3" ht="13.2" x14ac:dyDescent="0.25">
      <c r="A696" s="6"/>
      <c r="B696" s="3"/>
      <c r="C696" s="7"/>
    </row>
    <row r="697" spans="1:3" ht="13.2" x14ac:dyDescent="0.25">
      <c r="A697" s="6"/>
      <c r="B697" s="3"/>
      <c r="C697" s="7"/>
    </row>
    <row r="698" spans="1:3" ht="13.2" x14ac:dyDescent="0.25">
      <c r="A698" s="6"/>
      <c r="B698" s="3"/>
      <c r="C698" s="7"/>
    </row>
    <row r="699" spans="1:3" ht="13.2" x14ac:dyDescent="0.25">
      <c r="A699" s="6"/>
      <c r="B699" s="3"/>
      <c r="C699" s="7"/>
    </row>
    <row r="700" spans="1:3" ht="13.2" x14ac:dyDescent="0.25">
      <c r="A700" s="6"/>
      <c r="B700" s="3"/>
      <c r="C700" s="7"/>
    </row>
    <row r="701" spans="1:3" ht="13.2" x14ac:dyDescent="0.25">
      <c r="A701" s="6"/>
      <c r="B701" s="3"/>
      <c r="C701" s="7"/>
    </row>
    <row r="702" spans="1:3" ht="13.2" x14ac:dyDescent="0.25">
      <c r="A702" s="6"/>
      <c r="B702" s="3"/>
      <c r="C702" s="7"/>
    </row>
    <row r="703" spans="1:3" ht="13.2" x14ac:dyDescent="0.25">
      <c r="A703" s="6"/>
      <c r="B703" s="3"/>
      <c r="C703" s="7"/>
    </row>
    <row r="704" spans="1:3" ht="13.2" x14ac:dyDescent="0.25">
      <c r="A704" s="6"/>
      <c r="B704" s="3"/>
      <c r="C704" s="7"/>
    </row>
    <row r="705" spans="1:3" ht="13.2" x14ac:dyDescent="0.25">
      <c r="A705" s="6"/>
      <c r="B705" s="3"/>
      <c r="C705" s="7"/>
    </row>
    <row r="706" spans="1:3" ht="13.2" x14ac:dyDescent="0.25">
      <c r="A706" s="6"/>
      <c r="B706" s="3"/>
      <c r="C706" s="7"/>
    </row>
    <row r="707" spans="1:3" ht="13.2" x14ac:dyDescent="0.25">
      <c r="A707" s="6"/>
      <c r="B707" s="3"/>
      <c r="C707" s="7"/>
    </row>
    <row r="708" spans="1:3" ht="13.2" x14ac:dyDescent="0.25">
      <c r="A708" s="6"/>
      <c r="B708" s="3"/>
      <c r="C708" s="7"/>
    </row>
    <row r="709" spans="1:3" ht="13.2" x14ac:dyDescent="0.25">
      <c r="A709" s="6"/>
      <c r="B709" s="3"/>
      <c r="C709" s="7"/>
    </row>
    <row r="710" spans="1:3" ht="13.2" x14ac:dyDescent="0.25">
      <c r="A710" s="6"/>
      <c r="B710" s="3"/>
      <c r="C710" s="7"/>
    </row>
    <row r="711" spans="1:3" ht="13.2" x14ac:dyDescent="0.25">
      <c r="A711" s="6"/>
      <c r="B711" s="3"/>
      <c r="C711" s="7"/>
    </row>
    <row r="712" spans="1:3" ht="13.2" x14ac:dyDescent="0.25">
      <c r="A712" s="6"/>
      <c r="B712" s="3"/>
      <c r="C712" s="7"/>
    </row>
    <row r="713" spans="1:3" ht="13.2" x14ac:dyDescent="0.25">
      <c r="A713" s="6"/>
      <c r="B713" s="3"/>
      <c r="C713" s="7"/>
    </row>
    <row r="714" spans="1:3" ht="13.2" x14ac:dyDescent="0.25">
      <c r="A714" s="6"/>
      <c r="B714" s="3"/>
      <c r="C714" s="7"/>
    </row>
    <row r="715" spans="1:3" ht="13.2" x14ac:dyDescent="0.25">
      <c r="A715" s="6"/>
      <c r="B715" s="3"/>
      <c r="C715" s="7"/>
    </row>
    <row r="716" spans="1:3" ht="13.2" x14ac:dyDescent="0.25">
      <c r="A716" s="6"/>
      <c r="B716" s="3"/>
      <c r="C716" s="7"/>
    </row>
    <row r="717" spans="1:3" ht="13.2" x14ac:dyDescent="0.25">
      <c r="A717" s="6"/>
      <c r="B717" s="3"/>
      <c r="C717" s="7"/>
    </row>
    <row r="718" spans="1:3" ht="13.2" x14ac:dyDescent="0.25">
      <c r="A718" s="6"/>
      <c r="B718" s="3"/>
      <c r="C718" s="7"/>
    </row>
    <row r="719" spans="1:3" ht="13.2" x14ac:dyDescent="0.25">
      <c r="A719" s="6"/>
      <c r="B719" s="3"/>
      <c r="C719" s="7"/>
    </row>
    <row r="720" spans="1:3" ht="13.2" x14ac:dyDescent="0.25">
      <c r="A720" s="6"/>
      <c r="B720" s="3"/>
      <c r="C720" s="7"/>
    </row>
    <row r="721" spans="1:3" ht="13.2" x14ac:dyDescent="0.25">
      <c r="A721" s="6"/>
      <c r="B721" s="3"/>
      <c r="C721" s="7"/>
    </row>
    <row r="722" spans="1:3" ht="13.2" x14ac:dyDescent="0.25">
      <c r="A722" s="6"/>
      <c r="B722" s="3"/>
      <c r="C722" s="7"/>
    </row>
    <row r="723" spans="1:3" ht="13.2" x14ac:dyDescent="0.25">
      <c r="A723" s="6"/>
      <c r="B723" s="3"/>
      <c r="C723" s="7"/>
    </row>
    <row r="724" spans="1:3" ht="13.2" x14ac:dyDescent="0.25">
      <c r="A724" s="6"/>
      <c r="B724" s="3"/>
      <c r="C724" s="7"/>
    </row>
    <row r="725" spans="1:3" ht="13.2" x14ac:dyDescent="0.25">
      <c r="A725" s="6"/>
      <c r="B725" s="3"/>
      <c r="C725" s="7"/>
    </row>
    <row r="726" spans="1:3" ht="13.2" x14ac:dyDescent="0.25">
      <c r="A726" s="6"/>
      <c r="B726" s="3"/>
      <c r="C726" s="7"/>
    </row>
    <row r="727" spans="1:3" ht="13.2" x14ac:dyDescent="0.25">
      <c r="A727" s="6"/>
      <c r="B727" s="3"/>
      <c r="C727" s="7"/>
    </row>
    <row r="728" spans="1:3" ht="13.2" x14ac:dyDescent="0.25">
      <c r="A728" s="6"/>
      <c r="B728" s="3"/>
      <c r="C728" s="7"/>
    </row>
    <row r="729" spans="1:3" ht="13.2" x14ac:dyDescent="0.25">
      <c r="A729" s="6"/>
      <c r="B729" s="3"/>
      <c r="C729" s="7"/>
    </row>
    <row r="730" spans="1:3" ht="13.2" x14ac:dyDescent="0.25">
      <c r="A730" s="6"/>
      <c r="B730" s="3"/>
      <c r="C730" s="7"/>
    </row>
    <row r="731" spans="1:3" ht="13.2" x14ac:dyDescent="0.25">
      <c r="A731" s="6"/>
      <c r="B731" s="3"/>
      <c r="C731" s="7"/>
    </row>
    <row r="732" spans="1:3" ht="13.2" x14ac:dyDescent="0.25">
      <c r="A732" s="6"/>
      <c r="B732" s="3"/>
      <c r="C732" s="7"/>
    </row>
    <row r="733" spans="1:3" ht="13.2" x14ac:dyDescent="0.25">
      <c r="A733" s="6"/>
      <c r="B733" s="3"/>
      <c r="C733" s="7"/>
    </row>
    <row r="734" spans="1:3" ht="13.2" x14ac:dyDescent="0.25">
      <c r="A734" s="6"/>
      <c r="B734" s="3"/>
      <c r="C734" s="7"/>
    </row>
    <row r="735" spans="1:3" ht="13.2" x14ac:dyDescent="0.25">
      <c r="A735" s="6"/>
      <c r="B735" s="3"/>
      <c r="C735" s="7"/>
    </row>
    <row r="736" spans="1:3" ht="13.2" x14ac:dyDescent="0.25">
      <c r="A736" s="6"/>
      <c r="B736" s="3"/>
      <c r="C736" s="7"/>
    </row>
    <row r="737" spans="1:3" ht="13.2" x14ac:dyDescent="0.25">
      <c r="A737" s="6"/>
      <c r="B737" s="3"/>
      <c r="C737" s="7"/>
    </row>
    <row r="738" spans="1:3" ht="13.2" x14ac:dyDescent="0.25">
      <c r="A738" s="6"/>
      <c r="B738" s="3"/>
      <c r="C738" s="7"/>
    </row>
    <row r="739" spans="1:3" ht="13.2" x14ac:dyDescent="0.25">
      <c r="A739" s="6"/>
      <c r="B739" s="3"/>
      <c r="C739" s="7"/>
    </row>
    <row r="740" spans="1:3" ht="13.2" x14ac:dyDescent="0.25">
      <c r="A740" s="6"/>
      <c r="B740" s="3"/>
      <c r="C740" s="7"/>
    </row>
    <row r="741" spans="1:3" ht="13.2" x14ac:dyDescent="0.25">
      <c r="A741" s="6"/>
      <c r="B741" s="3"/>
      <c r="C741" s="7"/>
    </row>
    <row r="742" spans="1:3" ht="13.2" x14ac:dyDescent="0.25">
      <c r="A742" s="6"/>
      <c r="B742" s="3"/>
      <c r="C742" s="7"/>
    </row>
    <row r="743" spans="1:3" ht="13.2" x14ac:dyDescent="0.25">
      <c r="A743" s="6"/>
      <c r="B743" s="3"/>
      <c r="C743" s="7"/>
    </row>
    <row r="744" spans="1:3" ht="13.2" x14ac:dyDescent="0.25">
      <c r="A744" s="6"/>
      <c r="B744" s="3"/>
      <c r="C744" s="7"/>
    </row>
    <row r="745" spans="1:3" ht="13.2" x14ac:dyDescent="0.25">
      <c r="A745" s="6"/>
      <c r="B745" s="3"/>
      <c r="C745" s="7"/>
    </row>
    <row r="746" spans="1:3" ht="13.2" x14ac:dyDescent="0.25">
      <c r="A746" s="6"/>
      <c r="B746" s="3"/>
      <c r="C746" s="7"/>
    </row>
    <row r="747" spans="1:3" ht="13.2" x14ac:dyDescent="0.25">
      <c r="A747" s="6"/>
      <c r="B747" s="3"/>
      <c r="C747" s="7"/>
    </row>
    <row r="748" spans="1:3" ht="13.2" x14ac:dyDescent="0.25">
      <c r="A748" s="6"/>
      <c r="B748" s="3"/>
      <c r="C748" s="7"/>
    </row>
    <row r="749" spans="1:3" ht="13.2" x14ac:dyDescent="0.25">
      <c r="A749" s="6"/>
      <c r="B749" s="3"/>
      <c r="C749" s="7"/>
    </row>
    <row r="750" spans="1:3" ht="13.2" x14ac:dyDescent="0.25">
      <c r="A750" s="6"/>
      <c r="B750" s="3"/>
      <c r="C750" s="7"/>
    </row>
    <row r="751" spans="1:3" ht="13.2" x14ac:dyDescent="0.25">
      <c r="A751" s="6"/>
      <c r="B751" s="3"/>
      <c r="C751" s="7"/>
    </row>
    <row r="752" spans="1:3" ht="13.2" x14ac:dyDescent="0.25">
      <c r="A752" s="6"/>
      <c r="B752" s="3"/>
      <c r="C752" s="7"/>
    </row>
    <row r="753" spans="1:3" ht="13.2" x14ac:dyDescent="0.25">
      <c r="A753" s="6"/>
      <c r="B753" s="3"/>
      <c r="C753" s="7"/>
    </row>
    <row r="754" spans="1:3" ht="13.2" x14ac:dyDescent="0.25">
      <c r="A754" s="6"/>
      <c r="B754" s="3"/>
      <c r="C754" s="7"/>
    </row>
    <row r="755" spans="1:3" ht="13.2" x14ac:dyDescent="0.25">
      <c r="A755" s="6"/>
      <c r="B755" s="3"/>
      <c r="C755" s="7"/>
    </row>
    <row r="756" spans="1:3" ht="13.2" x14ac:dyDescent="0.25">
      <c r="A756" s="6"/>
      <c r="B756" s="3"/>
      <c r="C756" s="7"/>
    </row>
    <row r="757" spans="1:3" ht="13.2" x14ac:dyDescent="0.25">
      <c r="A757" s="6"/>
      <c r="B757" s="3"/>
      <c r="C757" s="7"/>
    </row>
    <row r="758" spans="1:3" ht="13.2" x14ac:dyDescent="0.25">
      <c r="A758" s="6"/>
      <c r="B758" s="3"/>
      <c r="C758" s="7"/>
    </row>
    <row r="759" spans="1:3" ht="13.2" x14ac:dyDescent="0.25">
      <c r="A759" s="6"/>
      <c r="B759" s="3"/>
      <c r="C759" s="7"/>
    </row>
    <row r="760" spans="1:3" ht="13.2" x14ac:dyDescent="0.25">
      <c r="A760" s="6"/>
      <c r="B760" s="3"/>
      <c r="C760" s="7"/>
    </row>
    <row r="761" spans="1:3" ht="13.2" x14ac:dyDescent="0.25">
      <c r="A761" s="6"/>
      <c r="B761" s="3"/>
      <c r="C761" s="7"/>
    </row>
    <row r="762" spans="1:3" ht="13.2" x14ac:dyDescent="0.25">
      <c r="A762" s="6"/>
      <c r="B762" s="3"/>
      <c r="C762" s="7"/>
    </row>
    <row r="763" spans="1:3" ht="13.2" x14ac:dyDescent="0.25">
      <c r="A763" s="6"/>
      <c r="B763" s="3"/>
      <c r="C763" s="7"/>
    </row>
    <row r="764" spans="1:3" ht="13.2" x14ac:dyDescent="0.25">
      <c r="A764" s="6"/>
      <c r="B764" s="3"/>
      <c r="C764" s="7"/>
    </row>
    <row r="765" spans="1:3" ht="13.2" x14ac:dyDescent="0.25">
      <c r="A765" s="6"/>
      <c r="B765" s="3"/>
      <c r="C765" s="7"/>
    </row>
    <row r="766" spans="1:3" ht="13.2" x14ac:dyDescent="0.25">
      <c r="A766" s="6"/>
      <c r="B766" s="3"/>
      <c r="C766" s="7"/>
    </row>
    <row r="767" spans="1:3" ht="13.2" x14ac:dyDescent="0.25">
      <c r="A767" s="6"/>
      <c r="B767" s="3"/>
      <c r="C767" s="7"/>
    </row>
    <row r="768" spans="1:3" ht="13.2" x14ac:dyDescent="0.25">
      <c r="A768" s="6"/>
      <c r="B768" s="3"/>
      <c r="C768" s="7"/>
    </row>
    <row r="769" spans="1:3" ht="13.2" x14ac:dyDescent="0.25">
      <c r="A769" s="6"/>
      <c r="B769" s="3"/>
      <c r="C769" s="7"/>
    </row>
    <row r="770" spans="1:3" ht="13.2" x14ac:dyDescent="0.25">
      <c r="A770" s="6"/>
      <c r="B770" s="3"/>
      <c r="C770" s="7"/>
    </row>
    <row r="771" spans="1:3" ht="13.2" x14ac:dyDescent="0.25">
      <c r="A771" s="6"/>
      <c r="B771" s="3"/>
      <c r="C771" s="7"/>
    </row>
    <row r="772" spans="1:3" ht="13.2" x14ac:dyDescent="0.25">
      <c r="A772" s="6"/>
      <c r="B772" s="3"/>
      <c r="C772" s="7"/>
    </row>
    <row r="773" spans="1:3" ht="13.2" x14ac:dyDescent="0.25">
      <c r="A773" s="6"/>
      <c r="B773" s="3"/>
      <c r="C773" s="7"/>
    </row>
    <row r="774" spans="1:3" ht="13.2" x14ac:dyDescent="0.25">
      <c r="A774" s="6"/>
      <c r="B774" s="3"/>
      <c r="C774" s="7"/>
    </row>
    <row r="775" spans="1:3" ht="13.2" x14ac:dyDescent="0.25">
      <c r="A775" s="6"/>
      <c r="B775" s="3"/>
      <c r="C775" s="7"/>
    </row>
    <row r="776" spans="1:3" ht="13.2" x14ac:dyDescent="0.25">
      <c r="A776" s="6"/>
      <c r="B776" s="3"/>
      <c r="C776" s="7"/>
    </row>
    <row r="777" spans="1:3" ht="13.2" x14ac:dyDescent="0.25">
      <c r="A777" s="6"/>
      <c r="B777" s="3"/>
      <c r="C777" s="7"/>
    </row>
    <row r="778" spans="1:3" ht="13.2" x14ac:dyDescent="0.25">
      <c r="A778" s="6"/>
      <c r="B778" s="3"/>
      <c r="C778" s="7"/>
    </row>
    <row r="779" spans="1:3" ht="13.2" x14ac:dyDescent="0.25">
      <c r="A779" s="6"/>
      <c r="B779" s="3"/>
      <c r="C779" s="7"/>
    </row>
    <row r="780" spans="1:3" ht="13.2" x14ac:dyDescent="0.25">
      <c r="A780" s="6"/>
      <c r="B780" s="3"/>
      <c r="C780" s="7"/>
    </row>
    <row r="781" spans="1:3" ht="13.2" x14ac:dyDescent="0.25">
      <c r="A781" s="6"/>
      <c r="B781" s="3"/>
      <c r="C781" s="7"/>
    </row>
    <row r="782" spans="1:3" ht="13.2" x14ac:dyDescent="0.25">
      <c r="A782" s="6"/>
      <c r="B782" s="3"/>
      <c r="C782" s="7"/>
    </row>
    <row r="783" spans="1:3" ht="13.2" x14ac:dyDescent="0.25">
      <c r="A783" s="6"/>
      <c r="B783" s="3"/>
      <c r="C783" s="7"/>
    </row>
    <row r="784" spans="1:3" ht="13.2" x14ac:dyDescent="0.25">
      <c r="A784" s="6"/>
      <c r="B784" s="3"/>
      <c r="C784" s="7"/>
    </row>
    <row r="785" spans="1:3" ht="13.2" x14ac:dyDescent="0.25">
      <c r="A785" s="6"/>
      <c r="B785" s="3"/>
      <c r="C785" s="7"/>
    </row>
    <row r="786" spans="1:3" ht="13.2" x14ac:dyDescent="0.25">
      <c r="A786" s="6"/>
      <c r="B786" s="3"/>
      <c r="C786" s="7"/>
    </row>
    <row r="787" spans="1:3" ht="13.2" x14ac:dyDescent="0.25">
      <c r="A787" s="6"/>
      <c r="B787" s="3"/>
      <c r="C787" s="7"/>
    </row>
    <row r="788" spans="1:3" ht="13.2" x14ac:dyDescent="0.25">
      <c r="A788" s="6"/>
      <c r="B788" s="3"/>
      <c r="C788" s="7"/>
    </row>
    <row r="789" spans="1:3" ht="13.2" x14ac:dyDescent="0.25">
      <c r="A789" s="6"/>
      <c r="B789" s="3"/>
      <c r="C789" s="7"/>
    </row>
    <row r="790" spans="1:3" ht="13.2" x14ac:dyDescent="0.25">
      <c r="A790" s="6"/>
      <c r="B790" s="3"/>
      <c r="C790" s="7"/>
    </row>
    <row r="791" spans="1:3" ht="13.2" x14ac:dyDescent="0.25">
      <c r="A791" s="6"/>
      <c r="B791" s="3"/>
      <c r="C791" s="7"/>
    </row>
    <row r="792" spans="1:3" ht="13.2" x14ac:dyDescent="0.25">
      <c r="A792" s="6"/>
      <c r="B792" s="3"/>
      <c r="C792" s="7"/>
    </row>
    <row r="793" spans="1:3" ht="13.2" x14ac:dyDescent="0.25">
      <c r="A793" s="6"/>
      <c r="B793" s="3"/>
      <c r="C793" s="7"/>
    </row>
    <row r="794" spans="1:3" ht="13.2" x14ac:dyDescent="0.25">
      <c r="A794" s="6"/>
      <c r="B794" s="3"/>
      <c r="C794" s="7"/>
    </row>
    <row r="795" spans="1:3" ht="13.2" x14ac:dyDescent="0.25">
      <c r="A795" s="6"/>
      <c r="B795" s="3"/>
      <c r="C795" s="7"/>
    </row>
    <row r="796" spans="1:3" ht="13.2" x14ac:dyDescent="0.25">
      <c r="A796" s="6"/>
      <c r="B796" s="3"/>
      <c r="C796" s="7"/>
    </row>
    <row r="797" spans="1:3" ht="13.2" x14ac:dyDescent="0.25">
      <c r="A797" s="6"/>
      <c r="B797" s="3"/>
      <c r="C797" s="7"/>
    </row>
    <row r="798" spans="1:3" ht="13.2" x14ac:dyDescent="0.25">
      <c r="A798" s="6"/>
      <c r="B798" s="3"/>
      <c r="C798" s="7"/>
    </row>
    <row r="799" spans="1:3" ht="13.2" x14ac:dyDescent="0.25">
      <c r="A799" s="6"/>
      <c r="B799" s="3"/>
      <c r="C799" s="7"/>
    </row>
    <row r="800" spans="1:3" ht="13.2" x14ac:dyDescent="0.25">
      <c r="A800" s="6"/>
      <c r="B800" s="3"/>
      <c r="C800" s="7"/>
    </row>
    <row r="801" spans="1:3" ht="13.2" x14ac:dyDescent="0.25">
      <c r="A801" s="6"/>
      <c r="B801" s="3"/>
      <c r="C801" s="7"/>
    </row>
    <row r="802" spans="1:3" ht="13.2" x14ac:dyDescent="0.25">
      <c r="A802" s="6"/>
      <c r="B802" s="3"/>
      <c r="C802" s="7"/>
    </row>
    <row r="803" spans="1:3" ht="13.2" x14ac:dyDescent="0.25">
      <c r="A803" s="6"/>
      <c r="B803" s="3"/>
      <c r="C803" s="7"/>
    </row>
    <row r="804" spans="1:3" ht="13.2" x14ac:dyDescent="0.25">
      <c r="A804" s="6"/>
      <c r="B804" s="3"/>
      <c r="C804" s="7"/>
    </row>
    <row r="805" spans="1:3" ht="13.2" x14ac:dyDescent="0.25">
      <c r="A805" s="6"/>
      <c r="B805" s="3"/>
      <c r="C805" s="7"/>
    </row>
    <row r="806" spans="1:3" ht="13.2" x14ac:dyDescent="0.25">
      <c r="A806" s="6"/>
      <c r="B806" s="3"/>
      <c r="C806" s="7"/>
    </row>
    <row r="807" spans="1:3" ht="13.2" x14ac:dyDescent="0.25">
      <c r="A807" s="6"/>
      <c r="B807" s="3"/>
      <c r="C807" s="7"/>
    </row>
    <row r="808" spans="1:3" ht="13.2" x14ac:dyDescent="0.25">
      <c r="A808" s="6"/>
      <c r="B808" s="3"/>
      <c r="C808" s="7"/>
    </row>
    <row r="809" spans="1:3" ht="13.2" x14ac:dyDescent="0.25">
      <c r="A809" s="6"/>
      <c r="B809" s="3"/>
      <c r="C809" s="7"/>
    </row>
    <row r="810" spans="1:3" ht="13.2" x14ac:dyDescent="0.25">
      <c r="A810" s="6"/>
      <c r="B810" s="3"/>
      <c r="C810" s="7"/>
    </row>
    <row r="811" spans="1:3" ht="13.2" x14ac:dyDescent="0.25">
      <c r="A811" s="6"/>
      <c r="B811" s="3"/>
      <c r="C811" s="7"/>
    </row>
    <row r="812" spans="1:3" ht="13.2" x14ac:dyDescent="0.25">
      <c r="A812" s="6"/>
      <c r="B812" s="3"/>
      <c r="C812" s="7"/>
    </row>
    <row r="813" spans="1:3" ht="13.2" x14ac:dyDescent="0.25">
      <c r="A813" s="6"/>
      <c r="B813" s="3"/>
      <c r="C813" s="7"/>
    </row>
    <row r="814" spans="1:3" ht="13.2" x14ac:dyDescent="0.25">
      <c r="A814" s="6"/>
      <c r="B814" s="3"/>
      <c r="C814" s="7"/>
    </row>
    <row r="815" spans="1:3" ht="13.2" x14ac:dyDescent="0.25">
      <c r="A815" s="6"/>
      <c r="B815" s="3"/>
      <c r="C815" s="7"/>
    </row>
    <row r="816" spans="1:3" ht="13.2" x14ac:dyDescent="0.25">
      <c r="A816" s="6"/>
      <c r="B816" s="3"/>
      <c r="C816" s="7"/>
    </row>
    <row r="817" spans="1:3" ht="13.2" x14ac:dyDescent="0.25">
      <c r="A817" s="6"/>
      <c r="B817" s="3"/>
      <c r="C817" s="7"/>
    </row>
    <row r="818" spans="1:3" ht="13.2" x14ac:dyDescent="0.25">
      <c r="A818" s="6"/>
      <c r="B818" s="3"/>
      <c r="C818" s="7"/>
    </row>
    <row r="819" spans="1:3" ht="13.2" x14ac:dyDescent="0.25">
      <c r="A819" s="6"/>
      <c r="B819" s="3"/>
      <c r="C819" s="7"/>
    </row>
    <row r="820" spans="1:3" ht="13.2" x14ac:dyDescent="0.25">
      <c r="A820" s="6"/>
      <c r="B820" s="3"/>
      <c r="C820" s="7"/>
    </row>
    <row r="821" spans="1:3" ht="13.2" x14ac:dyDescent="0.25">
      <c r="A821" s="6"/>
      <c r="B821" s="3"/>
      <c r="C821" s="7"/>
    </row>
    <row r="822" spans="1:3" ht="13.2" x14ac:dyDescent="0.25">
      <c r="A822" s="6"/>
      <c r="B822" s="3"/>
      <c r="C822" s="7"/>
    </row>
    <row r="823" spans="1:3" ht="13.2" x14ac:dyDescent="0.25">
      <c r="A823" s="6"/>
      <c r="B823" s="3"/>
      <c r="C823" s="7"/>
    </row>
    <row r="824" spans="1:3" ht="13.2" x14ac:dyDescent="0.25">
      <c r="A824" s="6"/>
      <c r="B824" s="3"/>
      <c r="C824" s="7"/>
    </row>
    <row r="825" spans="1:3" ht="13.2" x14ac:dyDescent="0.25">
      <c r="A825" s="6"/>
      <c r="B825" s="3"/>
      <c r="C825" s="7"/>
    </row>
    <row r="826" spans="1:3" ht="13.2" x14ac:dyDescent="0.25">
      <c r="A826" s="6"/>
      <c r="B826" s="3"/>
      <c r="C826" s="7"/>
    </row>
    <row r="827" spans="1:3" ht="13.2" x14ac:dyDescent="0.25">
      <c r="A827" s="6"/>
      <c r="B827" s="3"/>
      <c r="C827" s="7"/>
    </row>
    <row r="828" spans="1:3" ht="13.2" x14ac:dyDescent="0.25">
      <c r="A828" s="6"/>
      <c r="B828" s="3"/>
      <c r="C828" s="7"/>
    </row>
    <row r="829" spans="1:3" ht="13.2" x14ac:dyDescent="0.25">
      <c r="A829" s="6"/>
      <c r="B829" s="3"/>
      <c r="C829" s="7"/>
    </row>
    <row r="830" spans="1:3" ht="13.2" x14ac:dyDescent="0.25">
      <c r="A830" s="6"/>
      <c r="B830" s="3"/>
      <c r="C830" s="7"/>
    </row>
    <row r="831" spans="1:3" ht="13.2" x14ac:dyDescent="0.25">
      <c r="A831" s="6"/>
      <c r="B831" s="3"/>
      <c r="C831" s="7"/>
    </row>
    <row r="832" spans="1:3" ht="13.2" x14ac:dyDescent="0.25">
      <c r="A832" s="6"/>
      <c r="B832" s="3"/>
      <c r="C832" s="7"/>
    </row>
    <row r="833" spans="1:3" ht="13.2" x14ac:dyDescent="0.25">
      <c r="A833" s="6"/>
      <c r="B833" s="3"/>
      <c r="C833" s="7"/>
    </row>
    <row r="834" spans="1:3" ht="13.2" x14ac:dyDescent="0.25">
      <c r="A834" s="6"/>
      <c r="B834" s="3"/>
      <c r="C834" s="7"/>
    </row>
    <row r="835" spans="1:3" ht="13.2" x14ac:dyDescent="0.25">
      <c r="A835" s="6"/>
      <c r="B835" s="3"/>
      <c r="C835" s="7"/>
    </row>
    <row r="836" spans="1:3" ht="13.2" x14ac:dyDescent="0.25">
      <c r="A836" s="6"/>
      <c r="B836" s="3"/>
      <c r="C836" s="7"/>
    </row>
    <row r="837" spans="1:3" ht="13.2" x14ac:dyDescent="0.25">
      <c r="A837" s="6"/>
      <c r="B837" s="3"/>
      <c r="C837" s="7"/>
    </row>
    <row r="838" spans="1:3" ht="13.2" x14ac:dyDescent="0.25">
      <c r="A838" s="6"/>
      <c r="B838" s="3"/>
      <c r="C838" s="7"/>
    </row>
    <row r="839" spans="1:3" ht="13.2" x14ac:dyDescent="0.25">
      <c r="A839" s="6"/>
      <c r="B839" s="3"/>
      <c r="C839" s="7"/>
    </row>
    <row r="840" spans="1:3" ht="13.2" x14ac:dyDescent="0.25">
      <c r="A840" s="6"/>
      <c r="B840" s="3"/>
      <c r="C840" s="7"/>
    </row>
    <row r="841" spans="1:3" ht="13.2" x14ac:dyDescent="0.25">
      <c r="A841" s="6"/>
      <c r="B841" s="3"/>
      <c r="C841" s="7"/>
    </row>
    <row r="842" spans="1:3" ht="13.2" x14ac:dyDescent="0.25">
      <c r="A842" s="6"/>
      <c r="B842" s="3"/>
      <c r="C842" s="7"/>
    </row>
    <row r="843" spans="1:3" ht="13.2" x14ac:dyDescent="0.25">
      <c r="A843" s="6"/>
      <c r="B843" s="3"/>
      <c r="C843" s="7"/>
    </row>
    <row r="844" spans="1:3" ht="13.2" x14ac:dyDescent="0.25">
      <c r="A844" s="6"/>
      <c r="B844" s="3"/>
      <c r="C844" s="7"/>
    </row>
    <row r="845" spans="1:3" ht="13.2" x14ac:dyDescent="0.25">
      <c r="A845" s="6"/>
      <c r="B845" s="3"/>
      <c r="C845" s="7"/>
    </row>
    <row r="846" spans="1:3" ht="13.2" x14ac:dyDescent="0.25">
      <c r="A846" s="6"/>
      <c r="B846" s="3"/>
      <c r="C846" s="7"/>
    </row>
    <row r="847" spans="1:3" ht="13.2" x14ac:dyDescent="0.25">
      <c r="A847" s="6"/>
      <c r="B847" s="3"/>
      <c r="C847" s="7"/>
    </row>
    <row r="848" spans="1:3" ht="13.2" x14ac:dyDescent="0.25">
      <c r="A848" s="6"/>
      <c r="B848" s="3"/>
      <c r="C848" s="7"/>
    </row>
    <row r="849" spans="1:3" ht="13.2" x14ac:dyDescent="0.25">
      <c r="A849" s="6"/>
      <c r="B849" s="3"/>
      <c r="C849" s="7"/>
    </row>
    <row r="850" spans="1:3" ht="13.2" x14ac:dyDescent="0.25">
      <c r="A850" s="6"/>
      <c r="B850" s="3"/>
      <c r="C850" s="7"/>
    </row>
    <row r="851" spans="1:3" ht="13.2" x14ac:dyDescent="0.25">
      <c r="A851" s="6"/>
      <c r="B851" s="3"/>
      <c r="C851" s="7"/>
    </row>
    <row r="852" spans="1:3" ht="13.2" x14ac:dyDescent="0.25">
      <c r="A852" s="6"/>
      <c r="B852" s="3"/>
      <c r="C852" s="7"/>
    </row>
    <row r="853" spans="1:3" ht="13.2" x14ac:dyDescent="0.25">
      <c r="A853" s="6"/>
      <c r="B853" s="3"/>
      <c r="C853" s="7"/>
    </row>
    <row r="854" spans="1:3" ht="13.2" x14ac:dyDescent="0.25">
      <c r="A854" s="6"/>
      <c r="B854" s="3"/>
      <c r="C854" s="7"/>
    </row>
    <row r="855" spans="1:3" ht="13.2" x14ac:dyDescent="0.25">
      <c r="A855" s="6"/>
      <c r="B855" s="3"/>
      <c r="C855" s="7"/>
    </row>
    <row r="856" spans="1:3" ht="13.2" x14ac:dyDescent="0.25">
      <c r="A856" s="6"/>
      <c r="B856" s="3"/>
      <c r="C856" s="7"/>
    </row>
    <row r="857" spans="1:3" ht="13.2" x14ac:dyDescent="0.25">
      <c r="A857" s="6"/>
      <c r="B857" s="3"/>
      <c r="C857" s="7"/>
    </row>
    <row r="858" spans="1:3" ht="13.2" x14ac:dyDescent="0.25">
      <c r="A858" s="6"/>
      <c r="B858" s="3"/>
      <c r="C858" s="7"/>
    </row>
    <row r="859" spans="1:3" ht="13.2" x14ac:dyDescent="0.25">
      <c r="A859" s="6"/>
      <c r="B859" s="3"/>
      <c r="C859" s="7"/>
    </row>
    <row r="860" spans="1:3" ht="13.2" x14ac:dyDescent="0.25">
      <c r="A860" s="6"/>
      <c r="B860" s="3"/>
      <c r="C860" s="7"/>
    </row>
    <row r="861" spans="1:3" ht="13.2" x14ac:dyDescent="0.25">
      <c r="A861" s="6"/>
      <c r="B861" s="3"/>
      <c r="C861" s="7"/>
    </row>
    <row r="862" spans="1:3" ht="13.2" x14ac:dyDescent="0.25">
      <c r="A862" s="6"/>
      <c r="B862" s="3"/>
      <c r="C862" s="7"/>
    </row>
    <row r="863" spans="1:3" ht="13.2" x14ac:dyDescent="0.25">
      <c r="A863" s="6"/>
      <c r="B863" s="3"/>
      <c r="C863" s="7"/>
    </row>
    <row r="864" spans="1:3" ht="13.2" x14ac:dyDescent="0.25">
      <c r="A864" s="6"/>
      <c r="B864" s="3"/>
      <c r="C864" s="7"/>
    </row>
    <row r="865" spans="1:3" ht="13.2" x14ac:dyDescent="0.25">
      <c r="A865" s="6"/>
      <c r="B865" s="3"/>
      <c r="C865" s="7"/>
    </row>
    <row r="866" spans="1:3" ht="13.2" x14ac:dyDescent="0.25">
      <c r="A866" s="6"/>
      <c r="B866" s="3"/>
      <c r="C866" s="7"/>
    </row>
    <row r="867" spans="1:3" ht="13.2" x14ac:dyDescent="0.25">
      <c r="A867" s="6"/>
      <c r="B867" s="3"/>
      <c r="C867" s="7"/>
    </row>
    <row r="868" spans="1:3" ht="13.2" x14ac:dyDescent="0.25">
      <c r="A868" s="6"/>
      <c r="B868" s="3"/>
      <c r="C868" s="7"/>
    </row>
    <row r="869" spans="1:3" ht="13.2" x14ac:dyDescent="0.25">
      <c r="A869" s="6"/>
      <c r="B869" s="3"/>
      <c r="C869" s="7"/>
    </row>
    <row r="870" spans="1:3" ht="13.2" x14ac:dyDescent="0.25">
      <c r="A870" s="6"/>
      <c r="B870" s="3"/>
      <c r="C870" s="7"/>
    </row>
    <row r="871" spans="1:3" ht="13.2" x14ac:dyDescent="0.25">
      <c r="A871" s="6"/>
      <c r="B871" s="3"/>
      <c r="C871" s="7"/>
    </row>
    <row r="872" spans="1:3" ht="13.2" x14ac:dyDescent="0.25">
      <c r="A872" s="6"/>
      <c r="B872" s="3"/>
      <c r="C872" s="7"/>
    </row>
    <row r="873" spans="1:3" ht="13.2" x14ac:dyDescent="0.25">
      <c r="A873" s="6"/>
      <c r="B873" s="3"/>
      <c r="C873" s="7"/>
    </row>
    <row r="874" spans="1:3" ht="13.2" x14ac:dyDescent="0.25">
      <c r="A874" s="6"/>
      <c r="B874" s="3"/>
      <c r="C874" s="7"/>
    </row>
    <row r="875" spans="1:3" ht="13.2" x14ac:dyDescent="0.25">
      <c r="A875" s="6"/>
      <c r="B875" s="3"/>
      <c r="C875" s="7"/>
    </row>
    <row r="876" spans="1:3" ht="13.2" x14ac:dyDescent="0.25">
      <c r="A876" s="6"/>
      <c r="B876" s="3"/>
      <c r="C876" s="7"/>
    </row>
    <row r="877" spans="1:3" ht="13.2" x14ac:dyDescent="0.25">
      <c r="A877" s="6"/>
      <c r="B877" s="3"/>
      <c r="C877" s="7"/>
    </row>
    <row r="878" spans="1:3" ht="13.2" x14ac:dyDescent="0.25">
      <c r="A878" s="6"/>
      <c r="B878" s="3"/>
      <c r="C878" s="7"/>
    </row>
    <row r="879" spans="1:3" ht="13.2" x14ac:dyDescent="0.25">
      <c r="A879" s="6"/>
      <c r="B879" s="3"/>
      <c r="C879" s="7"/>
    </row>
    <row r="880" spans="1:3" ht="13.2" x14ac:dyDescent="0.25">
      <c r="A880" s="6"/>
      <c r="B880" s="3"/>
      <c r="C880" s="7"/>
    </row>
    <row r="881" spans="1:3" ht="13.2" x14ac:dyDescent="0.25">
      <c r="A881" s="6"/>
      <c r="B881" s="3"/>
      <c r="C881" s="7"/>
    </row>
    <row r="882" spans="1:3" ht="13.2" x14ac:dyDescent="0.25">
      <c r="A882" s="6"/>
      <c r="B882" s="3"/>
      <c r="C882" s="7"/>
    </row>
    <row r="883" spans="1:3" ht="13.2" x14ac:dyDescent="0.25">
      <c r="A883" s="6"/>
      <c r="B883" s="3"/>
      <c r="C883" s="7"/>
    </row>
    <row r="884" spans="1:3" ht="13.2" x14ac:dyDescent="0.25">
      <c r="A884" s="6"/>
      <c r="B884" s="3"/>
      <c r="C884" s="7"/>
    </row>
    <row r="885" spans="1:3" ht="13.2" x14ac:dyDescent="0.25">
      <c r="A885" s="6"/>
      <c r="B885" s="3"/>
      <c r="C885" s="7"/>
    </row>
    <row r="886" spans="1:3" ht="13.2" x14ac:dyDescent="0.25">
      <c r="A886" s="6"/>
      <c r="B886" s="3"/>
      <c r="C886" s="7"/>
    </row>
    <row r="887" spans="1:3" ht="13.2" x14ac:dyDescent="0.25">
      <c r="A887" s="6"/>
      <c r="B887" s="3"/>
      <c r="C887" s="7"/>
    </row>
    <row r="888" spans="1:3" ht="13.2" x14ac:dyDescent="0.25">
      <c r="A888" s="6"/>
      <c r="B888" s="3"/>
      <c r="C888" s="7"/>
    </row>
    <row r="889" spans="1:3" ht="13.2" x14ac:dyDescent="0.25">
      <c r="A889" s="6"/>
      <c r="B889" s="3"/>
      <c r="C889" s="7"/>
    </row>
    <row r="890" spans="1:3" ht="13.2" x14ac:dyDescent="0.25">
      <c r="A890" s="6"/>
      <c r="B890" s="3"/>
      <c r="C890" s="7"/>
    </row>
    <row r="891" spans="1:3" ht="13.2" x14ac:dyDescent="0.25">
      <c r="A891" s="6"/>
      <c r="B891" s="3"/>
      <c r="C891" s="7"/>
    </row>
    <row r="892" spans="1:3" ht="13.2" x14ac:dyDescent="0.25">
      <c r="A892" s="6"/>
      <c r="B892" s="3"/>
      <c r="C892" s="7"/>
    </row>
    <row r="893" spans="1:3" ht="13.2" x14ac:dyDescent="0.25">
      <c r="A893" s="6"/>
      <c r="B893" s="3"/>
      <c r="C893" s="7"/>
    </row>
    <row r="894" spans="1:3" ht="13.2" x14ac:dyDescent="0.25">
      <c r="A894" s="6"/>
      <c r="B894" s="3"/>
      <c r="C894" s="7"/>
    </row>
    <row r="895" spans="1:3" ht="13.2" x14ac:dyDescent="0.25">
      <c r="A895" s="6"/>
      <c r="B895" s="3"/>
      <c r="C895" s="7"/>
    </row>
    <row r="896" spans="1:3" ht="13.2" x14ac:dyDescent="0.25">
      <c r="A896" s="6"/>
      <c r="B896" s="3"/>
      <c r="C896" s="7"/>
    </row>
    <row r="897" spans="1:3" ht="13.2" x14ac:dyDescent="0.25">
      <c r="A897" s="6"/>
      <c r="B897" s="3"/>
      <c r="C897" s="7"/>
    </row>
    <row r="898" spans="1:3" ht="13.2" x14ac:dyDescent="0.25">
      <c r="A898" s="6"/>
      <c r="B898" s="3"/>
      <c r="C898" s="7"/>
    </row>
    <row r="899" spans="1:3" ht="13.2" x14ac:dyDescent="0.25">
      <c r="A899" s="6"/>
      <c r="B899" s="3"/>
      <c r="C899" s="7"/>
    </row>
    <row r="900" spans="1:3" ht="13.2" x14ac:dyDescent="0.25">
      <c r="A900" s="6"/>
      <c r="B900" s="3"/>
      <c r="C900" s="7"/>
    </row>
    <row r="901" spans="1:3" ht="13.2" x14ac:dyDescent="0.25">
      <c r="A901" s="6"/>
      <c r="B901" s="3"/>
      <c r="C901" s="7"/>
    </row>
    <row r="902" spans="1:3" ht="13.2" x14ac:dyDescent="0.25">
      <c r="A902" s="6"/>
      <c r="B902" s="3"/>
      <c r="C902" s="7"/>
    </row>
    <row r="903" spans="1:3" ht="13.2" x14ac:dyDescent="0.25">
      <c r="A903" s="6"/>
      <c r="B903" s="3"/>
      <c r="C903" s="7"/>
    </row>
    <row r="904" spans="1:3" ht="13.2" x14ac:dyDescent="0.25">
      <c r="A904" s="6"/>
      <c r="B904" s="3"/>
      <c r="C904" s="7"/>
    </row>
    <row r="905" spans="1:3" ht="13.2" x14ac:dyDescent="0.25">
      <c r="A905" s="6"/>
      <c r="B905" s="3"/>
      <c r="C905" s="7"/>
    </row>
    <row r="906" spans="1:3" ht="13.2" x14ac:dyDescent="0.25">
      <c r="A906" s="6"/>
      <c r="B906" s="3"/>
      <c r="C906" s="7"/>
    </row>
    <row r="907" spans="1:3" ht="13.2" x14ac:dyDescent="0.25">
      <c r="A907" s="6"/>
      <c r="B907" s="3"/>
      <c r="C907" s="7"/>
    </row>
    <row r="908" spans="1:3" ht="13.2" x14ac:dyDescent="0.25">
      <c r="A908" s="6"/>
      <c r="B908" s="3"/>
      <c r="C908" s="7"/>
    </row>
    <row r="909" spans="1:3" ht="13.2" x14ac:dyDescent="0.25">
      <c r="A909" s="6"/>
      <c r="B909" s="3"/>
      <c r="C909" s="7"/>
    </row>
    <row r="910" spans="1:3" ht="13.2" x14ac:dyDescent="0.25">
      <c r="A910" s="6"/>
      <c r="B910" s="3"/>
      <c r="C910" s="7"/>
    </row>
    <row r="911" spans="1:3" ht="13.2" x14ac:dyDescent="0.25">
      <c r="A911" s="6"/>
      <c r="B911" s="3"/>
      <c r="C911" s="7"/>
    </row>
    <row r="912" spans="1:3" ht="13.2" x14ac:dyDescent="0.25">
      <c r="A912" s="6"/>
      <c r="B912" s="3"/>
      <c r="C912" s="7"/>
    </row>
    <row r="913" spans="1:3" ht="13.2" x14ac:dyDescent="0.25">
      <c r="A913" s="6"/>
      <c r="B913" s="3"/>
      <c r="C913" s="7"/>
    </row>
    <row r="914" spans="1:3" ht="13.2" x14ac:dyDescent="0.25">
      <c r="A914" s="6"/>
      <c r="B914" s="3"/>
      <c r="C914" s="7"/>
    </row>
    <row r="915" spans="1:3" ht="13.2" x14ac:dyDescent="0.25">
      <c r="A915" s="6"/>
      <c r="B915" s="3"/>
      <c r="C915" s="7"/>
    </row>
    <row r="916" spans="1:3" ht="13.2" x14ac:dyDescent="0.25">
      <c r="A916" s="6"/>
      <c r="B916" s="3"/>
      <c r="C916" s="7"/>
    </row>
    <row r="917" spans="1:3" ht="13.2" x14ac:dyDescent="0.25">
      <c r="A917" s="6"/>
      <c r="B917" s="3"/>
      <c r="C917" s="7"/>
    </row>
    <row r="918" spans="1:3" ht="13.2" x14ac:dyDescent="0.25">
      <c r="A918" s="6"/>
      <c r="B918" s="3"/>
      <c r="C918" s="7"/>
    </row>
    <row r="919" spans="1:3" ht="13.2" x14ac:dyDescent="0.25">
      <c r="A919" s="6"/>
      <c r="B919" s="3"/>
      <c r="C919" s="7"/>
    </row>
    <row r="920" spans="1:3" ht="13.2" x14ac:dyDescent="0.25">
      <c r="A920" s="6"/>
      <c r="B920" s="3"/>
      <c r="C920" s="7"/>
    </row>
    <row r="921" spans="1:3" ht="13.2" x14ac:dyDescent="0.25">
      <c r="A921" s="6"/>
      <c r="B921" s="3"/>
      <c r="C921" s="7"/>
    </row>
    <row r="922" spans="1:3" ht="13.2" x14ac:dyDescent="0.25">
      <c r="A922" s="6"/>
      <c r="B922" s="3"/>
      <c r="C922" s="7"/>
    </row>
    <row r="923" spans="1:3" ht="13.2" x14ac:dyDescent="0.25">
      <c r="A923" s="6"/>
      <c r="B923" s="3"/>
      <c r="C923" s="7"/>
    </row>
    <row r="924" spans="1:3" ht="13.2" x14ac:dyDescent="0.25">
      <c r="A924" s="6"/>
      <c r="B924" s="3"/>
      <c r="C924" s="7"/>
    </row>
    <row r="925" spans="1:3" ht="13.2" x14ac:dyDescent="0.25">
      <c r="A925" s="6"/>
      <c r="B925" s="3"/>
      <c r="C925" s="7"/>
    </row>
    <row r="926" spans="1:3" ht="13.2" x14ac:dyDescent="0.25">
      <c r="A926" s="6"/>
      <c r="B926" s="3"/>
      <c r="C926" s="7"/>
    </row>
    <row r="927" spans="1:3" ht="13.2" x14ac:dyDescent="0.25">
      <c r="A927" s="6"/>
      <c r="B927" s="3"/>
      <c r="C927" s="7"/>
    </row>
    <row r="928" spans="1:3" ht="13.2" x14ac:dyDescent="0.25">
      <c r="A928" s="6"/>
      <c r="B928" s="3"/>
      <c r="C928" s="7"/>
    </row>
    <row r="929" spans="1:3" ht="13.2" x14ac:dyDescent="0.25">
      <c r="A929" s="6"/>
      <c r="B929" s="3"/>
      <c r="C929" s="7"/>
    </row>
    <row r="930" spans="1:3" ht="13.2" x14ac:dyDescent="0.25">
      <c r="A930" s="6"/>
      <c r="B930" s="3"/>
      <c r="C930" s="7"/>
    </row>
    <row r="931" spans="1:3" ht="13.2" x14ac:dyDescent="0.25">
      <c r="A931" s="6"/>
      <c r="B931" s="3"/>
      <c r="C931" s="7"/>
    </row>
    <row r="932" spans="1:3" ht="13.2" x14ac:dyDescent="0.25">
      <c r="A932" s="6"/>
      <c r="B932" s="3"/>
      <c r="C932" s="7"/>
    </row>
    <row r="933" spans="1:3" ht="13.2" x14ac:dyDescent="0.25">
      <c r="A933" s="6"/>
      <c r="B933" s="3"/>
      <c r="C933" s="7"/>
    </row>
    <row r="934" spans="1:3" ht="13.2" x14ac:dyDescent="0.25">
      <c r="A934" s="6"/>
      <c r="B934" s="3"/>
      <c r="C934" s="7"/>
    </row>
    <row r="935" spans="1:3" ht="13.2" x14ac:dyDescent="0.25">
      <c r="A935" s="6"/>
      <c r="B935" s="3"/>
      <c r="C935" s="7"/>
    </row>
    <row r="936" spans="1:3" ht="13.2" x14ac:dyDescent="0.25">
      <c r="A936" s="6"/>
      <c r="B936" s="3"/>
      <c r="C936" s="7"/>
    </row>
    <row r="937" spans="1:3" ht="13.2" x14ac:dyDescent="0.25">
      <c r="A937" s="6"/>
      <c r="B937" s="3"/>
      <c r="C937" s="7"/>
    </row>
    <row r="938" spans="1:3" ht="13.2" x14ac:dyDescent="0.25">
      <c r="A938" s="6"/>
      <c r="B938" s="3"/>
      <c r="C938" s="7"/>
    </row>
    <row r="939" spans="1:3" ht="13.2" x14ac:dyDescent="0.25">
      <c r="A939" s="6"/>
      <c r="B939" s="3"/>
      <c r="C939" s="7"/>
    </row>
    <row r="940" spans="1:3" ht="13.2" x14ac:dyDescent="0.25">
      <c r="A940" s="6"/>
      <c r="B940" s="3"/>
      <c r="C940" s="7"/>
    </row>
    <row r="941" spans="1:3" ht="13.2" x14ac:dyDescent="0.25">
      <c r="A941" s="6"/>
      <c r="B941" s="3"/>
      <c r="C941" s="7"/>
    </row>
    <row r="942" spans="1:3" ht="13.2" x14ac:dyDescent="0.25">
      <c r="A942" s="6"/>
      <c r="B942" s="3"/>
      <c r="C942" s="7"/>
    </row>
    <row r="943" spans="1:3" ht="13.2" x14ac:dyDescent="0.25">
      <c r="A943" s="6"/>
      <c r="B943" s="3"/>
      <c r="C943" s="7"/>
    </row>
    <row r="944" spans="1:3" ht="13.2" x14ac:dyDescent="0.25">
      <c r="A944" s="6"/>
      <c r="B944" s="3"/>
      <c r="C944" s="7"/>
    </row>
    <row r="945" spans="1:3" ht="13.2" x14ac:dyDescent="0.25">
      <c r="A945" s="6"/>
      <c r="B945" s="3"/>
      <c r="C945" s="7"/>
    </row>
    <row r="946" spans="1:3" ht="13.2" x14ac:dyDescent="0.25">
      <c r="A946" s="6"/>
      <c r="B946" s="3"/>
      <c r="C946" s="7"/>
    </row>
    <row r="947" spans="1:3" ht="13.2" x14ac:dyDescent="0.25">
      <c r="A947" s="6"/>
      <c r="B947" s="3"/>
      <c r="C947" s="7"/>
    </row>
    <row r="948" spans="1:3" ht="13.2" x14ac:dyDescent="0.25">
      <c r="A948" s="6"/>
      <c r="B948" s="3"/>
      <c r="C948" s="7"/>
    </row>
    <row r="949" spans="1:3" ht="13.2" x14ac:dyDescent="0.25">
      <c r="A949" s="6"/>
      <c r="B949" s="3"/>
      <c r="C949" s="7"/>
    </row>
    <row r="950" spans="1:3" ht="13.2" x14ac:dyDescent="0.25">
      <c r="A950" s="6"/>
      <c r="B950" s="3"/>
      <c r="C950" s="7"/>
    </row>
    <row r="951" spans="1:3" ht="13.2" x14ac:dyDescent="0.25">
      <c r="A951" s="6"/>
      <c r="B951" s="3"/>
      <c r="C951" s="7"/>
    </row>
    <row r="952" spans="1:3" ht="13.2" x14ac:dyDescent="0.25">
      <c r="A952" s="6"/>
      <c r="B952" s="3"/>
      <c r="C952" s="7"/>
    </row>
    <row r="953" spans="1:3" ht="13.2" x14ac:dyDescent="0.25">
      <c r="A953" s="6"/>
      <c r="B953" s="3"/>
      <c r="C953" s="7"/>
    </row>
    <row r="954" spans="1:3" ht="13.2" x14ac:dyDescent="0.25">
      <c r="A954" s="6"/>
      <c r="B954" s="3"/>
      <c r="C954" s="7"/>
    </row>
    <row r="955" spans="1:3" ht="13.2" x14ac:dyDescent="0.25">
      <c r="A955" s="6"/>
      <c r="B955" s="3"/>
      <c r="C955" s="7"/>
    </row>
    <row r="956" spans="1:3" ht="13.2" x14ac:dyDescent="0.25">
      <c r="A956" s="6"/>
      <c r="B956" s="3"/>
      <c r="C956" s="7"/>
    </row>
    <row r="957" spans="1:3" ht="13.2" x14ac:dyDescent="0.25">
      <c r="A957" s="6"/>
      <c r="B957" s="3"/>
      <c r="C957" s="7"/>
    </row>
    <row r="958" spans="1:3" ht="13.2" x14ac:dyDescent="0.25">
      <c r="A958" s="6"/>
      <c r="B958" s="3"/>
      <c r="C958" s="7"/>
    </row>
    <row r="959" spans="1:3" ht="13.2" x14ac:dyDescent="0.25">
      <c r="A959" s="6"/>
      <c r="B959" s="3"/>
      <c r="C959" s="7"/>
    </row>
    <row r="960" spans="1:3" ht="13.2" x14ac:dyDescent="0.25">
      <c r="A960" s="6"/>
      <c r="B960" s="3"/>
      <c r="C960" s="7"/>
    </row>
    <row r="961" spans="1:3" ht="13.2" x14ac:dyDescent="0.25">
      <c r="A961" s="6"/>
      <c r="B961" s="3"/>
      <c r="C961" s="7"/>
    </row>
    <row r="962" spans="1:3" ht="13.2" x14ac:dyDescent="0.25">
      <c r="A962" s="6"/>
      <c r="B962" s="3"/>
      <c r="C962" s="7"/>
    </row>
    <row r="963" spans="1:3" ht="13.2" x14ac:dyDescent="0.25">
      <c r="A963" s="6"/>
      <c r="B963" s="3"/>
      <c r="C963" s="7"/>
    </row>
    <row r="964" spans="1:3" ht="13.2" x14ac:dyDescent="0.25">
      <c r="A964" s="6"/>
      <c r="B964" s="3"/>
      <c r="C964" s="7"/>
    </row>
    <row r="965" spans="1:3" ht="13.2" x14ac:dyDescent="0.25">
      <c r="A965" s="6"/>
      <c r="B965" s="3"/>
      <c r="C965" s="7"/>
    </row>
    <row r="966" spans="1:3" ht="13.2" x14ac:dyDescent="0.25">
      <c r="A966" s="6"/>
      <c r="B966" s="3"/>
      <c r="C966" s="7"/>
    </row>
    <row r="967" spans="1:3" ht="13.2" x14ac:dyDescent="0.25">
      <c r="A967" s="6"/>
      <c r="B967" s="3"/>
      <c r="C967" s="7"/>
    </row>
    <row r="968" spans="1:3" ht="13.2" x14ac:dyDescent="0.25">
      <c r="A968" s="6"/>
      <c r="B968" s="3"/>
      <c r="C968" s="7"/>
    </row>
    <row r="969" spans="1:3" ht="13.2" x14ac:dyDescent="0.25">
      <c r="A969" s="6"/>
      <c r="B969" s="3"/>
      <c r="C969" s="7"/>
    </row>
    <row r="970" spans="1:3" ht="13.2" x14ac:dyDescent="0.25">
      <c r="A970" s="6"/>
      <c r="B970" s="3"/>
      <c r="C970" s="7"/>
    </row>
    <row r="971" spans="1:3" ht="13.2" x14ac:dyDescent="0.25">
      <c r="A971" s="6"/>
      <c r="B971" s="3"/>
      <c r="C971" s="7"/>
    </row>
    <row r="972" spans="1:3" ht="13.2" x14ac:dyDescent="0.25">
      <c r="A972" s="6"/>
      <c r="B972" s="3"/>
      <c r="C972" s="7"/>
    </row>
    <row r="973" spans="1:3" ht="13.2" x14ac:dyDescent="0.25">
      <c r="A973" s="6"/>
      <c r="B973" s="3"/>
      <c r="C973" s="7"/>
    </row>
    <row r="974" spans="1:3" ht="13.2" x14ac:dyDescent="0.25">
      <c r="A974" s="6"/>
      <c r="B974" s="3"/>
      <c r="C974" s="7"/>
    </row>
    <row r="975" spans="1:3" ht="13.2" x14ac:dyDescent="0.25">
      <c r="A975" s="6"/>
      <c r="B975" s="3"/>
      <c r="C975" s="7"/>
    </row>
    <row r="976" spans="1:3" ht="13.2" x14ac:dyDescent="0.25">
      <c r="A976" s="6"/>
      <c r="B976" s="3"/>
      <c r="C976" s="7"/>
    </row>
    <row r="977" spans="1:3" ht="13.2" x14ac:dyDescent="0.25">
      <c r="A977" s="6"/>
      <c r="B977" s="3"/>
      <c r="C977" s="7"/>
    </row>
    <row r="978" spans="1:3" ht="13.2" x14ac:dyDescent="0.25">
      <c r="A978" s="6"/>
      <c r="B978" s="3"/>
      <c r="C978" s="7"/>
    </row>
    <row r="979" spans="1:3" ht="13.2" x14ac:dyDescent="0.25">
      <c r="A979" s="6"/>
      <c r="B979" s="3"/>
      <c r="C979" s="7"/>
    </row>
    <row r="980" spans="1:3" ht="13.2" x14ac:dyDescent="0.25">
      <c r="A980" s="6"/>
      <c r="B980" s="3"/>
      <c r="C980" s="7"/>
    </row>
    <row r="981" spans="1:3" ht="13.2" x14ac:dyDescent="0.25">
      <c r="A981" s="6"/>
      <c r="B981" s="3"/>
      <c r="C981" s="7"/>
    </row>
    <row r="982" spans="1:3" ht="13.2" x14ac:dyDescent="0.25">
      <c r="A982" s="6"/>
      <c r="B982" s="3"/>
      <c r="C982" s="7"/>
    </row>
    <row r="983" spans="1:3" ht="13.2" x14ac:dyDescent="0.25">
      <c r="A983" s="6"/>
      <c r="B983" s="3"/>
      <c r="C983" s="7"/>
    </row>
    <row r="984" spans="1:3" ht="13.2" x14ac:dyDescent="0.25">
      <c r="A984" s="6"/>
      <c r="B984" s="3"/>
      <c r="C984" s="7"/>
    </row>
    <row r="985" spans="1:3" ht="13.2" x14ac:dyDescent="0.25">
      <c r="A985" s="6"/>
      <c r="B985" s="3"/>
      <c r="C985" s="7"/>
    </row>
    <row r="986" spans="1:3" ht="13.2" x14ac:dyDescent="0.25">
      <c r="A986" s="6"/>
      <c r="B986" s="3"/>
      <c r="C986" s="7"/>
    </row>
    <row r="987" spans="1:3" ht="13.2" x14ac:dyDescent="0.25">
      <c r="A987" s="6"/>
      <c r="B987" s="3"/>
      <c r="C987" s="7"/>
    </row>
    <row r="988" spans="1:3" ht="13.2" x14ac:dyDescent="0.25">
      <c r="A988" s="6"/>
      <c r="B988" s="3"/>
      <c r="C988" s="7"/>
    </row>
    <row r="989" spans="1:3" ht="13.2" x14ac:dyDescent="0.25">
      <c r="A989" s="6"/>
      <c r="B989" s="3"/>
      <c r="C989" s="7"/>
    </row>
    <row r="990" spans="1:3" ht="13.2" x14ac:dyDescent="0.25">
      <c r="A990" s="6"/>
      <c r="B990" s="3"/>
      <c r="C990" s="7"/>
    </row>
    <row r="991" spans="1:3" ht="13.2" x14ac:dyDescent="0.25">
      <c r="A991" s="6"/>
      <c r="B991" s="3"/>
      <c r="C991" s="7"/>
    </row>
    <row r="992" spans="1:3" ht="13.2" x14ac:dyDescent="0.25">
      <c r="A992" s="6"/>
      <c r="B992" s="3"/>
      <c r="C992" s="7"/>
    </row>
    <row r="993" spans="1:3" ht="13.2" x14ac:dyDescent="0.25">
      <c r="A993" s="6"/>
      <c r="B993" s="3"/>
      <c r="C993" s="7"/>
    </row>
    <row r="994" spans="1:3" ht="13.2" x14ac:dyDescent="0.25">
      <c r="A994" s="6"/>
      <c r="B994" s="3"/>
      <c r="C994" s="7"/>
    </row>
    <row r="995" spans="1:3" ht="13.2" x14ac:dyDescent="0.25">
      <c r="A995" s="6"/>
      <c r="B995" s="3"/>
      <c r="C995" s="7"/>
    </row>
    <row r="996" spans="1:3" ht="13.2" x14ac:dyDescent="0.25">
      <c r="A996" s="6"/>
      <c r="B996" s="3"/>
      <c r="C996" s="7"/>
    </row>
    <row r="997" spans="1:3" ht="13.2" x14ac:dyDescent="0.25">
      <c r="A997" s="6"/>
      <c r="B997" s="3"/>
      <c r="C997" s="7"/>
    </row>
    <row r="998" spans="1:3" ht="13.2" x14ac:dyDescent="0.25">
      <c r="A998" s="6"/>
      <c r="B998" s="3"/>
      <c r="C998" s="7"/>
    </row>
    <row r="999" spans="1:3" ht="13.2" x14ac:dyDescent="0.25">
      <c r="A999" s="6"/>
      <c r="B999" s="3"/>
      <c r="C999" s="7"/>
    </row>
    <row r="1000" spans="1:3" ht="13.2" x14ac:dyDescent="0.25">
      <c r="A1000" s="6"/>
      <c r="B1000" s="3"/>
      <c r="C1000" s="7"/>
    </row>
    <row r="1001" spans="1:3" ht="13.2" x14ac:dyDescent="0.25">
      <c r="A1001" s="6"/>
      <c r="B1001" s="3"/>
      <c r="C1001" s="7"/>
    </row>
    <row r="1002" spans="1:3" ht="13.2" x14ac:dyDescent="0.25">
      <c r="A1002" s="6"/>
      <c r="B1002" s="3"/>
      <c r="C1002" s="7"/>
    </row>
    <row r="1003" spans="1:3" ht="13.2" x14ac:dyDescent="0.25">
      <c r="A1003" s="6"/>
      <c r="B1003" s="3"/>
      <c r="C1003" s="7"/>
    </row>
    <row r="1004" spans="1:3" ht="13.2" x14ac:dyDescent="0.25">
      <c r="A1004" s="6"/>
      <c r="B1004" s="3"/>
      <c r="C1004" s="7"/>
    </row>
    <row r="1005" spans="1:3" ht="13.2" x14ac:dyDescent="0.25">
      <c r="A1005" s="6"/>
      <c r="B1005" s="3"/>
      <c r="C1005" s="7"/>
    </row>
    <row r="1006" spans="1:3" ht="13.2" x14ac:dyDescent="0.25">
      <c r="A1006" s="6"/>
      <c r="B1006" s="3"/>
      <c r="C1006" s="7"/>
    </row>
    <row r="1007" spans="1:3" ht="13.2" x14ac:dyDescent="0.25">
      <c r="A1007" s="6"/>
      <c r="B1007" s="3"/>
      <c r="C1007" s="7"/>
    </row>
    <row r="1008" spans="1:3" ht="13.2" x14ac:dyDescent="0.25">
      <c r="A1008" s="6"/>
      <c r="B1008" s="3"/>
      <c r="C1008" s="7"/>
    </row>
    <row r="1009" spans="1:3" ht="13.2" x14ac:dyDescent="0.25">
      <c r="A1009" s="6"/>
      <c r="B1009" s="3"/>
      <c r="C1009" s="7"/>
    </row>
    <row r="1010" spans="1:3" ht="13.2" x14ac:dyDescent="0.25">
      <c r="A1010" s="6"/>
      <c r="B1010" s="3"/>
      <c r="C1010" s="7"/>
    </row>
    <row r="1011" spans="1:3" ht="13.2" x14ac:dyDescent="0.25">
      <c r="A1011" s="6"/>
      <c r="B1011" s="3"/>
      <c r="C1011" s="7"/>
    </row>
    <row r="1012" spans="1:3" ht="13.2" x14ac:dyDescent="0.25">
      <c r="A1012" s="6"/>
      <c r="B1012" s="3"/>
      <c r="C1012" s="7"/>
    </row>
    <row r="1013" spans="1:3" ht="13.2" x14ac:dyDescent="0.25">
      <c r="A1013" s="6"/>
      <c r="B1013" s="3"/>
      <c r="C1013" s="7"/>
    </row>
    <row r="1014" spans="1:3" ht="13.2" x14ac:dyDescent="0.25">
      <c r="A1014" s="6"/>
      <c r="B1014" s="3"/>
      <c r="C1014" s="7"/>
    </row>
    <row r="1015" spans="1:3" ht="13.2" x14ac:dyDescent="0.25">
      <c r="A1015" s="6"/>
      <c r="B1015" s="3"/>
      <c r="C1015" s="7"/>
    </row>
    <row r="1016" spans="1:3" ht="13.2" x14ac:dyDescent="0.25">
      <c r="A1016" s="6"/>
      <c r="B1016" s="3"/>
      <c r="C1016" s="7"/>
    </row>
    <row r="1017" spans="1:3" ht="13.2" x14ac:dyDescent="0.25">
      <c r="A1017" s="6"/>
      <c r="B1017" s="3"/>
      <c r="C1017" s="7"/>
    </row>
    <row r="1018" spans="1:3" ht="13.2" x14ac:dyDescent="0.25">
      <c r="A1018" s="6"/>
      <c r="B1018" s="3"/>
      <c r="C1018" s="7"/>
    </row>
    <row r="1019" spans="1:3" ht="13.2" x14ac:dyDescent="0.25">
      <c r="A1019" s="6"/>
      <c r="B1019" s="3"/>
      <c r="C1019" s="7"/>
    </row>
    <row r="1020" spans="1:3" ht="13.2" x14ac:dyDescent="0.25">
      <c r="A1020" s="6"/>
      <c r="B1020" s="3"/>
      <c r="C1020" s="7"/>
    </row>
    <row r="1021" spans="1:3" ht="13.2" x14ac:dyDescent="0.25">
      <c r="A1021" s="6"/>
      <c r="B1021" s="3"/>
      <c r="C1021" s="7"/>
    </row>
    <row r="1022" spans="1:3" ht="13.2" x14ac:dyDescent="0.25">
      <c r="A1022" s="6"/>
      <c r="B1022" s="3"/>
      <c r="C1022" s="7"/>
    </row>
    <row r="1023" spans="1:3" ht="13.2" x14ac:dyDescent="0.25">
      <c r="A1023" s="6"/>
      <c r="B1023" s="3"/>
      <c r="C1023" s="7"/>
    </row>
    <row r="1024" spans="1:3" ht="13.2" x14ac:dyDescent="0.25">
      <c r="A1024" s="6"/>
      <c r="B1024" s="3"/>
      <c r="C1024" s="7"/>
    </row>
    <row r="1025" spans="1:3" ht="13.2" x14ac:dyDescent="0.25">
      <c r="A1025" s="6"/>
      <c r="B1025" s="3"/>
      <c r="C1025" s="7"/>
    </row>
    <row r="1026" spans="1:3" ht="13.2" x14ac:dyDescent="0.25">
      <c r="A1026" s="6"/>
      <c r="B1026" s="3"/>
      <c r="C1026" s="7"/>
    </row>
    <row r="1027" spans="1:3" ht="13.2" x14ac:dyDescent="0.25">
      <c r="A1027" s="6"/>
      <c r="B1027" s="3"/>
      <c r="C1027" s="7"/>
    </row>
    <row r="1028" spans="1:3" ht="13.2" x14ac:dyDescent="0.25">
      <c r="A1028" s="6"/>
      <c r="B1028" s="3"/>
      <c r="C1028" s="7"/>
    </row>
    <row r="1029" spans="1:3" ht="13.2" x14ac:dyDescent="0.25">
      <c r="A1029" s="6"/>
      <c r="B1029" s="3"/>
      <c r="C1029" s="7"/>
    </row>
    <row r="1030" spans="1:3" ht="13.2" x14ac:dyDescent="0.25">
      <c r="A1030" s="6"/>
      <c r="B1030" s="3"/>
      <c r="C1030" s="7"/>
    </row>
    <row r="1031" spans="1:3" ht="13.2" x14ac:dyDescent="0.25">
      <c r="A1031" s="6"/>
      <c r="B1031" s="3"/>
      <c r="C1031" s="7"/>
    </row>
    <row r="1032" spans="1:3" ht="13.2" x14ac:dyDescent="0.25">
      <c r="A1032" s="6"/>
      <c r="B1032" s="3"/>
      <c r="C1032" s="7"/>
    </row>
    <row r="1033" spans="1:3" ht="13.2" x14ac:dyDescent="0.25">
      <c r="A1033" s="6"/>
      <c r="B1033" s="3"/>
      <c r="C1033" s="7"/>
    </row>
    <row r="1034" spans="1:3" ht="13.2" x14ac:dyDescent="0.25">
      <c r="A1034" s="6"/>
      <c r="B1034" s="3"/>
      <c r="C1034" s="7"/>
    </row>
    <row r="1035" spans="1:3" ht="13.2" x14ac:dyDescent="0.25">
      <c r="A1035" s="6"/>
      <c r="B1035" s="3"/>
      <c r="C1035" s="7"/>
    </row>
    <row r="1036" spans="1:3" ht="13.2" x14ac:dyDescent="0.25">
      <c r="A1036" s="6"/>
      <c r="B1036" s="3"/>
      <c r="C1036" s="7"/>
    </row>
    <row r="1037" spans="1:3" ht="13.2" x14ac:dyDescent="0.25">
      <c r="A1037" s="6"/>
      <c r="B1037" s="3"/>
      <c r="C1037" s="7"/>
    </row>
    <row r="1038" spans="1:3" ht="13.2" x14ac:dyDescent="0.25">
      <c r="A1038" s="6"/>
      <c r="B1038" s="3"/>
      <c r="C1038" s="7"/>
    </row>
    <row r="1039" spans="1:3" ht="13.2" x14ac:dyDescent="0.25">
      <c r="A1039" s="6"/>
      <c r="B1039" s="3"/>
      <c r="C1039" s="7"/>
    </row>
    <row r="1040" spans="1:3" ht="13.2" x14ac:dyDescent="0.25">
      <c r="A1040" s="6"/>
      <c r="B1040" s="3"/>
      <c r="C1040" s="7"/>
    </row>
    <row r="1041" spans="1:3" ht="13.2" x14ac:dyDescent="0.25">
      <c r="A1041" s="6"/>
      <c r="B1041" s="3"/>
      <c r="C1041" s="7"/>
    </row>
    <row r="1042" spans="1:3" ht="13.2" x14ac:dyDescent="0.25">
      <c r="A1042" s="6"/>
      <c r="B1042" s="3"/>
      <c r="C1042" s="7"/>
    </row>
    <row r="1043" spans="1:3" ht="13.2" x14ac:dyDescent="0.25">
      <c r="A1043" s="6"/>
      <c r="B1043" s="3"/>
      <c r="C1043" s="7"/>
    </row>
    <row r="1044" spans="1:3" ht="13.2" x14ac:dyDescent="0.25">
      <c r="A1044" s="6"/>
      <c r="B1044" s="3"/>
      <c r="C1044" s="7"/>
    </row>
    <row r="1045" spans="1:3" ht="13.2" x14ac:dyDescent="0.25">
      <c r="A1045" s="6"/>
      <c r="B1045" s="3"/>
      <c r="C1045" s="7"/>
    </row>
    <row r="1046" spans="1:3" ht="13.2" x14ac:dyDescent="0.25">
      <c r="A1046" s="6"/>
      <c r="B1046" s="3"/>
      <c r="C1046" s="7"/>
    </row>
    <row r="1047" spans="1:3" ht="13.2" x14ac:dyDescent="0.25">
      <c r="A1047" s="6"/>
      <c r="B1047" s="3"/>
      <c r="C1047" s="7"/>
    </row>
    <row r="1048" spans="1:3" ht="13.2" x14ac:dyDescent="0.25">
      <c r="A1048" s="6"/>
      <c r="B1048" s="3"/>
      <c r="C1048" s="7"/>
    </row>
    <row r="1049" spans="1:3" ht="13.2" x14ac:dyDescent="0.25">
      <c r="A1049" s="6"/>
      <c r="B1049" s="3"/>
      <c r="C1049" s="7"/>
    </row>
    <row r="1050" spans="1:3" ht="13.2" x14ac:dyDescent="0.25">
      <c r="A1050" s="6"/>
      <c r="B1050" s="3"/>
      <c r="C1050" s="7"/>
    </row>
    <row r="1051" spans="1:3" ht="13.2" x14ac:dyDescent="0.25">
      <c r="A1051" s="6"/>
      <c r="B1051" s="3"/>
      <c r="C1051" s="7"/>
    </row>
    <row r="1052" spans="1:3" ht="13.2" x14ac:dyDescent="0.25">
      <c r="A1052" s="6"/>
      <c r="B1052" s="3"/>
      <c r="C1052" s="7"/>
    </row>
    <row r="1053" spans="1:3" ht="13.2" x14ac:dyDescent="0.25">
      <c r="A1053" s="6"/>
      <c r="B1053" s="3"/>
      <c r="C1053" s="7"/>
    </row>
    <row r="1054" spans="1:3" ht="13.2" x14ac:dyDescent="0.25">
      <c r="A1054" s="6"/>
      <c r="B1054" s="3"/>
      <c r="C1054" s="7"/>
    </row>
    <row r="1055" spans="1:3" ht="13.2" x14ac:dyDescent="0.25">
      <c r="A1055" s="6"/>
      <c r="B1055" s="3"/>
      <c r="C1055" s="7"/>
    </row>
    <row r="1056" spans="1:3" ht="13.2" x14ac:dyDescent="0.25">
      <c r="A1056" s="6"/>
      <c r="B1056" s="3"/>
      <c r="C1056" s="7"/>
    </row>
    <row r="1057" spans="1:3" ht="13.2" x14ac:dyDescent="0.25">
      <c r="A1057" s="6"/>
      <c r="B1057" s="3"/>
      <c r="C1057" s="7"/>
    </row>
    <row r="1058" spans="1:3" ht="13.2" x14ac:dyDescent="0.25">
      <c r="A1058" s="6"/>
      <c r="B1058" s="3"/>
      <c r="C1058" s="7"/>
    </row>
    <row r="1059" spans="1:3" ht="13.2" x14ac:dyDescent="0.25">
      <c r="A1059" s="6"/>
      <c r="B1059" s="3"/>
      <c r="C1059" s="7"/>
    </row>
    <row r="1060" spans="1:3" ht="13.2" x14ac:dyDescent="0.25">
      <c r="A1060" s="6"/>
      <c r="B1060" s="3"/>
      <c r="C1060" s="7"/>
    </row>
    <row r="1061" spans="1:3" ht="13.2" x14ac:dyDescent="0.25">
      <c r="A1061" s="6"/>
      <c r="B1061" s="3"/>
      <c r="C1061" s="7"/>
    </row>
    <row r="1062" spans="1:3" ht="13.2" x14ac:dyDescent="0.25">
      <c r="A1062" s="6"/>
      <c r="B1062" s="3"/>
      <c r="C1062" s="7"/>
    </row>
    <row r="1063" spans="1:3" ht="13.2" x14ac:dyDescent="0.25">
      <c r="A1063" s="6"/>
      <c r="B1063" s="3"/>
      <c r="C1063" s="7"/>
    </row>
    <row r="1064" spans="1:3" ht="13.2" x14ac:dyDescent="0.25">
      <c r="A1064" s="6"/>
      <c r="B1064" s="3"/>
      <c r="C1064" s="7"/>
    </row>
    <row r="1065" spans="1:3" ht="13.2" x14ac:dyDescent="0.25">
      <c r="A1065" s="6"/>
      <c r="B1065" s="3"/>
      <c r="C1065" s="7"/>
    </row>
    <row r="1066" spans="1:3" ht="13.2" x14ac:dyDescent="0.25">
      <c r="A1066" s="6"/>
      <c r="B1066" s="3"/>
      <c r="C1066" s="7"/>
    </row>
    <row r="1067" spans="1:3" ht="13.2" x14ac:dyDescent="0.25">
      <c r="A1067" s="6"/>
      <c r="B1067" s="3"/>
      <c r="C1067"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51"/>
  <sheetViews>
    <sheetView workbookViewId="0">
      <pane ySplit="1" topLeftCell="A2" activePane="bottomLeft" state="frozen"/>
      <selection pane="bottomLeft" sqref="A1:E1048576"/>
    </sheetView>
  </sheetViews>
  <sheetFormatPr defaultColWidth="12.6640625" defaultRowHeight="15.75" customHeight="1" x14ac:dyDescent="0.25"/>
  <cols>
    <col min="1" max="1" width="5.21875" bestFit="1" customWidth="1"/>
    <col min="2" max="5" width="5.5546875" bestFit="1" customWidth="1"/>
  </cols>
  <sheetData>
    <row r="1" spans="1:5" ht="15.75" customHeight="1" x14ac:dyDescent="0.25">
      <c r="A1" s="2" t="s">
        <v>1</v>
      </c>
      <c r="B1" s="3" t="s">
        <v>2</v>
      </c>
      <c r="C1" s="3" t="s">
        <v>3</v>
      </c>
      <c r="D1" s="4" t="s">
        <v>4</v>
      </c>
      <c r="E1" s="5" t="s">
        <v>5</v>
      </c>
    </row>
    <row r="2" spans="1:5" ht="15.75" customHeight="1" x14ac:dyDescent="0.25">
      <c r="A2" s="6" t="s">
        <v>6</v>
      </c>
      <c r="B2" s="3">
        <f t="shared" ref="B2:B151" ca="1" si="0">NORMINV(RAND(), 10, 1.5)</f>
        <v>11.974225731721585</v>
      </c>
      <c r="C2" s="3">
        <f t="shared" ref="C2:C151" ca="1" si="1">NORMINV(RAND(), 13, 1.1)</f>
        <v>12.245342158591463</v>
      </c>
      <c r="D2" s="3">
        <f t="shared" ref="D2:D151" ca="1" si="2">NORMINV(RAND(), 6.6, 1.25)</f>
        <v>5.4052040669553669</v>
      </c>
      <c r="E2" s="3">
        <f t="shared" ref="E2:E151" ca="1" si="3">NORMINV(RAND(), 10, 2.25)</f>
        <v>11.365804878474737</v>
      </c>
    </row>
    <row r="3" spans="1:5" ht="15.75" customHeight="1" x14ac:dyDescent="0.25">
      <c r="A3" s="6">
        <v>2</v>
      </c>
      <c r="B3" s="3">
        <f t="shared" ca="1" si="0"/>
        <v>9.2296376250203256</v>
      </c>
      <c r="C3" s="3">
        <f t="shared" ca="1" si="1"/>
        <v>13.209072902299248</v>
      </c>
      <c r="D3" s="3">
        <f t="shared" ca="1" si="2"/>
        <v>6.9392830228390574</v>
      </c>
      <c r="E3" s="3">
        <f t="shared" ca="1" si="3"/>
        <v>13.189529646944345</v>
      </c>
    </row>
    <row r="4" spans="1:5" ht="15.75" customHeight="1" x14ac:dyDescent="0.25">
      <c r="A4" s="6">
        <v>3</v>
      </c>
      <c r="B4" s="3">
        <f t="shared" ca="1" si="0"/>
        <v>11.315314457268713</v>
      </c>
      <c r="C4" s="3">
        <f t="shared" ca="1" si="1"/>
        <v>11.971735918139899</v>
      </c>
      <c r="D4" s="3">
        <f t="shared" ca="1" si="2"/>
        <v>5.6146861522723412</v>
      </c>
      <c r="E4" s="3">
        <f t="shared" ca="1" si="3"/>
        <v>12.390621762912955</v>
      </c>
    </row>
    <row r="5" spans="1:5" ht="15.75" customHeight="1" x14ac:dyDescent="0.25">
      <c r="A5" s="6">
        <v>4</v>
      </c>
      <c r="B5" s="3">
        <f t="shared" ca="1" si="0"/>
        <v>9.8779203065172307</v>
      </c>
      <c r="C5" s="3">
        <f t="shared" ca="1" si="1"/>
        <v>13.070269939510986</v>
      </c>
      <c r="D5" s="3">
        <f t="shared" ca="1" si="2"/>
        <v>4.0543889084406262</v>
      </c>
      <c r="E5" s="3">
        <f t="shared" ca="1" si="3"/>
        <v>5.5680448902057673</v>
      </c>
    </row>
    <row r="6" spans="1:5" ht="15.75" customHeight="1" x14ac:dyDescent="0.25">
      <c r="A6" s="6">
        <v>5</v>
      </c>
      <c r="B6" s="3">
        <f t="shared" ca="1" si="0"/>
        <v>9.3132222549574895</v>
      </c>
      <c r="C6" s="3">
        <f t="shared" ca="1" si="1"/>
        <v>13.175522284289739</v>
      </c>
      <c r="D6" s="3">
        <f t="shared" ca="1" si="2"/>
        <v>6.7200081383332693</v>
      </c>
      <c r="E6" s="3">
        <f t="shared" ca="1" si="3"/>
        <v>11.502461864930293</v>
      </c>
    </row>
    <row r="7" spans="1:5" ht="15.75" customHeight="1" x14ac:dyDescent="0.25">
      <c r="A7" s="6">
        <v>6</v>
      </c>
      <c r="B7" s="3">
        <f t="shared" ca="1" si="0"/>
        <v>11.953737744622106</v>
      </c>
      <c r="C7" s="3">
        <f t="shared" ca="1" si="1"/>
        <v>12.920571167871234</v>
      </c>
      <c r="D7" s="3">
        <f t="shared" ca="1" si="2"/>
        <v>4.461893160424137</v>
      </c>
      <c r="E7" s="3">
        <f t="shared" ca="1" si="3"/>
        <v>11.72303511086661</v>
      </c>
    </row>
    <row r="8" spans="1:5" ht="15.75" customHeight="1" x14ac:dyDescent="0.25">
      <c r="A8" s="6">
        <v>7</v>
      </c>
      <c r="B8" s="3">
        <f t="shared" ca="1" si="0"/>
        <v>8.5161659902645059</v>
      </c>
      <c r="C8" s="3">
        <f t="shared" ca="1" si="1"/>
        <v>11.768152646260214</v>
      </c>
      <c r="D8" s="3">
        <f t="shared" ca="1" si="2"/>
        <v>6.1732516663070047</v>
      </c>
      <c r="E8" s="3">
        <f t="shared" ca="1" si="3"/>
        <v>12.721480989401302</v>
      </c>
    </row>
    <row r="9" spans="1:5" ht="15.75" customHeight="1" x14ac:dyDescent="0.25">
      <c r="A9" s="6">
        <v>8</v>
      </c>
      <c r="B9" s="3">
        <f t="shared" ca="1" si="0"/>
        <v>11.493451337156587</v>
      </c>
      <c r="C9" s="3">
        <f t="shared" ca="1" si="1"/>
        <v>13.395699781789192</v>
      </c>
      <c r="D9" s="3">
        <f t="shared" ca="1" si="2"/>
        <v>8.9064957907874955</v>
      </c>
      <c r="E9" s="3">
        <f t="shared" ca="1" si="3"/>
        <v>9.1310330084536311</v>
      </c>
    </row>
    <row r="10" spans="1:5" ht="15.75" customHeight="1" x14ac:dyDescent="0.25">
      <c r="A10" s="6">
        <v>9</v>
      </c>
      <c r="B10" s="3">
        <f t="shared" ca="1" si="0"/>
        <v>6.9848459668987779</v>
      </c>
      <c r="C10" s="3">
        <f t="shared" ca="1" si="1"/>
        <v>10.56482810291908</v>
      </c>
      <c r="D10" s="3">
        <f t="shared" ca="1" si="2"/>
        <v>7.2955143321477749</v>
      </c>
      <c r="E10" s="3">
        <f t="shared" ca="1" si="3"/>
        <v>9.884740157009297</v>
      </c>
    </row>
    <row r="11" spans="1:5" ht="15.75" customHeight="1" x14ac:dyDescent="0.25">
      <c r="A11" s="6">
        <v>10</v>
      </c>
      <c r="B11" s="3">
        <f t="shared" ca="1" si="0"/>
        <v>9.9334590217697443</v>
      </c>
      <c r="C11" s="3">
        <f t="shared" ca="1" si="1"/>
        <v>13.135723991949785</v>
      </c>
      <c r="D11" s="3">
        <f t="shared" ca="1" si="2"/>
        <v>6.1614244811271721</v>
      </c>
      <c r="E11" s="3">
        <f t="shared" ca="1" si="3"/>
        <v>8.7277507563203827</v>
      </c>
    </row>
    <row r="12" spans="1:5" ht="15.75" customHeight="1" x14ac:dyDescent="0.25">
      <c r="A12" s="6">
        <v>11</v>
      </c>
      <c r="B12" s="3">
        <f t="shared" ca="1" si="0"/>
        <v>11.016727738027228</v>
      </c>
      <c r="C12" s="3">
        <f t="shared" ca="1" si="1"/>
        <v>11.723702891644114</v>
      </c>
      <c r="D12" s="3">
        <f t="shared" ca="1" si="2"/>
        <v>5.2254925416235682</v>
      </c>
      <c r="E12" s="3">
        <f t="shared" ca="1" si="3"/>
        <v>5.3603584732620515</v>
      </c>
    </row>
    <row r="13" spans="1:5" ht="15.75" customHeight="1" x14ac:dyDescent="0.25">
      <c r="A13" s="6">
        <v>12</v>
      </c>
      <c r="B13" s="3">
        <f t="shared" ca="1" si="0"/>
        <v>11.385877329683106</v>
      </c>
      <c r="C13" s="3">
        <f t="shared" ca="1" si="1"/>
        <v>13.180426972911128</v>
      </c>
      <c r="D13" s="3">
        <f t="shared" ca="1" si="2"/>
        <v>5.8542548888166035</v>
      </c>
      <c r="E13" s="3">
        <f t="shared" ca="1" si="3"/>
        <v>6.6901020198181538</v>
      </c>
    </row>
    <row r="14" spans="1:5" ht="15.75" customHeight="1" x14ac:dyDescent="0.25">
      <c r="A14" s="6">
        <v>13</v>
      </c>
      <c r="B14" s="3">
        <f t="shared" ca="1" si="0"/>
        <v>11.592620498975963</v>
      </c>
      <c r="C14" s="3">
        <f t="shared" ca="1" si="1"/>
        <v>14.541957501665742</v>
      </c>
      <c r="D14" s="3">
        <f t="shared" ca="1" si="2"/>
        <v>6.4059099477251191</v>
      </c>
      <c r="E14" s="3">
        <f t="shared" ca="1" si="3"/>
        <v>11.775674215913629</v>
      </c>
    </row>
    <row r="15" spans="1:5" ht="15.75" customHeight="1" x14ac:dyDescent="0.25">
      <c r="A15" s="6">
        <v>14</v>
      </c>
      <c r="B15" s="3">
        <f t="shared" ca="1" si="0"/>
        <v>9.0814823537715501</v>
      </c>
      <c r="C15" s="3">
        <f t="shared" ca="1" si="1"/>
        <v>13.969971883755838</v>
      </c>
      <c r="D15" s="3">
        <f t="shared" ca="1" si="2"/>
        <v>6.8996060258616776</v>
      </c>
      <c r="E15" s="3">
        <f t="shared" ca="1" si="3"/>
        <v>9.3286214390640705</v>
      </c>
    </row>
    <row r="16" spans="1:5" ht="15.75" customHeight="1" x14ac:dyDescent="0.25">
      <c r="A16" s="6">
        <v>15</v>
      </c>
      <c r="B16" s="3">
        <f t="shared" ca="1" si="0"/>
        <v>11.70431497988038</v>
      </c>
      <c r="C16" s="3">
        <f t="shared" ca="1" si="1"/>
        <v>12.985828411748948</v>
      </c>
      <c r="D16" s="3">
        <f t="shared" ca="1" si="2"/>
        <v>5.184812500301395</v>
      </c>
      <c r="E16" s="3">
        <f t="shared" ca="1" si="3"/>
        <v>9.4752239808166472</v>
      </c>
    </row>
    <row r="17" spans="1:5" ht="15.75" customHeight="1" x14ac:dyDescent="0.25">
      <c r="A17" s="6">
        <v>16</v>
      </c>
      <c r="B17" s="3">
        <f t="shared" ca="1" si="0"/>
        <v>12.122430353640567</v>
      </c>
      <c r="C17" s="3">
        <f t="shared" ca="1" si="1"/>
        <v>13.113915491486521</v>
      </c>
      <c r="D17" s="3">
        <f t="shared" ca="1" si="2"/>
        <v>8.1174086707001027</v>
      </c>
      <c r="E17" s="3">
        <f t="shared" ca="1" si="3"/>
        <v>11.69825234704561</v>
      </c>
    </row>
    <row r="18" spans="1:5" ht="15.75" customHeight="1" x14ac:dyDescent="0.25">
      <c r="A18" s="6">
        <v>17</v>
      </c>
      <c r="B18" s="3">
        <f t="shared" ca="1" si="0"/>
        <v>12.324337219420016</v>
      </c>
      <c r="C18" s="3">
        <f t="shared" ca="1" si="1"/>
        <v>13.285636800522354</v>
      </c>
      <c r="D18" s="3">
        <f t="shared" ca="1" si="2"/>
        <v>5.1365493238353324</v>
      </c>
      <c r="E18" s="3">
        <f t="shared" ca="1" si="3"/>
        <v>7.5587106258470662</v>
      </c>
    </row>
    <row r="19" spans="1:5" ht="15.75" customHeight="1" x14ac:dyDescent="0.25">
      <c r="A19" s="6">
        <v>18</v>
      </c>
      <c r="B19" s="3">
        <f t="shared" ca="1" si="0"/>
        <v>11.323684768938596</v>
      </c>
      <c r="C19" s="3">
        <f t="shared" ca="1" si="1"/>
        <v>14.015489730154872</v>
      </c>
      <c r="D19" s="3">
        <f t="shared" ca="1" si="2"/>
        <v>5.7075914395326057</v>
      </c>
      <c r="E19" s="3">
        <f t="shared" ca="1" si="3"/>
        <v>12.113007670634584</v>
      </c>
    </row>
    <row r="20" spans="1:5" ht="15.75" customHeight="1" x14ac:dyDescent="0.25">
      <c r="A20" s="6">
        <v>19</v>
      </c>
      <c r="B20" s="3">
        <f t="shared" ca="1" si="0"/>
        <v>8.5921033728323213</v>
      </c>
      <c r="C20" s="3">
        <f t="shared" ca="1" si="1"/>
        <v>13.785877433774695</v>
      </c>
      <c r="D20" s="3">
        <f t="shared" ca="1" si="2"/>
        <v>7.7673741498503084</v>
      </c>
      <c r="E20" s="3">
        <f t="shared" ca="1" si="3"/>
        <v>10.601168379680654</v>
      </c>
    </row>
    <row r="21" spans="1:5" ht="15.75" customHeight="1" x14ac:dyDescent="0.25">
      <c r="A21" s="6">
        <v>20</v>
      </c>
      <c r="B21" s="3">
        <f t="shared" ca="1" si="0"/>
        <v>10.538226833392436</v>
      </c>
      <c r="C21" s="3">
        <f t="shared" ca="1" si="1"/>
        <v>11.049491973956851</v>
      </c>
      <c r="D21" s="3">
        <f t="shared" ca="1" si="2"/>
        <v>8.0483187413477069</v>
      </c>
      <c r="E21" s="3">
        <f t="shared" ca="1" si="3"/>
        <v>9.0238806004648549</v>
      </c>
    </row>
    <row r="22" spans="1:5" ht="15.75" customHeight="1" x14ac:dyDescent="0.25">
      <c r="A22" s="6">
        <v>21</v>
      </c>
      <c r="B22" s="3">
        <f t="shared" ca="1" si="0"/>
        <v>8.4452217778837877</v>
      </c>
      <c r="C22" s="3">
        <f t="shared" ca="1" si="1"/>
        <v>12.745662527421059</v>
      </c>
      <c r="D22" s="3">
        <f t="shared" ca="1" si="2"/>
        <v>6.1498938117915012</v>
      </c>
      <c r="E22" s="3">
        <f t="shared" ca="1" si="3"/>
        <v>6.6888001592971964</v>
      </c>
    </row>
    <row r="23" spans="1:5" ht="15.75" customHeight="1" x14ac:dyDescent="0.25">
      <c r="A23" s="6">
        <v>22</v>
      </c>
      <c r="B23" s="3">
        <f t="shared" ca="1" si="0"/>
        <v>9.560025031615595</v>
      </c>
      <c r="C23" s="3">
        <f t="shared" ca="1" si="1"/>
        <v>12.139780399465561</v>
      </c>
      <c r="D23" s="3">
        <f t="shared" ca="1" si="2"/>
        <v>6.3790990498778184</v>
      </c>
      <c r="E23" s="3">
        <f t="shared" ca="1" si="3"/>
        <v>10.258434854710085</v>
      </c>
    </row>
    <row r="24" spans="1:5" ht="15.75" customHeight="1" x14ac:dyDescent="0.25">
      <c r="A24" s="6">
        <v>23</v>
      </c>
      <c r="B24" s="3">
        <f t="shared" ca="1" si="0"/>
        <v>10.588698865159165</v>
      </c>
      <c r="C24" s="3">
        <f t="shared" ca="1" si="1"/>
        <v>13.994414362744289</v>
      </c>
      <c r="D24" s="3">
        <f t="shared" ca="1" si="2"/>
        <v>5.7138924748056379</v>
      </c>
      <c r="E24" s="3">
        <f t="shared" ca="1" si="3"/>
        <v>9.6496682620236243</v>
      </c>
    </row>
    <row r="25" spans="1:5" ht="15.75" customHeight="1" x14ac:dyDescent="0.25">
      <c r="A25" s="6">
        <v>24</v>
      </c>
      <c r="B25" s="3">
        <f t="shared" ca="1" si="0"/>
        <v>9.86771933508847</v>
      </c>
      <c r="C25" s="3">
        <f t="shared" ca="1" si="1"/>
        <v>13.955001519313534</v>
      </c>
      <c r="D25" s="3">
        <f t="shared" ca="1" si="2"/>
        <v>6.7224230739733501</v>
      </c>
      <c r="E25" s="3">
        <f t="shared" ca="1" si="3"/>
        <v>11.172667779164446</v>
      </c>
    </row>
    <row r="26" spans="1:5" ht="15.75" customHeight="1" x14ac:dyDescent="0.25">
      <c r="A26" s="6">
        <v>25</v>
      </c>
      <c r="B26" s="3">
        <f t="shared" ca="1" si="0"/>
        <v>10.829554134406917</v>
      </c>
      <c r="C26" s="3">
        <f t="shared" ca="1" si="1"/>
        <v>13.082355983172457</v>
      </c>
      <c r="D26" s="3">
        <f t="shared" ca="1" si="2"/>
        <v>6.2669610468489809</v>
      </c>
      <c r="E26" s="3">
        <f t="shared" ca="1" si="3"/>
        <v>12.24651840288403</v>
      </c>
    </row>
    <row r="27" spans="1:5" ht="15.75" customHeight="1" x14ac:dyDescent="0.25">
      <c r="A27" s="6">
        <v>26</v>
      </c>
      <c r="B27" s="3">
        <f t="shared" ca="1" si="0"/>
        <v>10.471098556304561</v>
      </c>
      <c r="C27" s="3">
        <f t="shared" ca="1" si="1"/>
        <v>12.870119985268406</v>
      </c>
      <c r="D27" s="3">
        <f t="shared" ca="1" si="2"/>
        <v>8.3723153809486242</v>
      </c>
      <c r="E27" s="3">
        <f t="shared" ca="1" si="3"/>
        <v>10.7546845125303</v>
      </c>
    </row>
    <row r="28" spans="1:5" ht="15.75" customHeight="1" x14ac:dyDescent="0.25">
      <c r="A28" s="6">
        <v>27</v>
      </c>
      <c r="B28" s="3">
        <f t="shared" ca="1" si="0"/>
        <v>10.724717120370615</v>
      </c>
      <c r="C28" s="3">
        <f t="shared" ca="1" si="1"/>
        <v>13.16528189862807</v>
      </c>
      <c r="D28" s="3">
        <f t="shared" ca="1" si="2"/>
        <v>6.9005522889851045</v>
      </c>
      <c r="E28" s="3">
        <f t="shared" ca="1" si="3"/>
        <v>10.744712724936397</v>
      </c>
    </row>
    <row r="29" spans="1:5" ht="13.2" x14ac:dyDescent="0.25">
      <c r="A29" s="6">
        <v>28</v>
      </c>
      <c r="B29" s="3">
        <f t="shared" ca="1" si="0"/>
        <v>10.214298072455611</v>
      </c>
      <c r="C29" s="3">
        <f t="shared" ca="1" si="1"/>
        <v>14.202360648236075</v>
      </c>
      <c r="D29" s="3">
        <f t="shared" ca="1" si="2"/>
        <v>5.7409823028580549</v>
      </c>
      <c r="E29" s="3">
        <f t="shared" ca="1" si="3"/>
        <v>13.18045531818564</v>
      </c>
    </row>
    <row r="30" spans="1:5" ht="13.2" x14ac:dyDescent="0.25">
      <c r="A30" s="6">
        <v>29</v>
      </c>
      <c r="B30" s="3">
        <f t="shared" ca="1" si="0"/>
        <v>10.246927587784274</v>
      </c>
      <c r="C30" s="3">
        <f t="shared" ca="1" si="1"/>
        <v>12.738069494286187</v>
      </c>
      <c r="D30" s="3">
        <f t="shared" ca="1" si="2"/>
        <v>6.5192354841958897</v>
      </c>
      <c r="E30" s="3">
        <f t="shared" ca="1" si="3"/>
        <v>13.882180884216162</v>
      </c>
    </row>
    <row r="31" spans="1:5" ht="13.2" x14ac:dyDescent="0.25">
      <c r="A31" s="6">
        <v>30</v>
      </c>
      <c r="B31" s="3">
        <f t="shared" ca="1" si="0"/>
        <v>10.211336421817164</v>
      </c>
      <c r="C31" s="3">
        <f t="shared" ca="1" si="1"/>
        <v>13.274115421254555</v>
      </c>
      <c r="D31" s="3">
        <f t="shared" ca="1" si="2"/>
        <v>5.3483128802965325</v>
      </c>
      <c r="E31" s="3">
        <f t="shared" ca="1" si="3"/>
        <v>6.4083849595862592</v>
      </c>
    </row>
    <row r="32" spans="1:5" ht="13.2" x14ac:dyDescent="0.25">
      <c r="A32" s="6">
        <v>31</v>
      </c>
      <c r="B32" s="3">
        <f t="shared" ca="1" si="0"/>
        <v>12.679626896698428</v>
      </c>
      <c r="C32" s="3">
        <f t="shared" ca="1" si="1"/>
        <v>13.862598986679396</v>
      </c>
      <c r="D32" s="3">
        <f t="shared" ca="1" si="2"/>
        <v>6.1142922393908705</v>
      </c>
      <c r="E32" s="3">
        <f t="shared" ca="1" si="3"/>
        <v>11.867566600525898</v>
      </c>
    </row>
    <row r="33" spans="1:5" ht="13.2" x14ac:dyDescent="0.25">
      <c r="A33" s="6">
        <v>32</v>
      </c>
      <c r="B33" s="3">
        <f t="shared" ca="1" si="0"/>
        <v>8.5208202871968588</v>
      </c>
      <c r="C33" s="3">
        <f t="shared" ca="1" si="1"/>
        <v>12.003106412414914</v>
      </c>
      <c r="D33" s="3">
        <f t="shared" ca="1" si="2"/>
        <v>8.4843304716503418</v>
      </c>
      <c r="E33" s="3">
        <f t="shared" ca="1" si="3"/>
        <v>5.1858099920611123</v>
      </c>
    </row>
    <row r="34" spans="1:5" ht="13.2" x14ac:dyDescent="0.25">
      <c r="A34" s="6">
        <v>33</v>
      </c>
      <c r="B34" s="3">
        <f t="shared" ca="1" si="0"/>
        <v>11.916885480338175</v>
      </c>
      <c r="C34" s="3">
        <f t="shared" ca="1" si="1"/>
        <v>13.877041301879498</v>
      </c>
      <c r="D34" s="3">
        <f t="shared" ca="1" si="2"/>
        <v>6.3316010329341994</v>
      </c>
      <c r="E34" s="3">
        <f t="shared" ca="1" si="3"/>
        <v>6.7593673158109855</v>
      </c>
    </row>
    <row r="35" spans="1:5" ht="13.2" x14ac:dyDescent="0.25">
      <c r="A35" s="6">
        <v>34</v>
      </c>
      <c r="B35" s="3">
        <f t="shared" ca="1" si="0"/>
        <v>14.284733155456404</v>
      </c>
      <c r="C35" s="3">
        <f t="shared" ca="1" si="1"/>
        <v>14.440478819743507</v>
      </c>
      <c r="D35" s="3">
        <f t="shared" ca="1" si="2"/>
        <v>6.7069567659230618</v>
      </c>
      <c r="E35" s="3">
        <f t="shared" ca="1" si="3"/>
        <v>9.8032411383601783</v>
      </c>
    </row>
    <row r="36" spans="1:5" ht="13.2" x14ac:dyDescent="0.25">
      <c r="A36" s="6">
        <v>35</v>
      </c>
      <c r="B36" s="3">
        <f t="shared" ca="1" si="0"/>
        <v>8.7073243161604683</v>
      </c>
      <c r="C36" s="3">
        <f t="shared" ca="1" si="1"/>
        <v>12.744870339702782</v>
      </c>
      <c r="D36" s="3">
        <f t="shared" ca="1" si="2"/>
        <v>8.0491691852606468</v>
      </c>
      <c r="E36" s="3">
        <f t="shared" ca="1" si="3"/>
        <v>11.104028728002056</v>
      </c>
    </row>
    <row r="37" spans="1:5" ht="13.2" x14ac:dyDescent="0.25">
      <c r="A37" s="6">
        <v>36</v>
      </c>
      <c r="B37" s="3">
        <f t="shared" ca="1" si="0"/>
        <v>6.6294396719455566</v>
      </c>
      <c r="C37" s="3">
        <f t="shared" ca="1" si="1"/>
        <v>13.778075107203875</v>
      </c>
      <c r="D37" s="3">
        <f t="shared" ca="1" si="2"/>
        <v>7.3618793764783561</v>
      </c>
      <c r="E37" s="3">
        <f t="shared" ca="1" si="3"/>
        <v>7.202862661952496</v>
      </c>
    </row>
    <row r="38" spans="1:5" ht="13.2" x14ac:dyDescent="0.25">
      <c r="A38" s="6">
        <v>37</v>
      </c>
      <c r="B38" s="3">
        <f t="shared" ca="1" si="0"/>
        <v>8.9805065630459104</v>
      </c>
      <c r="C38" s="3">
        <f t="shared" ca="1" si="1"/>
        <v>10.803378062150504</v>
      </c>
      <c r="D38" s="3">
        <f t="shared" ca="1" si="2"/>
        <v>8.7937392171169737</v>
      </c>
      <c r="E38" s="3">
        <f t="shared" ca="1" si="3"/>
        <v>10.024948231790322</v>
      </c>
    </row>
    <row r="39" spans="1:5" ht="13.2" x14ac:dyDescent="0.25">
      <c r="A39" s="6">
        <v>38</v>
      </c>
      <c r="B39" s="3">
        <f t="shared" ca="1" si="0"/>
        <v>10.704748845464902</v>
      </c>
      <c r="C39" s="3">
        <f t="shared" ca="1" si="1"/>
        <v>12.072978944910584</v>
      </c>
      <c r="D39" s="3">
        <f t="shared" ca="1" si="2"/>
        <v>5.1178875347064743</v>
      </c>
      <c r="E39" s="3">
        <f t="shared" ca="1" si="3"/>
        <v>7.8229093967667467</v>
      </c>
    </row>
    <row r="40" spans="1:5" ht="13.2" x14ac:dyDescent="0.25">
      <c r="A40" s="6">
        <v>39</v>
      </c>
      <c r="B40" s="3">
        <f t="shared" ca="1" si="0"/>
        <v>10.856402011815725</v>
      </c>
      <c r="C40" s="3">
        <f t="shared" ca="1" si="1"/>
        <v>14.145461887188741</v>
      </c>
      <c r="D40" s="3">
        <f t="shared" ca="1" si="2"/>
        <v>8.8317315656540654</v>
      </c>
      <c r="E40" s="3">
        <f t="shared" ca="1" si="3"/>
        <v>10.871206875375451</v>
      </c>
    </row>
    <row r="41" spans="1:5" ht="13.2" x14ac:dyDescent="0.25">
      <c r="A41" s="6">
        <v>40</v>
      </c>
      <c r="B41" s="3">
        <f t="shared" ca="1" si="0"/>
        <v>11.865034138015226</v>
      </c>
      <c r="C41" s="3">
        <f t="shared" ca="1" si="1"/>
        <v>13.049909151130846</v>
      </c>
      <c r="D41" s="3">
        <f t="shared" ca="1" si="2"/>
        <v>6.686197402290242</v>
      </c>
      <c r="E41" s="3">
        <f t="shared" ca="1" si="3"/>
        <v>9.7011715881200917</v>
      </c>
    </row>
    <row r="42" spans="1:5" ht="13.2" x14ac:dyDescent="0.25">
      <c r="A42" s="6">
        <v>41</v>
      </c>
      <c r="B42" s="3">
        <f t="shared" ca="1" si="0"/>
        <v>9.6226103285799187</v>
      </c>
      <c r="C42" s="3">
        <f t="shared" ca="1" si="1"/>
        <v>15.510424758438056</v>
      </c>
      <c r="D42" s="3">
        <f t="shared" ca="1" si="2"/>
        <v>3.1515898642101141</v>
      </c>
      <c r="E42" s="3">
        <f t="shared" ca="1" si="3"/>
        <v>10.707250209382407</v>
      </c>
    </row>
    <row r="43" spans="1:5" ht="13.2" x14ac:dyDescent="0.25">
      <c r="A43" s="6">
        <v>42</v>
      </c>
      <c r="B43" s="3">
        <f t="shared" ca="1" si="0"/>
        <v>12.380091723587736</v>
      </c>
      <c r="C43" s="3">
        <f t="shared" ca="1" si="1"/>
        <v>14.75381799939133</v>
      </c>
      <c r="D43" s="3">
        <f t="shared" ca="1" si="2"/>
        <v>4.6180412818654704</v>
      </c>
      <c r="E43" s="3">
        <f t="shared" ca="1" si="3"/>
        <v>12.177860469947195</v>
      </c>
    </row>
    <row r="44" spans="1:5" ht="13.2" x14ac:dyDescent="0.25">
      <c r="A44" s="6">
        <v>43</v>
      </c>
      <c r="B44" s="3">
        <f t="shared" ca="1" si="0"/>
        <v>11.108500924811153</v>
      </c>
      <c r="C44" s="3">
        <f t="shared" ca="1" si="1"/>
        <v>15.895643014545634</v>
      </c>
      <c r="D44" s="3">
        <f t="shared" ca="1" si="2"/>
        <v>7.4343019577919307</v>
      </c>
      <c r="E44" s="3">
        <f t="shared" ca="1" si="3"/>
        <v>12.224083679194175</v>
      </c>
    </row>
    <row r="45" spans="1:5" ht="13.2" x14ac:dyDescent="0.25">
      <c r="A45" s="6">
        <v>44</v>
      </c>
      <c r="B45" s="3">
        <f t="shared" ca="1" si="0"/>
        <v>12.748201150888619</v>
      </c>
      <c r="C45" s="3">
        <f t="shared" ca="1" si="1"/>
        <v>14.651865637640558</v>
      </c>
      <c r="D45" s="3">
        <f t="shared" ca="1" si="2"/>
        <v>6.1086750790735254</v>
      </c>
      <c r="E45" s="3">
        <f t="shared" ca="1" si="3"/>
        <v>11.80293398970681</v>
      </c>
    </row>
    <row r="46" spans="1:5" ht="13.2" x14ac:dyDescent="0.25">
      <c r="A46" s="6">
        <v>45</v>
      </c>
      <c r="B46" s="3">
        <f t="shared" ca="1" si="0"/>
        <v>11.366857337854658</v>
      </c>
      <c r="C46" s="3">
        <f t="shared" ca="1" si="1"/>
        <v>11.322121735227766</v>
      </c>
      <c r="D46" s="3">
        <f t="shared" ca="1" si="2"/>
        <v>4.9256550965058263</v>
      </c>
      <c r="E46" s="3">
        <f t="shared" ca="1" si="3"/>
        <v>8.766347049775181</v>
      </c>
    </row>
    <row r="47" spans="1:5" ht="13.2" x14ac:dyDescent="0.25">
      <c r="A47" s="6">
        <v>46</v>
      </c>
      <c r="B47" s="3">
        <f t="shared" ca="1" si="0"/>
        <v>10.115411611938434</v>
      </c>
      <c r="C47" s="3">
        <f t="shared" ca="1" si="1"/>
        <v>13.818978925414555</v>
      </c>
      <c r="D47" s="3">
        <f t="shared" ca="1" si="2"/>
        <v>4.999453245054001</v>
      </c>
      <c r="E47" s="3">
        <f t="shared" ca="1" si="3"/>
        <v>10.515892521840364</v>
      </c>
    </row>
    <row r="48" spans="1:5" ht="13.2" x14ac:dyDescent="0.25">
      <c r="A48" s="6">
        <v>47</v>
      </c>
      <c r="B48" s="3">
        <f t="shared" ca="1" si="0"/>
        <v>11.350696054859581</v>
      </c>
      <c r="C48" s="3">
        <f t="shared" ca="1" si="1"/>
        <v>13.544634221652018</v>
      </c>
      <c r="D48" s="3">
        <f t="shared" ca="1" si="2"/>
        <v>7.4460275784042169</v>
      </c>
      <c r="E48" s="3">
        <f t="shared" ca="1" si="3"/>
        <v>9.9426046235600598</v>
      </c>
    </row>
    <row r="49" spans="1:5" ht="13.2" x14ac:dyDescent="0.25">
      <c r="A49" s="6">
        <v>48</v>
      </c>
      <c r="B49" s="3">
        <f t="shared" ca="1" si="0"/>
        <v>11.467070417780775</v>
      </c>
      <c r="C49" s="3">
        <f t="shared" ca="1" si="1"/>
        <v>11.672566566068415</v>
      </c>
      <c r="D49" s="3">
        <f t="shared" ca="1" si="2"/>
        <v>6.6167873435665481</v>
      </c>
      <c r="E49" s="3">
        <f t="shared" ca="1" si="3"/>
        <v>10.617767338079791</v>
      </c>
    </row>
    <row r="50" spans="1:5" ht="13.2" x14ac:dyDescent="0.25">
      <c r="A50" s="6">
        <v>49</v>
      </c>
      <c r="B50" s="3">
        <f t="shared" ca="1" si="0"/>
        <v>9.1625256095298688</v>
      </c>
      <c r="C50" s="3">
        <f t="shared" ca="1" si="1"/>
        <v>11.914229868644284</v>
      </c>
      <c r="D50" s="3">
        <f t="shared" ca="1" si="2"/>
        <v>5.2569709295219624</v>
      </c>
      <c r="E50" s="3">
        <f t="shared" ca="1" si="3"/>
        <v>9.6397640787728758</v>
      </c>
    </row>
    <row r="51" spans="1:5" ht="13.2" x14ac:dyDescent="0.25">
      <c r="A51" s="6">
        <v>50</v>
      </c>
      <c r="B51" s="3">
        <f t="shared" ca="1" si="0"/>
        <v>10.843733406873321</v>
      </c>
      <c r="C51" s="3">
        <f t="shared" ca="1" si="1"/>
        <v>13.6103846080713</v>
      </c>
      <c r="D51" s="3">
        <f t="shared" ca="1" si="2"/>
        <v>5.5605243488986202</v>
      </c>
      <c r="E51" s="3">
        <f t="shared" ca="1" si="3"/>
        <v>6.661287555462482</v>
      </c>
    </row>
    <row r="52" spans="1:5" ht="13.2" x14ac:dyDescent="0.25">
      <c r="A52" s="6">
        <v>51</v>
      </c>
      <c r="B52" s="3">
        <f t="shared" ca="1" si="0"/>
        <v>10.665551231572394</v>
      </c>
      <c r="C52" s="3">
        <f t="shared" ca="1" si="1"/>
        <v>13.316697582811056</v>
      </c>
      <c r="D52" s="3">
        <f t="shared" ca="1" si="2"/>
        <v>7.2628041551331357</v>
      </c>
      <c r="E52" s="3">
        <f t="shared" ca="1" si="3"/>
        <v>13.252142405615903</v>
      </c>
    </row>
    <row r="53" spans="1:5" ht="13.2" x14ac:dyDescent="0.25">
      <c r="A53" s="6">
        <v>52</v>
      </c>
      <c r="B53" s="3">
        <f t="shared" ca="1" si="0"/>
        <v>10.952290894406614</v>
      </c>
      <c r="C53" s="3">
        <f t="shared" ca="1" si="1"/>
        <v>13.963427658430691</v>
      </c>
      <c r="D53" s="3">
        <f t="shared" ca="1" si="2"/>
        <v>7.9928698007423051</v>
      </c>
      <c r="E53" s="3">
        <f t="shared" ca="1" si="3"/>
        <v>11.809398651070239</v>
      </c>
    </row>
    <row r="54" spans="1:5" ht="13.2" x14ac:dyDescent="0.25">
      <c r="A54" s="6">
        <v>53</v>
      </c>
      <c r="B54" s="3">
        <f t="shared" ca="1" si="0"/>
        <v>11.491810726060965</v>
      </c>
      <c r="C54" s="3">
        <f t="shared" ca="1" si="1"/>
        <v>12.140273766395149</v>
      </c>
      <c r="D54" s="3">
        <f t="shared" ca="1" si="2"/>
        <v>6.8204521779896856</v>
      </c>
      <c r="E54" s="3">
        <f t="shared" ca="1" si="3"/>
        <v>7.2192684196596222</v>
      </c>
    </row>
    <row r="55" spans="1:5" ht="13.2" x14ac:dyDescent="0.25">
      <c r="A55" s="6">
        <v>54</v>
      </c>
      <c r="B55" s="3">
        <f t="shared" ca="1" si="0"/>
        <v>12.012972209394853</v>
      </c>
      <c r="C55" s="3">
        <f t="shared" ca="1" si="1"/>
        <v>12.041402242090411</v>
      </c>
      <c r="D55" s="3">
        <f t="shared" ca="1" si="2"/>
        <v>8.1734405903826932</v>
      </c>
      <c r="E55" s="3">
        <f t="shared" ca="1" si="3"/>
        <v>10.358028962609442</v>
      </c>
    </row>
    <row r="56" spans="1:5" ht="13.2" x14ac:dyDescent="0.25">
      <c r="A56" s="6">
        <v>55</v>
      </c>
      <c r="B56" s="3">
        <f t="shared" ca="1" si="0"/>
        <v>6.9252277934080038</v>
      </c>
      <c r="C56" s="3">
        <f t="shared" ca="1" si="1"/>
        <v>12.522923397630262</v>
      </c>
      <c r="D56" s="3">
        <f t="shared" ca="1" si="2"/>
        <v>5.4299194806828872</v>
      </c>
      <c r="E56" s="3">
        <f t="shared" ca="1" si="3"/>
        <v>7.9938219725528636</v>
      </c>
    </row>
    <row r="57" spans="1:5" ht="13.2" x14ac:dyDescent="0.25">
      <c r="A57" s="6">
        <v>56</v>
      </c>
      <c r="B57" s="3">
        <f t="shared" ca="1" si="0"/>
        <v>10.157541264725946</v>
      </c>
      <c r="C57" s="3">
        <f t="shared" ca="1" si="1"/>
        <v>13.618448687928337</v>
      </c>
      <c r="D57" s="3">
        <f t="shared" ca="1" si="2"/>
        <v>3.9395920847115771</v>
      </c>
      <c r="E57" s="3">
        <f t="shared" ca="1" si="3"/>
        <v>8.2581403094792041</v>
      </c>
    </row>
    <row r="58" spans="1:5" ht="13.2" x14ac:dyDescent="0.25">
      <c r="A58" s="6">
        <v>57</v>
      </c>
      <c r="B58" s="3">
        <f t="shared" ca="1" si="0"/>
        <v>9.029441532106782</v>
      </c>
      <c r="C58" s="3">
        <f t="shared" ca="1" si="1"/>
        <v>12.997531803159829</v>
      </c>
      <c r="D58" s="3">
        <f t="shared" ca="1" si="2"/>
        <v>6.2429470323178133</v>
      </c>
      <c r="E58" s="3">
        <f t="shared" ca="1" si="3"/>
        <v>7.5191763943961512</v>
      </c>
    </row>
    <row r="59" spans="1:5" ht="13.2" x14ac:dyDescent="0.25">
      <c r="A59" s="6">
        <v>58</v>
      </c>
      <c r="B59" s="3">
        <f t="shared" ca="1" si="0"/>
        <v>10.387597953877824</v>
      </c>
      <c r="C59" s="3">
        <f t="shared" ca="1" si="1"/>
        <v>15.056872757154274</v>
      </c>
      <c r="D59" s="3">
        <f t="shared" ca="1" si="2"/>
        <v>4.2018421726422606</v>
      </c>
      <c r="E59" s="3">
        <f t="shared" ca="1" si="3"/>
        <v>11.408457775955945</v>
      </c>
    </row>
    <row r="60" spans="1:5" ht="13.2" x14ac:dyDescent="0.25">
      <c r="A60" s="6">
        <v>59</v>
      </c>
      <c r="B60" s="3">
        <f t="shared" ca="1" si="0"/>
        <v>9.6567105326860521</v>
      </c>
      <c r="C60" s="3">
        <f t="shared" ca="1" si="1"/>
        <v>13.500385570419891</v>
      </c>
      <c r="D60" s="3">
        <f t="shared" ca="1" si="2"/>
        <v>8.6012639519040803</v>
      </c>
      <c r="E60" s="3">
        <f t="shared" ca="1" si="3"/>
        <v>13.387881055183342</v>
      </c>
    </row>
    <row r="61" spans="1:5" ht="13.2" x14ac:dyDescent="0.25">
      <c r="A61" s="6">
        <v>60</v>
      </c>
      <c r="B61" s="3">
        <f t="shared" ca="1" si="0"/>
        <v>11.117023384286123</v>
      </c>
      <c r="C61" s="3">
        <f t="shared" ca="1" si="1"/>
        <v>12.713440044900761</v>
      </c>
      <c r="D61" s="3">
        <f t="shared" ca="1" si="2"/>
        <v>6.4383051944991436</v>
      </c>
      <c r="E61" s="3">
        <f t="shared" ca="1" si="3"/>
        <v>11.264394992155811</v>
      </c>
    </row>
    <row r="62" spans="1:5" ht="13.2" x14ac:dyDescent="0.25">
      <c r="A62" s="6">
        <v>61</v>
      </c>
      <c r="B62" s="3">
        <f t="shared" ca="1" si="0"/>
        <v>9.4302717626840629</v>
      </c>
      <c r="C62" s="3">
        <f t="shared" ca="1" si="1"/>
        <v>12.828843469402639</v>
      </c>
      <c r="D62" s="3">
        <f t="shared" ca="1" si="2"/>
        <v>4.6945566056369197</v>
      </c>
      <c r="E62" s="3">
        <f t="shared" ca="1" si="3"/>
        <v>8.6220513085921802</v>
      </c>
    </row>
    <row r="63" spans="1:5" ht="13.2" x14ac:dyDescent="0.25">
      <c r="A63" s="6">
        <v>62</v>
      </c>
      <c r="B63" s="3">
        <f t="shared" ca="1" si="0"/>
        <v>8.2264444793990776</v>
      </c>
      <c r="C63" s="3">
        <f t="shared" ca="1" si="1"/>
        <v>13.117055781528656</v>
      </c>
      <c r="D63" s="3">
        <f t="shared" ca="1" si="2"/>
        <v>5.7811018908489977</v>
      </c>
      <c r="E63" s="3">
        <f t="shared" ca="1" si="3"/>
        <v>10.322350364646073</v>
      </c>
    </row>
    <row r="64" spans="1:5" ht="13.2" x14ac:dyDescent="0.25">
      <c r="A64" s="6">
        <v>63</v>
      </c>
      <c r="B64" s="3">
        <f t="shared" ca="1" si="0"/>
        <v>11.342872937351455</v>
      </c>
      <c r="C64" s="3">
        <f t="shared" ca="1" si="1"/>
        <v>12.350590507632262</v>
      </c>
      <c r="D64" s="3">
        <f t="shared" ca="1" si="2"/>
        <v>6.396329277459226</v>
      </c>
      <c r="E64" s="3">
        <f t="shared" ca="1" si="3"/>
        <v>8.9110504302650693</v>
      </c>
    </row>
    <row r="65" spans="1:5" ht="13.2" x14ac:dyDescent="0.25">
      <c r="A65" s="6">
        <v>64</v>
      </c>
      <c r="B65" s="3">
        <f t="shared" ca="1" si="0"/>
        <v>10.489518212963523</v>
      </c>
      <c r="C65" s="3">
        <f t="shared" ca="1" si="1"/>
        <v>12.425981033654134</v>
      </c>
      <c r="D65" s="3">
        <f t="shared" ca="1" si="2"/>
        <v>6.3531923320454382</v>
      </c>
      <c r="E65" s="3">
        <f t="shared" ca="1" si="3"/>
        <v>9.8737695436076685</v>
      </c>
    </row>
    <row r="66" spans="1:5" ht="13.2" x14ac:dyDescent="0.25">
      <c r="A66" s="6">
        <v>65</v>
      </c>
      <c r="B66" s="3">
        <f t="shared" ca="1" si="0"/>
        <v>7.6742617762346903</v>
      </c>
      <c r="C66" s="3">
        <f t="shared" ca="1" si="1"/>
        <v>15.046371594876685</v>
      </c>
      <c r="D66" s="3">
        <f t="shared" ca="1" si="2"/>
        <v>6.4408377995285946</v>
      </c>
      <c r="E66" s="3">
        <f t="shared" ca="1" si="3"/>
        <v>6.6324105018519912</v>
      </c>
    </row>
    <row r="67" spans="1:5" ht="13.2" x14ac:dyDescent="0.25">
      <c r="A67" s="6">
        <v>66</v>
      </c>
      <c r="B67" s="3">
        <f t="shared" ca="1" si="0"/>
        <v>8.5043479075668564</v>
      </c>
      <c r="C67" s="3">
        <f t="shared" ca="1" si="1"/>
        <v>13.53551907093412</v>
      </c>
      <c r="D67" s="3">
        <f t="shared" ca="1" si="2"/>
        <v>5.7320617100297762</v>
      </c>
      <c r="E67" s="3">
        <f t="shared" ca="1" si="3"/>
        <v>8.6622349467302016</v>
      </c>
    </row>
    <row r="68" spans="1:5" ht="13.2" x14ac:dyDescent="0.25">
      <c r="A68" s="6">
        <v>67</v>
      </c>
      <c r="B68" s="3">
        <f t="shared" ca="1" si="0"/>
        <v>9.8703780964002377</v>
      </c>
      <c r="C68" s="3">
        <f t="shared" ca="1" si="1"/>
        <v>15.169347822526968</v>
      </c>
      <c r="D68" s="3">
        <f t="shared" ca="1" si="2"/>
        <v>5.4046796008795557</v>
      </c>
      <c r="E68" s="3">
        <f t="shared" ca="1" si="3"/>
        <v>13.162629364749591</v>
      </c>
    </row>
    <row r="69" spans="1:5" ht="13.2" x14ac:dyDescent="0.25">
      <c r="A69" s="6">
        <v>68</v>
      </c>
      <c r="B69" s="3">
        <f t="shared" ca="1" si="0"/>
        <v>10.442514746828396</v>
      </c>
      <c r="C69" s="3">
        <f t="shared" ca="1" si="1"/>
        <v>14.2859228497896</v>
      </c>
      <c r="D69" s="3">
        <f t="shared" ca="1" si="2"/>
        <v>9.213877229220401</v>
      </c>
      <c r="E69" s="3">
        <f t="shared" ca="1" si="3"/>
        <v>11.851053434484923</v>
      </c>
    </row>
    <row r="70" spans="1:5" ht="13.2" x14ac:dyDescent="0.25">
      <c r="A70" s="6">
        <v>69</v>
      </c>
      <c r="B70" s="3">
        <f t="shared" ca="1" si="0"/>
        <v>10.877420282826643</v>
      </c>
      <c r="C70" s="3">
        <f t="shared" ca="1" si="1"/>
        <v>14.416590006730363</v>
      </c>
      <c r="D70" s="3">
        <f t="shared" ca="1" si="2"/>
        <v>6.9584304702423161</v>
      </c>
      <c r="E70" s="3">
        <f t="shared" ca="1" si="3"/>
        <v>11.594092887807133</v>
      </c>
    </row>
    <row r="71" spans="1:5" ht="13.2" x14ac:dyDescent="0.25">
      <c r="A71" s="6">
        <v>70</v>
      </c>
      <c r="B71" s="3">
        <f t="shared" ca="1" si="0"/>
        <v>8.0419828532607767</v>
      </c>
      <c r="C71" s="3">
        <f t="shared" ca="1" si="1"/>
        <v>12.066709377270017</v>
      </c>
      <c r="D71" s="3">
        <f t="shared" ca="1" si="2"/>
        <v>8.4235016511016809</v>
      </c>
      <c r="E71" s="3">
        <f t="shared" ca="1" si="3"/>
        <v>4.7317132585423876</v>
      </c>
    </row>
    <row r="72" spans="1:5" ht="13.2" x14ac:dyDescent="0.25">
      <c r="A72" s="6">
        <v>71</v>
      </c>
      <c r="B72" s="3">
        <f t="shared" ca="1" si="0"/>
        <v>9.1609750870725826</v>
      </c>
      <c r="C72" s="3">
        <f t="shared" ca="1" si="1"/>
        <v>12.748619791022087</v>
      </c>
      <c r="D72" s="3">
        <f t="shared" ca="1" si="2"/>
        <v>7.2313591583375958</v>
      </c>
      <c r="E72" s="3">
        <f t="shared" ca="1" si="3"/>
        <v>11.705192005315348</v>
      </c>
    </row>
    <row r="73" spans="1:5" ht="13.2" x14ac:dyDescent="0.25">
      <c r="A73" s="6">
        <v>72</v>
      </c>
      <c r="B73" s="3">
        <f t="shared" ca="1" si="0"/>
        <v>9.8218003784391161</v>
      </c>
      <c r="C73" s="3">
        <f t="shared" ca="1" si="1"/>
        <v>12.758655556111293</v>
      </c>
      <c r="D73" s="3">
        <f t="shared" ca="1" si="2"/>
        <v>5.8614365399749655</v>
      </c>
      <c r="E73" s="3">
        <f t="shared" ca="1" si="3"/>
        <v>9.9592382371708084</v>
      </c>
    </row>
    <row r="74" spans="1:5" ht="13.2" x14ac:dyDescent="0.25">
      <c r="A74" s="6">
        <v>73</v>
      </c>
      <c r="B74" s="3">
        <f t="shared" ca="1" si="0"/>
        <v>10.853502575097764</v>
      </c>
      <c r="C74" s="3">
        <f t="shared" ca="1" si="1"/>
        <v>13.561173153803036</v>
      </c>
      <c r="D74" s="3">
        <f t="shared" ca="1" si="2"/>
        <v>5.8771080324151397</v>
      </c>
      <c r="E74" s="3">
        <f t="shared" ca="1" si="3"/>
        <v>10.403943397875675</v>
      </c>
    </row>
    <row r="75" spans="1:5" ht="13.2" x14ac:dyDescent="0.25">
      <c r="A75" s="6">
        <v>74</v>
      </c>
      <c r="B75" s="3">
        <f t="shared" ca="1" si="0"/>
        <v>8.2067116282507389</v>
      </c>
      <c r="C75" s="3">
        <f t="shared" ca="1" si="1"/>
        <v>11.080885648951231</v>
      </c>
      <c r="D75" s="3">
        <f t="shared" ca="1" si="2"/>
        <v>7.1916033620172879</v>
      </c>
      <c r="E75" s="3">
        <f t="shared" ca="1" si="3"/>
        <v>10.282416081302729</v>
      </c>
    </row>
    <row r="76" spans="1:5" ht="13.2" x14ac:dyDescent="0.25">
      <c r="A76" s="6">
        <v>75</v>
      </c>
      <c r="B76" s="3">
        <f t="shared" ca="1" si="0"/>
        <v>9.9168981104685159</v>
      </c>
      <c r="C76" s="3">
        <f t="shared" ca="1" si="1"/>
        <v>14.058028887706808</v>
      </c>
      <c r="D76" s="3">
        <f t="shared" ca="1" si="2"/>
        <v>8.9605065913594046</v>
      </c>
      <c r="E76" s="3">
        <f t="shared" ca="1" si="3"/>
        <v>5.9563553275978158</v>
      </c>
    </row>
    <row r="77" spans="1:5" ht="13.2" x14ac:dyDescent="0.25">
      <c r="A77" s="6">
        <v>76</v>
      </c>
      <c r="B77" s="3">
        <f t="shared" ca="1" si="0"/>
        <v>10.152310921198145</v>
      </c>
      <c r="C77" s="3">
        <f t="shared" ca="1" si="1"/>
        <v>10.375851935702649</v>
      </c>
      <c r="D77" s="3">
        <f t="shared" ca="1" si="2"/>
        <v>5.7051086091968441</v>
      </c>
      <c r="E77" s="3">
        <f t="shared" ca="1" si="3"/>
        <v>7.7572864238539569</v>
      </c>
    </row>
    <row r="78" spans="1:5" ht="13.2" x14ac:dyDescent="0.25">
      <c r="A78" s="6">
        <v>77</v>
      </c>
      <c r="B78" s="3">
        <f t="shared" ca="1" si="0"/>
        <v>10.39893073776539</v>
      </c>
      <c r="C78" s="3">
        <f t="shared" ca="1" si="1"/>
        <v>14.443541757916993</v>
      </c>
      <c r="D78" s="3">
        <f t="shared" ca="1" si="2"/>
        <v>4.4495867290342632</v>
      </c>
      <c r="E78" s="3">
        <f t="shared" ca="1" si="3"/>
        <v>11.515685373603251</v>
      </c>
    </row>
    <row r="79" spans="1:5" ht="13.2" x14ac:dyDescent="0.25">
      <c r="A79" s="6">
        <v>78</v>
      </c>
      <c r="B79" s="3">
        <f t="shared" ca="1" si="0"/>
        <v>9.2592018837203653</v>
      </c>
      <c r="C79" s="3">
        <f t="shared" ca="1" si="1"/>
        <v>13.677241889102056</v>
      </c>
      <c r="D79" s="3">
        <f t="shared" ca="1" si="2"/>
        <v>4.4732571030741459</v>
      </c>
      <c r="E79" s="3">
        <f t="shared" ca="1" si="3"/>
        <v>13.330894253536545</v>
      </c>
    </row>
    <row r="80" spans="1:5" ht="13.2" x14ac:dyDescent="0.25">
      <c r="A80" s="6">
        <v>79</v>
      </c>
      <c r="B80" s="3">
        <f t="shared" ca="1" si="0"/>
        <v>7.854047873451977</v>
      </c>
      <c r="C80" s="3">
        <f t="shared" ca="1" si="1"/>
        <v>12.889017561242932</v>
      </c>
      <c r="D80" s="3">
        <f t="shared" ca="1" si="2"/>
        <v>6.7192816273873781</v>
      </c>
      <c r="E80" s="3">
        <f t="shared" ca="1" si="3"/>
        <v>13.250076526265618</v>
      </c>
    </row>
    <row r="81" spans="1:5" ht="13.2" x14ac:dyDescent="0.25">
      <c r="A81" s="6">
        <v>80</v>
      </c>
      <c r="B81" s="3">
        <f t="shared" ca="1" si="0"/>
        <v>12.844675305396377</v>
      </c>
      <c r="C81" s="3">
        <f t="shared" ca="1" si="1"/>
        <v>12.741317663502153</v>
      </c>
      <c r="D81" s="3">
        <f t="shared" ca="1" si="2"/>
        <v>6.2971719353632158</v>
      </c>
      <c r="E81" s="3">
        <f t="shared" ca="1" si="3"/>
        <v>11.898213256054994</v>
      </c>
    </row>
    <row r="82" spans="1:5" ht="13.2" x14ac:dyDescent="0.25">
      <c r="A82" s="6">
        <v>81</v>
      </c>
      <c r="B82" s="3">
        <f t="shared" ca="1" si="0"/>
        <v>10.605236205356308</v>
      </c>
      <c r="C82" s="3">
        <f t="shared" ca="1" si="1"/>
        <v>13.534033631456229</v>
      </c>
      <c r="D82" s="3">
        <f t="shared" ca="1" si="2"/>
        <v>6.6248088638742555</v>
      </c>
      <c r="E82" s="3">
        <f t="shared" ca="1" si="3"/>
        <v>6.9918462091446782</v>
      </c>
    </row>
    <row r="83" spans="1:5" ht="13.2" x14ac:dyDescent="0.25">
      <c r="A83" s="6">
        <v>82</v>
      </c>
      <c r="B83" s="3">
        <f t="shared" ca="1" si="0"/>
        <v>11.034704445480866</v>
      </c>
      <c r="C83" s="3">
        <f t="shared" ca="1" si="1"/>
        <v>12.247130499958031</v>
      </c>
      <c r="D83" s="3">
        <f t="shared" ca="1" si="2"/>
        <v>5.8424788064424007</v>
      </c>
      <c r="E83" s="3">
        <f t="shared" ca="1" si="3"/>
        <v>6.0910157875129016</v>
      </c>
    </row>
    <row r="84" spans="1:5" ht="13.2" x14ac:dyDescent="0.25">
      <c r="A84" s="6">
        <v>83</v>
      </c>
      <c r="B84" s="3">
        <f t="shared" ca="1" si="0"/>
        <v>9.5307185063515103</v>
      </c>
      <c r="C84" s="3">
        <f t="shared" ca="1" si="1"/>
        <v>14.52599539221141</v>
      </c>
      <c r="D84" s="3">
        <f t="shared" ca="1" si="2"/>
        <v>5.2273206658659372</v>
      </c>
      <c r="E84" s="3">
        <f t="shared" ca="1" si="3"/>
        <v>10.153193007941098</v>
      </c>
    </row>
    <row r="85" spans="1:5" ht="13.2" x14ac:dyDescent="0.25">
      <c r="A85" s="6">
        <v>84</v>
      </c>
      <c r="B85" s="3">
        <f t="shared" ca="1" si="0"/>
        <v>10.276292756401164</v>
      </c>
      <c r="C85" s="3">
        <f t="shared" ca="1" si="1"/>
        <v>12.125860296597262</v>
      </c>
      <c r="D85" s="3">
        <f t="shared" ca="1" si="2"/>
        <v>7.7763626153709486</v>
      </c>
      <c r="E85" s="3">
        <f t="shared" ca="1" si="3"/>
        <v>8.2429474277796793</v>
      </c>
    </row>
    <row r="86" spans="1:5" ht="13.2" x14ac:dyDescent="0.25">
      <c r="A86" s="6">
        <v>85</v>
      </c>
      <c r="B86" s="3">
        <f t="shared" ca="1" si="0"/>
        <v>10.470520271104064</v>
      </c>
      <c r="C86" s="3">
        <f t="shared" ca="1" si="1"/>
        <v>12.337631704329528</v>
      </c>
      <c r="D86" s="3">
        <f t="shared" ca="1" si="2"/>
        <v>7.8815833059484639</v>
      </c>
      <c r="E86" s="3">
        <f t="shared" ca="1" si="3"/>
        <v>9.1827583859898212</v>
      </c>
    </row>
    <row r="87" spans="1:5" ht="13.2" x14ac:dyDescent="0.25">
      <c r="A87" s="6">
        <v>86</v>
      </c>
      <c r="B87" s="3">
        <f t="shared" ca="1" si="0"/>
        <v>7.0287027326934624</v>
      </c>
      <c r="C87" s="3">
        <f t="shared" ca="1" si="1"/>
        <v>12.863504937726352</v>
      </c>
      <c r="D87" s="3">
        <f t="shared" ca="1" si="2"/>
        <v>7.9004570819518536</v>
      </c>
      <c r="E87" s="3">
        <f t="shared" ca="1" si="3"/>
        <v>6.9169800501863801</v>
      </c>
    </row>
    <row r="88" spans="1:5" ht="13.2" x14ac:dyDescent="0.25">
      <c r="A88" s="6">
        <v>87</v>
      </c>
      <c r="B88" s="3">
        <f t="shared" ca="1" si="0"/>
        <v>8.5451612447562653</v>
      </c>
      <c r="C88" s="3">
        <f t="shared" ca="1" si="1"/>
        <v>12.144142064954151</v>
      </c>
      <c r="D88" s="3">
        <f t="shared" ca="1" si="2"/>
        <v>7.0160285826391675</v>
      </c>
      <c r="E88" s="3">
        <f t="shared" ca="1" si="3"/>
        <v>8.6279802243992538</v>
      </c>
    </row>
    <row r="89" spans="1:5" ht="13.2" x14ac:dyDescent="0.25">
      <c r="A89" s="6">
        <v>88</v>
      </c>
      <c r="B89" s="3">
        <f t="shared" ca="1" si="0"/>
        <v>11.616158980476838</v>
      </c>
      <c r="C89" s="3">
        <f t="shared" ca="1" si="1"/>
        <v>12.826215285244777</v>
      </c>
      <c r="D89" s="3">
        <f t="shared" ca="1" si="2"/>
        <v>6.081744003764614</v>
      </c>
      <c r="E89" s="3">
        <f t="shared" ca="1" si="3"/>
        <v>10.344019702030089</v>
      </c>
    </row>
    <row r="90" spans="1:5" ht="13.2" x14ac:dyDescent="0.25">
      <c r="A90" s="6">
        <v>89</v>
      </c>
      <c r="B90" s="3">
        <f t="shared" ca="1" si="0"/>
        <v>6.8985694710902017</v>
      </c>
      <c r="C90" s="3">
        <f t="shared" ca="1" si="1"/>
        <v>12.526513414463112</v>
      </c>
      <c r="D90" s="3">
        <f t="shared" ca="1" si="2"/>
        <v>6.4016300514235835</v>
      </c>
      <c r="E90" s="3">
        <f t="shared" ca="1" si="3"/>
        <v>11.670623528279894</v>
      </c>
    </row>
    <row r="91" spans="1:5" ht="13.2" x14ac:dyDescent="0.25">
      <c r="A91" s="6">
        <v>90</v>
      </c>
      <c r="B91" s="3">
        <f t="shared" ca="1" si="0"/>
        <v>10.894672853722339</v>
      </c>
      <c r="C91" s="3">
        <f t="shared" ca="1" si="1"/>
        <v>11.732808304446486</v>
      </c>
      <c r="D91" s="3">
        <f t="shared" ca="1" si="2"/>
        <v>7.7821156968948095</v>
      </c>
      <c r="E91" s="3">
        <f t="shared" ca="1" si="3"/>
        <v>10.620594988628456</v>
      </c>
    </row>
    <row r="92" spans="1:5" ht="13.2" x14ac:dyDescent="0.25">
      <c r="A92" s="6">
        <v>91</v>
      </c>
      <c r="B92" s="3">
        <f t="shared" ca="1" si="0"/>
        <v>10.694069511081842</v>
      </c>
      <c r="C92" s="3">
        <f t="shared" ca="1" si="1"/>
        <v>12.882688557259094</v>
      </c>
      <c r="D92" s="3">
        <f t="shared" ca="1" si="2"/>
        <v>7.574790634073131</v>
      </c>
      <c r="E92" s="3">
        <f t="shared" ca="1" si="3"/>
        <v>9.4587882684518299</v>
      </c>
    </row>
    <row r="93" spans="1:5" ht="13.2" x14ac:dyDescent="0.25">
      <c r="A93" s="6">
        <v>92</v>
      </c>
      <c r="B93" s="3">
        <f t="shared" ca="1" si="0"/>
        <v>10.783247726853444</v>
      </c>
      <c r="C93" s="3">
        <f t="shared" ca="1" si="1"/>
        <v>13.078835834167258</v>
      </c>
      <c r="D93" s="3">
        <f t="shared" ca="1" si="2"/>
        <v>6.4424252070007846</v>
      </c>
      <c r="E93" s="3">
        <f t="shared" ca="1" si="3"/>
        <v>9.6831530331549764</v>
      </c>
    </row>
    <row r="94" spans="1:5" ht="13.2" x14ac:dyDescent="0.25">
      <c r="A94" s="6">
        <v>93</v>
      </c>
      <c r="B94" s="3">
        <f t="shared" ca="1" si="0"/>
        <v>11.085049729169196</v>
      </c>
      <c r="C94" s="3">
        <f t="shared" ca="1" si="1"/>
        <v>13.070246828147724</v>
      </c>
      <c r="D94" s="3">
        <f t="shared" ca="1" si="2"/>
        <v>5.8819754646823696</v>
      </c>
      <c r="E94" s="3">
        <f t="shared" ca="1" si="3"/>
        <v>13.287437726524606</v>
      </c>
    </row>
    <row r="95" spans="1:5" ht="13.2" x14ac:dyDescent="0.25">
      <c r="A95" s="6">
        <v>94</v>
      </c>
      <c r="B95" s="3">
        <f t="shared" ca="1" si="0"/>
        <v>8.5899523832808615</v>
      </c>
      <c r="C95" s="3">
        <f t="shared" ca="1" si="1"/>
        <v>12.812375369530514</v>
      </c>
      <c r="D95" s="3">
        <f t="shared" ca="1" si="2"/>
        <v>7.2150147054829334</v>
      </c>
      <c r="E95" s="3">
        <f t="shared" ca="1" si="3"/>
        <v>10.820003703116152</v>
      </c>
    </row>
    <row r="96" spans="1:5" ht="13.2" x14ac:dyDescent="0.25">
      <c r="A96" s="6">
        <v>95</v>
      </c>
      <c r="B96" s="3">
        <f t="shared" ca="1" si="0"/>
        <v>10.442725181124922</v>
      </c>
      <c r="C96" s="3">
        <f t="shared" ca="1" si="1"/>
        <v>13.492690852653492</v>
      </c>
      <c r="D96" s="3">
        <f t="shared" ca="1" si="2"/>
        <v>7.5752158514120396</v>
      </c>
      <c r="E96" s="3">
        <f t="shared" ca="1" si="3"/>
        <v>11.428045925252622</v>
      </c>
    </row>
    <row r="97" spans="1:5" ht="13.2" x14ac:dyDescent="0.25">
      <c r="A97" s="6">
        <v>96</v>
      </c>
      <c r="B97" s="3">
        <f t="shared" ca="1" si="0"/>
        <v>11.819348015885026</v>
      </c>
      <c r="C97" s="3">
        <f t="shared" ca="1" si="1"/>
        <v>13.684507696946463</v>
      </c>
      <c r="D97" s="3">
        <f t="shared" ca="1" si="2"/>
        <v>5.4562747305901178</v>
      </c>
      <c r="E97" s="3">
        <f t="shared" ca="1" si="3"/>
        <v>11.218868483013841</v>
      </c>
    </row>
    <row r="98" spans="1:5" ht="13.2" x14ac:dyDescent="0.25">
      <c r="A98" s="6">
        <v>97</v>
      </c>
      <c r="B98" s="3">
        <f t="shared" ca="1" si="0"/>
        <v>10.785074431146267</v>
      </c>
      <c r="C98" s="3">
        <f t="shared" ca="1" si="1"/>
        <v>12.262728641977223</v>
      </c>
      <c r="D98" s="3">
        <f t="shared" ca="1" si="2"/>
        <v>5.0977989846197822</v>
      </c>
      <c r="E98" s="3">
        <f t="shared" ca="1" si="3"/>
        <v>9.5770025141741542</v>
      </c>
    </row>
    <row r="99" spans="1:5" ht="13.2" x14ac:dyDescent="0.25">
      <c r="A99" s="6">
        <v>98</v>
      </c>
      <c r="B99" s="3">
        <f t="shared" ca="1" si="0"/>
        <v>10.766271238490809</v>
      </c>
      <c r="C99" s="3">
        <f t="shared" ca="1" si="1"/>
        <v>13.569890337486676</v>
      </c>
      <c r="D99" s="3">
        <f t="shared" ca="1" si="2"/>
        <v>5.7523404145755332</v>
      </c>
      <c r="E99" s="3">
        <f t="shared" ca="1" si="3"/>
        <v>8.988778695622047</v>
      </c>
    </row>
    <row r="100" spans="1:5" ht="13.2" x14ac:dyDescent="0.25">
      <c r="A100" s="6">
        <v>99</v>
      </c>
      <c r="B100" s="3">
        <f t="shared" ca="1" si="0"/>
        <v>9.0137396295554471</v>
      </c>
      <c r="C100" s="3">
        <f t="shared" ca="1" si="1"/>
        <v>13.608839370864919</v>
      </c>
      <c r="D100" s="3">
        <f t="shared" ca="1" si="2"/>
        <v>6.1085067259188568</v>
      </c>
      <c r="E100" s="3">
        <f t="shared" ca="1" si="3"/>
        <v>6.9682766425673046</v>
      </c>
    </row>
    <row r="101" spans="1:5" ht="13.2" x14ac:dyDescent="0.25">
      <c r="A101" s="6">
        <v>100</v>
      </c>
      <c r="B101" s="3">
        <f t="shared" ca="1" si="0"/>
        <v>7.9389441162333982</v>
      </c>
      <c r="C101" s="3">
        <f t="shared" ca="1" si="1"/>
        <v>11.232181019989545</v>
      </c>
      <c r="D101" s="3">
        <f t="shared" ca="1" si="2"/>
        <v>7.3212250263369709</v>
      </c>
      <c r="E101" s="3">
        <f t="shared" ca="1" si="3"/>
        <v>10.11008713054931</v>
      </c>
    </row>
    <row r="102" spans="1:5" ht="13.2" x14ac:dyDescent="0.25">
      <c r="A102" s="6">
        <v>101</v>
      </c>
      <c r="B102" s="3">
        <f t="shared" ca="1" si="0"/>
        <v>10.267144116610307</v>
      </c>
      <c r="C102" s="3">
        <f t="shared" ca="1" si="1"/>
        <v>14.807737195211896</v>
      </c>
      <c r="D102" s="3">
        <f t="shared" ca="1" si="2"/>
        <v>9.0076795174010176</v>
      </c>
      <c r="E102" s="3">
        <f t="shared" ca="1" si="3"/>
        <v>11.502987208329996</v>
      </c>
    </row>
    <row r="103" spans="1:5" ht="13.2" x14ac:dyDescent="0.25">
      <c r="A103" s="6">
        <v>102</v>
      </c>
      <c r="B103" s="3">
        <f t="shared" ca="1" si="0"/>
        <v>8.0021654087350278</v>
      </c>
      <c r="C103" s="3">
        <f t="shared" ca="1" si="1"/>
        <v>12.877653419268983</v>
      </c>
      <c r="D103" s="3">
        <f t="shared" ca="1" si="2"/>
        <v>7.4344318261689484</v>
      </c>
      <c r="E103" s="3">
        <f t="shared" ca="1" si="3"/>
        <v>7.7740092113824328</v>
      </c>
    </row>
    <row r="104" spans="1:5" ht="13.2" x14ac:dyDescent="0.25">
      <c r="A104" s="6">
        <v>103</v>
      </c>
      <c r="B104" s="3">
        <f t="shared" ca="1" si="0"/>
        <v>9.389277565265969</v>
      </c>
      <c r="C104" s="3">
        <f t="shared" ca="1" si="1"/>
        <v>14.061638416197599</v>
      </c>
      <c r="D104" s="3">
        <f t="shared" ca="1" si="2"/>
        <v>8.9072599162145618</v>
      </c>
      <c r="E104" s="3">
        <f t="shared" ca="1" si="3"/>
        <v>8.932975204935282</v>
      </c>
    </row>
    <row r="105" spans="1:5" ht="13.2" x14ac:dyDescent="0.25">
      <c r="A105" s="6">
        <v>104</v>
      </c>
      <c r="B105" s="3">
        <f t="shared" ca="1" si="0"/>
        <v>7.9626459723851832</v>
      </c>
      <c r="C105" s="3">
        <f t="shared" ca="1" si="1"/>
        <v>13.102927043745638</v>
      </c>
      <c r="D105" s="3">
        <f t="shared" ca="1" si="2"/>
        <v>6.266090654514354</v>
      </c>
      <c r="E105" s="3">
        <f t="shared" ca="1" si="3"/>
        <v>10.108533231931315</v>
      </c>
    </row>
    <row r="106" spans="1:5" ht="13.2" x14ac:dyDescent="0.25">
      <c r="A106" s="6">
        <v>105</v>
      </c>
      <c r="B106" s="3">
        <f t="shared" ca="1" si="0"/>
        <v>10.528251524150004</v>
      </c>
      <c r="C106" s="3">
        <f t="shared" ca="1" si="1"/>
        <v>13.38295045527466</v>
      </c>
      <c r="D106" s="3">
        <f t="shared" ca="1" si="2"/>
        <v>9.2176521667360376</v>
      </c>
      <c r="E106" s="3">
        <f t="shared" ca="1" si="3"/>
        <v>10.129860580950037</v>
      </c>
    </row>
    <row r="107" spans="1:5" ht="13.2" x14ac:dyDescent="0.25">
      <c r="A107" s="6">
        <v>106</v>
      </c>
      <c r="B107" s="3">
        <f t="shared" ca="1" si="0"/>
        <v>8.3978352533376484</v>
      </c>
      <c r="C107" s="3">
        <f t="shared" ca="1" si="1"/>
        <v>13.751876906729279</v>
      </c>
      <c r="D107" s="3">
        <f t="shared" ca="1" si="2"/>
        <v>7.4889566668483187</v>
      </c>
      <c r="E107" s="3">
        <f t="shared" ca="1" si="3"/>
        <v>8.7477149432599504</v>
      </c>
    </row>
    <row r="108" spans="1:5" ht="13.2" x14ac:dyDescent="0.25">
      <c r="A108" s="6">
        <v>107</v>
      </c>
      <c r="B108" s="3">
        <f t="shared" ca="1" si="0"/>
        <v>9.988692094520033</v>
      </c>
      <c r="C108" s="3">
        <f t="shared" ca="1" si="1"/>
        <v>11.223940229833786</v>
      </c>
      <c r="D108" s="3">
        <f t="shared" ca="1" si="2"/>
        <v>6.378625686657899</v>
      </c>
      <c r="E108" s="3">
        <f t="shared" ca="1" si="3"/>
        <v>7.3624972279762932</v>
      </c>
    </row>
    <row r="109" spans="1:5" ht="13.2" x14ac:dyDescent="0.25">
      <c r="A109" s="6">
        <v>108</v>
      </c>
      <c r="B109" s="3">
        <f t="shared" ca="1" si="0"/>
        <v>10.269379664928291</v>
      </c>
      <c r="C109" s="3">
        <f t="shared" ca="1" si="1"/>
        <v>12.852712866404696</v>
      </c>
      <c r="D109" s="3">
        <f t="shared" ca="1" si="2"/>
        <v>7.6166590252277828</v>
      </c>
      <c r="E109" s="3">
        <f t="shared" ca="1" si="3"/>
        <v>13.029920838640715</v>
      </c>
    </row>
    <row r="110" spans="1:5" ht="13.2" x14ac:dyDescent="0.25">
      <c r="A110" s="6">
        <v>109</v>
      </c>
      <c r="B110" s="3">
        <f t="shared" ca="1" si="0"/>
        <v>12.933984256213943</v>
      </c>
      <c r="C110" s="3">
        <f t="shared" ca="1" si="1"/>
        <v>11.066288576579259</v>
      </c>
      <c r="D110" s="3">
        <f t="shared" ca="1" si="2"/>
        <v>7.2643988454114865</v>
      </c>
      <c r="E110" s="3">
        <f t="shared" ca="1" si="3"/>
        <v>10.778437077419472</v>
      </c>
    </row>
    <row r="111" spans="1:5" ht="13.2" x14ac:dyDescent="0.25">
      <c r="A111" s="6">
        <v>110</v>
      </c>
      <c r="B111" s="3">
        <f t="shared" ca="1" si="0"/>
        <v>11.483695996788091</v>
      </c>
      <c r="C111" s="3">
        <f t="shared" ca="1" si="1"/>
        <v>11.832905608430654</v>
      </c>
      <c r="D111" s="3">
        <f t="shared" ca="1" si="2"/>
        <v>7.8385921266156213</v>
      </c>
      <c r="E111" s="3">
        <f t="shared" ca="1" si="3"/>
        <v>8.9692446188652184</v>
      </c>
    </row>
    <row r="112" spans="1:5" ht="13.2" x14ac:dyDescent="0.25">
      <c r="A112" s="6">
        <v>111</v>
      </c>
      <c r="B112" s="3">
        <f t="shared" ca="1" si="0"/>
        <v>13.566641028461188</v>
      </c>
      <c r="C112" s="3">
        <f t="shared" ca="1" si="1"/>
        <v>13.154471319015526</v>
      </c>
      <c r="D112" s="3">
        <f t="shared" ca="1" si="2"/>
        <v>6.2761621125595886</v>
      </c>
      <c r="E112" s="3">
        <f t="shared" ca="1" si="3"/>
        <v>10.577621182766027</v>
      </c>
    </row>
    <row r="113" spans="1:5" ht="13.2" x14ac:dyDescent="0.25">
      <c r="A113" s="6">
        <v>112</v>
      </c>
      <c r="B113" s="3">
        <f t="shared" ca="1" si="0"/>
        <v>12.121411556538364</v>
      </c>
      <c r="C113" s="3">
        <f t="shared" ca="1" si="1"/>
        <v>14.420839252625093</v>
      </c>
      <c r="D113" s="3">
        <f t="shared" ca="1" si="2"/>
        <v>9.3517892894898331</v>
      </c>
      <c r="E113" s="3">
        <f t="shared" ca="1" si="3"/>
        <v>15.144254177689621</v>
      </c>
    </row>
    <row r="114" spans="1:5" ht="13.2" x14ac:dyDescent="0.25">
      <c r="A114" s="6">
        <v>113</v>
      </c>
      <c r="B114" s="3">
        <f t="shared" ca="1" si="0"/>
        <v>11.232756482203408</v>
      </c>
      <c r="C114" s="3">
        <f t="shared" ca="1" si="1"/>
        <v>14.478402938131751</v>
      </c>
      <c r="D114" s="3">
        <f t="shared" ca="1" si="2"/>
        <v>7.1244797188410764</v>
      </c>
      <c r="E114" s="3">
        <f t="shared" ca="1" si="3"/>
        <v>9.0243537982910915</v>
      </c>
    </row>
    <row r="115" spans="1:5" ht="13.2" x14ac:dyDescent="0.25">
      <c r="A115" s="6">
        <v>114</v>
      </c>
      <c r="B115" s="3">
        <f t="shared" ca="1" si="0"/>
        <v>8.3766525130382909</v>
      </c>
      <c r="C115" s="3">
        <f t="shared" ca="1" si="1"/>
        <v>12.731996851716634</v>
      </c>
      <c r="D115" s="3">
        <f t="shared" ca="1" si="2"/>
        <v>7.368158221015495</v>
      </c>
      <c r="E115" s="3">
        <f t="shared" ca="1" si="3"/>
        <v>13.98823288341756</v>
      </c>
    </row>
    <row r="116" spans="1:5" ht="13.2" x14ac:dyDescent="0.25">
      <c r="A116" s="6">
        <v>115</v>
      </c>
      <c r="B116" s="3">
        <f t="shared" ca="1" si="0"/>
        <v>11.85625209365625</v>
      </c>
      <c r="C116" s="3">
        <f t="shared" ca="1" si="1"/>
        <v>13.56192793754548</v>
      </c>
      <c r="D116" s="3">
        <f t="shared" ca="1" si="2"/>
        <v>5.7690179856097954</v>
      </c>
      <c r="E116" s="3">
        <f t="shared" ca="1" si="3"/>
        <v>12.017493144488455</v>
      </c>
    </row>
    <row r="117" spans="1:5" ht="13.2" x14ac:dyDescent="0.25">
      <c r="A117" s="6">
        <v>116</v>
      </c>
      <c r="B117" s="3">
        <f t="shared" ca="1" si="0"/>
        <v>9.7587585455556081</v>
      </c>
      <c r="C117" s="3">
        <f t="shared" ca="1" si="1"/>
        <v>13.125539188583558</v>
      </c>
      <c r="D117" s="3">
        <f t="shared" ca="1" si="2"/>
        <v>7.0525193094046861</v>
      </c>
      <c r="E117" s="3">
        <f t="shared" ca="1" si="3"/>
        <v>10.16174023997106</v>
      </c>
    </row>
    <row r="118" spans="1:5" ht="13.2" x14ac:dyDescent="0.25">
      <c r="A118" s="6">
        <v>117</v>
      </c>
      <c r="B118" s="3">
        <f t="shared" ca="1" si="0"/>
        <v>10.047471207420074</v>
      </c>
      <c r="C118" s="3">
        <f t="shared" ca="1" si="1"/>
        <v>11.247265732666586</v>
      </c>
      <c r="D118" s="3">
        <f t="shared" ca="1" si="2"/>
        <v>6.4542547999183526</v>
      </c>
      <c r="E118" s="3">
        <f t="shared" ca="1" si="3"/>
        <v>5.2906972984998699</v>
      </c>
    </row>
    <row r="119" spans="1:5" ht="13.2" x14ac:dyDescent="0.25">
      <c r="A119" s="6">
        <v>118</v>
      </c>
      <c r="B119" s="3">
        <f t="shared" ca="1" si="0"/>
        <v>9.2283478025811725</v>
      </c>
      <c r="C119" s="3">
        <f t="shared" ca="1" si="1"/>
        <v>14.324883961046005</v>
      </c>
      <c r="D119" s="3">
        <f t="shared" ca="1" si="2"/>
        <v>4.5373365138964665</v>
      </c>
      <c r="E119" s="3">
        <f t="shared" ca="1" si="3"/>
        <v>9.4713860791060576</v>
      </c>
    </row>
    <row r="120" spans="1:5" ht="13.2" x14ac:dyDescent="0.25">
      <c r="A120" s="6">
        <v>119</v>
      </c>
      <c r="B120" s="3">
        <f t="shared" ca="1" si="0"/>
        <v>9.082975806877883</v>
      </c>
      <c r="C120" s="3">
        <f t="shared" ca="1" si="1"/>
        <v>12.242046817845033</v>
      </c>
      <c r="D120" s="3">
        <f t="shared" ca="1" si="2"/>
        <v>4.4400756137424437</v>
      </c>
      <c r="E120" s="3">
        <f t="shared" ca="1" si="3"/>
        <v>9.6457886207376671</v>
      </c>
    </row>
    <row r="121" spans="1:5" ht="13.2" x14ac:dyDescent="0.25">
      <c r="A121" s="6">
        <v>120</v>
      </c>
      <c r="B121" s="3">
        <f t="shared" ca="1" si="0"/>
        <v>10.774099803037226</v>
      </c>
      <c r="C121" s="3">
        <f t="shared" ca="1" si="1"/>
        <v>13.256428640740214</v>
      </c>
      <c r="D121" s="3">
        <f t="shared" ca="1" si="2"/>
        <v>7.5233001125782932</v>
      </c>
      <c r="E121" s="3">
        <f t="shared" ca="1" si="3"/>
        <v>2.6901767943186963</v>
      </c>
    </row>
    <row r="122" spans="1:5" ht="13.2" x14ac:dyDescent="0.25">
      <c r="A122" s="6">
        <v>121</v>
      </c>
      <c r="B122" s="3">
        <f t="shared" ca="1" si="0"/>
        <v>10.839911653737897</v>
      </c>
      <c r="C122" s="3">
        <f t="shared" ca="1" si="1"/>
        <v>11.80370250865956</v>
      </c>
      <c r="D122" s="3">
        <f t="shared" ca="1" si="2"/>
        <v>6.0668686131781984</v>
      </c>
      <c r="E122" s="3">
        <f t="shared" ca="1" si="3"/>
        <v>9.1055745836866109</v>
      </c>
    </row>
    <row r="123" spans="1:5" ht="13.2" x14ac:dyDescent="0.25">
      <c r="A123" s="6">
        <v>122</v>
      </c>
      <c r="B123" s="3">
        <f t="shared" ca="1" si="0"/>
        <v>11.34950415258642</v>
      </c>
      <c r="C123" s="3">
        <f t="shared" ca="1" si="1"/>
        <v>13.716068065381497</v>
      </c>
      <c r="D123" s="3">
        <f t="shared" ca="1" si="2"/>
        <v>9.1427244824646294</v>
      </c>
      <c r="E123" s="3">
        <f t="shared" ca="1" si="3"/>
        <v>13.27028108121174</v>
      </c>
    </row>
    <row r="124" spans="1:5" ht="13.2" x14ac:dyDescent="0.25">
      <c r="A124" s="6">
        <v>123</v>
      </c>
      <c r="B124" s="3">
        <f t="shared" ca="1" si="0"/>
        <v>11.073422388146142</v>
      </c>
      <c r="C124" s="3">
        <f t="shared" ca="1" si="1"/>
        <v>13.79640185228909</v>
      </c>
      <c r="D124" s="3">
        <f t="shared" ca="1" si="2"/>
        <v>7.1348541132414081</v>
      </c>
      <c r="E124" s="3">
        <f t="shared" ca="1" si="3"/>
        <v>10.769007727519416</v>
      </c>
    </row>
    <row r="125" spans="1:5" ht="13.2" x14ac:dyDescent="0.25">
      <c r="A125" s="6">
        <v>124</v>
      </c>
      <c r="B125" s="3">
        <f t="shared" ca="1" si="0"/>
        <v>6.7696281035448447</v>
      </c>
      <c r="C125" s="3">
        <f t="shared" ca="1" si="1"/>
        <v>12.456412622614959</v>
      </c>
      <c r="D125" s="3">
        <f t="shared" ca="1" si="2"/>
        <v>3.3793632676896634</v>
      </c>
      <c r="E125" s="3">
        <f t="shared" ca="1" si="3"/>
        <v>14.92412941977172</v>
      </c>
    </row>
    <row r="126" spans="1:5" ht="13.2" x14ac:dyDescent="0.25">
      <c r="A126" s="6">
        <v>125</v>
      </c>
      <c r="B126" s="3">
        <f t="shared" ca="1" si="0"/>
        <v>11.672247491430216</v>
      </c>
      <c r="C126" s="3">
        <f t="shared" ca="1" si="1"/>
        <v>12.613320428403988</v>
      </c>
      <c r="D126" s="3">
        <f t="shared" ca="1" si="2"/>
        <v>7.0642017516073254</v>
      </c>
      <c r="E126" s="3">
        <f t="shared" ca="1" si="3"/>
        <v>11.383490402029857</v>
      </c>
    </row>
    <row r="127" spans="1:5" ht="13.2" x14ac:dyDescent="0.25">
      <c r="A127" s="6">
        <v>126</v>
      </c>
      <c r="B127" s="3">
        <f t="shared" ca="1" si="0"/>
        <v>8.8233112620050118</v>
      </c>
      <c r="C127" s="3">
        <f t="shared" ca="1" si="1"/>
        <v>14.033606646036253</v>
      </c>
      <c r="D127" s="3">
        <f t="shared" ca="1" si="2"/>
        <v>7.1679960560198293</v>
      </c>
      <c r="E127" s="3">
        <f t="shared" ca="1" si="3"/>
        <v>11.327630035486703</v>
      </c>
    </row>
    <row r="128" spans="1:5" ht="13.2" x14ac:dyDescent="0.25">
      <c r="A128" s="6">
        <v>127</v>
      </c>
      <c r="B128" s="3">
        <f t="shared" ca="1" si="0"/>
        <v>9.3027692212288233</v>
      </c>
      <c r="C128" s="3">
        <f t="shared" ca="1" si="1"/>
        <v>13.700768739415309</v>
      </c>
      <c r="D128" s="3">
        <f t="shared" ca="1" si="2"/>
        <v>9.4675142280539717</v>
      </c>
      <c r="E128" s="3">
        <f t="shared" ca="1" si="3"/>
        <v>8.9445608611447742</v>
      </c>
    </row>
    <row r="129" spans="1:5" ht="13.2" x14ac:dyDescent="0.25">
      <c r="A129" s="6">
        <v>128</v>
      </c>
      <c r="B129" s="3">
        <f t="shared" ca="1" si="0"/>
        <v>13.387009831885987</v>
      </c>
      <c r="C129" s="3">
        <f t="shared" ca="1" si="1"/>
        <v>11.273382228473128</v>
      </c>
      <c r="D129" s="3">
        <f t="shared" ca="1" si="2"/>
        <v>5.6478778206864266</v>
      </c>
      <c r="E129" s="3">
        <f t="shared" ca="1" si="3"/>
        <v>8.2922519836736477</v>
      </c>
    </row>
    <row r="130" spans="1:5" ht="13.2" x14ac:dyDescent="0.25">
      <c r="A130" s="6">
        <v>129</v>
      </c>
      <c r="B130" s="3">
        <f t="shared" ca="1" si="0"/>
        <v>7.9112718153468773</v>
      </c>
      <c r="C130" s="3">
        <f t="shared" ca="1" si="1"/>
        <v>13.732637430929028</v>
      </c>
      <c r="D130" s="3">
        <f t="shared" ca="1" si="2"/>
        <v>8.3290992219736708</v>
      </c>
      <c r="E130" s="3">
        <f t="shared" ca="1" si="3"/>
        <v>12.19155959076147</v>
      </c>
    </row>
    <row r="131" spans="1:5" ht="13.2" x14ac:dyDescent="0.25">
      <c r="A131" s="6">
        <v>130</v>
      </c>
      <c r="B131" s="3">
        <f t="shared" ca="1" si="0"/>
        <v>10.940745803756878</v>
      </c>
      <c r="C131" s="3">
        <f t="shared" ca="1" si="1"/>
        <v>13.869604828134429</v>
      </c>
      <c r="D131" s="3">
        <f t="shared" ca="1" si="2"/>
        <v>8.2311007952803603</v>
      </c>
      <c r="E131" s="3">
        <f t="shared" ca="1" si="3"/>
        <v>6.5544379798898555</v>
      </c>
    </row>
    <row r="132" spans="1:5" ht="13.2" x14ac:dyDescent="0.25">
      <c r="A132" s="6">
        <v>131</v>
      </c>
      <c r="B132" s="3">
        <f t="shared" ca="1" si="0"/>
        <v>7.2130194342665206</v>
      </c>
      <c r="C132" s="3">
        <f t="shared" ca="1" si="1"/>
        <v>13.010011504214509</v>
      </c>
      <c r="D132" s="3">
        <f t="shared" ca="1" si="2"/>
        <v>4.9603263472429502</v>
      </c>
      <c r="E132" s="3">
        <f t="shared" ca="1" si="3"/>
        <v>10.522592353639986</v>
      </c>
    </row>
    <row r="133" spans="1:5" ht="13.2" x14ac:dyDescent="0.25">
      <c r="A133" s="6">
        <v>132</v>
      </c>
      <c r="B133" s="3">
        <f t="shared" ca="1" si="0"/>
        <v>10.02028020648755</v>
      </c>
      <c r="C133" s="3">
        <f t="shared" ca="1" si="1"/>
        <v>11.227704968309506</v>
      </c>
      <c r="D133" s="3">
        <f t="shared" ca="1" si="2"/>
        <v>6.5807289434232619</v>
      </c>
      <c r="E133" s="3">
        <f t="shared" ca="1" si="3"/>
        <v>12.331781940595675</v>
      </c>
    </row>
    <row r="134" spans="1:5" ht="13.2" x14ac:dyDescent="0.25">
      <c r="A134" s="6">
        <v>133</v>
      </c>
      <c r="B134" s="3">
        <f t="shared" ca="1" si="0"/>
        <v>10.821598323543327</v>
      </c>
      <c r="C134" s="3">
        <f t="shared" ca="1" si="1"/>
        <v>13.751324713647223</v>
      </c>
      <c r="D134" s="3">
        <f t="shared" ca="1" si="2"/>
        <v>6.7649904064553485</v>
      </c>
      <c r="E134" s="3">
        <f t="shared" ca="1" si="3"/>
        <v>10.204542463150634</v>
      </c>
    </row>
    <row r="135" spans="1:5" ht="13.2" x14ac:dyDescent="0.25">
      <c r="A135" s="6">
        <v>134</v>
      </c>
      <c r="B135" s="3">
        <f t="shared" ca="1" si="0"/>
        <v>5.7873498466676558</v>
      </c>
      <c r="C135" s="3">
        <f t="shared" ca="1" si="1"/>
        <v>14.265770624523757</v>
      </c>
      <c r="D135" s="3">
        <f t="shared" ca="1" si="2"/>
        <v>5.6282896139125596</v>
      </c>
      <c r="E135" s="3">
        <f t="shared" ca="1" si="3"/>
        <v>8.4854201401242282</v>
      </c>
    </row>
    <row r="136" spans="1:5" ht="13.2" x14ac:dyDescent="0.25">
      <c r="A136" s="6">
        <v>135</v>
      </c>
      <c r="B136" s="3">
        <f t="shared" ca="1" si="0"/>
        <v>9.8278988450597087</v>
      </c>
      <c r="C136" s="3">
        <f t="shared" ca="1" si="1"/>
        <v>12.507979512883646</v>
      </c>
      <c r="D136" s="3">
        <f t="shared" ca="1" si="2"/>
        <v>7.2631305486771156</v>
      </c>
      <c r="E136" s="3">
        <f t="shared" ca="1" si="3"/>
        <v>12.264497971472975</v>
      </c>
    </row>
    <row r="137" spans="1:5" ht="13.2" x14ac:dyDescent="0.25">
      <c r="A137" s="6">
        <v>136</v>
      </c>
      <c r="B137" s="3">
        <f t="shared" ca="1" si="0"/>
        <v>10.233796138000001</v>
      </c>
      <c r="C137" s="3">
        <f t="shared" ca="1" si="1"/>
        <v>12.958099956771937</v>
      </c>
      <c r="D137" s="3">
        <f t="shared" ca="1" si="2"/>
        <v>7.3681566742514528</v>
      </c>
      <c r="E137" s="3">
        <f t="shared" ca="1" si="3"/>
        <v>13.361977963940639</v>
      </c>
    </row>
    <row r="138" spans="1:5" ht="13.2" x14ac:dyDescent="0.25">
      <c r="A138" s="6">
        <v>137</v>
      </c>
      <c r="B138" s="3">
        <f t="shared" ca="1" si="0"/>
        <v>9.8661629813681433</v>
      </c>
      <c r="C138" s="3">
        <f t="shared" ca="1" si="1"/>
        <v>13.863036385759953</v>
      </c>
      <c r="D138" s="3">
        <f t="shared" ca="1" si="2"/>
        <v>7.96853091205561</v>
      </c>
      <c r="E138" s="3">
        <f t="shared" ca="1" si="3"/>
        <v>10.161909743038304</v>
      </c>
    </row>
    <row r="139" spans="1:5" ht="13.2" x14ac:dyDescent="0.25">
      <c r="A139" s="6">
        <v>138</v>
      </c>
      <c r="B139" s="3">
        <f t="shared" ca="1" si="0"/>
        <v>9.8753521901482717</v>
      </c>
      <c r="C139" s="3">
        <f t="shared" ca="1" si="1"/>
        <v>12.040288775715453</v>
      </c>
      <c r="D139" s="3">
        <f t="shared" ca="1" si="2"/>
        <v>5.0912627252163549</v>
      </c>
      <c r="E139" s="3">
        <f t="shared" ca="1" si="3"/>
        <v>5.0161850083569046</v>
      </c>
    </row>
    <row r="140" spans="1:5" ht="13.2" x14ac:dyDescent="0.25">
      <c r="A140" s="6">
        <v>139</v>
      </c>
      <c r="B140" s="3">
        <f t="shared" ca="1" si="0"/>
        <v>9.4331259715636939</v>
      </c>
      <c r="C140" s="3">
        <f t="shared" ca="1" si="1"/>
        <v>11.169575345767813</v>
      </c>
      <c r="D140" s="3">
        <f t="shared" ca="1" si="2"/>
        <v>9.5521379140926648</v>
      </c>
      <c r="E140" s="3">
        <f t="shared" ca="1" si="3"/>
        <v>8.5425500787956636</v>
      </c>
    </row>
    <row r="141" spans="1:5" ht="13.2" x14ac:dyDescent="0.25">
      <c r="A141" s="6">
        <v>140</v>
      </c>
      <c r="B141" s="3">
        <f t="shared" ca="1" si="0"/>
        <v>11.9660144611505</v>
      </c>
      <c r="C141" s="3">
        <f t="shared" ca="1" si="1"/>
        <v>12.021966220310784</v>
      </c>
      <c r="D141" s="3">
        <f t="shared" ca="1" si="2"/>
        <v>8.0016572860755204</v>
      </c>
      <c r="E141" s="3">
        <f t="shared" ca="1" si="3"/>
        <v>10.225889167218554</v>
      </c>
    </row>
    <row r="142" spans="1:5" ht="13.2" x14ac:dyDescent="0.25">
      <c r="A142" s="6">
        <v>141</v>
      </c>
      <c r="B142" s="3">
        <f t="shared" ca="1" si="0"/>
        <v>8.6265209032901886</v>
      </c>
      <c r="C142" s="3">
        <f t="shared" ca="1" si="1"/>
        <v>13.806884136200203</v>
      </c>
      <c r="D142" s="3">
        <f t="shared" ca="1" si="2"/>
        <v>7.6594191862542189</v>
      </c>
      <c r="E142" s="3">
        <f t="shared" ca="1" si="3"/>
        <v>10.071894431595778</v>
      </c>
    </row>
    <row r="143" spans="1:5" ht="13.2" x14ac:dyDescent="0.25">
      <c r="A143" s="6">
        <v>142</v>
      </c>
      <c r="B143" s="3">
        <f t="shared" ca="1" si="0"/>
        <v>10.236552983178377</v>
      </c>
      <c r="C143" s="3">
        <f t="shared" ca="1" si="1"/>
        <v>11.752930876364196</v>
      </c>
      <c r="D143" s="3">
        <f t="shared" ca="1" si="2"/>
        <v>7.7647131695032217</v>
      </c>
      <c r="E143" s="3">
        <f t="shared" ca="1" si="3"/>
        <v>13.352669713601482</v>
      </c>
    </row>
    <row r="144" spans="1:5" ht="13.2" x14ac:dyDescent="0.25">
      <c r="A144" s="6">
        <v>143</v>
      </c>
      <c r="B144" s="3">
        <f t="shared" ca="1" si="0"/>
        <v>10.523414873371827</v>
      </c>
      <c r="C144" s="3">
        <f t="shared" ca="1" si="1"/>
        <v>12.611065942216539</v>
      </c>
      <c r="D144" s="3">
        <f t="shared" ca="1" si="2"/>
        <v>5.1469522376435739</v>
      </c>
      <c r="E144" s="3">
        <f t="shared" ca="1" si="3"/>
        <v>10.449171477294461</v>
      </c>
    </row>
    <row r="145" spans="1:5" ht="13.2" x14ac:dyDescent="0.25">
      <c r="A145" s="6">
        <v>144</v>
      </c>
      <c r="B145" s="3">
        <f t="shared" ca="1" si="0"/>
        <v>8.2866023758424081</v>
      </c>
      <c r="C145" s="3">
        <f t="shared" ca="1" si="1"/>
        <v>12.445052627542342</v>
      </c>
      <c r="D145" s="3">
        <f t="shared" ca="1" si="2"/>
        <v>7.3096470322917462</v>
      </c>
      <c r="E145" s="3">
        <f t="shared" ca="1" si="3"/>
        <v>7.4717219789178486</v>
      </c>
    </row>
    <row r="146" spans="1:5" ht="13.2" x14ac:dyDescent="0.25">
      <c r="A146" s="6">
        <v>145</v>
      </c>
      <c r="B146" s="3">
        <f t="shared" ca="1" si="0"/>
        <v>11.710597281468061</v>
      </c>
      <c r="C146" s="3">
        <f t="shared" ca="1" si="1"/>
        <v>14.47838397836707</v>
      </c>
      <c r="D146" s="3">
        <f t="shared" ca="1" si="2"/>
        <v>6.1699774223632442</v>
      </c>
      <c r="E146" s="3">
        <f t="shared" ca="1" si="3"/>
        <v>15.189750641820956</v>
      </c>
    </row>
    <row r="147" spans="1:5" ht="13.2" x14ac:dyDescent="0.25">
      <c r="A147" s="6">
        <v>146</v>
      </c>
      <c r="B147" s="3">
        <f t="shared" ca="1" si="0"/>
        <v>11.633676611180142</v>
      </c>
      <c r="C147" s="3">
        <f t="shared" ca="1" si="1"/>
        <v>14.366196853318222</v>
      </c>
      <c r="D147" s="3">
        <f t="shared" ca="1" si="2"/>
        <v>5.3831189999816056</v>
      </c>
      <c r="E147" s="3">
        <f t="shared" ca="1" si="3"/>
        <v>15.173209921249033</v>
      </c>
    </row>
    <row r="148" spans="1:5" ht="13.2" x14ac:dyDescent="0.25">
      <c r="A148" s="6">
        <v>147</v>
      </c>
      <c r="B148" s="3">
        <f t="shared" ca="1" si="0"/>
        <v>10.490872582179046</v>
      </c>
      <c r="C148" s="3">
        <f t="shared" ca="1" si="1"/>
        <v>13.164775166917632</v>
      </c>
      <c r="D148" s="3">
        <f t="shared" ca="1" si="2"/>
        <v>6.5102855999970632</v>
      </c>
      <c r="E148" s="3">
        <f t="shared" ca="1" si="3"/>
        <v>9.0739891637673598</v>
      </c>
    </row>
    <row r="149" spans="1:5" ht="13.2" x14ac:dyDescent="0.25">
      <c r="A149" s="6">
        <v>148</v>
      </c>
      <c r="B149" s="3">
        <f t="shared" ca="1" si="0"/>
        <v>8.2638673439016586</v>
      </c>
      <c r="C149" s="3">
        <f t="shared" ca="1" si="1"/>
        <v>13.835060432943839</v>
      </c>
      <c r="D149" s="3">
        <f t="shared" ca="1" si="2"/>
        <v>8.0547488903597024</v>
      </c>
      <c r="E149" s="3">
        <f t="shared" ca="1" si="3"/>
        <v>8.7387840678994841</v>
      </c>
    </row>
    <row r="150" spans="1:5" ht="13.2" x14ac:dyDescent="0.25">
      <c r="A150" s="6">
        <v>149</v>
      </c>
      <c r="B150" s="3">
        <f t="shared" ca="1" si="0"/>
        <v>9.7154798585394939</v>
      </c>
      <c r="C150" s="3">
        <f t="shared" ca="1" si="1"/>
        <v>12.077686102319875</v>
      </c>
      <c r="D150" s="3">
        <f t="shared" ca="1" si="2"/>
        <v>5.2930000775539607</v>
      </c>
      <c r="E150" s="3">
        <f t="shared" ca="1" si="3"/>
        <v>9.1423393190241597</v>
      </c>
    </row>
    <row r="151" spans="1:5" ht="13.2" x14ac:dyDescent="0.25">
      <c r="A151" s="6">
        <v>150</v>
      </c>
      <c r="B151" s="3">
        <f t="shared" ca="1" si="0"/>
        <v>10.189384539690847</v>
      </c>
      <c r="C151" s="3">
        <f t="shared" ca="1" si="1"/>
        <v>12.504731020786682</v>
      </c>
      <c r="D151" s="3">
        <f t="shared" ca="1" si="2"/>
        <v>8.2249131356395022</v>
      </c>
      <c r="E151" s="3">
        <f t="shared" ca="1" si="3"/>
        <v>11.055788248375348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206"/>
  <sheetViews>
    <sheetView workbookViewId="0">
      <selection activeCell="I1" sqref="A1:I1048576"/>
    </sheetView>
  </sheetViews>
  <sheetFormatPr defaultColWidth="12.6640625" defaultRowHeight="15.75" customHeight="1" x14ac:dyDescent="0.25"/>
  <cols>
    <col min="1" max="1" width="7.88671875" bestFit="1" customWidth="1"/>
    <col min="2" max="2" width="7.77734375" bestFit="1" customWidth="1"/>
    <col min="3" max="3" width="12.21875" bestFit="1" customWidth="1"/>
  </cols>
  <sheetData>
    <row r="1" spans="1:9" ht="13.2" x14ac:dyDescent="0.25">
      <c r="A1" s="13" t="s">
        <v>7</v>
      </c>
      <c r="B1" s="13" t="s">
        <v>1</v>
      </c>
      <c r="C1" s="13" t="s">
        <v>8</v>
      </c>
      <c r="D1" s="13" t="s">
        <v>9</v>
      </c>
      <c r="E1" s="13" t="s">
        <v>10</v>
      </c>
      <c r="F1" s="13" t="s">
        <v>11</v>
      </c>
      <c r="G1" s="13" t="s">
        <v>12</v>
      </c>
      <c r="H1" s="13" t="s">
        <v>13</v>
      </c>
      <c r="I1" s="13" t="s">
        <v>14</v>
      </c>
    </row>
    <row r="2" spans="1:9" ht="13.2" x14ac:dyDescent="0.25">
      <c r="A2" s="5" t="s">
        <v>15</v>
      </c>
      <c r="B2" s="5" t="s">
        <v>6</v>
      </c>
      <c r="C2">
        <v>5045</v>
      </c>
      <c r="D2" s="4">
        <f t="shared" ref="D2:D65" si="0">ROUND(AVERAGE($C$2:$C$205),2)</f>
        <v>4498.18</v>
      </c>
      <c r="E2" s="4">
        <f t="shared" ref="E2:E65" si="1">ROUND(D2+(2.66*H2),2)</f>
        <v>5346.21</v>
      </c>
      <c r="F2" s="4">
        <f t="shared" ref="F2:F65" si="2">ROUND(D2-(2.66*H2),2)</f>
        <v>3650.15</v>
      </c>
      <c r="G2" s="4"/>
      <c r="H2" s="4">
        <f>ROUND(AVERAGE($G$3:$G$205),2)</f>
        <v>318.81</v>
      </c>
      <c r="I2" s="4">
        <f t="shared" ref="I2:I65" si="3">ROUND(3.268*H2,2)</f>
        <v>1041.8699999999999</v>
      </c>
    </row>
    <row r="3" spans="1:9" ht="13.2" x14ac:dyDescent="0.25">
      <c r="A3" s="5" t="s">
        <v>15</v>
      </c>
      <c r="B3" s="5" t="s">
        <v>16</v>
      </c>
      <c r="C3">
        <v>4350</v>
      </c>
      <c r="D3" s="4">
        <f t="shared" si="0"/>
        <v>4498.18</v>
      </c>
      <c r="E3" s="4">
        <f t="shared" si="1"/>
        <v>5346.21</v>
      </c>
      <c r="F3" s="4">
        <f t="shared" si="2"/>
        <v>3650.15</v>
      </c>
      <c r="G3" s="4">
        <f t="shared" ref="G3:G65" si="4">ABS(C2-C3)</f>
        <v>695</v>
      </c>
      <c r="H3" s="4">
        <f t="shared" ref="H3:H66" si="5">ROUND(AVERAGE($G$3:$G$205),2)</f>
        <v>318.81</v>
      </c>
      <c r="I3" s="4">
        <f t="shared" si="3"/>
        <v>1041.8699999999999</v>
      </c>
    </row>
    <row r="4" spans="1:9" ht="13.2" x14ac:dyDescent="0.25">
      <c r="A4" s="5" t="s">
        <v>15</v>
      </c>
      <c r="B4" s="5" t="s">
        <v>17</v>
      </c>
      <c r="C4">
        <v>4350</v>
      </c>
      <c r="D4" s="4">
        <f t="shared" si="0"/>
        <v>4498.18</v>
      </c>
      <c r="E4" s="4">
        <f t="shared" si="1"/>
        <v>5346.21</v>
      </c>
      <c r="F4" s="4">
        <f t="shared" si="2"/>
        <v>3650.15</v>
      </c>
      <c r="G4" s="4">
        <f t="shared" si="4"/>
        <v>0</v>
      </c>
      <c r="H4" s="4">
        <f t="shared" si="5"/>
        <v>318.81</v>
      </c>
      <c r="I4" s="4">
        <f t="shared" si="3"/>
        <v>1041.8699999999999</v>
      </c>
    </row>
    <row r="5" spans="1:9" ht="13.2" x14ac:dyDescent="0.25">
      <c r="A5" s="5" t="s">
        <v>15</v>
      </c>
      <c r="B5" s="5" t="s">
        <v>18</v>
      </c>
      <c r="C5">
        <v>3975</v>
      </c>
      <c r="D5" s="4">
        <f t="shared" si="0"/>
        <v>4498.18</v>
      </c>
      <c r="E5" s="4">
        <f t="shared" si="1"/>
        <v>5346.21</v>
      </c>
      <c r="F5" s="4">
        <f t="shared" si="2"/>
        <v>3650.15</v>
      </c>
      <c r="G5" s="4">
        <f t="shared" si="4"/>
        <v>375</v>
      </c>
      <c r="H5" s="4">
        <f t="shared" si="5"/>
        <v>318.81</v>
      </c>
      <c r="I5" s="4">
        <f t="shared" si="3"/>
        <v>1041.8699999999999</v>
      </c>
    </row>
    <row r="6" spans="1:9" ht="13.2" x14ac:dyDescent="0.25">
      <c r="A6" s="5" t="s">
        <v>15</v>
      </c>
      <c r="B6" s="5" t="s">
        <v>19</v>
      </c>
      <c r="C6">
        <v>4290</v>
      </c>
      <c r="D6" s="4">
        <f t="shared" si="0"/>
        <v>4498.18</v>
      </c>
      <c r="E6" s="4">
        <f t="shared" si="1"/>
        <v>5346.21</v>
      </c>
      <c r="F6" s="4">
        <f t="shared" si="2"/>
        <v>3650.15</v>
      </c>
      <c r="G6" s="4">
        <f t="shared" si="4"/>
        <v>315</v>
      </c>
      <c r="H6" s="4">
        <f t="shared" si="5"/>
        <v>318.81</v>
      </c>
      <c r="I6" s="4">
        <f t="shared" si="3"/>
        <v>1041.8699999999999</v>
      </c>
    </row>
    <row r="7" spans="1:9" ht="13.2" x14ac:dyDescent="0.25">
      <c r="A7" s="5" t="s">
        <v>15</v>
      </c>
      <c r="B7" s="5" t="s">
        <v>20</v>
      </c>
      <c r="C7">
        <v>4430</v>
      </c>
      <c r="D7" s="4">
        <f t="shared" si="0"/>
        <v>4498.18</v>
      </c>
      <c r="E7" s="4">
        <f t="shared" si="1"/>
        <v>5346.21</v>
      </c>
      <c r="F7" s="4">
        <f t="shared" si="2"/>
        <v>3650.15</v>
      </c>
      <c r="G7" s="4">
        <f t="shared" si="4"/>
        <v>140</v>
      </c>
      <c r="H7" s="4">
        <f t="shared" si="5"/>
        <v>318.81</v>
      </c>
      <c r="I7" s="4">
        <f t="shared" si="3"/>
        <v>1041.8699999999999</v>
      </c>
    </row>
    <row r="8" spans="1:9" ht="13.2" x14ac:dyDescent="0.25">
      <c r="A8" s="5" t="s">
        <v>15</v>
      </c>
      <c r="B8" s="5" t="s">
        <v>21</v>
      </c>
      <c r="C8">
        <v>4485</v>
      </c>
      <c r="D8" s="4">
        <f t="shared" si="0"/>
        <v>4498.18</v>
      </c>
      <c r="E8" s="4">
        <f t="shared" si="1"/>
        <v>5346.21</v>
      </c>
      <c r="F8" s="4">
        <f t="shared" si="2"/>
        <v>3650.15</v>
      </c>
      <c r="G8" s="4">
        <f t="shared" si="4"/>
        <v>55</v>
      </c>
      <c r="H8" s="4">
        <f t="shared" si="5"/>
        <v>318.81</v>
      </c>
      <c r="I8" s="4">
        <f t="shared" si="3"/>
        <v>1041.8699999999999</v>
      </c>
    </row>
    <row r="9" spans="1:9" ht="13.2" x14ac:dyDescent="0.25">
      <c r="A9" s="5" t="s">
        <v>15</v>
      </c>
      <c r="B9" s="5" t="s">
        <v>22</v>
      </c>
      <c r="C9">
        <v>4285</v>
      </c>
      <c r="D9" s="4">
        <f t="shared" si="0"/>
        <v>4498.18</v>
      </c>
      <c r="E9" s="4">
        <f t="shared" si="1"/>
        <v>5346.21</v>
      </c>
      <c r="F9" s="4">
        <f t="shared" si="2"/>
        <v>3650.15</v>
      </c>
      <c r="G9" s="4">
        <f t="shared" si="4"/>
        <v>200</v>
      </c>
      <c r="H9" s="4">
        <f t="shared" si="5"/>
        <v>318.81</v>
      </c>
      <c r="I9" s="4">
        <f t="shared" si="3"/>
        <v>1041.8699999999999</v>
      </c>
    </row>
    <row r="10" spans="1:9" ht="13.2" x14ac:dyDescent="0.25">
      <c r="A10" s="5" t="s">
        <v>15</v>
      </c>
      <c r="B10" s="5" t="s">
        <v>23</v>
      </c>
      <c r="C10">
        <v>3980</v>
      </c>
      <c r="D10" s="4">
        <f t="shared" si="0"/>
        <v>4498.18</v>
      </c>
      <c r="E10" s="4">
        <f t="shared" si="1"/>
        <v>5346.21</v>
      </c>
      <c r="F10" s="4">
        <f t="shared" si="2"/>
        <v>3650.15</v>
      </c>
      <c r="G10" s="4">
        <f t="shared" si="4"/>
        <v>305</v>
      </c>
      <c r="H10" s="4">
        <f t="shared" si="5"/>
        <v>318.81</v>
      </c>
      <c r="I10" s="4">
        <f t="shared" si="3"/>
        <v>1041.8699999999999</v>
      </c>
    </row>
    <row r="11" spans="1:9" ht="13.2" x14ac:dyDescent="0.25">
      <c r="A11" s="5" t="s">
        <v>15</v>
      </c>
      <c r="B11" s="5" t="s">
        <v>24</v>
      </c>
      <c r="C11">
        <v>3925</v>
      </c>
      <c r="D11" s="4">
        <f t="shared" si="0"/>
        <v>4498.18</v>
      </c>
      <c r="E11" s="4">
        <f t="shared" si="1"/>
        <v>5346.21</v>
      </c>
      <c r="F11" s="4">
        <f t="shared" si="2"/>
        <v>3650.15</v>
      </c>
      <c r="G11" s="4">
        <f t="shared" si="4"/>
        <v>55</v>
      </c>
      <c r="H11" s="4">
        <f t="shared" si="5"/>
        <v>318.81</v>
      </c>
      <c r="I11" s="4">
        <f t="shared" si="3"/>
        <v>1041.8699999999999</v>
      </c>
    </row>
    <row r="12" spans="1:9" ht="13.2" x14ac:dyDescent="0.25">
      <c r="A12" s="5" t="s">
        <v>15</v>
      </c>
      <c r="B12" s="5" t="s">
        <v>25</v>
      </c>
      <c r="C12">
        <v>3645</v>
      </c>
      <c r="D12" s="4">
        <f t="shared" si="0"/>
        <v>4498.18</v>
      </c>
      <c r="E12" s="4">
        <f t="shared" si="1"/>
        <v>5346.21</v>
      </c>
      <c r="F12" s="4">
        <f t="shared" si="2"/>
        <v>3650.15</v>
      </c>
      <c r="G12" s="4">
        <f t="shared" si="4"/>
        <v>280</v>
      </c>
      <c r="H12" s="4">
        <f t="shared" si="5"/>
        <v>318.81</v>
      </c>
      <c r="I12" s="4">
        <f t="shared" si="3"/>
        <v>1041.8699999999999</v>
      </c>
    </row>
    <row r="13" spans="1:9" ht="13.2" x14ac:dyDescent="0.25">
      <c r="A13" s="5" t="s">
        <v>15</v>
      </c>
      <c r="B13" s="5" t="s">
        <v>26</v>
      </c>
      <c r="C13">
        <v>3760</v>
      </c>
      <c r="D13" s="4">
        <f t="shared" si="0"/>
        <v>4498.18</v>
      </c>
      <c r="E13" s="4">
        <f t="shared" si="1"/>
        <v>5346.21</v>
      </c>
      <c r="F13" s="4">
        <f t="shared" si="2"/>
        <v>3650.15</v>
      </c>
      <c r="G13" s="4">
        <f t="shared" si="4"/>
        <v>115</v>
      </c>
      <c r="H13" s="4">
        <f t="shared" si="5"/>
        <v>318.81</v>
      </c>
      <c r="I13" s="4">
        <f t="shared" si="3"/>
        <v>1041.8699999999999</v>
      </c>
    </row>
    <row r="14" spans="1:9" ht="13.2" x14ac:dyDescent="0.25">
      <c r="A14" s="5" t="s">
        <v>15</v>
      </c>
      <c r="B14" s="5" t="s">
        <v>27</v>
      </c>
      <c r="C14">
        <v>3300</v>
      </c>
      <c r="D14" s="4">
        <f t="shared" si="0"/>
        <v>4498.18</v>
      </c>
      <c r="E14" s="4">
        <f t="shared" si="1"/>
        <v>5346.21</v>
      </c>
      <c r="F14" s="4">
        <f t="shared" si="2"/>
        <v>3650.15</v>
      </c>
      <c r="G14" s="4">
        <f t="shared" si="4"/>
        <v>460</v>
      </c>
      <c r="H14" s="4">
        <f t="shared" si="5"/>
        <v>318.81</v>
      </c>
      <c r="I14" s="4">
        <f t="shared" si="3"/>
        <v>1041.8699999999999</v>
      </c>
    </row>
    <row r="15" spans="1:9" ht="13.2" x14ac:dyDescent="0.25">
      <c r="A15" s="5" t="s">
        <v>15</v>
      </c>
      <c r="B15" s="5" t="s">
        <v>28</v>
      </c>
      <c r="C15">
        <v>3685</v>
      </c>
      <c r="D15" s="4">
        <f t="shared" si="0"/>
        <v>4498.18</v>
      </c>
      <c r="E15" s="4">
        <f t="shared" si="1"/>
        <v>5346.21</v>
      </c>
      <c r="F15" s="4">
        <f t="shared" si="2"/>
        <v>3650.15</v>
      </c>
      <c r="G15" s="4">
        <f t="shared" si="4"/>
        <v>385</v>
      </c>
      <c r="H15" s="4">
        <f t="shared" si="5"/>
        <v>318.81</v>
      </c>
      <c r="I15" s="4">
        <f t="shared" si="3"/>
        <v>1041.8699999999999</v>
      </c>
    </row>
    <row r="16" spans="1:9" ht="13.2" x14ac:dyDescent="0.25">
      <c r="A16" s="5" t="s">
        <v>15</v>
      </c>
      <c r="B16" s="5" t="s">
        <v>29</v>
      </c>
      <c r="C16">
        <v>3463</v>
      </c>
      <c r="D16" s="4">
        <f t="shared" si="0"/>
        <v>4498.18</v>
      </c>
      <c r="E16" s="4">
        <f t="shared" si="1"/>
        <v>5346.21</v>
      </c>
      <c r="F16" s="4">
        <f t="shared" si="2"/>
        <v>3650.15</v>
      </c>
      <c r="G16" s="4">
        <f t="shared" si="4"/>
        <v>222</v>
      </c>
      <c r="H16" s="4">
        <f t="shared" si="5"/>
        <v>318.81</v>
      </c>
      <c r="I16" s="4">
        <f t="shared" si="3"/>
        <v>1041.8699999999999</v>
      </c>
    </row>
    <row r="17" spans="1:9" ht="13.2" x14ac:dyDescent="0.25">
      <c r="A17" s="5" t="s">
        <v>15</v>
      </c>
      <c r="B17" s="5" t="s">
        <v>30</v>
      </c>
      <c r="C17">
        <v>5200</v>
      </c>
      <c r="D17" s="4">
        <f t="shared" si="0"/>
        <v>4498.18</v>
      </c>
      <c r="E17" s="4">
        <f t="shared" si="1"/>
        <v>5346.21</v>
      </c>
      <c r="F17" s="4">
        <f t="shared" si="2"/>
        <v>3650.15</v>
      </c>
      <c r="G17" s="4">
        <f t="shared" si="4"/>
        <v>1737</v>
      </c>
      <c r="H17" s="4">
        <f t="shared" si="5"/>
        <v>318.81</v>
      </c>
      <c r="I17" s="4">
        <f t="shared" si="3"/>
        <v>1041.8699999999999</v>
      </c>
    </row>
    <row r="18" spans="1:9" ht="13.2" x14ac:dyDescent="0.25">
      <c r="A18" s="5" t="s">
        <v>15</v>
      </c>
      <c r="B18" s="5" t="s">
        <v>31</v>
      </c>
      <c r="C18">
        <v>5100</v>
      </c>
      <c r="D18" s="4">
        <f t="shared" si="0"/>
        <v>4498.18</v>
      </c>
      <c r="E18" s="4">
        <f t="shared" si="1"/>
        <v>5346.21</v>
      </c>
      <c r="F18" s="4">
        <f t="shared" si="2"/>
        <v>3650.15</v>
      </c>
      <c r="G18" s="4">
        <f t="shared" si="4"/>
        <v>100</v>
      </c>
      <c r="H18" s="4">
        <f t="shared" si="5"/>
        <v>318.81</v>
      </c>
      <c r="I18" s="4">
        <f t="shared" si="3"/>
        <v>1041.8699999999999</v>
      </c>
    </row>
    <row r="19" spans="1:9" ht="13.2" x14ac:dyDescent="0.25">
      <c r="A19" s="5" t="s">
        <v>15</v>
      </c>
      <c r="B19" s="5" t="s">
        <v>32</v>
      </c>
      <c r="C19">
        <v>4635</v>
      </c>
      <c r="D19" s="4">
        <f t="shared" si="0"/>
        <v>4498.18</v>
      </c>
      <c r="E19" s="4">
        <f t="shared" si="1"/>
        <v>5346.21</v>
      </c>
      <c r="F19" s="4">
        <f t="shared" si="2"/>
        <v>3650.15</v>
      </c>
      <c r="G19" s="4">
        <f t="shared" si="4"/>
        <v>465</v>
      </c>
      <c r="H19" s="4">
        <f t="shared" si="5"/>
        <v>318.81</v>
      </c>
      <c r="I19" s="4">
        <f t="shared" si="3"/>
        <v>1041.8699999999999</v>
      </c>
    </row>
    <row r="20" spans="1:9" ht="13.2" x14ac:dyDescent="0.25">
      <c r="A20" s="5" t="s">
        <v>15</v>
      </c>
      <c r="B20" s="5" t="s">
        <v>33</v>
      </c>
      <c r="C20">
        <v>5100</v>
      </c>
      <c r="D20" s="4">
        <f t="shared" si="0"/>
        <v>4498.18</v>
      </c>
      <c r="E20" s="4">
        <f t="shared" si="1"/>
        <v>5346.21</v>
      </c>
      <c r="F20" s="4">
        <f t="shared" si="2"/>
        <v>3650.15</v>
      </c>
      <c r="G20" s="4">
        <f t="shared" si="4"/>
        <v>465</v>
      </c>
      <c r="H20" s="4">
        <f t="shared" si="5"/>
        <v>318.81</v>
      </c>
      <c r="I20" s="4">
        <f t="shared" si="3"/>
        <v>1041.8699999999999</v>
      </c>
    </row>
    <row r="21" spans="1:9" ht="13.2" x14ac:dyDescent="0.25">
      <c r="A21" s="5" t="s">
        <v>15</v>
      </c>
      <c r="B21" s="5" t="s">
        <v>34</v>
      </c>
      <c r="C21">
        <v>5450</v>
      </c>
      <c r="D21" s="4">
        <f t="shared" si="0"/>
        <v>4498.18</v>
      </c>
      <c r="E21" s="4">
        <f t="shared" si="1"/>
        <v>5346.21</v>
      </c>
      <c r="F21" s="4">
        <f t="shared" si="2"/>
        <v>3650.15</v>
      </c>
      <c r="G21" s="4">
        <f t="shared" si="4"/>
        <v>350</v>
      </c>
      <c r="H21" s="4">
        <f t="shared" si="5"/>
        <v>318.81</v>
      </c>
      <c r="I21" s="4">
        <f t="shared" si="3"/>
        <v>1041.8699999999999</v>
      </c>
    </row>
    <row r="22" spans="1:9" ht="13.2" x14ac:dyDescent="0.25">
      <c r="A22" s="5" t="s">
        <v>15</v>
      </c>
      <c r="B22" s="5" t="s">
        <v>35</v>
      </c>
      <c r="C22">
        <v>4635</v>
      </c>
      <c r="D22" s="4">
        <f t="shared" si="0"/>
        <v>4498.18</v>
      </c>
      <c r="E22" s="4">
        <f t="shared" si="1"/>
        <v>5346.21</v>
      </c>
      <c r="F22" s="4">
        <f t="shared" si="2"/>
        <v>3650.15</v>
      </c>
      <c r="G22" s="4">
        <f t="shared" si="4"/>
        <v>815</v>
      </c>
      <c r="H22" s="4">
        <f t="shared" si="5"/>
        <v>318.81</v>
      </c>
      <c r="I22" s="4">
        <f t="shared" si="3"/>
        <v>1041.8699999999999</v>
      </c>
    </row>
    <row r="23" spans="1:9" ht="13.2" x14ac:dyDescent="0.25">
      <c r="A23" s="5" t="s">
        <v>15</v>
      </c>
      <c r="B23" s="5" t="s">
        <v>36</v>
      </c>
      <c r="C23">
        <v>4720</v>
      </c>
      <c r="D23" s="4">
        <f t="shared" si="0"/>
        <v>4498.18</v>
      </c>
      <c r="E23" s="4">
        <f t="shared" si="1"/>
        <v>5346.21</v>
      </c>
      <c r="F23" s="4">
        <f t="shared" si="2"/>
        <v>3650.15</v>
      </c>
      <c r="G23" s="4">
        <f t="shared" si="4"/>
        <v>85</v>
      </c>
      <c r="H23" s="4">
        <f t="shared" si="5"/>
        <v>318.81</v>
      </c>
      <c r="I23" s="4">
        <f t="shared" si="3"/>
        <v>1041.8699999999999</v>
      </c>
    </row>
    <row r="24" spans="1:9" ht="13.2" x14ac:dyDescent="0.25">
      <c r="A24" s="5" t="s">
        <v>15</v>
      </c>
      <c r="B24" s="5" t="s">
        <v>37</v>
      </c>
      <c r="C24">
        <v>4810</v>
      </c>
      <c r="D24" s="4">
        <f t="shared" si="0"/>
        <v>4498.18</v>
      </c>
      <c r="E24" s="4">
        <f t="shared" si="1"/>
        <v>5346.21</v>
      </c>
      <c r="F24" s="4">
        <f t="shared" si="2"/>
        <v>3650.15</v>
      </c>
      <c r="G24" s="4">
        <f t="shared" si="4"/>
        <v>90</v>
      </c>
      <c r="H24" s="4">
        <f t="shared" si="5"/>
        <v>318.81</v>
      </c>
      <c r="I24" s="4">
        <f t="shared" si="3"/>
        <v>1041.8699999999999</v>
      </c>
    </row>
    <row r="25" spans="1:9" ht="13.2" x14ac:dyDescent="0.25">
      <c r="A25" s="5" t="s">
        <v>15</v>
      </c>
      <c r="B25" s="5" t="s">
        <v>38</v>
      </c>
      <c r="C25">
        <v>4565</v>
      </c>
      <c r="D25" s="4">
        <f t="shared" si="0"/>
        <v>4498.18</v>
      </c>
      <c r="E25" s="4">
        <f t="shared" si="1"/>
        <v>5346.21</v>
      </c>
      <c r="F25" s="4">
        <f t="shared" si="2"/>
        <v>3650.15</v>
      </c>
      <c r="G25" s="4">
        <f t="shared" si="4"/>
        <v>245</v>
      </c>
      <c r="H25" s="4">
        <f t="shared" si="5"/>
        <v>318.81</v>
      </c>
      <c r="I25" s="4">
        <f t="shared" si="3"/>
        <v>1041.8699999999999</v>
      </c>
    </row>
    <row r="26" spans="1:9" ht="13.2" x14ac:dyDescent="0.25">
      <c r="A26" s="5" t="s">
        <v>15</v>
      </c>
      <c r="B26" s="5" t="s">
        <v>39</v>
      </c>
      <c r="C26">
        <v>4410</v>
      </c>
      <c r="D26" s="4">
        <f t="shared" si="0"/>
        <v>4498.18</v>
      </c>
      <c r="E26" s="4">
        <f t="shared" si="1"/>
        <v>5346.21</v>
      </c>
      <c r="F26" s="4">
        <f t="shared" si="2"/>
        <v>3650.15</v>
      </c>
      <c r="G26" s="4">
        <f t="shared" si="4"/>
        <v>155</v>
      </c>
      <c r="H26" s="4">
        <f t="shared" si="5"/>
        <v>318.81</v>
      </c>
      <c r="I26" s="4">
        <f t="shared" si="3"/>
        <v>1041.8699999999999</v>
      </c>
    </row>
    <row r="27" spans="1:9" ht="13.2" x14ac:dyDescent="0.25">
      <c r="A27" s="5" t="s">
        <v>15</v>
      </c>
      <c r="B27" s="5" t="s">
        <v>40</v>
      </c>
      <c r="C27">
        <v>4065</v>
      </c>
      <c r="D27" s="4">
        <f t="shared" si="0"/>
        <v>4498.18</v>
      </c>
      <c r="E27" s="4">
        <f t="shared" si="1"/>
        <v>5346.21</v>
      </c>
      <c r="F27" s="4">
        <f t="shared" si="2"/>
        <v>3650.15</v>
      </c>
      <c r="G27" s="4">
        <f t="shared" si="4"/>
        <v>345</v>
      </c>
      <c r="H27" s="4">
        <f t="shared" si="5"/>
        <v>318.81</v>
      </c>
      <c r="I27" s="4">
        <f t="shared" si="3"/>
        <v>1041.8699999999999</v>
      </c>
    </row>
    <row r="28" spans="1:9" ht="13.2" x14ac:dyDescent="0.25">
      <c r="A28" s="5" t="s">
        <v>15</v>
      </c>
      <c r="B28" s="5" t="s">
        <v>41</v>
      </c>
      <c r="C28">
        <v>4565</v>
      </c>
      <c r="D28" s="4">
        <f t="shared" si="0"/>
        <v>4498.18</v>
      </c>
      <c r="E28" s="4">
        <f t="shared" si="1"/>
        <v>5346.21</v>
      </c>
      <c r="F28" s="4">
        <f t="shared" si="2"/>
        <v>3650.15</v>
      </c>
      <c r="G28" s="4">
        <f t="shared" si="4"/>
        <v>500</v>
      </c>
      <c r="H28" s="4">
        <f t="shared" si="5"/>
        <v>318.81</v>
      </c>
      <c r="I28" s="4">
        <f t="shared" si="3"/>
        <v>1041.8699999999999</v>
      </c>
    </row>
    <row r="29" spans="1:9" ht="13.2" x14ac:dyDescent="0.25">
      <c r="A29" s="5" t="s">
        <v>15</v>
      </c>
      <c r="B29" s="5" t="s">
        <v>42</v>
      </c>
      <c r="C29">
        <v>5190</v>
      </c>
      <c r="D29" s="4">
        <f t="shared" si="0"/>
        <v>4498.18</v>
      </c>
      <c r="E29" s="4">
        <f t="shared" si="1"/>
        <v>5346.21</v>
      </c>
      <c r="F29" s="4">
        <f t="shared" si="2"/>
        <v>3650.15</v>
      </c>
      <c r="G29" s="4">
        <f t="shared" si="4"/>
        <v>625</v>
      </c>
      <c r="H29" s="4">
        <f t="shared" si="5"/>
        <v>318.81</v>
      </c>
      <c r="I29" s="4">
        <f t="shared" si="3"/>
        <v>1041.8699999999999</v>
      </c>
    </row>
    <row r="30" spans="1:9" ht="13.2" x14ac:dyDescent="0.25">
      <c r="A30" s="5" t="s">
        <v>15</v>
      </c>
      <c r="B30" s="5" t="s">
        <v>43</v>
      </c>
      <c r="C30">
        <v>4725</v>
      </c>
      <c r="D30" s="4">
        <f t="shared" si="0"/>
        <v>4498.18</v>
      </c>
      <c r="E30" s="4">
        <f t="shared" si="1"/>
        <v>5346.21</v>
      </c>
      <c r="F30" s="4">
        <f t="shared" si="2"/>
        <v>3650.15</v>
      </c>
      <c r="G30" s="4">
        <f t="shared" si="4"/>
        <v>465</v>
      </c>
      <c r="H30" s="4">
        <f t="shared" si="5"/>
        <v>318.81</v>
      </c>
      <c r="I30" s="4">
        <f t="shared" si="3"/>
        <v>1041.8699999999999</v>
      </c>
    </row>
    <row r="31" spans="1:9" ht="13.2" x14ac:dyDescent="0.25">
      <c r="A31" s="5" t="s">
        <v>15</v>
      </c>
      <c r="B31" s="5" t="s">
        <v>44</v>
      </c>
      <c r="C31">
        <v>4640</v>
      </c>
      <c r="D31" s="4">
        <f t="shared" si="0"/>
        <v>4498.18</v>
      </c>
      <c r="E31" s="4">
        <f t="shared" si="1"/>
        <v>5346.21</v>
      </c>
      <c r="F31" s="4">
        <f t="shared" si="2"/>
        <v>3650.15</v>
      </c>
      <c r="G31" s="4">
        <f t="shared" si="4"/>
        <v>85</v>
      </c>
      <c r="H31" s="4">
        <f t="shared" si="5"/>
        <v>318.81</v>
      </c>
      <c r="I31" s="4">
        <f t="shared" si="3"/>
        <v>1041.8699999999999</v>
      </c>
    </row>
    <row r="32" spans="1:9" ht="13.2" x14ac:dyDescent="0.25">
      <c r="A32" s="5" t="s">
        <v>15</v>
      </c>
      <c r="B32" s="5" t="s">
        <v>45</v>
      </c>
      <c r="C32">
        <v>4640</v>
      </c>
      <c r="D32" s="4">
        <f t="shared" si="0"/>
        <v>4498.18</v>
      </c>
      <c r="E32" s="4">
        <f t="shared" si="1"/>
        <v>5346.21</v>
      </c>
      <c r="F32" s="4">
        <f t="shared" si="2"/>
        <v>3650.15</v>
      </c>
      <c r="G32" s="4">
        <f t="shared" si="4"/>
        <v>0</v>
      </c>
      <c r="H32" s="4">
        <f t="shared" si="5"/>
        <v>318.81</v>
      </c>
      <c r="I32" s="4">
        <f t="shared" si="3"/>
        <v>1041.8699999999999</v>
      </c>
    </row>
    <row r="33" spans="1:9" ht="13.2" x14ac:dyDescent="0.25">
      <c r="A33" s="5" t="s">
        <v>15</v>
      </c>
      <c r="B33" s="5" t="s">
        <v>46</v>
      </c>
      <c r="C33">
        <v>4895</v>
      </c>
      <c r="D33" s="4">
        <f t="shared" si="0"/>
        <v>4498.18</v>
      </c>
      <c r="E33" s="4">
        <f t="shared" si="1"/>
        <v>5346.21</v>
      </c>
      <c r="F33" s="4">
        <f t="shared" si="2"/>
        <v>3650.15</v>
      </c>
      <c r="G33" s="4">
        <f t="shared" si="4"/>
        <v>255</v>
      </c>
      <c r="H33" s="4">
        <f t="shared" si="5"/>
        <v>318.81</v>
      </c>
      <c r="I33" s="4">
        <f t="shared" si="3"/>
        <v>1041.8699999999999</v>
      </c>
    </row>
    <row r="34" spans="1:9" ht="13.2" x14ac:dyDescent="0.25">
      <c r="A34" s="5" t="s">
        <v>15</v>
      </c>
      <c r="B34" s="5" t="s">
        <v>47</v>
      </c>
      <c r="C34">
        <v>4790</v>
      </c>
      <c r="D34" s="4">
        <f t="shared" si="0"/>
        <v>4498.18</v>
      </c>
      <c r="E34" s="4">
        <f t="shared" si="1"/>
        <v>5346.21</v>
      </c>
      <c r="F34" s="4">
        <f t="shared" si="2"/>
        <v>3650.15</v>
      </c>
      <c r="G34" s="4">
        <f t="shared" si="4"/>
        <v>105</v>
      </c>
      <c r="H34" s="4">
        <f t="shared" si="5"/>
        <v>318.81</v>
      </c>
      <c r="I34" s="4">
        <f t="shared" si="3"/>
        <v>1041.8699999999999</v>
      </c>
    </row>
    <row r="35" spans="1:9" ht="13.2" x14ac:dyDescent="0.25">
      <c r="A35" s="5" t="s">
        <v>15</v>
      </c>
      <c r="B35" s="5" t="s">
        <v>48</v>
      </c>
      <c r="C35">
        <v>4845</v>
      </c>
      <c r="D35" s="4">
        <f t="shared" si="0"/>
        <v>4498.18</v>
      </c>
      <c r="E35" s="4">
        <f t="shared" si="1"/>
        <v>5346.21</v>
      </c>
      <c r="F35" s="4">
        <f t="shared" si="2"/>
        <v>3650.15</v>
      </c>
      <c r="G35" s="4">
        <f t="shared" si="4"/>
        <v>55</v>
      </c>
      <c r="H35" s="4">
        <f t="shared" si="5"/>
        <v>318.81</v>
      </c>
      <c r="I35" s="4">
        <f t="shared" si="3"/>
        <v>1041.8699999999999</v>
      </c>
    </row>
    <row r="36" spans="1:9" ht="13.2" x14ac:dyDescent="0.25">
      <c r="A36" s="5" t="s">
        <v>15</v>
      </c>
      <c r="B36" s="5" t="s">
        <v>49</v>
      </c>
      <c r="C36">
        <v>4700</v>
      </c>
      <c r="D36" s="4">
        <f t="shared" si="0"/>
        <v>4498.18</v>
      </c>
      <c r="E36" s="4">
        <f t="shared" si="1"/>
        <v>5346.21</v>
      </c>
      <c r="F36" s="4">
        <f t="shared" si="2"/>
        <v>3650.15</v>
      </c>
      <c r="G36" s="4">
        <f t="shared" si="4"/>
        <v>145</v>
      </c>
      <c r="H36" s="4">
        <f t="shared" si="5"/>
        <v>318.81</v>
      </c>
      <c r="I36" s="4">
        <f t="shared" si="3"/>
        <v>1041.8699999999999</v>
      </c>
    </row>
    <row r="37" spans="1:9" ht="13.2" x14ac:dyDescent="0.25">
      <c r="A37" s="5" t="s">
        <v>15</v>
      </c>
      <c r="B37" s="5" t="s">
        <v>50</v>
      </c>
      <c r="C37">
        <v>4600</v>
      </c>
      <c r="D37" s="4">
        <f t="shared" si="0"/>
        <v>4498.18</v>
      </c>
      <c r="E37" s="4">
        <f t="shared" si="1"/>
        <v>5346.21</v>
      </c>
      <c r="F37" s="4">
        <f t="shared" si="2"/>
        <v>3650.15</v>
      </c>
      <c r="G37" s="4">
        <f t="shared" si="4"/>
        <v>100</v>
      </c>
      <c r="H37" s="4">
        <f t="shared" si="5"/>
        <v>318.81</v>
      </c>
      <c r="I37" s="4">
        <f t="shared" si="3"/>
        <v>1041.8699999999999</v>
      </c>
    </row>
    <row r="38" spans="1:9" ht="13.2" x14ac:dyDescent="0.25">
      <c r="A38" s="5" t="s">
        <v>15</v>
      </c>
      <c r="B38" s="5" t="s">
        <v>51</v>
      </c>
      <c r="C38">
        <v>4110</v>
      </c>
      <c r="D38" s="4">
        <f t="shared" si="0"/>
        <v>4498.18</v>
      </c>
      <c r="E38" s="4">
        <f t="shared" si="1"/>
        <v>5346.21</v>
      </c>
      <c r="F38" s="4">
        <f t="shared" si="2"/>
        <v>3650.15</v>
      </c>
      <c r="G38" s="4">
        <f t="shared" si="4"/>
        <v>490</v>
      </c>
      <c r="H38" s="4">
        <f t="shared" si="5"/>
        <v>318.81</v>
      </c>
      <c r="I38" s="4">
        <f t="shared" si="3"/>
        <v>1041.8699999999999</v>
      </c>
    </row>
    <row r="39" spans="1:9" ht="13.2" x14ac:dyDescent="0.25">
      <c r="A39" s="5" t="s">
        <v>15</v>
      </c>
      <c r="B39" s="5" t="s">
        <v>52</v>
      </c>
      <c r="C39">
        <v>4410</v>
      </c>
      <c r="D39" s="4">
        <f t="shared" si="0"/>
        <v>4498.18</v>
      </c>
      <c r="E39" s="4">
        <f t="shared" si="1"/>
        <v>5346.21</v>
      </c>
      <c r="F39" s="4">
        <f t="shared" si="2"/>
        <v>3650.15</v>
      </c>
      <c r="G39" s="4">
        <f t="shared" si="4"/>
        <v>300</v>
      </c>
      <c r="H39" s="4">
        <f t="shared" si="5"/>
        <v>318.81</v>
      </c>
      <c r="I39" s="4">
        <f t="shared" si="3"/>
        <v>1041.8699999999999</v>
      </c>
    </row>
    <row r="40" spans="1:9" ht="13.2" x14ac:dyDescent="0.25">
      <c r="A40" s="5" t="s">
        <v>15</v>
      </c>
      <c r="B40" s="5" t="s">
        <v>53</v>
      </c>
      <c r="C40">
        <v>4180</v>
      </c>
      <c r="D40" s="4">
        <f t="shared" si="0"/>
        <v>4498.18</v>
      </c>
      <c r="E40" s="4">
        <f t="shared" si="1"/>
        <v>5346.21</v>
      </c>
      <c r="F40" s="4">
        <f t="shared" si="2"/>
        <v>3650.15</v>
      </c>
      <c r="G40" s="4">
        <f t="shared" si="4"/>
        <v>230</v>
      </c>
      <c r="H40" s="4">
        <f t="shared" si="5"/>
        <v>318.81</v>
      </c>
      <c r="I40" s="4">
        <f t="shared" si="3"/>
        <v>1041.8699999999999</v>
      </c>
    </row>
    <row r="41" spans="1:9" ht="13.2" x14ac:dyDescent="0.25">
      <c r="A41" s="5" t="s">
        <v>15</v>
      </c>
      <c r="B41" s="5" t="s">
        <v>54</v>
      </c>
      <c r="C41">
        <v>4790</v>
      </c>
      <c r="D41" s="4">
        <f t="shared" si="0"/>
        <v>4498.18</v>
      </c>
      <c r="E41" s="4">
        <f t="shared" si="1"/>
        <v>5346.21</v>
      </c>
      <c r="F41" s="4">
        <f t="shared" si="2"/>
        <v>3650.15</v>
      </c>
      <c r="G41" s="4">
        <f t="shared" si="4"/>
        <v>610</v>
      </c>
      <c r="H41" s="4">
        <f t="shared" si="5"/>
        <v>318.81</v>
      </c>
      <c r="I41" s="4">
        <f t="shared" si="3"/>
        <v>1041.8699999999999</v>
      </c>
    </row>
    <row r="42" spans="1:9" ht="13.2" x14ac:dyDescent="0.25">
      <c r="A42" s="5" t="s">
        <v>15</v>
      </c>
      <c r="B42" s="5" t="s">
        <v>55</v>
      </c>
      <c r="C42">
        <v>4790</v>
      </c>
      <c r="D42" s="4">
        <f t="shared" si="0"/>
        <v>4498.18</v>
      </c>
      <c r="E42" s="4">
        <f t="shared" si="1"/>
        <v>5346.21</v>
      </c>
      <c r="F42" s="4">
        <f t="shared" si="2"/>
        <v>3650.15</v>
      </c>
      <c r="G42" s="4">
        <f t="shared" si="4"/>
        <v>0</v>
      </c>
      <c r="H42" s="4">
        <f t="shared" si="5"/>
        <v>318.81</v>
      </c>
      <c r="I42" s="4">
        <f t="shared" si="3"/>
        <v>1041.8699999999999</v>
      </c>
    </row>
    <row r="43" spans="1:9" ht="13.2" x14ac:dyDescent="0.25">
      <c r="A43" s="5" t="s">
        <v>15</v>
      </c>
      <c r="B43" s="5" t="s">
        <v>56</v>
      </c>
      <c r="C43">
        <v>4340</v>
      </c>
      <c r="D43" s="4">
        <f t="shared" si="0"/>
        <v>4498.18</v>
      </c>
      <c r="E43" s="4">
        <f t="shared" si="1"/>
        <v>5346.21</v>
      </c>
      <c r="F43" s="4">
        <f t="shared" si="2"/>
        <v>3650.15</v>
      </c>
      <c r="G43" s="4">
        <f t="shared" si="4"/>
        <v>450</v>
      </c>
      <c r="H43" s="4">
        <f t="shared" si="5"/>
        <v>318.81</v>
      </c>
      <c r="I43" s="4">
        <f t="shared" si="3"/>
        <v>1041.8699999999999</v>
      </c>
    </row>
    <row r="44" spans="1:9" ht="13.2" x14ac:dyDescent="0.25">
      <c r="A44" s="5" t="s">
        <v>15</v>
      </c>
      <c r="B44" s="5" t="s">
        <v>57</v>
      </c>
      <c r="C44">
        <v>4895</v>
      </c>
      <c r="D44" s="4">
        <f t="shared" si="0"/>
        <v>4498.18</v>
      </c>
      <c r="E44" s="4">
        <f t="shared" si="1"/>
        <v>5346.21</v>
      </c>
      <c r="F44" s="4">
        <f t="shared" si="2"/>
        <v>3650.15</v>
      </c>
      <c r="G44" s="4">
        <f t="shared" si="4"/>
        <v>555</v>
      </c>
      <c r="H44" s="4">
        <f t="shared" si="5"/>
        <v>318.81</v>
      </c>
      <c r="I44" s="4">
        <f t="shared" si="3"/>
        <v>1041.8699999999999</v>
      </c>
    </row>
    <row r="45" spans="1:9" ht="13.2" x14ac:dyDescent="0.25">
      <c r="A45" s="5" t="s">
        <v>15</v>
      </c>
      <c r="B45" s="5" t="s">
        <v>58</v>
      </c>
      <c r="C45">
        <v>5750</v>
      </c>
      <c r="D45" s="4">
        <f t="shared" si="0"/>
        <v>4498.18</v>
      </c>
      <c r="E45" s="4">
        <f t="shared" si="1"/>
        <v>5346.21</v>
      </c>
      <c r="F45" s="4">
        <f t="shared" si="2"/>
        <v>3650.15</v>
      </c>
      <c r="G45" s="4">
        <f t="shared" si="4"/>
        <v>855</v>
      </c>
      <c r="H45" s="4">
        <f t="shared" si="5"/>
        <v>318.81</v>
      </c>
      <c r="I45" s="4">
        <f t="shared" si="3"/>
        <v>1041.8699999999999</v>
      </c>
    </row>
    <row r="46" spans="1:9" ht="13.2" x14ac:dyDescent="0.25">
      <c r="A46" s="5" t="s">
        <v>15</v>
      </c>
      <c r="B46" s="5" t="s">
        <v>59</v>
      </c>
      <c r="C46">
        <v>4740</v>
      </c>
      <c r="D46" s="4">
        <f t="shared" si="0"/>
        <v>4498.18</v>
      </c>
      <c r="E46" s="4">
        <f t="shared" si="1"/>
        <v>5346.21</v>
      </c>
      <c r="F46" s="4">
        <f t="shared" si="2"/>
        <v>3650.15</v>
      </c>
      <c r="G46" s="4">
        <f t="shared" si="4"/>
        <v>1010</v>
      </c>
      <c r="H46" s="4">
        <f t="shared" si="5"/>
        <v>318.81</v>
      </c>
      <c r="I46" s="4">
        <f t="shared" si="3"/>
        <v>1041.8699999999999</v>
      </c>
    </row>
    <row r="47" spans="1:9" ht="13.2" x14ac:dyDescent="0.25">
      <c r="A47" s="5" t="s">
        <v>15</v>
      </c>
      <c r="B47" s="5" t="s">
        <v>60</v>
      </c>
      <c r="C47">
        <v>5000</v>
      </c>
      <c r="D47" s="4">
        <f t="shared" si="0"/>
        <v>4498.18</v>
      </c>
      <c r="E47" s="4">
        <f t="shared" si="1"/>
        <v>5346.21</v>
      </c>
      <c r="F47" s="4">
        <f t="shared" si="2"/>
        <v>3650.15</v>
      </c>
      <c r="G47" s="4">
        <f t="shared" si="4"/>
        <v>260</v>
      </c>
      <c r="H47" s="4">
        <f t="shared" si="5"/>
        <v>318.81</v>
      </c>
      <c r="I47" s="4">
        <f t="shared" si="3"/>
        <v>1041.8699999999999</v>
      </c>
    </row>
    <row r="48" spans="1:9" ht="13.2" x14ac:dyDescent="0.25">
      <c r="A48" s="5" t="s">
        <v>15</v>
      </c>
      <c r="B48" s="5" t="s">
        <v>61</v>
      </c>
      <c r="C48">
        <v>4895</v>
      </c>
      <c r="D48" s="4">
        <f t="shared" si="0"/>
        <v>4498.18</v>
      </c>
      <c r="E48" s="4">
        <f t="shared" si="1"/>
        <v>5346.21</v>
      </c>
      <c r="F48" s="4">
        <f t="shared" si="2"/>
        <v>3650.15</v>
      </c>
      <c r="G48" s="4">
        <f t="shared" si="4"/>
        <v>105</v>
      </c>
      <c r="H48" s="4">
        <f t="shared" si="5"/>
        <v>318.81</v>
      </c>
      <c r="I48" s="4">
        <f t="shared" si="3"/>
        <v>1041.8699999999999</v>
      </c>
    </row>
    <row r="49" spans="1:9" ht="13.2" x14ac:dyDescent="0.25">
      <c r="A49" s="5" t="s">
        <v>15</v>
      </c>
      <c r="B49" s="5" t="s">
        <v>62</v>
      </c>
      <c r="C49">
        <v>4255</v>
      </c>
      <c r="D49" s="4">
        <f t="shared" si="0"/>
        <v>4498.18</v>
      </c>
      <c r="E49" s="4">
        <f t="shared" si="1"/>
        <v>5346.21</v>
      </c>
      <c r="F49" s="4">
        <f t="shared" si="2"/>
        <v>3650.15</v>
      </c>
      <c r="G49" s="4">
        <f t="shared" si="4"/>
        <v>640</v>
      </c>
      <c r="H49" s="4">
        <f t="shared" si="5"/>
        <v>318.81</v>
      </c>
      <c r="I49" s="4">
        <f t="shared" si="3"/>
        <v>1041.8699999999999</v>
      </c>
    </row>
    <row r="50" spans="1:9" ht="13.2" x14ac:dyDescent="0.25">
      <c r="A50" s="5" t="s">
        <v>15</v>
      </c>
      <c r="B50" s="5" t="s">
        <v>63</v>
      </c>
      <c r="C50">
        <v>4170</v>
      </c>
      <c r="D50" s="4">
        <f t="shared" si="0"/>
        <v>4498.18</v>
      </c>
      <c r="E50" s="4">
        <f t="shared" si="1"/>
        <v>5346.21</v>
      </c>
      <c r="F50" s="4">
        <f t="shared" si="2"/>
        <v>3650.15</v>
      </c>
      <c r="G50" s="4">
        <f t="shared" si="4"/>
        <v>85</v>
      </c>
      <c r="H50" s="4">
        <f t="shared" si="5"/>
        <v>318.81</v>
      </c>
      <c r="I50" s="4">
        <f t="shared" si="3"/>
        <v>1041.8699999999999</v>
      </c>
    </row>
    <row r="51" spans="1:9" ht="13.2" x14ac:dyDescent="0.25">
      <c r="A51" s="5" t="s">
        <v>15</v>
      </c>
      <c r="B51" s="5" t="s">
        <v>64</v>
      </c>
      <c r="C51">
        <v>3850</v>
      </c>
      <c r="D51" s="4">
        <f t="shared" si="0"/>
        <v>4498.18</v>
      </c>
      <c r="E51" s="4">
        <f t="shared" si="1"/>
        <v>5346.21</v>
      </c>
      <c r="F51" s="4">
        <f t="shared" si="2"/>
        <v>3650.15</v>
      </c>
      <c r="G51" s="4">
        <f t="shared" si="4"/>
        <v>320</v>
      </c>
      <c r="H51" s="4">
        <f t="shared" si="5"/>
        <v>318.81</v>
      </c>
      <c r="I51" s="4">
        <f t="shared" si="3"/>
        <v>1041.8699999999999</v>
      </c>
    </row>
    <row r="52" spans="1:9" ht="13.2" x14ac:dyDescent="0.25">
      <c r="A52" s="5" t="s">
        <v>15</v>
      </c>
      <c r="B52" s="5" t="s">
        <v>65</v>
      </c>
      <c r="C52">
        <v>4445</v>
      </c>
      <c r="D52" s="4">
        <f t="shared" si="0"/>
        <v>4498.18</v>
      </c>
      <c r="E52" s="4">
        <f t="shared" si="1"/>
        <v>5346.21</v>
      </c>
      <c r="F52" s="4">
        <f t="shared" si="2"/>
        <v>3650.15</v>
      </c>
      <c r="G52" s="4">
        <f t="shared" si="4"/>
        <v>595</v>
      </c>
      <c r="H52" s="4">
        <f t="shared" si="5"/>
        <v>318.81</v>
      </c>
      <c r="I52" s="4">
        <f t="shared" si="3"/>
        <v>1041.8699999999999</v>
      </c>
    </row>
    <row r="53" spans="1:9" ht="13.2" x14ac:dyDescent="0.25">
      <c r="A53" s="5" t="s">
        <v>15</v>
      </c>
      <c r="B53" s="5" t="s">
        <v>66</v>
      </c>
      <c r="C53">
        <v>4650</v>
      </c>
      <c r="D53" s="4">
        <f t="shared" si="0"/>
        <v>4498.18</v>
      </c>
      <c r="E53" s="4">
        <f t="shared" si="1"/>
        <v>5346.21</v>
      </c>
      <c r="F53" s="4">
        <f t="shared" si="2"/>
        <v>3650.15</v>
      </c>
      <c r="G53" s="4">
        <f t="shared" si="4"/>
        <v>205</v>
      </c>
      <c r="H53" s="4">
        <f t="shared" si="5"/>
        <v>318.81</v>
      </c>
      <c r="I53" s="4">
        <f t="shared" si="3"/>
        <v>1041.8699999999999</v>
      </c>
    </row>
    <row r="54" spans="1:9" ht="13.2" x14ac:dyDescent="0.25">
      <c r="A54" s="5" t="s">
        <v>15</v>
      </c>
      <c r="B54" s="5" t="s">
        <v>67</v>
      </c>
      <c r="C54">
        <v>4170</v>
      </c>
      <c r="D54" s="4">
        <f t="shared" si="0"/>
        <v>4498.18</v>
      </c>
      <c r="E54" s="4">
        <f t="shared" si="1"/>
        <v>5346.21</v>
      </c>
      <c r="F54" s="4">
        <f t="shared" si="2"/>
        <v>3650.15</v>
      </c>
      <c r="G54" s="4">
        <f t="shared" si="4"/>
        <v>480</v>
      </c>
      <c r="H54" s="4">
        <f t="shared" si="5"/>
        <v>318.81</v>
      </c>
      <c r="I54" s="4">
        <f t="shared" si="3"/>
        <v>1041.8699999999999</v>
      </c>
    </row>
    <row r="55" spans="1:9" ht="13.2" x14ac:dyDescent="0.25">
      <c r="A55" s="5" t="s">
        <v>15</v>
      </c>
      <c r="B55" s="5" t="s">
        <v>68</v>
      </c>
      <c r="C55">
        <v>4255</v>
      </c>
      <c r="D55" s="4">
        <f t="shared" si="0"/>
        <v>4498.18</v>
      </c>
      <c r="E55" s="4">
        <f t="shared" si="1"/>
        <v>5346.21</v>
      </c>
      <c r="F55" s="4">
        <f t="shared" si="2"/>
        <v>3650.15</v>
      </c>
      <c r="G55" s="4">
        <f t="shared" si="4"/>
        <v>85</v>
      </c>
      <c r="H55" s="4">
        <f t="shared" si="5"/>
        <v>318.81</v>
      </c>
      <c r="I55" s="4">
        <f t="shared" si="3"/>
        <v>1041.8699999999999</v>
      </c>
    </row>
    <row r="56" spans="1:9" ht="13.2" x14ac:dyDescent="0.25">
      <c r="A56" s="5" t="s">
        <v>15</v>
      </c>
      <c r="B56" s="5" t="s">
        <v>69</v>
      </c>
      <c r="C56">
        <v>4170</v>
      </c>
      <c r="D56" s="4">
        <f t="shared" si="0"/>
        <v>4498.18</v>
      </c>
      <c r="E56" s="4">
        <f t="shared" si="1"/>
        <v>5346.21</v>
      </c>
      <c r="F56" s="4">
        <f t="shared" si="2"/>
        <v>3650.15</v>
      </c>
      <c r="G56" s="4">
        <f t="shared" si="4"/>
        <v>85</v>
      </c>
      <c r="H56" s="4">
        <f t="shared" si="5"/>
        <v>318.81</v>
      </c>
      <c r="I56" s="4">
        <f t="shared" si="3"/>
        <v>1041.8699999999999</v>
      </c>
    </row>
    <row r="57" spans="1:9" ht="13.2" x14ac:dyDescent="0.25">
      <c r="A57" s="5" t="s">
        <v>15</v>
      </c>
      <c r="B57" s="5" t="s">
        <v>70</v>
      </c>
      <c r="C57">
        <v>4375</v>
      </c>
      <c r="D57" s="4">
        <f t="shared" si="0"/>
        <v>4498.18</v>
      </c>
      <c r="E57" s="4">
        <f t="shared" si="1"/>
        <v>5346.21</v>
      </c>
      <c r="F57" s="4">
        <f t="shared" si="2"/>
        <v>3650.15</v>
      </c>
      <c r="G57" s="4">
        <f t="shared" si="4"/>
        <v>205</v>
      </c>
      <c r="H57" s="4">
        <f t="shared" si="5"/>
        <v>318.81</v>
      </c>
      <c r="I57" s="4">
        <f t="shared" si="3"/>
        <v>1041.8699999999999</v>
      </c>
    </row>
    <row r="58" spans="1:9" ht="13.2" x14ac:dyDescent="0.25">
      <c r="A58" s="5" t="s">
        <v>15</v>
      </c>
      <c r="B58" s="5" t="s">
        <v>71</v>
      </c>
      <c r="C58">
        <v>4175</v>
      </c>
      <c r="D58" s="4">
        <f t="shared" si="0"/>
        <v>4498.18</v>
      </c>
      <c r="E58" s="4">
        <f t="shared" si="1"/>
        <v>5346.21</v>
      </c>
      <c r="F58" s="4">
        <f t="shared" si="2"/>
        <v>3650.15</v>
      </c>
      <c r="G58" s="4">
        <f t="shared" si="4"/>
        <v>200</v>
      </c>
      <c r="H58" s="4">
        <f t="shared" si="5"/>
        <v>318.81</v>
      </c>
      <c r="I58" s="4">
        <f t="shared" si="3"/>
        <v>1041.8699999999999</v>
      </c>
    </row>
    <row r="59" spans="1:9" ht="13.2" x14ac:dyDescent="0.25">
      <c r="A59" s="5" t="s">
        <v>15</v>
      </c>
      <c r="B59" s="5" t="s">
        <v>72</v>
      </c>
      <c r="C59">
        <v>4550</v>
      </c>
      <c r="D59" s="4">
        <f t="shared" si="0"/>
        <v>4498.18</v>
      </c>
      <c r="E59" s="4">
        <f t="shared" si="1"/>
        <v>5346.21</v>
      </c>
      <c r="F59" s="4">
        <f t="shared" si="2"/>
        <v>3650.15</v>
      </c>
      <c r="G59" s="4">
        <f t="shared" si="4"/>
        <v>375</v>
      </c>
      <c r="H59" s="4">
        <f t="shared" si="5"/>
        <v>318.81</v>
      </c>
      <c r="I59" s="4">
        <f t="shared" si="3"/>
        <v>1041.8699999999999</v>
      </c>
    </row>
    <row r="60" spans="1:9" ht="13.2" x14ac:dyDescent="0.25">
      <c r="A60" s="5" t="s">
        <v>15</v>
      </c>
      <c r="B60" s="5" t="s">
        <v>73</v>
      </c>
      <c r="C60">
        <v>4450</v>
      </c>
      <c r="D60" s="4">
        <f t="shared" si="0"/>
        <v>4498.18</v>
      </c>
      <c r="E60" s="4">
        <f t="shared" si="1"/>
        <v>5346.21</v>
      </c>
      <c r="F60" s="4">
        <f t="shared" si="2"/>
        <v>3650.15</v>
      </c>
      <c r="G60" s="4">
        <f t="shared" si="4"/>
        <v>100</v>
      </c>
      <c r="H60" s="4">
        <f t="shared" si="5"/>
        <v>318.81</v>
      </c>
      <c r="I60" s="4">
        <f t="shared" si="3"/>
        <v>1041.8699999999999</v>
      </c>
    </row>
    <row r="61" spans="1:9" ht="13.2" x14ac:dyDescent="0.25">
      <c r="A61" s="5" t="s">
        <v>15</v>
      </c>
      <c r="B61" s="5" t="s">
        <v>74</v>
      </c>
      <c r="C61">
        <v>2855</v>
      </c>
      <c r="D61" s="4">
        <f t="shared" si="0"/>
        <v>4498.18</v>
      </c>
      <c r="E61" s="4">
        <f t="shared" si="1"/>
        <v>5346.21</v>
      </c>
      <c r="F61" s="4">
        <f t="shared" si="2"/>
        <v>3650.15</v>
      </c>
      <c r="G61" s="4">
        <f t="shared" si="4"/>
        <v>1595</v>
      </c>
      <c r="H61" s="4">
        <f t="shared" si="5"/>
        <v>318.81</v>
      </c>
      <c r="I61" s="4">
        <f t="shared" si="3"/>
        <v>1041.8699999999999</v>
      </c>
    </row>
    <row r="62" spans="1:9" ht="13.2" x14ac:dyDescent="0.25">
      <c r="A62" s="5" t="s">
        <v>15</v>
      </c>
      <c r="B62" s="5" t="s">
        <v>75</v>
      </c>
      <c r="C62">
        <v>2920</v>
      </c>
      <c r="D62" s="4">
        <f t="shared" si="0"/>
        <v>4498.18</v>
      </c>
      <c r="E62" s="4">
        <f t="shared" si="1"/>
        <v>5346.21</v>
      </c>
      <c r="F62" s="4">
        <f t="shared" si="2"/>
        <v>3650.15</v>
      </c>
      <c r="G62" s="4">
        <f t="shared" si="4"/>
        <v>65</v>
      </c>
      <c r="H62" s="4">
        <f t="shared" si="5"/>
        <v>318.81</v>
      </c>
      <c r="I62" s="4">
        <f t="shared" si="3"/>
        <v>1041.8699999999999</v>
      </c>
    </row>
    <row r="63" spans="1:9" ht="13.2" x14ac:dyDescent="0.25">
      <c r="A63" s="5" t="s">
        <v>15</v>
      </c>
      <c r="B63" s="5" t="s">
        <v>76</v>
      </c>
      <c r="C63">
        <v>4375</v>
      </c>
      <c r="D63" s="4">
        <f t="shared" si="0"/>
        <v>4498.18</v>
      </c>
      <c r="E63" s="4">
        <f t="shared" si="1"/>
        <v>5346.21</v>
      </c>
      <c r="F63" s="4">
        <f t="shared" si="2"/>
        <v>3650.15</v>
      </c>
      <c r="G63" s="4">
        <f t="shared" si="4"/>
        <v>1455</v>
      </c>
      <c r="H63" s="4">
        <f t="shared" si="5"/>
        <v>318.81</v>
      </c>
      <c r="I63" s="4">
        <f t="shared" si="3"/>
        <v>1041.8699999999999</v>
      </c>
    </row>
    <row r="64" spans="1:9" ht="13.2" x14ac:dyDescent="0.25">
      <c r="A64" s="5" t="s">
        <v>15</v>
      </c>
      <c r="B64" s="5" t="s">
        <v>77</v>
      </c>
      <c r="C64">
        <v>4375</v>
      </c>
      <c r="D64" s="4">
        <f t="shared" si="0"/>
        <v>4498.18</v>
      </c>
      <c r="E64" s="4">
        <f t="shared" si="1"/>
        <v>5346.21</v>
      </c>
      <c r="F64" s="4">
        <f t="shared" si="2"/>
        <v>3650.15</v>
      </c>
      <c r="G64" s="4">
        <f t="shared" si="4"/>
        <v>0</v>
      </c>
      <c r="H64" s="4">
        <f t="shared" si="5"/>
        <v>318.81</v>
      </c>
      <c r="I64" s="4">
        <f t="shared" si="3"/>
        <v>1041.8699999999999</v>
      </c>
    </row>
    <row r="65" spans="1:9" ht="13.2" x14ac:dyDescent="0.25">
      <c r="A65" s="5" t="s">
        <v>15</v>
      </c>
      <c r="B65" s="5" t="s">
        <v>78</v>
      </c>
      <c r="C65">
        <v>4355</v>
      </c>
      <c r="D65" s="4">
        <f t="shared" si="0"/>
        <v>4498.18</v>
      </c>
      <c r="E65" s="4">
        <f t="shared" si="1"/>
        <v>5346.21</v>
      </c>
      <c r="F65" s="4">
        <f t="shared" si="2"/>
        <v>3650.15</v>
      </c>
      <c r="G65" s="4">
        <f t="shared" si="4"/>
        <v>20</v>
      </c>
      <c r="H65" s="4">
        <f t="shared" si="5"/>
        <v>318.81</v>
      </c>
      <c r="I65" s="4">
        <f t="shared" si="3"/>
        <v>1041.8699999999999</v>
      </c>
    </row>
    <row r="66" spans="1:9" ht="13.2" x14ac:dyDescent="0.25">
      <c r="A66" s="5" t="s">
        <v>15</v>
      </c>
      <c r="B66" s="5" t="s">
        <v>79</v>
      </c>
      <c r="C66">
        <v>4090</v>
      </c>
      <c r="D66" s="4">
        <f t="shared" ref="D66:D129" si="6">ROUND(AVERAGE($C$2:$C$205),2)</f>
        <v>4498.18</v>
      </c>
      <c r="E66" s="4">
        <f t="shared" ref="E66:E129" si="7">ROUND(D66+(2.66*H66),2)</f>
        <v>5346.21</v>
      </c>
      <c r="F66" s="4">
        <f t="shared" ref="F66:F129" si="8">ROUND(D66-(2.66*H66),2)</f>
        <v>3650.15</v>
      </c>
      <c r="G66" s="4">
        <f t="shared" ref="G66:G129" si="9">ABS(C65-C66)</f>
        <v>265</v>
      </c>
      <c r="H66" s="4">
        <f t="shared" si="5"/>
        <v>318.81</v>
      </c>
      <c r="I66" s="4">
        <f t="shared" ref="I66:I129" si="10">ROUND(3.268*H66,2)</f>
        <v>1041.8699999999999</v>
      </c>
    </row>
    <row r="67" spans="1:9" ht="13.2" x14ac:dyDescent="0.25">
      <c r="A67" s="5" t="s">
        <v>15</v>
      </c>
      <c r="B67" s="5" t="s">
        <v>80</v>
      </c>
      <c r="C67">
        <v>5000</v>
      </c>
      <c r="D67" s="4">
        <f t="shared" si="6"/>
        <v>4498.18</v>
      </c>
      <c r="E67" s="4">
        <f t="shared" si="7"/>
        <v>5346.21</v>
      </c>
      <c r="F67" s="4">
        <f t="shared" si="8"/>
        <v>3650.15</v>
      </c>
      <c r="G67" s="4">
        <f t="shared" si="9"/>
        <v>910</v>
      </c>
      <c r="H67" s="4">
        <f t="shared" ref="H67:H130" si="11">ROUND(AVERAGE($G$3:$G$205),2)</f>
        <v>318.81</v>
      </c>
      <c r="I67" s="4">
        <f t="shared" si="10"/>
        <v>1041.8699999999999</v>
      </c>
    </row>
    <row r="68" spans="1:9" ht="13.2" x14ac:dyDescent="0.25">
      <c r="A68" s="5" t="s">
        <v>15</v>
      </c>
      <c r="B68" s="5" t="s">
        <v>81</v>
      </c>
      <c r="C68">
        <v>4335</v>
      </c>
      <c r="D68" s="4">
        <f t="shared" si="6"/>
        <v>4498.18</v>
      </c>
      <c r="E68" s="4">
        <f t="shared" si="7"/>
        <v>5346.21</v>
      </c>
      <c r="F68" s="4">
        <f t="shared" si="8"/>
        <v>3650.15</v>
      </c>
      <c r="G68" s="4">
        <f t="shared" si="9"/>
        <v>665</v>
      </c>
      <c r="H68" s="4">
        <f t="shared" si="11"/>
        <v>318.81</v>
      </c>
      <c r="I68" s="4">
        <f t="shared" si="10"/>
        <v>1041.8699999999999</v>
      </c>
    </row>
    <row r="69" spans="1:9" ht="13.2" x14ac:dyDescent="0.25">
      <c r="A69" s="5" t="s">
        <v>15</v>
      </c>
      <c r="B69" s="5" t="s">
        <v>82</v>
      </c>
      <c r="C69">
        <v>5000</v>
      </c>
      <c r="D69" s="4">
        <f t="shared" si="6"/>
        <v>4498.18</v>
      </c>
      <c r="E69" s="4">
        <f t="shared" si="7"/>
        <v>5346.21</v>
      </c>
      <c r="F69" s="4">
        <f t="shared" si="8"/>
        <v>3650.15</v>
      </c>
      <c r="G69" s="4">
        <f t="shared" si="9"/>
        <v>665</v>
      </c>
      <c r="H69" s="4">
        <f t="shared" si="11"/>
        <v>318.81</v>
      </c>
      <c r="I69" s="4">
        <f t="shared" si="10"/>
        <v>1041.8699999999999</v>
      </c>
    </row>
    <row r="70" spans="1:9" ht="13.2" x14ac:dyDescent="0.25">
      <c r="A70" s="5" t="s">
        <v>15</v>
      </c>
      <c r="B70" s="5" t="s">
        <v>83</v>
      </c>
      <c r="C70">
        <v>4640</v>
      </c>
      <c r="D70" s="4">
        <f t="shared" si="6"/>
        <v>4498.18</v>
      </c>
      <c r="E70" s="4">
        <f t="shared" si="7"/>
        <v>5346.21</v>
      </c>
      <c r="F70" s="4">
        <f t="shared" si="8"/>
        <v>3650.15</v>
      </c>
      <c r="G70" s="4">
        <f t="shared" si="9"/>
        <v>360</v>
      </c>
      <c r="H70" s="4">
        <f t="shared" si="11"/>
        <v>318.81</v>
      </c>
      <c r="I70" s="4">
        <f t="shared" si="10"/>
        <v>1041.8699999999999</v>
      </c>
    </row>
    <row r="71" spans="1:9" ht="13.2" x14ac:dyDescent="0.25">
      <c r="A71" s="5" t="s">
        <v>15</v>
      </c>
      <c r="B71" s="5" t="s">
        <v>84</v>
      </c>
      <c r="C71">
        <v>4335</v>
      </c>
      <c r="D71" s="4">
        <f t="shared" si="6"/>
        <v>4498.18</v>
      </c>
      <c r="E71" s="4">
        <f t="shared" si="7"/>
        <v>5346.21</v>
      </c>
      <c r="F71" s="4">
        <f t="shared" si="8"/>
        <v>3650.15</v>
      </c>
      <c r="G71" s="4">
        <f t="shared" si="9"/>
        <v>305</v>
      </c>
      <c r="H71" s="4">
        <f t="shared" si="11"/>
        <v>318.81</v>
      </c>
      <c r="I71" s="4">
        <f t="shared" si="10"/>
        <v>1041.8699999999999</v>
      </c>
    </row>
    <row r="72" spans="1:9" ht="13.2" x14ac:dyDescent="0.25">
      <c r="A72" s="5" t="s">
        <v>15</v>
      </c>
      <c r="B72" s="5" t="s">
        <v>85</v>
      </c>
      <c r="C72">
        <v>5000</v>
      </c>
      <c r="D72" s="4">
        <f t="shared" si="6"/>
        <v>4498.18</v>
      </c>
      <c r="E72" s="4">
        <f t="shared" si="7"/>
        <v>5346.21</v>
      </c>
      <c r="F72" s="4">
        <f t="shared" si="8"/>
        <v>3650.15</v>
      </c>
      <c r="G72" s="4">
        <f t="shared" si="9"/>
        <v>665</v>
      </c>
      <c r="H72" s="4">
        <f t="shared" si="11"/>
        <v>318.81</v>
      </c>
      <c r="I72" s="4">
        <f t="shared" si="10"/>
        <v>1041.8699999999999</v>
      </c>
    </row>
    <row r="73" spans="1:9" ht="13.2" x14ac:dyDescent="0.25">
      <c r="A73" s="5" t="s">
        <v>15</v>
      </c>
      <c r="B73" s="5" t="s">
        <v>86</v>
      </c>
      <c r="C73">
        <v>4615</v>
      </c>
      <c r="D73" s="4">
        <f t="shared" si="6"/>
        <v>4498.18</v>
      </c>
      <c r="E73" s="4">
        <f t="shared" si="7"/>
        <v>5346.21</v>
      </c>
      <c r="F73" s="4">
        <f t="shared" si="8"/>
        <v>3650.15</v>
      </c>
      <c r="G73" s="4">
        <f t="shared" si="9"/>
        <v>385</v>
      </c>
      <c r="H73" s="4">
        <f t="shared" si="11"/>
        <v>318.81</v>
      </c>
      <c r="I73" s="4">
        <f t="shared" si="10"/>
        <v>1041.8699999999999</v>
      </c>
    </row>
    <row r="74" spans="1:9" ht="13.2" x14ac:dyDescent="0.25">
      <c r="A74" s="5" t="s">
        <v>15</v>
      </c>
      <c r="B74" s="5" t="s">
        <v>87</v>
      </c>
      <c r="C74">
        <v>4215</v>
      </c>
      <c r="D74" s="4">
        <f t="shared" si="6"/>
        <v>4498.18</v>
      </c>
      <c r="E74" s="4">
        <f t="shared" si="7"/>
        <v>5346.21</v>
      </c>
      <c r="F74" s="4">
        <f t="shared" si="8"/>
        <v>3650.15</v>
      </c>
      <c r="G74" s="4">
        <f t="shared" si="9"/>
        <v>400</v>
      </c>
      <c r="H74" s="4">
        <f t="shared" si="11"/>
        <v>318.81</v>
      </c>
      <c r="I74" s="4">
        <f t="shared" si="10"/>
        <v>1041.8699999999999</v>
      </c>
    </row>
    <row r="75" spans="1:9" ht="13.2" x14ac:dyDescent="0.25">
      <c r="A75" s="5" t="s">
        <v>15</v>
      </c>
      <c r="B75" s="5" t="s">
        <v>88</v>
      </c>
      <c r="C75">
        <v>4275</v>
      </c>
      <c r="D75" s="4">
        <f t="shared" si="6"/>
        <v>4498.18</v>
      </c>
      <c r="E75" s="4">
        <f t="shared" si="7"/>
        <v>5346.21</v>
      </c>
      <c r="F75" s="4">
        <f t="shared" si="8"/>
        <v>3650.15</v>
      </c>
      <c r="G75" s="4">
        <f t="shared" si="9"/>
        <v>60</v>
      </c>
      <c r="H75" s="4">
        <f t="shared" si="11"/>
        <v>318.81</v>
      </c>
      <c r="I75" s="4">
        <f t="shared" si="10"/>
        <v>1041.8699999999999</v>
      </c>
    </row>
    <row r="76" spans="1:9" ht="13.2" x14ac:dyDescent="0.25">
      <c r="A76" s="5" t="s">
        <v>15</v>
      </c>
      <c r="B76" s="5" t="s">
        <v>89</v>
      </c>
      <c r="C76">
        <v>4275</v>
      </c>
      <c r="D76" s="4">
        <f t="shared" si="6"/>
        <v>4498.18</v>
      </c>
      <c r="E76" s="4">
        <f t="shared" si="7"/>
        <v>5346.21</v>
      </c>
      <c r="F76" s="4">
        <f t="shared" si="8"/>
        <v>3650.15</v>
      </c>
      <c r="G76" s="4">
        <f t="shared" si="9"/>
        <v>0</v>
      </c>
      <c r="H76" s="4">
        <f t="shared" si="11"/>
        <v>318.81</v>
      </c>
      <c r="I76" s="4">
        <f t="shared" si="10"/>
        <v>1041.8699999999999</v>
      </c>
    </row>
    <row r="77" spans="1:9" ht="13.2" x14ac:dyDescent="0.25">
      <c r="A77" s="5" t="s">
        <v>15</v>
      </c>
      <c r="B77" s="5" t="s">
        <v>90</v>
      </c>
      <c r="C77">
        <v>5000</v>
      </c>
      <c r="D77" s="4">
        <f t="shared" si="6"/>
        <v>4498.18</v>
      </c>
      <c r="E77" s="4">
        <f t="shared" si="7"/>
        <v>5346.21</v>
      </c>
      <c r="F77" s="4">
        <f t="shared" si="8"/>
        <v>3650.15</v>
      </c>
      <c r="G77" s="4">
        <f t="shared" si="9"/>
        <v>725</v>
      </c>
      <c r="H77" s="4">
        <f t="shared" si="11"/>
        <v>318.81</v>
      </c>
      <c r="I77" s="4">
        <f t="shared" si="10"/>
        <v>1041.8699999999999</v>
      </c>
    </row>
    <row r="78" spans="1:9" ht="13.2" x14ac:dyDescent="0.25">
      <c r="A78" s="5" t="s">
        <v>15</v>
      </c>
      <c r="B78" s="5" t="s">
        <v>91</v>
      </c>
      <c r="C78">
        <v>4615</v>
      </c>
      <c r="D78" s="4">
        <f t="shared" si="6"/>
        <v>4498.18</v>
      </c>
      <c r="E78" s="4">
        <f t="shared" si="7"/>
        <v>5346.21</v>
      </c>
      <c r="F78" s="4">
        <f t="shared" si="8"/>
        <v>3650.15</v>
      </c>
      <c r="G78" s="4">
        <f t="shared" si="9"/>
        <v>385</v>
      </c>
      <c r="H78" s="4">
        <f t="shared" si="11"/>
        <v>318.81</v>
      </c>
      <c r="I78" s="4">
        <f t="shared" si="10"/>
        <v>1041.8699999999999</v>
      </c>
    </row>
    <row r="79" spans="1:9" ht="13.2" x14ac:dyDescent="0.25">
      <c r="A79" s="5" t="s">
        <v>15</v>
      </c>
      <c r="B79" s="5" t="s">
        <v>92</v>
      </c>
      <c r="C79">
        <v>4735</v>
      </c>
      <c r="D79" s="4">
        <f t="shared" si="6"/>
        <v>4498.18</v>
      </c>
      <c r="E79" s="4">
        <f t="shared" si="7"/>
        <v>5346.21</v>
      </c>
      <c r="F79" s="4">
        <f t="shared" si="8"/>
        <v>3650.15</v>
      </c>
      <c r="G79" s="4">
        <f t="shared" si="9"/>
        <v>120</v>
      </c>
      <c r="H79" s="4">
        <f t="shared" si="11"/>
        <v>318.81</v>
      </c>
      <c r="I79" s="4">
        <f t="shared" si="10"/>
        <v>1041.8699999999999</v>
      </c>
    </row>
    <row r="80" spans="1:9" ht="13.2" x14ac:dyDescent="0.25">
      <c r="A80" s="5" t="s">
        <v>15</v>
      </c>
      <c r="B80" s="5" t="s">
        <v>93</v>
      </c>
      <c r="C80">
        <v>4215</v>
      </c>
      <c r="D80" s="4">
        <f t="shared" si="6"/>
        <v>4498.18</v>
      </c>
      <c r="E80" s="4">
        <f t="shared" si="7"/>
        <v>5346.21</v>
      </c>
      <c r="F80" s="4">
        <f t="shared" si="8"/>
        <v>3650.15</v>
      </c>
      <c r="G80" s="4">
        <f t="shared" si="9"/>
        <v>520</v>
      </c>
      <c r="H80" s="4">
        <f t="shared" si="11"/>
        <v>318.81</v>
      </c>
      <c r="I80" s="4">
        <f t="shared" si="10"/>
        <v>1041.8699999999999</v>
      </c>
    </row>
    <row r="81" spans="1:9" ht="13.2" x14ac:dyDescent="0.25">
      <c r="A81" s="5" t="s">
        <v>15</v>
      </c>
      <c r="B81" s="5" t="s">
        <v>94</v>
      </c>
      <c r="C81">
        <v>4700</v>
      </c>
      <c r="D81" s="4">
        <f t="shared" si="6"/>
        <v>4498.18</v>
      </c>
      <c r="E81" s="4">
        <f t="shared" si="7"/>
        <v>5346.21</v>
      </c>
      <c r="F81" s="4">
        <f t="shared" si="8"/>
        <v>3650.15</v>
      </c>
      <c r="G81" s="4">
        <f t="shared" si="9"/>
        <v>485</v>
      </c>
      <c r="H81" s="4">
        <f t="shared" si="11"/>
        <v>318.81</v>
      </c>
      <c r="I81" s="4">
        <f t="shared" si="10"/>
        <v>1041.8699999999999</v>
      </c>
    </row>
    <row r="82" spans="1:9" ht="13.2" x14ac:dyDescent="0.25">
      <c r="A82" s="5" t="s">
        <v>15</v>
      </c>
      <c r="B82" s="5" t="s">
        <v>95</v>
      </c>
      <c r="C82">
        <v>4700</v>
      </c>
      <c r="D82" s="4">
        <f t="shared" si="6"/>
        <v>4498.18</v>
      </c>
      <c r="E82" s="4">
        <f t="shared" si="7"/>
        <v>5346.21</v>
      </c>
      <c r="F82" s="4">
        <f t="shared" si="8"/>
        <v>3650.15</v>
      </c>
      <c r="G82" s="4">
        <f t="shared" si="9"/>
        <v>0</v>
      </c>
      <c r="H82" s="4">
        <f t="shared" si="11"/>
        <v>318.81</v>
      </c>
      <c r="I82" s="4">
        <f t="shared" si="10"/>
        <v>1041.8699999999999</v>
      </c>
    </row>
    <row r="83" spans="1:9" ht="13.2" x14ac:dyDescent="0.25">
      <c r="A83" s="5" t="s">
        <v>15</v>
      </c>
      <c r="B83" s="5" t="s">
        <v>96</v>
      </c>
      <c r="C83">
        <v>4700</v>
      </c>
      <c r="D83" s="4">
        <f t="shared" si="6"/>
        <v>4498.18</v>
      </c>
      <c r="E83" s="4">
        <f t="shared" si="7"/>
        <v>5346.21</v>
      </c>
      <c r="F83" s="4">
        <f t="shared" si="8"/>
        <v>3650.15</v>
      </c>
      <c r="G83" s="4">
        <f t="shared" si="9"/>
        <v>0</v>
      </c>
      <c r="H83" s="4">
        <f t="shared" si="11"/>
        <v>318.81</v>
      </c>
      <c r="I83" s="4">
        <f t="shared" si="10"/>
        <v>1041.8699999999999</v>
      </c>
    </row>
    <row r="84" spans="1:9" ht="13.2" x14ac:dyDescent="0.25">
      <c r="A84" s="5" t="s">
        <v>15</v>
      </c>
      <c r="B84" s="5" t="s">
        <v>97</v>
      </c>
      <c r="C84">
        <v>4700</v>
      </c>
      <c r="D84" s="4">
        <f t="shared" si="6"/>
        <v>4498.18</v>
      </c>
      <c r="E84" s="4">
        <f t="shared" si="7"/>
        <v>5346.21</v>
      </c>
      <c r="F84" s="4">
        <f t="shared" si="8"/>
        <v>3650.15</v>
      </c>
      <c r="G84" s="4">
        <f t="shared" si="9"/>
        <v>0</v>
      </c>
      <c r="H84" s="4">
        <f t="shared" si="11"/>
        <v>318.81</v>
      </c>
      <c r="I84" s="4">
        <f t="shared" si="10"/>
        <v>1041.8699999999999</v>
      </c>
    </row>
    <row r="85" spans="1:9" ht="13.2" x14ac:dyDescent="0.25">
      <c r="A85" s="5" t="s">
        <v>15</v>
      </c>
      <c r="B85" s="5" t="s">
        <v>98</v>
      </c>
      <c r="C85">
        <v>4095</v>
      </c>
      <c r="D85" s="4">
        <f t="shared" si="6"/>
        <v>4498.18</v>
      </c>
      <c r="E85" s="4">
        <f t="shared" si="7"/>
        <v>5346.21</v>
      </c>
      <c r="F85" s="4">
        <f t="shared" si="8"/>
        <v>3650.15</v>
      </c>
      <c r="G85" s="4">
        <f t="shared" si="9"/>
        <v>605</v>
      </c>
      <c r="H85" s="4">
        <f t="shared" si="11"/>
        <v>318.81</v>
      </c>
      <c r="I85" s="4">
        <f t="shared" si="10"/>
        <v>1041.8699999999999</v>
      </c>
    </row>
    <row r="86" spans="1:9" ht="13.2" x14ac:dyDescent="0.25">
      <c r="A86" s="5" t="s">
        <v>15</v>
      </c>
      <c r="B86" s="5" t="s">
        <v>99</v>
      </c>
      <c r="C86">
        <v>4095</v>
      </c>
      <c r="D86" s="4">
        <f t="shared" si="6"/>
        <v>4498.18</v>
      </c>
      <c r="E86" s="4">
        <f t="shared" si="7"/>
        <v>5346.21</v>
      </c>
      <c r="F86" s="4">
        <f t="shared" si="8"/>
        <v>3650.15</v>
      </c>
      <c r="G86" s="4">
        <f t="shared" si="9"/>
        <v>0</v>
      </c>
      <c r="H86" s="4">
        <f t="shared" si="11"/>
        <v>318.81</v>
      </c>
      <c r="I86" s="4">
        <f t="shared" si="10"/>
        <v>1041.8699999999999</v>
      </c>
    </row>
    <row r="87" spans="1:9" ht="13.2" x14ac:dyDescent="0.25">
      <c r="A87" s="5" t="s">
        <v>15</v>
      </c>
      <c r="B87" s="5" t="s">
        <v>100</v>
      </c>
      <c r="C87">
        <v>3940</v>
      </c>
      <c r="D87" s="4">
        <f t="shared" si="6"/>
        <v>4498.18</v>
      </c>
      <c r="E87" s="4">
        <f t="shared" si="7"/>
        <v>5346.21</v>
      </c>
      <c r="F87" s="4">
        <f t="shared" si="8"/>
        <v>3650.15</v>
      </c>
      <c r="G87" s="4">
        <f t="shared" si="9"/>
        <v>155</v>
      </c>
      <c r="H87" s="4">
        <f t="shared" si="11"/>
        <v>318.81</v>
      </c>
      <c r="I87" s="4">
        <f t="shared" si="10"/>
        <v>1041.8699999999999</v>
      </c>
    </row>
    <row r="88" spans="1:9" ht="13.2" x14ac:dyDescent="0.25">
      <c r="A88" s="5" t="s">
        <v>15</v>
      </c>
      <c r="B88" s="5" t="s">
        <v>101</v>
      </c>
      <c r="C88">
        <v>3700</v>
      </c>
      <c r="D88" s="4">
        <f t="shared" si="6"/>
        <v>4498.18</v>
      </c>
      <c r="E88" s="4">
        <f t="shared" si="7"/>
        <v>5346.21</v>
      </c>
      <c r="F88" s="4">
        <f t="shared" si="8"/>
        <v>3650.15</v>
      </c>
      <c r="G88" s="4">
        <f t="shared" si="9"/>
        <v>240</v>
      </c>
      <c r="H88" s="4">
        <f t="shared" si="11"/>
        <v>318.81</v>
      </c>
      <c r="I88" s="4">
        <f t="shared" si="10"/>
        <v>1041.8699999999999</v>
      </c>
    </row>
    <row r="89" spans="1:9" ht="13.2" x14ac:dyDescent="0.25">
      <c r="A89" s="5" t="s">
        <v>15</v>
      </c>
      <c r="B89" s="5" t="s">
        <v>102</v>
      </c>
      <c r="C89">
        <v>3650</v>
      </c>
      <c r="D89" s="4">
        <f t="shared" si="6"/>
        <v>4498.18</v>
      </c>
      <c r="E89" s="4">
        <f t="shared" si="7"/>
        <v>5346.21</v>
      </c>
      <c r="F89" s="4">
        <f t="shared" si="8"/>
        <v>3650.15</v>
      </c>
      <c r="G89" s="4">
        <f t="shared" si="9"/>
        <v>50</v>
      </c>
      <c r="H89" s="4">
        <f t="shared" si="11"/>
        <v>318.81</v>
      </c>
      <c r="I89" s="4">
        <f t="shared" si="10"/>
        <v>1041.8699999999999</v>
      </c>
    </row>
    <row r="90" spans="1:9" ht="13.2" x14ac:dyDescent="0.25">
      <c r="A90" s="5" t="s">
        <v>15</v>
      </c>
      <c r="B90" s="5" t="s">
        <v>103</v>
      </c>
      <c r="C90">
        <v>4445</v>
      </c>
      <c r="D90" s="4">
        <f t="shared" si="6"/>
        <v>4498.18</v>
      </c>
      <c r="E90" s="4">
        <f t="shared" si="7"/>
        <v>5346.21</v>
      </c>
      <c r="F90" s="4">
        <f t="shared" si="8"/>
        <v>3650.15</v>
      </c>
      <c r="G90" s="4">
        <f t="shared" si="9"/>
        <v>795</v>
      </c>
      <c r="H90" s="4">
        <f t="shared" si="11"/>
        <v>318.81</v>
      </c>
      <c r="I90" s="4">
        <f t="shared" si="10"/>
        <v>1041.8699999999999</v>
      </c>
    </row>
    <row r="91" spans="1:9" ht="13.2" x14ac:dyDescent="0.25">
      <c r="A91" s="5" t="s">
        <v>15</v>
      </c>
      <c r="B91" s="5" t="s">
        <v>104</v>
      </c>
      <c r="C91">
        <v>4000</v>
      </c>
      <c r="D91" s="4">
        <f t="shared" si="6"/>
        <v>4498.18</v>
      </c>
      <c r="E91" s="4">
        <f t="shared" si="7"/>
        <v>5346.21</v>
      </c>
      <c r="F91" s="4">
        <f t="shared" si="8"/>
        <v>3650.15</v>
      </c>
      <c r="G91" s="4">
        <f t="shared" si="9"/>
        <v>445</v>
      </c>
      <c r="H91" s="4">
        <f t="shared" si="11"/>
        <v>318.81</v>
      </c>
      <c r="I91" s="4">
        <f t="shared" si="10"/>
        <v>1041.8699999999999</v>
      </c>
    </row>
    <row r="92" spans="1:9" ht="13.2" x14ac:dyDescent="0.25">
      <c r="A92" s="5" t="s">
        <v>15</v>
      </c>
      <c r="B92" s="5" t="s">
        <v>105</v>
      </c>
      <c r="C92">
        <v>4845</v>
      </c>
      <c r="D92" s="4">
        <f t="shared" si="6"/>
        <v>4498.18</v>
      </c>
      <c r="E92" s="4">
        <f t="shared" si="7"/>
        <v>5346.21</v>
      </c>
      <c r="F92" s="4">
        <f t="shared" si="8"/>
        <v>3650.15</v>
      </c>
      <c r="G92" s="4">
        <f t="shared" si="9"/>
        <v>845</v>
      </c>
      <c r="H92" s="4">
        <f t="shared" si="11"/>
        <v>318.81</v>
      </c>
      <c r="I92" s="4">
        <f t="shared" si="10"/>
        <v>1041.8699999999999</v>
      </c>
    </row>
    <row r="93" spans="1:9" ht="13.2" x14ac:dyDescent="0.25">
      <c r="A93" s="5" t="s">
        <v>15</v>
      </c>
      <c r="B93" s="5" t="s">
        <v>106</v>
      </c>
      <c r="C93">
        <v>5000</v>
      </c>
      <c r="D93" s="4">
        <f t="shared" si="6"/>
        <v>4498.18</v>
      </c>
      <c r="E93" s="4">
        <f t="shared" si="7"/>
        <v>5346.21</v>
      </c>
      <c r="F93" s="4">
        <f t="shared" si="8"/>
        <v>3650.15</v>
      </c>
      <c r="G93" s="4">
        <f t="shared" si="9"/>
        <v>155</v>
      </c>
      <c r="H93" s="4">
        <f t="shared" si="11"/>
        <v>318.81</v>
      </c>
      <c r="I93" s="4">
        <f t="shared" si="10"/>
        <v>1041.8699999999999</v>
      </c>
    </row>
    <row r="94" spans="1:9" ht="13.2" x14ac:dyDescent="0.25">
      <c r="A94" s="5" t="s">
        <v>15</v>
      </c>
      <c r="B94" s="5" t="s">
        <v>107</v>
      </c>
      <c r="C94">
        <v>4560</v>
      </c>
      <c r="D94" s="4">
        <f t="shared" si="6"/>
        <v>4498.18</v>
      </c>
      <c r="E94" s="4">
        <f t="shared" si="7"/>
        <v>5346.21</v>
      </c>
      <c r="F94" s="4">
        <f t="shared" si="8"/>
        <v>3650.15</v>
      </c>
      <c r="G94" s="4">
        <f t="shared" si="9"/>
        <v>440</v>
      </c>
      <c r="H94" s="4">
        <f t="shared" si="11"/>
        <v>318.81</v>
      </c>
      <c r="I94" s="4">
        <f t="shared" si="10"/>
        <v>1041.8699999999999</v>
      </c>
    </row>
    <row r="95" spans="1:9" ht="13.2" x14ac:dyDescent="0.25">
      <c r="A95" s="5" t="s">
        <v>15</v>
      </c>
      <c r="B95" s="5" t="s">
        <v>108</v>
      </c>
      <c r="C95">
        <v>4700</v>
      </c>
      <c r="D95" s="4">
        <f t="shared" si="6"/>
        <v>4498.18</v>
      </c>
      <c r="E95" s="4">
        <f t="shared" si="7"/>
        <v>5346.21</v>
      </c>
      <c r="F95" s="4">
        <f t="shared" si="8"/>
        <v>3650.15</v>
      </c>
      <c r="G95" s="4">
        <f t="shared" si="9"/>
        <v>140</v>
      </c>
      <c r="H95" s="4">
        <f t="shared" si="11"/>
        <v>318.81</v>
      </c>
      <c r="I95" s="4">
        <f t="shared" si="10"/>
        <v>1041.8699999999999</v>
      </c>
    </row>
    <row r="96" spans="1:9" ht="13.2" x14ac:dyDescent="0.25">
      <c r="A96" s="5" t="s">
        <v>15</v>
      </c>
      <c r="B96" s="5" t="s">
        <v>109</v>
      </c>
      <c r="C96">
        <v>4310</v>
      </c>
      <c r="D96" s="4">
        <f t="shared" si="6"/>
        <v>4498.18</v>
      </c>
      <c r="E96" s="4">
        <f t="shared" si="7"/>
        <v>5346.21</v>
      </c>
      <c r="F96" s="4">
        <f t="shared" si="8"/>
        <v>3650.15</v>
      </c>
      <c r="G96" s="4">
        <f t="shared" si="9"/>
        <v>390</v>
      </c>
      <c r="H96" s="4">
        <f t="shared" si="11"/>
        <v>318.81</v>
      </c>
      <c r="I96" s="4">
        <f t="shared" si="10"/>
        <v>1041.8699999999999</v>
      </c>
    </row>
    <row r="97" spans="1:9" ht="13.2" x14ac:dyDescent="0.25">
      <c r="A97" s="5" t="s">
        <v>15</v>
      </c>
      <c r="B97" s="5" t="s">
        <v>110</v>
      </c>
      <c r="C97">
        <v>4310</v>
      </c>
      <c r="D97" s="4">
        <f t="shared" si="6"/>
        <v>4498.18</v>
      </c>
      <c r="E97" s="4">
        <f t="shared" si="7"/>
        <v>5346.21</v>
      </c>
      <c r="F97" s="4">
        <f t="shared" si="8"/>
        <v>3650.15</v>
      </c>
      <c r="G97" s="4">
        <f t="shared" si="9"/>
        <v>0</v>
      </c>
      <c r="H97" s="4">
        <f t="shared" si="11"/>
        <v>318.81</v>
      </c>
      <c r="I97" s="4">
        <f t="shared" si="10"/>
        <v>1041.8699999999999</v>
      </c>
    </row>
    <row r="98" spans="1:9" ht="13.2" x14ac:dyDescent="0.25">
      <c r="A98" s="5" t="s">
        <v>15</v>
      </c>
      <c r="B98" s="5" t="s">
        <v>111</v>
      </c>
      <c r="C98">
        <v>5000</v>
      </c>
      <c r="D98" s="4">
        <f t="shared" si="6"/>
        <v>4498.18</v>
      </c>
      <c r="E98" s="4">
        <f t="shared" si="7"/>
        <v>5346.21</v>
      </c>
      <c r="F98" s="4">
        <f t="shared" si="8"/>
        <v>3650.15</v>
      </c>
      <c r="G98" s="4">
        <f t="shared" si="9"/>
        <v>690</v>
      </c>
      <c r="H98" s="4">
        <f t="shared" si="11"/>
        <v>318.81</v>
      </c>
      <c r="I98" s="4">
        <f t="shared" si="10"/>
        <v>1041.8699999999999</v>
      </c>
    </row>
    <row r="99" spans="1:9" ht="13.2" x14ac:dyDescent="0.25">
      <c r="A99" s="5" t="s">
        <v>15</v>
      </c>
      <c r="B99" s="5" t="s">
        <v>112</v>
      </c>
      <c r="C99">
        <v>4575</v>
      </c>
      <c r="D99" s="4">
        <f t="shared" si="6"/>
        <v>4498.18</v>
      </c>
      <c r="E99" s="4">
        <f t="shared" si="7"/>
        <v>5346.21</v>
      </c>
      <c r="F99" s="4">
        <f t="shared" si="8"/>
        <v>3650.15</v>
      </c>
      <c r="G99" s="4">
        <f t="shared" si="9"/>
        <v>425</v>
      </c>
      <c r="H99" s="4">
        <f t="shared" si="11"/>
        <v>318.81</v>
      </c>
      <c r="I99" s="4">
        <f t="shared" si="10"/>
        <v>1041.8699999999999</v>
      </c>
    </row>
    <row r="100" spans="1:9" ht="13.2" x14ac:dyDescent="0.25">
      <c r="A100" s="5" t="s">
        <v>15</v>
      </c>
      <c r="B100" s="5" t="s">
        <v>113</v>
      </c>
      <c r="C100">
        <v>4700</v>
      </c>
      <c r="D100" s="4">
        <f t="shared" si="6"/>
        <v>4498.18</v>
      </c>
      <c r="E100" s="4">
        <f t="shared" si="7"/>
        <v>5346.21</v>
      </c>
      <c r="F100" s="4">
        <f t="shared" si="8"/>
        <v>3650.15</v>
      </c>
      <c r="G100" s="4">
        <f t="shared" si="9"/>
        <v>125</v>
      </c>
      <c r="H100" s="4">
        <f t="shared" si="11"/>
        <v>318.81</v>
      </c>
      <c r="I100" s="4">
        <f t="shared" si="10"/>
        <v>1041.8699999999999</v>
      </c>
    </row>
    <row r="101" spans="1:9" ht="13.2" x14ac:dyDescent="0.25">
      <c r="A101" s="5" t="s">
        <v>15</v>
      </c>
      <c r="B101" s="5" t="s">
        <v>114</v>
      </c>
      <c r="C101">
        <v>4430</v>
      </c>
      <c r="D101" s="4">
        <f t="shared" si="6"/>
        <v>4498.18</v>
      </c>
      <c r="E101" s="4">
        <f t="shared" si="7"/>
        <v>5346.21</v>
      </c>
      <c r="F101" s="4">
        <f t="shared" si="8"/>
        <v>3650.15</v>
      </c>
      <c r="G101" s="4">
        <f t="shared" si="9"/>
        <v>270</v>
      </c>
      <c r="H101" s="4">
        <f t="shared" si="11"/>
        <v>318.81</v>
      </c>
      <c r="I101" s="4">
        <f t="shared" si="10"/>
        <v>1041.8699999999999</v>
      </c>
    </row>
    <row r="102" spans="1:9" ht="13.2" x14ac:dyDescent="0.25">
      <c r="A102" s="5" t="s">
        <v>15</v>
      </c>
      <c r="B102" s="5" t="s">
        <v>115</v>
      </c>
      <c r="C102">
        <v>4850</v>
      </c>
      <c r="D102" s="4">
        <f t="shared" si="6"/>
        <v>4498.18</v>
      </c>
      <c r="E102" s="4">
        <f t="shared" si="7"/>
        <v>5346.21</v>
      </c>
      <c r="F102" s="4">
        <f t="shared" si="8"/>
        <v>3650.15</v>
      </c>
      <c r="G102" s="4">
        <f t="shared" si="9"/>
        <v>420</v>
      </c>
      <c r="H102" s="4">
        <f t="shared" si="11"/>
        <v>318.81</v>
      </c>
      <c r="I102" s="4">
        <f t="shared" si="10"/>
        <v>1041.8699999999999</v>
      </c>
    </row>
    <row r="103" spans="1:9" ht="13.2" x14ac:dyDescent="0.25">
      <c r="A103" s="5" t="s">
        <v>15</v>
      </c>
      <c r="B103" s="5" t="s">
        <v>116</v>
      </c>
      <c r="C103">
        <v>4850</v>
      </c>
      <c r="D103" s="4">
        <f t="shared" si="6"/>
        <v>4498.18</v>
      </c>
      <c r="E103" s="4">
        <f t="shared" si="7"/>
        <v>5346.21</v>
      </c>
      <c r="F103" s="4">
        <f t="shared" si="8"/>
        <v>3650.15</v>
      </c>
      <c r="G103" s="4">
        <f t="shared" si="9"/>
        <v>0</v>
      </c>
      <c r="H103" s="4">
        <f t="shared" si="11"/>
        <v>318.81</v>
      </c>
      <c r="I103" s="4">
        <f t="shared" si="10"/>
        <v>1041.8699999999999</v>
      </c>
    </row>
    <row r="104" spans="1:9" ht="13.2" x14ac:dyDescent="0.25">
      <c r="A104" s="5" t="s">
        <v>15</v>
      </c>
      <c r="B104" s="5" t="s">
        <v>117</v>
      </c>
      <c r="C104">
        <v>4570</v>
      </c>
      <c r="D104" s="4">
        <f t="shared" si="6"/>
        <v>4498.18</v>
      </c>
      <c r="E104" s="4">
        <f t="shared" si="7"/>
        <v>5346.21</v>
      </c>
      <c r="F104" s="4">
        <f t="shared" si="8"/>
        <v>3650.15</v>
      </c>
      <c r="G104" s="4">
        <f t="shared" si="9"/>
        <v>280</v>
      </c>
      <c r="H104" s="4">
        <f t="shared" si="11"/>
        <v>318.81</v>
      </c>
      <c r="I104" s="4">
        <f t="shared" si="10"/>
        <v>1041.8699999999999</v>
      </c>
    </row>
    <row r="105" spans="1:9" ht="13.2" x14ac:dyDescent="0.25">
      <c r="A105" s="5" t="s">
        <v>15</v>
      </c>
      <c r="B105" s="5" t="s">
        <v>118</v>
      </c>
      <c r="C105">
        <v>4570</v>
      </c>
      <c r="D105" s="4">
        <f t="shared" si="6"/>
        <v>4498.18</v>
      </c>
      <c r="E105" s="4">
        <f t="shared" si="7"/>
        <v>5346.21</v>
      </c>
      <c r="F105" s="4">
        <f t="shared" si="8"/>
        <v>3650.15</v>
      </c>
      <c r="G105" s="4">
        <f t="shared" si="9"/>
        <v>0</v>
      </c>
      <c r="H105" s="4">
        <f t="shared" si="11"/>
        <v>318.81</v>
      </c>
      <c r="I105" s="4">
        <f t="shared" si="10"/>
        <v>1041.8699999999999</v>
      </c>
    </row>
    <row r="106" spans="1:9" ht="13.2" x14ac:dyDescent="0.25">
      <c r="A106" s="5" t="s">
        <v>15</v>
      </c>
      <c r="B106" s="5" t="s">
        <v>119</v>
      </c>
      <c r="C106">
        <v>4855</v>
      </c>
      <c r="D106" s="4">
        <f t="shared" si="6"/>
        <v>4498.18</v>
      </c>
      <c r="E106" s="4">
        <f t="shared" si="7"/>
        <v>5346.21</v>
      </c>
      <c r="F106" s="4">
        <f t="shared" si="8"/>
        <v>3650.15</v>
      </c>
      <c r="G106" s="4">
        <f t="shared" si="9"/>
        <v>285</v>
      </c>
      <c r="H106" s="4">
        <f t="shared" si="11"/>
        <v>318.81</v>
      </c>
      <c r="I106" s="4">
        <f t="shared" si="10"/>
        <v>1041.8699999999999</v>
      </c>
    </row>
    <row r="107" spans="1:9" ht="13.2" x14ac:dyDescent="0.25">
      <c r="A107" s="5" t="s">
        <v>15</v>
      </c>
      <c r="B107" s="5" t="s">
        <v>120</v>
      </c>
      <c r="C107">
        <v>4160</v>
      </c>
      <c r="D107" s="4">
        <f t="shared" si="6"/>
        <v>4498.18</v>
      </c>
      <c r="E107" s="4">
        <f t="shared" si="7"/>
        <v>5346.21</v>
      </c>
      <c r="F107" s="4">
        <f t="shared" si="8"/>
        <v>3650.15</v>
      </c>
      <c r="G107" s="4">
        <f t="shared" si="9"/>
        <v>695</v>
      </c>
      <c r="H107" s="4">
        <f t="shared" si="11"/>
        <v>318.81</v>
      </c>
      <c r="I107" s="4">
        <f t="shared" si="10"/>
        <v>1041.8699999999999</v>
      </c>
    </row>
    <row r="108" spans="1:9" ht="13.2" x14ac:dyDescent="0.25">
      <c r="A108" s="5" t="s">
        <v>15</v>
      </c>
      <c r="B108" s="5" t="s">
        <v>121</v>
      </c>
      <c r="C108">
        <v>4325</v>
      </c>
      <c r="D108" s="4">
        <f t="shared" si="6"/>
        <v>4498.18</v>
      </c>
      <c r="E108" s="4">
        <f t="shared" si="7"/>
        <v>5346.21</v>
      </c>
      <c r="F108" s="4">
        <f t="shared" si="8"/>
        <v>3650.15</v>
      </c>
      <c r="G108" s="4">
        <f t="shared" si="9"/>
        <v>165</v>
      </c>
      <c r="H108" s="4">
        <f t="shared" si="11"/>
        <v>318.81</v>
      </c>
      <c r="I108" s="4">
        <f t="shared" si="10"/>
        <v>1041.8699999999999</v>
      </c>
    </row>
    <row r="109" spans="1:9" ht="13.2" x14ac:dyDescent="0.25">
      <c r="A109" s="5" t="s">
        <v>15</v>
      </c>
      <c r="B109" s="5" t="s">
        <v>122</v>
      </c>
      <c r="C109">
        <v>4125</v>
      </c>
      <c r="D109" s="4">
        <f t="shared" si="6"/>
        <v>4498.18</v>
      </c>
      <c r="E109" s="4">
        <f t="shared" si="7"/>
        <v>5346.21</v>
      </c>
      <c r="F109" s="4">
        <f t="shared" si="8"/>
        <v>3650.15</v>
      </c>
      <c r="G109" s="4">
        <f t="shared" si="9"/>
        <v>200</v>
      </c>
      <c r="H109" s="4">
        <f t="shared" si="11"/>
        <v>318.81</v>
      </c>
      <c r="I109" s="4">
        <f t="shared" si="10"/>
        <v>1041.8699999999999</v>
      </c>
    </row>
    <row r="110" spans="1:9" ht="13.2" x14ac:dyDescent="0.25">
      <c r="A110" s="5" t="s">
        <v>15</v>
      </c>
      <c r="B110" s="5" t="s">
        <v>123</v>
      </c>
      <c r="C110">
        <v>4100</v>
      </c>
      <c r="D110" s="4">
        <f t="shared" si="6"/>
        <v>4498.18</v>
      </c>
      <c r="E110" s="4">
        <f t="shared" si="7"/>
        <v>5346.21</v>
      </c>
      <c r="F110" s="4">
        <f t="shared" si="8"/>
        <v>3650.15</v>
      </c>
      <c r="G110" s="4">
        <f t="shared" si="9"/>
        <v>25</v>
      </c>
      <c r="H110" s="4">
        <f t="shared" si="11"/>
        <v>318.81</v>
      </c>
      <c r="I110" s="4">
        <f t="shared" si="10"/>
        <v>1041.8699999999999</v>
      </c>
    </row>
    <row r="111" spans="1:9" ht="13.2" x14ac:dyDescent="0.25">
      <c r="A111" s="5" t="s">
        <v>15</v>
      </c>
      <c r="B111" s="5" t="s">
        <v>124</v>
      </c>
      <c r="C111">
        <v>4340</v>
      </c>
      <c r="D111" s="4">
        <f t="shared" si="6"/>
        <v>4498.18</v>
      </c>
      <c r="E111" s="4">
        <f t="shared" si="7"/>
        <v>5346.21</v>
      </c>
      <c r="F111" s="4">
        <f t="shared" si="8"/>
        <v>3650.15</v>
      </c>
      <c r="G111" s="4">
        <f t="shared" si="9"/>
        <v>240</v>
      </c>
      <c r="H111" s="4">
        <f t="shared" si="11"/>
        <v>318.81</v>
      </c>
      <c r="I111" s="4">
        <f t="shared" si="10"/>
        <v>1041.8699999999999</v>
      </c>
    </row>
    <row r="112" spans="1:9" ht="13.2" x14ac:dyDescent="0.25">
      <c r="A112" s="5" t="s">
        <v>15</v>
      </c>
      <c r="B112" s="5" t="s">
        <v>125</v>
      </c>
      <c r="C112">
        <v>4575</v>
      </c>
      <c r="D112" s="4">
        <f t="shared" si="6"/>
        <v>4498.18</v>
      </c>
      <c r="E112" s="4">
        <f t="shared" si="7"/>
        <v>5346.21</v>
      </c>
      <c r="F112" s="4">
        <f t="shared" si="8"/>
        <v>3650.15</v>
      </c>
      <c r="G112" s="4">
        <f t="shared" si="9"/>
        <v>235</v>
      </c>
      <c r="H112" s="4">
        <f t="shared" si="11"/>
        <v>318.81</v>
      </c>
      <c r="I112" s="4">
        <f t="shared" si="10"/>
        <v>1041.8699999999999</v>
      </c>
    </row>
    <row r="113" spans="1:9" ht="13.2" x14ac:dyDescent="0.25">
      <c r="A113" s="5" t="s">
        <v>15</v>
      </c>
      <c r="B113" s="5" t="s">
        <v>126</v>
      </c>
      <c r="C113">
        <v>3875</v>
      </c>
      <c r="D113" s="4">
        <f t="shared" si="6"/>
        <v>4498.18</v>
      </c>
      <c r="E113" s="4">
        <f t="shared" si="7"/>
        <v>5346.21</v>
      </c>
      <c r="F113" s="4">
        <f t="shared" si="8"/>
        <v>3650.15</v>
      </c>
      <c r="G113" s="4">
        <f t="shared" si="9"/>
        <v>700</v>
      </c>
      <c r="H113" s="4">
        <f t="shared" si="11"/>
        <v>318.81</v>
      </c>
      <c r="I113" s="4">
        <f t="shared" si="10"/>
        <v>1041.8699999999999</v>
      </c>
    </row>
    <row r="114" spans="1:9" ht="13.2" x14ac:dyDescent="0.25">
      <c r="A114" s="5" t="s">
        <v>15</v>
      </c>
      <c r="B114" s="5" t="s">
        <v>127</v>
      </c>
      <c r="C114">
        <v>4050</v>
      </c>
      <c r="D114" s="4">
        <f t="shared" si="6"/>
        <v>4498.18</v>
      </c>
      <c r="E114" s="4">
        <f t="shared" si="7"/>
        <v>5346.21</v>
      </c>
      <c r="F114" s="4">
        <f t="shared" si="8"/>
        <v>3650.15</v>
      </c>
      <c r="G114" s="4">
        <f t="shared" si="9"/>
        <v>175</v>
      </c>
      <c r="H114" s="4">
        <f t="shared" si="11"/>
        <v>318.81</v>
      </c>
      <c r="I114" s="4">
        <f t="shared" si="10"/>
        <v>1041.8699999999999</v>
      </c>
    </row>
    <row r="115" spans="1:9" ht="13.2" x14ac:dyDescent="0.25">
      <c r="A115" s="5" t="s">
        <v>15</v>
      </c>
      <c r="B115" s="5" t="s">
        <v>128</v>
      </c>
      <c r="C115">
        <v>4050</v>
      </c>
      <c r="D115" s="4">
        <f t="shared" si="6"/>
        <v>4498.18</v>
      </c>
      <c r="E115" s="4">
        <f t="shared" si="7"/>
        <v>5346.21</v>
      </c>
      <c r="F115" s="4">
        <f t="shared" si="8"/>
        <v>3650.15</v>
      </c>
      <c r="G115" s="4">
        <f t="shared" si="9"/>
        <v>0</v>
      </c>
      <c r="H115" s="4">
        <f t="shared" si="11"/>
        <v>318.81</v>
      </c>
      <c r="I115" s="4">
        <f t="shared" si="10"/>
        <v>1041.8699999999999</v>
      </c>
    </row>
    <row r="116" spans="1:9" ht="13.2" x14ac:dyDescent="0.25">
      <c r="A116" s="5" t="s">
        <v>15</v>
      </c>
      <c r="B116" s="5" t="s">
        <v>129</v>
      </c>
      <c r="C116">
        <v>4685</v>
      </c>
      <c r="D116" s="4">
        <f t="shared" si="6"/>
        <v>4498.18</v>
      </c>
      <c r="E116" s="4">
        <f t="shared" si="7"/>
        <v>5346.21</v>
      </c>
      <c r="F116" s="4">
        <f t="shared" si="8"/>
        <v>3650.15</v>
      </c>
      <c r="G116" s="4">
        <f t="shared" si="9"/>
        <v>635</v>
      </c>
      <c r="H116" s="4">
        <f t="shared" si="11"/>
        <v>318.81</v>
      </c>
      <c r="I116" s="4">
        <f t="shared" si="10"/>
        <v>1041.8699999999999</v>
      </c>
    </row>
    <row r="117" spans="1:9" ht="13.2" x14ac:dyDescent="0.25">
      <c r="A117" s="5" t="s">
        <v>15</v>
      </c>
      <c r="B117" s="5" t="s">
        <v>130</v>
      </c>
      <c r="C117">
        <v>4685</v>
      </c>
      <c r="D117" s="4">
        <f t="shared" si="6"/>
        <v>4498.18</v>
      </c>
      <c r="E117" s="4">
        <f t="shared" si="7"/>
        <v>5346.21</v>
      </c>
      <c r="F117" s="4">
        <f t="shared" si="8"/>
        <v>3650.15</v>
      </c>
      <c r="G117" s="4">
        <f t="shared" si="9"/>
        <v>0</v>
      </c>
      <c r="H117" s="4">
        <f t="shared" si="11"/>
        <v>318.81</v>
      </c>
      <c r="I117" s="4">
        <f t="shared" si="10"/>
        <v>1041.8699999999999</v>
      </c>
    </row>
    <row r="118" spans="1:9" ht="13.2" x14ac:dyDescent="0.25">
      <c r="A118" s="5" t="s">
        <v>15</v>
      </c>
      <c r="B118" s="5" t="s">
        <v>131</v>
      </c>
      <c r="C118">
        <v>4430</v>
      </c>
      <c r="D118" s="4">
        <f t="shared" si="6"/>
        <v>4498.18</v>
      </c>
      <c r="E118" s="4">
        <f t="shared" si="7"/>
        <v>5346.21</v>
      </c>
      <c r="F118" s="4">
        <f t="shared" si="8"/>
        <v>3650.15</v>
      </c>
      <c r="G118" s="4">
        <f t="shared" si="9"/>
        <v>255</v>
      </c>
      <c r="H118" s="4">
        <f t="shared" si="11"/>
        <v>318.81</v>
      </c>
      <c r="I118" s="4">
        <f t="shared" si="10"/>
        <v>1041.8699999999999</v>
      </c>
    </row>
    <row r="119" spans="1:9" ht="13.2" x14ac:dyDescent="0.25">
      <c r="A119" s="5" t="s">
        <v>15</v>
      </c>
      <c r="B119" s="5" t="s">
        <v>132</v>
      </c>
      <c r="C119">
        <v>4300</v>
      </c>
      <c r="D119" s="4">
        <f t="shared" si="6"/>
        <v>4498.18</v>
      </c>
      <c r="E119" s="4">
        <f t="shared" si="7"/>
        <v>5346.21</v>
      </c>
      <c r="F119" s="4">
        <f t="shared" si="8"/>
        <v>3650.15</v>
      </c>
      <c r="G119" s="4">
        <f t="shared" si="9"/>
        <v>130</v>
      </c>
      <c r="H119" s="4">
        <f t="shared" si="11"/>
        <v>318.81</v>
      </c>
      <c r="I119" s="4">
        <f t="shared" si="10"/>
        <v>1041.8699999999999</v>
      </c>
    </row>
    <row r="120" spans="1:9" ht="13.2" x14ac:dyDescent="0.25">
      <c r="A120" s="5" t="s">
        <v>15</v>
      </c>
      <c r="B120" s="5" t="s">
        <v>133</v>
      </c>
      <c r="C120">
        <v>4690</v>
      </c>
      <c r="D120" s="4">
        <f t="shared" si="6"/>
        <v>4498.18</v>
      </c>
      <c r="E120" s="4">
        <f t="shared" si="7"/>
        <v>5346.21</v>
      </c>
      <c r="F120" s="4">
        <f t="shared" si="8"/>
        <v>3650.15</v>
      </c>
      <c r="G120" s="4">
        <f t="shared" si="9"/>
        <v>390</v>
      </c>
      <c r="H120" s="4">
        <f t="shared" si="11"/>
        <v>318.81</v>
      </c>
      <c r="I120" s="4">
        <f t="shared" si="10"/>
        <v>1041.8699999999999</v>
      </c>
    </row>
    <row r="121" spans="1:9" ht="13.2" x14ac:dyDescent="0.25">
      <c r="A121" s="5" t="s">
        <v>15</v>
      </c>
      <c r="B121" s="5" t="s">
        <v>134</v>
      </c>
      <c r="C121">
        <v>4560</v>
      </c>
      <c r="D121" s="4">
        <f t="shared" si="6"/>
        <v>4498.18</v>
      </c>
      <c r="E121" s="4">
        <f t="shared" si="7"/>
        <v>5346.21</v>
      </c>
      <c r="F121" s="4">
        <f t="shared" si="8"/>
        <v>3650.15</v>
      </c>
      <c r="G121" s="4">
        <f t="shared" si="9"/>
        <v>130</v>
      </c>
      <c r="H121" s="4">
        <f t="shared" si="11"/>
        <v>318.81</v>
      </c>
      <c r="I121" s="4">
        <f t="shared" si="10"/>
        <v>1041.8699999999999</v>
      </c>
    </row>
    <row r="122" spans="1:9" ht="13.2" x14ac:dyDescent="0.25">
      <c r="A122" s="5" t="s">
        <v>15</v>
      </c>
      <c r="B122" s="5" t="s">
        <v>135</v>
      </c>
      <c r="C122">
        <v>3075</v>
      </c>
      <c r="D122" s="4">
        <f t="shared" si="6"/>
        <v>4498.18</v>
      </c>
      <c r="E122" s="4">
        <f t="shared" si="7"/>
        <v>5346.21</v>
      </c>
      <c r="F122" s="4">
        <f t="shared" si="8"/>
        <v>3650.15</v>
      </c>
      <c r="G122" s="4">
        <f t="shared" si="9"/>
        <v>1485</v>
      </c>
      <c r="H122" s="4">
        <f t="shared" si="11"/>
        <v>318.81</v>
      </c>
      <c r="I122" s="4">
        <f t="shared" si="10"/>
        <v>1041.8699999999999</v>
      </c>
    </row>
    <row r="123" spans="1:9" ht="13.2" x14ac:dyDescent="0.25">
      <c r="A123" s="5" t="s">
        <v>15</v>
      </c>
      <c r="B123" s="5" t="s">
        <v>136</v>
      </c>
      <c r="C123">
        <v>2965</v>
      </c>
      <c r="D123" s="4">
        <f t="shared" si="6"/>
        <v>4498.18</v>
      </c>
      <c r="E123" s="4">
        <f t="shared" si="7"/>
        <v>5346.21</v>
      </c>
      <c r="F123" s="4">
        <f t="shared" si="8"/>
        <v>3650.15</v>
      </c>
      <c r="G123" s="4">
        <f t="shared" si="9"/>
        <v>110</v>
      </c>
      <c r="H123" s="4">
        <f t="shared" si="11"/>
        <v>318.81</v>
      </c>
      <c r="I123" s="4">
        <f t="shared" si="10"/>
        <v>1041.8699999999999</v>
      </c>
    </row>
    <row r="124" spans="1:9" ht="13.2" x14ac:dyDescent="0.25">
      <c r="A124" s="5" t="s">
        <v>15</v>
      </c>
      <c r="B124" s="5" t="s">
        <v>137</v>
      </c>
      <c r="C124">
        <v>4080</v>
      </c>
      <c r="D124" s="4">
        <f t="shared" si="6"/>
        <v>4498.18</v>
      </c>
      <c r="E124" s="4">
        <f t="shared" si="7"/>
        <v>5346.21</v>
      </c>
      <c r="F124" s="4">
        <f t="shared" si="8"/>
        <v>3650.15</v>
      </c>
      <c r="G124" s="4">
        <f t="shared" si="9"/>
        <v>1115</v>
      </c>
      <c r="H124" s="4">
        <f t="shared" si="11"/>
        <v>318.81</v>
      </c>
      <c r="I124" s="4">
        <f t="shared" si="10"/>
        <v>1041.8699999999999</v>
      </c>
    </row>
    <row r="125" spans="1:9" ht="13.2" x14ac:dyDescent="0.25">
      <c r="A125" s="5" t="s">
        <v>15</v>
      </c>
      <c r="B125" s="5" t="s">
        <v>138</v>
      </c>
      <c r="C125">
        <v>4080</v>
      </c>
      <c r="D125" s="4">
        <f t="shared" si="6"/>
        <v>4498.18</v>
      </c>
      <c r="E125" s="4">
        <f t="shared" si="7"/>
        <v>5346.21</v>
      </c>
      <c r="F125" s="4">
        <f t="shared" si="8"/>
        <v>3650.15</v>
      </c>
      <c r="G125" s="4">
        <f t="shared" si="9"/>
        <v>0</v>
      </c>
      <c r="H125" s="4">
        <f t="shared" si="11"/>
        <v>318.81</v>
      </c>
      <c r="I125" s="4">
        <f t="shared" si="10"/>
        <v>1041.8699999999999</v>
      </c>
    </row>
    <row r="126" spans="1:9" ht="13.2" x14ac:dyDescent="0.25">
      <c r="A126" s="5" t="s">
        <v>15</v>
      </c>
      <c r="B126" s="5" t="s">
        <v>139</v>
      </c>
      <c r="C126">
        <v>4425</v>
      </c>
      <c r="D126" s="4">
        <f t="shared" si="6"/>
        <v>4498.18</v>
      </c>
      <c r="E126" s="4">
        <f t="shared" si="7"/>
        <v>5346.21</v>
      </c>
      <c r="F126" s="4">
        <f t="shared" si="8"/>
        <v>3650.15</v>
      </c>
      <c r="G126" s="4">
        <f t="shared" si="9"/>
        <v>345</v>
      </c>
      <c r="H126" s="4">
        <f t="shared" si="11"/>
        <v>318.81</v>
      </c>
      <c r="I126" s="4">
        <f t="shared" si="10"/>
        <v>1041.8699999999999</v>
      </c>
    </row>
    <row r="127" spans="1:9" ht="13.2" x14ac:dyDescent="0.25">
      <c r="A127" s="5" t="s">
        <v>15</v>
      </c>
      <c r="B127" s="5" t="s">
        <v>140</v>
      </c>
      <c r="C127">
        <v>4300</v>
      </c>
      <c r="D127" s="4">
        <f t="shared" si="6"/>
        <v>4498.18</v>
      </c>
      <c r="E127" s="4">
        <f t="shared" si="7"/>
        <v>5346.21</v>
      </c>
      <c r="F127" s="4">
        <f t="shared" si="8"/>
        <v>3650.15</v>
      </c>
      <c r="G127" s="4">
        <f t="shared" si="9"/>
        <v>125</v>
      </c>
      <c r="H127" s="4">
        <f t="shared" si="11"/>
        <v>318.81</v>
      </c>
      <c r="I127" s="4">
        <f t="shared" si="10"/>
        <v>1041.8699999999999</v>
      </c>
    </row>
    <row r="128" spans="1:9" ht="13.2" x14ac:dyDescent="0.25">
      <c r="A128" s="5" t="s">
        <v>15</v>
      </c>
      <c r="B128" s="5" t="s">
        <v>141</v>
      </c>
      <c r="C128">
        <v>4430</v>
      </c>
      <c r="D128" s="4">
        <f t="shared" si="6"/>
        <v>4498.18</v>
      </c>
      <c r="E128" s="4">
        <f t="shared" si="7"/>
        <v>5346.21</v>
      </c>
      <c r="F128" s="4">
        <f t="shared" si="8"/>
        <v>3650.15</v>
      </c>
      <c r="G128" s="4">
        <f t="shared" si="9"/>
        <v>130</v>
      </c>
      <c r="H128" s="4">
        <f t="shared" si="11"/>
        <v>318.81</v>
      </c>
      <c r="I128" s="4">
        <f t="shared" si="10"/>
        <v>1041.8699999999999</v>
      </c>
    </row>
    <row r="129" spans="1:9" ht="13.2" x14ac:dyDescent="0.25">
      <c r="A129" s="5" t="s">
        <v>15</v>
      </c>
      <c r="B129" s="5" t="s">
        <v>142</v>
      </c>
      <c r="C129">
        <v>4840</v>
      </c>
      <c r="D129" s="4">
        <f t="shared" si="6"/>
        <v>4498.18</v>
      </c>
      <c r="E129" s="4">
        <f t="shared" si="7"/>
        <v>5346.21</v>
      </c>
      <c r="F129" s="4">
        <f t="shared" si="8"/>
        <v>3650.15</v>
      </c>
      <c r="G129" s="4">
        <f t="shared" si="9"/>
        <v>410</v>
      </c>
      <c r="H129" s="4">
        <f t="shared" si="11"/>
        <v>318.81</v>
      </c>
      <c r="I129" s="4">
        <f t="shared" si="10"/>
        <v>1041.8699999999999</v>
      </c>
    </row>
    <row r="130" spans="1:9" ht="13.2" x14ac:dyDescent="0.25">
      <c r="A130" s="5" t="s">
        <v>15</v>
      </c>
      <c r="B130" s="5" t="s">
        <v>143</v>
      </c>
      <c r="C130">
        <v>4840</v>
      </c>
      <c r="D130" s="4">
        <f t="shared" ref="D130:D193" si="12">ROUND(AVERAGE($C$2:$C$205),2)</f>
        <v>4498.18</v>
      </c>
      <c r="E130" s="4">
        <f t="shared" ref="E130:E193" si="13">ROUND(D130+(2.66*H130),2)</f>
        <v>5346.21</v>
      </c>
      <c r="F130" s="4">
        <f t="shared" ref="F130:F193" si="14">ROUND(D130-(2.66*H130),2)</f>
        <v>3650.15</v>
      </c>
      <c r="G130" s="4">
        <f t="shared" ref="G130:G193" si="15">ABS(C129-C130)</f>
        <v>0</v>
      </c>
      <c r="H130" s="4">
        <f t="shared" si="11"/>
        <v>318.81</v>
      </c>
      <c r="I130" s="4">
        <f t="shared" ref="I130:I193" si="16">ROUND(3.268*H130,2)</f>
        <v>1041.8699999999999</v>
      </c>
    </row>
    <row r="131" spans="1:9" ht="13.2" x14ac:dyDescent="0.25">
      <c r="A131" s="5" t="s">
        <v>15</v>
      </c>
      <c r="B131" s="5" t="s">
        <v>144</v>
      </c>
      <c r="C131">
        <v>4310</v>
      </c>
      <c r="D131" s="4">
        <f t="shared" si="12"/>
        <v>4498.18</v>
      </c>
      <c r="E131" s="4">
        <f t="shared" si="13"/>
        <v>5346.21</v>
      </c>
      <c r="F131" s="4">
        <f t="shared" si="14"/>
        <v>3650.15</v>
      </c>
      <c r="G131" s="4">
        <f t="shared" si="15"/>
        <v>530</v>
      </c>
      <c r="H131" s="4">
        <f t="shared" ref="H131:H194" si="17">ROUND(AVERAGE($G$3:$G$205),2)</f>
        <v>318.81</v>
      </c>
      <c r="I131" s="4">
        <f t="shared" si="16"/>
        <v>1041.8699999999999</v>
      </c>
    </row>
    <row r="132" spans="1:9" ht="13.2" x14ac:dyDescent="0.25">
      <c r="A132" s="5" t="s">
        <v>15</v>
      </c>
      <c r="B132" s="5" t="s">
        <v>145</v>
      </c>
      <c r="C132">
        <v>4185</v>
      </c>
      <c r="D132" s="4">
        <f t="shared" si="12"/>
        <v>4498.18</v>
      </c>
      <c r="E132" s="4">
        <f t="shared" si="13"/>
        <v>5346.21</v>
      </c>
      <c r="F132" s="4">
        <f t="shared" si="14"/>
        <v>3650.15</v>
      </c>
      <c r="G132" s="4">
        <f t="shared" si="15"/>
        <v>125</v>
      </c>
      <c r="H132" s="4">
        <f t="shared" si="17"/>
        <v>318.81</v>
      </c>
      <c r="I132" s="4">
        <f t="shared" si="16"/>
        <v>1041.8699999999999</v>
      </c>
    </row>
    <row r="133" spans="1:9" ht="13.2" x14ac:dyDescent="0.25">
      <c r="A133" s="5" t="s">
        <v>15</v>
      </c>
      <c r="B133" s="5" t="s">
        <v>146</v>
      </c>
      <c r="C133">
        <v>4570</v>
      </c>
      <c r="D133" s="4">
        <f t="shared" si="12"/>
        <v>4498.18</v>
      </c>
      <c r="E133" s="4">
        <f t="shared" si="13"/>
        <v>5346.21</v>
      </c>
      <c r="F133" s="4">
        <f t="shared" si="14"/>
        <v>3650.15</v>
      </c>
      <c r="G133" s="4">
        <f t="shared" si="15"/>
        <v>385</v>
      </c>
      <c r="H133" s="4">
        <f t="shared" si="17"/>
        <v>318.81</v>
      </c>
      <c r="I133" s="4">
        <f t="shared" si="16"/>
        <v>1041.8699999999999</v>
      </c>
    </row>
    <row r="134" spans="1:9" ht="13.2" x14ac:dyDescent="0.25">
      <c r="A134" s="5" t="s">
        <v>15</v>
      </c>
      <c r="B134" s="5" t="s">
        <v>147</v>
      </c>
      <c r="C134">
        <v>4700</v>
      </c>
      <c r="D134" s="4">
        <f t="shared" si="12"/>
        <v>4498.18</v>
      </c>
      <c r="E134" s="4">
        <f t="shared" si="13"/>
        <v>5346.21</v>
      </c>
      <c r="F134" s="4">
        <f t="shared" si="14"/>
        <v>3650.15</v>
      </c>
      <c r="G134" s="4">
        <f t="shared" si="15"/>
        <v>130</v>
      </c>
      <c r="H134" s="4">
        <f t="shared" si="17"/>
        <v>318.81</v>
      </c>
      <c r="I134" s="4">
        <f t="shared" si="16"/>
        <v>1041.8699999999999</v>
      </c>
    </row>
    <row r="135" spans="1:9" ht="13.2" x14ac:dyDescent="0.25">
      <c r="A135" s="5" t="s">
        <v>15</v>
      </c>
      <c r="B135" s="5" t="s">
        <v>148</v>
      </c>
      <c r="C135">
        <v>4440</v>
      </c>
      <c r="D135" s="4">
        <f t="shared" si="12"/>
        <v>4498.18</v>
      </c>
      <c r="E135" s="4">
        <f t="shared" si="13"/>
        <v>5346.21</v>
      </c>
      <c r="F135" s="4">
        <f t="shared" si="14"/>
        <v>3650.15</v>
      </c>
      <c r="G135" s="4">
        <f t="shared" si="15"/>
        <v>260</v>
      </c>
      <c r="H135" s="4">
        <f t="shared" si="17"/>
        <v>318.81</v>
      </c>
      <c r="I135" s="4">
        <f t="shared" si="16"/>
        <v>1041.8699999999999</v>
      </c>
    </row>
    <row r="136" spans="1:9" ht="13.2" x14ac:dyDescent="0.25">
      <c r="A136" s="5" t="s">
        <v>15</v>
      </c>
      <c r="B136" s="5" t="s">
        <v>149</v>
      </c>
      <c r="C136">
        <v>4850</v>
      </c>
      <c r="D136" s="4">
        <f t="shared" si="12"/>
        <v>4498.18</v>
      </c>
      <c r="E136" s="4">
        <f t="shared" si="13"/>
        <v>5346.21</v>
      </c>
      <c r="F136" s="4">
        <f t="shared" si="14"/>
        <v>3650.15</v>
      </c>
      <c r="G136" s="4">
        <f t="shared" si="15"/>
        <v>410</v>
      </c>
      <c r="H136" s="4">
        <f t="shared" si="17"/>
        <v>318.81</v>
      </c>
      <c r="I136" s="4">
        <f t="shared" si="16"/>
        <v>1041.8699999999999</v>
      </c>
    </row>
    <row r="137" spans="1:9" ht="13.2" x14ac:dyDescent="0.25">
      <c r="A137" s="5" t="s">
        <v>15</v>
      </c>
      <c r="B137" s="5" t="s">
        <v>150</v>
      </c>
      <c r="C137">
        <v>4125</v>
      </c>
      <c r="D137" s="4">
        <f t="shared" si="12"/>
        <v>4498.18</v>
      </c>
      <c r="E137" s="4">
        <f t="shared" si="13"/>
        <v>5346.21</v>
      </c>
      <c r="F137" s="4">
        <f t="shared" si="14"/>
        <v>3650.15</v>
      </c>
      <c r="G137" s="4">
        <f t="shared" si="15"/>
        <v>725</v>
      </c>
      <c r="H137" s="4">
        <f t="shared" si="17"/>
        <v>318.81</v>
      </c>
      <c r="I137" s="4">
        <f t="shared" si="16"/>
        <v>1041.8699999999999</v>
      </c>
    </row>
    <row r="138" spans="1:9" ht="13.2" x14ac:dyDescent="0.25">
      <c r="A138" s="5" t="s">
        <v>15</v>
      </c>
      <c r="B138" s="5" t="s">
        <v>151</v>
      </c>
      <c r="C138">
        <v>4450</v>
      </c>
      <c r="D138" s="4">
        <f t="shared" si="12"/>
        <v>4498.18</v>
      </c>
      <c r="E138" s="4">
        <f t="shared" si="13"/>
        <v>5346.21</v>
      </c>
      <c r="F138" s="4">
        <f t="shared" si="14"/>
        <v>3650.15</v>
      </c>
      <c r="G138" s="4">
        <f t="shared" si="15"/>
        <v>325</v>
      </c>
      <c r="H138" s="4">
        <f t="shared" si="17"/>
        <v>318.81</v>
      </c>
      <c r="I138" s="4">
        <f t="shared" si="16"/>
        <v>1041.8699999999999</v>
      </c>
    </row>
    <row r="139" spans="1:9" ht="13.2" x14ac:dyDescent="0.25">
      <c r="A139" s="5" t="s">
        <v>15</v>
      </c>
      <c r="B139" s="5" t="s">
        <v>152</v>
      </c>
      <c r="C139">
        <v>4450</v>
      </c>
      <c r="D139" s="4">
        <f t="shared" si="12"/>
        <v>4498.18</v>
      </c>
      <c r="E139" s="4">
        <f t="shared" si="13"/>
        <v>5346.21</v>
      </c>
      <c r="F139" s="4">
        <f t="shared" si="14"/>
        <v>3650.15</v>
      </c>
      <c r="G139" s="4">
        <f t="shared" si="15"/>
        <v>0</v>
      </c>
      <c r="H139" s="4">
        <f t="shared" si="17"/>
        <v>318.81</v>
      </c>
      <c r="I139" s="4">
        <f t="shared" si="16"/>
        <v>1041.8699999999999</v>
      </c>
    </row>
    <row r="140" spans="1:9" ht="13.2" x14ac:dyDescent="0.25">
      <c r="A140" s="5" t="s">
        <v>15</v>
      </c>
      <c r="B140" s="5" t="s">
        <v>153</v>
      </c>
      <c r="C140">
        <v>4850</v>
      </c>
      <c r="D140" s="4">
        <f t="shared" si="12"/>
        <v>4498.18</v>
      </c>
      <c r="E140" s="4">
        <f t="shared" si="13"/>
        <v>5346.21</v>
      </c>
      <c r="F140" s="4">
        <f t="shared" si="14"/>
        <v>3650.15</v>
      </c>
      <c r="G140" s="4">
        <f t="shared" si="15"/>
        <v>400</v>
      </c>
      <c r="H140" s="4">
        <f t="shared" si="17"/>
        <v>318.81</v>
      </c>
      <c r="I140" s="4">
        <f t="shared" si="16"/>
        <v>1041.8699999999999</v>
      </c>
    </row>
    <row r="141" spans="1:9" ht="13.2" x14ac:dyDescent="0.25">
      <c r="A141" s="5" t="s">
        <v>15</v>
      </c>
      <c r="B141" s="5" t="s">
        <v>154</v>
      </c>
      <c r="C141">
        <v>4450</v>
      </c>
      <c r="D141" s="4">
        <f t="shared" si="12"/>
        <v>4498.18</v>
      </c>
      <c r="E141" s="4">
        <f t="shared" si="13"/>
        <v>5346.21</v>
      </c>
      <c r="F141" s="4">
        <f t="shared" si="14"/>
        <v>3650.15</v>
      </c>
      <c r="G141" s="4">
        <f t="shared" si="15"/>
        <v>400</v>
      </c>
      <c r="H141" s="4">
        <f t="shared" si="17"/>
        <v>318.81</v>
      </c>
      <c r="I141" s="4">
        <f t="shared" si="16"/>
        <v>1041.8699999999999</v>
      </c>
    </row>
    <row r="142" spans="1:9" ht="13.2" x14ac:dyDescent="0.25">
      <c r="A142" s="5" t="s">
        <v>15</v>
      </c>
      <c r="B142" s="5" t="s">
        <v>155</v>
      </c>
      <c r="C142">
        <v>3635</v>
      </c>
      <c r="D142" s="4">
        <f t="shared" si="12"/>
        <v>4498.18</v>
      </c>
      <c r="E142" s="4">
        <f t="shared" si="13"/>
        <v>5346.21</v>
      </c>
      <c r="F142" s="4">
        <f t="shared" si="14"/>
        <v>3650.15</v>
      </c>
      <c r="G142" s="4">
        <f t="shared" si="15"/>
        <v>815</v>
      </c>
      <c r="H142" s="4">
        <f t="shared" si="17"/>
        <v>318.81</v>
      </c>
      <c r="I142" s="4">
        <f t="shared" si="16"/>
        <v>1041.8699999999999</v>
      </c>
    </row>
    <row r="143" spans="1:9" ht="13.2" x14ac:dyDescent="0.25">
      <c r="A143" s="5" t="s">
        <v>15</v>
      </c>
      <c r="B143" s="5" t="s">
        <v>156</v>
      </c>
      <c r="C143">
        <v>3635</v>
      </c>
      <c r="D143" s="4">
        <f t="shared" si="12"/>
        <v>4498.18</v>
      </c>
      <c r="E143" s="4">
        <f t="shared" si="13"/>
        <v>5346.21</v>
      </c>
      <c r="F143" s="4">
        <f t="shared" si="14"/>
        <v>3650.15</v>
      </c>
      <c r="G143" s="4">
        <f t="shared" si="15"/>
        <v>0</v>
      </c>
      <c r="H143" s="4">
        <f t="shared" si="17"/>
        <v>318.81</v>
      </c>
      <c r="I143" s="4">
        <f t="shared" si="16"/>
        <v>1041.8699999999999</v>
      </c>
    </row>
    <row r="144" spans="1:9" ht="13.2" x14ac:dyDescent="0.25">
      <c r="A144" s="5" t="s">
        <v>15</v>
      </c>
      <c r="B144" s="5" t="s">
        <v>157</v>
      </c>
      <c r="C144">
        <v>3635</v>
      </c>
      <c r="D144" s="4">
        <f t="shared" si="12"/>
        <v>4498.18</v>
      </c>
      <c r="E144" s="4">
        <f t="shared" si="13"/>
        <v>5346.21</v>
      </c>
      <c r="F144" s="4">
        <f t="shared" si="14"/>
        <v>3650.15</v>
      </c>
      <c r="G144" s="4">
        <f t="shared" si="15"/>
        <v>0</v>
      </c>
      <c r="H144" s="4">
        <f t="shared" si="17"/>
        <v>318.81</v>
      </c>
      <c r="I144" s="4">
        <f t="shared" si="16"/>
        <v>1041.8699999999999</v>
      </c>
    </row>
    <row r="145" spans="1:9" ht="13.2" x14ac:dyDescent="0.25">
      <c r="A145" s="5" t="s">
        <v>15</v>
      </c>
      <c r="B145" s="5" t="s">
        <v>158</v>
      </c>
      <c r="C145">
        <v>3900</v>
      </c>
      <c r="D145" s="4">
        <f t="shared" si="12"/>
        <v>4498.18</v>
      </c>
      <c r="E145" s="4">
        <f t="shared" si="13"/>
        <v>5346.21</v>
      </c>
      <c r="F145" s="4">
        <f t="shared" si="14"/>
        <v>3650.15</v>
      </c>
      <c r="G145" s="4">
        <f t="shared" si="15"/>
        <v>265</v>
      </c>
      <c r="H145" s="4">
        <f t="shared" si="17"/>
        <v>318.81</v>
      </c>
      <c r="I145" s="4">
        <f t="shared" si="16"/>
        <v>1041.8699999999999</v>
      </c>
    </row>
    <row r="146" spans="1:9" ht="13.2" x14ac:dyDescent="0.25">
      <c r="A146" s="5" t="s">
        <v>15</v>
      </c>
      <c r="B146" s="5" t="s">
        <v>159</v>
      </c>
      <c r="C146">
        <v>4340</v>
      </c>
      <c r="D146" s="4">
        <f t="shared" si="12"/>
        <v>4498.18</v>
      </c>
      <c r="E146" s="4">
        <f t="shared" si="13"/>
        <v>5346.21</v>
      </c>
      <c r="F146" s="4">
        <f t="shared" si="14"/>
        <v>3650.15</v>
      </c>
      <c r="G146" s="4">
        <f t="shared" si="15"/>
        <v>440</v>
      </c>
      <c r="H146" s="4">
        <f t="shared" si="17"/>
        <v>318.81</v>
      </c>
      <c r="I146" s="4">
        <f t="shared" si="16"/>
        <v>1041.8699999999999</v>
      </c>
    </row>
    <row r="147" spans="1:9" ht="13.2" x14ac:dyDescent="0.25">
      <c r="A147" s="5" t="s">
        <v>15</v>
      </c>
      <c r="B147" s="5" t="s">
        <v>160</v>
      </c>
      <c r="C147">
        <v>4340</v>
      </c>
      <c r="D147" s="4">
        <f t="shared" si="12"/>
        <v>4498.18</v>
      </c>
      <c r="E147" s="4">
        <f t="shared" si="13"/>
        <v>5346.21</v>
      </c>
      <c r="F147" s="4">
        <f t="shared" si="14"/>
        <v>3650.15</v>
      </c>
      <c r="G147" s="4">
        <f t="shared" si="15"/>
        <v>0</v>
      </c>
      <c r="H147" s="4">
        <f t="shared" si="17"/>
        <v>318.81</v>
      </c>
      <c r="I147" s="4">
        <f t="shared" si="16"/>
        <v>1041.8699999999999</v>
      </c>
    </row>
    <row r="148" spans="1:9" ht="13.2" x14ac:dyDescent="0.25">
      <c r="A148" s="5" t="s">
        <v>15</v>
      </c>
      <c r="B148" s="5" t="s">
        <v>161</v>
      </c>
      <c r="C148">
        <v>3665</v>
      </c>
      <c r="D148" s="4">
        <f t="shared" si="12"/>
        <v>4498.18</v>
      </c>
      <c r="E148" s="4">
        <f t="shared" si="13"/>
        <v>5346.21</v>
      </c>
      <c r="F148" s="4">
        <f t="shared" si="14"/>
        <v>3650.15</v>
      </c>
      <c r="G148" s="4">
        <f t="shared" si="15"/>
        <v>675</v>
      </c>
      <c r="H148" s="4">
        <f t="shared" si="17"/>
        <v>318.81</v>
      </c>
      <c r="I148" s="4">
        <f t="shared" si="16"/>
        <v>1041.8699999999999</v>
      </c>
    </row>
    <row r="149" spans="1:9" ht="13.2" x14ac:dyDescent="0.25">
      <c r="A149" s="5" t="s">
        <v>15</v>
      </c>
      <c r="B149" s="5" t="s">
        <v>162</v>
      </c>
      <c r="C149">
        <v>3775</v>
      </c>
      <c r="D149" s="4">
        <f t="shared" si="12"/>
        <v>4498.18</v>
      </c>
      <c r="E149" s="4">
        <f t="shared" si="13"/>
        <v>5346.21</v>
      </c>
      <c r="F149" s="4">
        <f t="shared" si="14"/>
        <v>3650.15</v>
      </c>
      <c r="G149" s="4">
        <f t="shared" si="15"/>
        <v>110</v>
      </c>
      <c r="H149" s="4">
        <f t="shared" si="17"/>
        <v>318.81</v>
      </c>
      <c r="I149" s="4">
        <f t="shared" si="16"/>
        <v>1041.8699999999999</v>
      </c>
    </row>
    <row r="150" spans="1:9" ht="13.2" x14ac:dyDescent="0.25">
      <c r="A150" s="5" t="s">
        <v>15</v>
      </c>
      <c r="B150" s="5" t="s">
        <v>163</v>
      </c>
      <c r="C150">
        <v>5000</v>
      </c>
      <c r="D150" s="4">
        <f t="shared" si="12"/>
        <v>4498.18</v>
      </c>
      <c r="E150" s="4">
        <f t="shared" si="13"/>
        <v>5346.21</v>
      </c>
      <c r="F150" s="4">
        <f t="shared" si="14"/>
        <v>3650.15</v>
      </c>
      <c r="G150" s="4">
        <f t="shared" si="15"/>
        <v>1225</v>
      </c>
      <c r="H150" s="4">
        <f t="shared" si="17"/>
        <v>318.81</v>
      </c>
      <c r="I150" s="4">
        <f t="shared" si="16"/>
        <v>1041.8699999999999</v>
      </c>
    </row>
    <row r="151" spans="1:9" ht="13.2" x14ac:dyDescent="0.25">
      <c r="A151" s="5" t="s">
        <v>15</v>
      </c>
      <c r="B151" s="5" t="s">
        <v>164</v>
      </c>
      <c r="C151">
        <v>4850</v>
      </c>
      <c r="D151" s="4">
        <f t="shared" si="12"/>
        <v>4498.18</v>
      </c>
      <c r="E151" s="4">
        <f t="shared" si="13"/>
        <v>5346.21</v>
      </c>
      <c r="F151" s="4">
        <f t="shared" si="14"/>
        <v>3650.15</v>
      </c>
      <c r="G151" s="4">
        <f t="shared" si="15"/>
        <v>150</v>
      </c>
      <c r="H151" s="4">
        <f t="shared" si="17"/>
        <v>318.81</v>
      </c>
      <c r="I151" s="4">
        <f t="shared" si="16"/>
        <v>1041.8699999999999</v>
      </c>
    </row>
    <row r="152" spans="1:9" ht="13.2" x14ac:dyDescent="0.25">
      <c r="A152" s="5" t="s">
        <v>15</v>
      </c>
      <c r="B152" s="5" t="s">
        <v>165</v>
      </c>
      <c r="C152">
        <v>4775</v>
      </c>
      <c r="D152" s="4">
        <f t="shared" si="12"/>
        <v>4498.18</v>
      </c>
      <c r="E152" s="4">
        <f t="shared" si="13"/>
        <v>5346.21</v>
      </c>
      <c r="F152" s="4">
        <f t="shared" si="14"/>
        <v>3650.15</v>
      </c>
      <c r="G152" s="4">
        <f t="shared" si="15"/>
        <v>75</v>
      </c>
      <c r="H152" s="4">
        <f t="shared" si="17"/>
        <v>318.81</v>
      </c>
      <c r="I152" s="4">
        <f t="shared" si="16"/>
        <v>1041.8699999999999</v>
      </c>
    </row>
    <row r="153" spans="1:9" ht="13.2" x14ac:dyDescent="0.25">
      <c r="A153" s="5" t="s">
        <v>15</v>
      </c>
      <c r="B153" s="5" t="s">
        <v>166</v>
      </c>
      <c r="C153">
        <v>4500</v>
      </c>
      <c r="D153" s="4">
        <f t="shared" si="12"/>
        <v>4498.18</v>
      </c>
      <c r="E153" s="4">
        <f t="shared" si="13"/>
        <v>5346.21</v>
      </c>
      <c r="F153" s="4">
        <f t="shared" si="14"/>
        <v>3650.15</v>
      </c>
      <c r="G153" s="4">
        <f t="shared" si="15"/>
        <v>275</v>
      </c>
      <c r="H153" s="4">
        <f t="shared" si="17"/>
        <v>318.81</v>
      </c>
      <c r="I153" s="4">
        <f t="shared" si="16"/>
        <v>1041.8699999999999</v>
      </c>
    </row>
    <row r="154" spans="1:9" ht="13.2" x14ac:dyDescent="0.25">
      <c r="A154" s="5" t="s">
        <v>15</v>
      </c>
      <c r="B154" s="5" t="s">
        <v>167</v>
      </c>
      <c r="C154">
        <v>4770</v>
      </c>
      <c r="D154" s="4">
        <f t="shared" si="12"/>
        <v>4498.18</v>
      </c>
      <c r="E154" s="4">
        <f t="shared" si="13"/>
        <v>5346.21</v>
      </c>
      <c r="F154" s="4">
        <f t="shared" si="14"/>
        <v>3650.15</v>
      </c>
      <c r="G154" s="4">
        <f t="shared" si="15"/>
        <v>270</v>
      </c>
      <c r="H154" s="4">
        <f t="shared" si="17"/>
        <v>318.81</v>
      </c>
      <c r="I154" s="4">
        <f t="shared" si="16"/>
        <v>1041.8699999999999</v>
      </c>
    </row>
    <row r="155" spans="1:9" ht="13.2" x14ac:dyDescent="0.25">
      <c r="A155" s="5" t="s">
        <v>15</v>
      </c>
      <c r="B155" s="5" t="s">
        <v>168</v>
      </c>
      <c r="C155">
        <v>4500</v>
      </c>
      <c r="D155" s="4">
        <f t="shared" si="12"/>
        <v>4498.18</v>
      </c>
      <c r="E155" s="4">
        <f t="shared" si="13"/>
        <v>5346.21</v>
      </c>
      <c r="F155" s="4">
        <f t="shared" si="14"/>
        <v>3650.15</v>
      </c>
      <c r="G155" s="4">
        <f t="shared" si="15"/>
        <v>270</v>
      </c>
      <c r="H155" s="4">
        <f t="shared" si="17"/>
        <v>318.81</v>
      </c>
      <c r="I155" s="4">
        <f t="shared" si="16"/>
        <v>1041.8699999999999</v>
      </c>
    </row>
    <row r="156" spans="1:9" ht="13.2" x14ac:dyDescent="0.25">
      <c r="A156" s="5" t="s">
        <v>15</v>
      </c>
      <c r="B156" s="5" t="s">
        <v>169</v>
      </c>
      <c r="C156">
        <v>4770</v>
      </c>
      <c r="D156" s="4">
        <f t="shared" si="12"/>
        <v>4498.18</v>
      </c>
      <c r="E156" s="4">
        <f t="shared" si="13"/>
        <v>5346.21</v>
      </c>
      <c r="F156" s="4">
        <f t="shared" si="14"/>
        <v>3650.15</v>
      </c>
      <c r="G156" s="4">
        <f t="shared" si="15"/>
        <v>270</v>
      </c>
      <c r="H156" s="4">
        <f t="shared" si="17"/>
        <v>318.81</v>
      </c>
      <c r="I156" s="4">
        <f t="shared" si="16"/>
        <v>1041.8699999999999</v>
      </c>
    </row>
    <row r="157" spans="1:9" ht="13.2" x14ac:dyDescent="0.25">
      <c r="A157" s="5" t="s">
        <v>15</v>
      </c>
      <c r="B157" s="5" t="s">
        <v>170</v>
      </c>
      <c r="C157">
        <v>5150</v>
      </c>
      <c r="D157" s="4">
        <f t="shared" si="12"/>
        <v>4498.18</v>
      </c>
      <c r="E157" s="4">
        <f t="shared" si="13"/>
        <v>5346.21</v>
      </c>
      <c r="F157" s="4">
        <f t="shared" si="14"/>
        <v>3650.15</v>
      </c>
      <c r="G157" s="4">
        <f t="shared" si="15"/>
        <v>380</v>
      </c>
      <c r="H157" s="4">
        <f t="shared" si="17"/>
        <v>318.81</v>
      </c>
      <c r="I157" s="4">
        <f t="shared" si="16"/>
        <v>1041.8699999999999</v>
      </c>
    </row>
    <row r="158" spans="1:9" ht="13.2" x14ac:dyDescent="0.25">
      <c r="A158" s="5" t="s">
        <v>15</v>
      </c>
      <c r="B158" s="5" t="s">
        <v>171</v>
      </c>
      <c r="C158">
        <v>4850</v>
      </c>
      <c r="D158" s="4">
        <f t="shared" si="12"/>
        <v>4498.18</v>
      </c>
      <c r="E158" s="4">
        <f t="shared" si="13"/>
        <v>5346.21</v>
      </c>
      <c r="F158" s="4">
        <f t="shared" si="14"/>
        <v>3650.15</v>
      </c>
      <c r="G158" s="4">
        <f t="shared" si="15"/>
        <v>300</v>
      </c>
      <c r="H158" s="4">
        <f t="shared" si="17"/>
        <v>318.81</v>
      </c>
      <c r="I158" s="4">
        <f t="shared" si="16"/>
        <v>1041.8699999999999</v>
      </c>
    </row>
    <row r="159" spans="1:9" ht="13.2" x14ac:dyDescent="0.25">
      <c r="A159" s="5" t="s">
        <v>15</v>
      </c>
      <c r="B159" s="5" t="s">
        <v>172</v>
      </c>
      <c r="C159">
        <v>4700</v>
      </c>
      <c r="D159" s="4">
        <f t="shared" si="12"/>
        <v>4498.18</v>
      </c>
      <c r="E159" s="4">
        <f t="shared" si="13"/>
        <v>5346.21</v>
      </c>
      <c r="F159" s="4">
        <f t="shared" si="14"/>
        <v>3650.15</v>
      </c>
      <c r="G159" s="4">
        <f t="shared" si="15"/>
        <v>150</v>
      </c>
      <c r="H159" s="4">
        <f t="shared" si="17"/>
        <v>318.81</v>
      </c>
      <c r="I159" s="4">
        <f t="shared" si="16"/>
        <v>1041.8699999999999</v>
      </c>
    </row>
    <row r="160" spans="1:9" ht="13.2" x14ac:dyDescent="0.25">
      <c r="A160" s="5" t="s">
        <v>15</v>
      </c>
      <c r="B160" s="5" t="s">
        <v>173</v>
      </c>
      <c r="C160">
        <v>5000</v>
      </c>
      <c r="D160" s="4">
        <f t="shared" si="12"/>
        <v>4498.18</v>
      </c>
      <c r="E160" s="4">
        <f t="shared" si="13"/>
        <v>5346.21</v>
      </c>
      <c r="F160" s="4">
        <f t="shared" si="14"/>
        <v>3650.15</v>
      </c>
      <c r="G160" s="4">
        <f t="shared" si="15"/>
        <v>300</v>
      </c>
      <c r="H160" s="4">
        <f t="shared" si="17"/>
        <v>318.81</v>
      </c>
      <c r="I160" s="4">
        <f t="shared" si="16"/>
        <v>1041.8699999999999</v>
      </c>
    </row>
    <row r="161" spans="1:9" ht="13.2" x14ac:dyDescent="0.25">
      <c r="A161" s="5" t="s">
        <v>15</v>
      </c>
      <c r="B161" s="5" t="s">
        <v>174</v>
      </c>
      <c r="C161">
        <v>5000</v>
      </c>
      <c r="D161" s="4">
        <f t="shared" si="12"/>
        <v>4498.18</v>
      </c>
      <c r="E161" s="4">
        <f t="shared" si="13"/>
        <v>5346.21</v>
      </c>
      <c r="F161" s="4">
        <f t="shared" si="14"/>
        <v>3650.15</v>
      </c>
      <c r="G161" s="4">
        <f t="shared" si="15"/>
        <v>0</v>
      </c>
      <c r="H161" s="4">
        <f t="shared" si="17"/>
        <v>318.81</v>
      </c>
      <c r="I161" s="4">
        <f t="shared" si="16"/>
        <v>1041.8699999999999</v>
      </c>
    </row>
    <row r="162" spans="1:9" ht="13.2" x14ac:dyDescent="0.25">
      <c r="A162" s="5" t="s">
        <v>15</v>
      </c>
      <c r="B162" s="5" t="s">
        <v>175</v>
      </c>
      <c r="C162">
        <v>5000</v>
      </c>
      <c r="D162" s="4">
        <f t="shared" si="12"/>
        <v>4498.18</v>
      </c>
      <c r="E162" s="4">
        <f t="shared" si="13"/>
        <v>5346.21</v>
      </c>
      <c r="F162" s="4">
        <f t="shared" si="14"/>
        <v>3650.15</v>
      </c>
      <c r="G162" s="4">
        <f t="shared" si="15"/>
        <v>0</v>
      </c>
      <c r="H162" s="4">
        <f t="shared" si="17"/>
        <v>318.81</v>
      </c>
      <c r="I162" s="4">
        <f t="shared" si="16"/>
        <v>1041.8699999999999</v>
      </c>
    </row>
    <row r="163" spans="1:9" ht="13.2" x14ac:dyDescent="0.25">
      <c r="A163" s="5" t="s">
        <v>15</v>
      </c>
      <c r="B163" s="5" t="s">
        <v>176</v>
      </c>
      <c r="C163">
        <v>4700</v>
      </c>
      <c r="D163" s="4">
        <f t="shared" si="12"/>
        <v>4498.18</v>
      </c>
      <c r="E163" s="4">
        <f t="shared" si="13"/>
        <v>5346.21</v>
      </c>
      <c r="F163" s="4">
        <f t="shared" si="14"/>
        <v>3650.15</v>
      </c>
      <c r="G163" s="4">
        <f t="shared" si="15"/>
        <v>300</v>
      </c>
      <c r="H163" s="4">
        <f t="shared" si="17"/>
        <v>318.81</v>
      </c>
      <c r="I163" s="4">
        <f t="shared" si="16"/>
        <v>1041.8699999999999</v>
      </c>
    </row>
    <row r="164" spans="1:9" ht="13.2" x14ac:dyDescent="0.25">
      <c r="A164" s="5" t="s">
        <v>15</v>
      </c>
      <c r="B164" s="5" t="s">
        <v>177</v>
      </c>
      <c r="C164">
        <v>4500</v>
      </c>
      <c r="D164" s="4">
        <f t="shared" si="12"/>
        <v>4498.18</v>
      </c>
      <c r="E164" s="4">
        <f t="shared" si="13"/>
        <v>5346.21</v>
      </c>
      <c r="F164" s="4">
        <f t="shared" si="14"/>
        <v>3650.15</v>
      </c>
      <c r="G164" s="4">
        <f t="shared" si="15"/>
        <v>200</v>
      </c>
      <c r="H164" s="4">
        <f t="shared" si="17"/>
        <v>318.81</v>
      </c>
      <c r="I164" s="4">
        <f t="shared" si="16"/>
        <v>1041.8699999999999</v>
      </c>
    </row>
    <row r="165" spans="1:9" ht="13.2" x14ac:dyDescent="0.25">
      <c r="A165" s="5" t="s">
        <v>15</v>
      </c>
      <c r="B165" s="5" t="s">
        <v>178</v>
      </c>
      <c r="C165">
        <v>4840</v>
      </c>
      <c r="D165" s="4">
        <f t="shared" si="12"/>
        <v>4498.18</v>
      </c>
      <c r="E165" s="4">
        <f t="shared" si="13"/>
        <v>5346.21</v>
      </c>
      <c r="F165" s="4">
        <f t="shared" si="14"/>
        <v>3650.15</v>
      </c>
      <c r="G165" s="4">
        <f t="shared" si="15"/>
        <v>340</v>
      </c>
      <c r="H165" s="4">
        <f t="shared" si="17"/>
        <v>318.81</v>
      </c>
      <c r="I165" s="4">
        <f t="shared" si="16"/>
        <v>1041.8699999999999</v>
      </c>
    </row>
    <row r="166" spans="1:9" ht="13.2" x14ac:dyDescent="0.25">
      <c r="A166" s="5" t="s">
        <v>15</v>
      </c>
      <c r="B166" s="5" t="s">
        <v>179</v>
      </c>
      <c r="C166">
        <v>5075</v>
      </c>
      <c r="D166" s="4">
        <f t="shared" si="12"/>
        <v>4498.18</v>
      </c>
      <c r="E166" s="4">
        <f t="shared" si="13"/>
        <v>5346.21</v>
      </c>
      <c r="F166" s="4">
        <f t="shared" si="14"/>
        <v>3650.15</v>
      </c>
      <c r="G166" s="4">
        <f t="shared" si="15"/>
        <v>235</v>
      </c>
      <c r="H166" s="4">
        <f t="shared" si="17"/>
        <v>318.81</v>
      </c>
      <c r="I166" s="4">
        <f t="shared" si="16"/>
        <v>1041.8699999999999</v>
      </c>
    </row>
    <row r="167" spans="1:9" ht="13.2" x14ac:dyDescent="0.25">
      <c r="A167" s="5" t="s">
        <v>15</v>
      </c>
      <c r="B167" s="5" t="s">
        <v>180</v>
      </c>
      <c r="C167">
        <v>5000</v>
      </c>
      <c r="D167" s="4">
        <f t="shared" si="12"/>
        <v>4498.18</v>
      </c>
      <c r="E167" s="4">
        <f t="shared" si="13"/>
        <v>5346.21</v>
      </c>
      <c r="F167" s="4">
        <f t="shared" si="14"/>
        <v>3650.15</v>
      </c>
      <c r="G167" s="4">
        <f t="shared" si="15"/>
        <v>75</v>
      </c>
      <c r="H167" s="4">
        <f t="shared" si="17"/>
        <v>318.81</v>
      </c>
      <c r="I167" s="4">
        <f t="shared" si="16"/>
        <v>1041.8699999999999</v>
      </c>
    </row>
    <row r="168" spans="1:9" ht="13.2" x14ac:dyDescent="0.25">
      <c r="A168" s="5" t="s">
        <v>15</v>
      </c>
      <c r="B168" s="5" t="s">
        <v>181</v>
      </c>
      <c r="C168">
        <v>4770</v>
      </c>
      <c r="D168" s="4">
        <f t="shared" si="12"/>
        <v>4498.18</v>
      </c>
      <c r="E168" s="4">
        <f t="shared" si="13"/>
        <v>5346.21</v>
      </c>
      <c r="F168" s="4">
        <f t="shared" si="14"/>
        <v>3650.15</v>
      </c>
      <c r="G168" s="4">
        <f t="shared" si="15"/>
        <v>230</v>
      </c>
      <c r="H168" s="4">
        <f t="shared" si="17"/>
        <v>318.81</v>
      </c>
      <c r="I168" s="4">
        <f t="shared" si="16"/>
        <v>1041.8699999999999</v>
      </c>
    </row>
    <row r="169" spans="1:9" ht="13.2" x14ac:dyDescent="0.25">
      <c r="A169" s="5" t="s">
        <v>15</v>
      </c>
      <c r="B169" s="5" t="s">
        <v>182</v>
      </c>
      <c r="C169">
        <v>4570</v>
      </c>
      <c r="D169" s="4">
        <f t="shared" si="12"/>
        <v>4498.18</v>
      </c>
      <c r="E169" s="4">
        <f t="shared" si="13"/>
        <v>5346.21</v>
      </c>
      <c r="F169" s="4">
        <f t="shared" si="14"/>
        <v>3650.15</v>
      </c>
      <c r="G169" s="4">
        <f t="shared" si="15"/>
        <v>200</v>
      </c>
      <c r="H169" s="4">
        <f t="shared" si="17"/>
        <v>318.81</v>
      </c>
      <c r="I169" s="4">
        <f t="shared" si="16"/>
        <v>1041.8699999999999</v>
      </c>
    </row>
    <row r="170" spans="1:9" ht="13.2" x14ac:dyDescent="0.25">
      <c r="A170" s="5" t="s">
        <v>15</v>
      </c>
      <c r="B170" s="5" t="s">
        <v>183</v>
      </c>
      <c r="C170">
        <v>4925</v>
      </c>
      <c r="D170" s="4">
        <f t="shared" si="12"/>
        <v>4498.18</v>
      </c>
      <c r="E170" s="4">
        <f t="shared" si="13"/>
        <v>5346.21</v>
      </c>
      <c r="F170" s="4">
        <f t="shared" si="14"/>
        <v>3650.15</v>
      </c>
      <c r="G170" s="4">
        <f t="shared" si="15"/>
        <v>355</v>
      </c>
      <c r="H170" s="4">
        <f t="shared" si="17"/>
        <v>318.81</v>
      </c>
      <c r="I170" s="4">
        <f t="shared" si="16"/>
        <v>1041.8699999999999</v>
      </c>
    </row>
    <row r="171" spans="1:9" ht="13.2" x14ac:dyDescent="0.25">
      <c r="A171" s="5" t="s">
        <v>15</v>
      </c>
      <c r="B171" s="5" t="s">
        <v>184</v>
      </c>
      <c r="C171">
        <v>4775</v>
      </c>
      <c r="D171" s="4">
        <f t="shared" si="12"/>
        <v>4498.18</v>
      </c>
      <c r="E171" s="4">
        <f t="shared" si="13"/>
        <v>5346.21</v>
      </c>
      <c r="F171" s="4">
        <f t="shared" si="14"/>
        <v>3650.15</v>
      </c>
      <c r="G171" s="4">
        <f t="shared" si="15"/>
        <v>150</v>
      </c>
      <c r="H171" s="4">
        <f t="shared" si="17"/>
        <v>318.81</v>
      </c>
      <c r="I171" s="4">
        <f t="shared" si="16"/>
        <v>1041.8699999999999</v>
      </c>
    </row>
    <row r="172" spans="1:9" ht="13.2" x14ac:dyDescent="0.25">
      <c r="A172" s="5" t="s">
        <v>15</v>
      </c>
      <c r="B172" s="5" t="s">
        <v>185</v>
      </c>
      <c r="C172">
        <v>5075</v>
      </c>
      <c r="D172" s="4">
        <f t="shared" si="12"/>
        <v>4498.18</v>
      </c>
      <c r="E172" s="4">
        <f t="shared" si="13"/>
        <v>5346.21</v>
      </c>
      <c r="F172" s="4">
        <f t="shared" si="14"/>
        <v>3650.15</v>
      </c>
      <c r="G172" s="4">
        <f t="shared" si="15"/>
        <v>300</v>
      </c>
      <c r="H172" s="4">
        <f t="shared" si="17"/>
        <v>318.81</v>
      </c>
      <c r="I172" s="4">
        <f t="shared" si="16"/>
        <v>1041.8699999999999</v>
      </c>
    </row>
    <row r="173" spans="1:9" ht="13.2" x14ac:dyDescent="0.25">
      <c r="A173" s="5" t="s">
        <v>15</v>
      </c>
      <c r="B173" s="5" t="s">
        <v>186</v>
      </c>
      <c r="C173">
        <v>4925</v>
      </c>
      <c r="D173" s="4">
        <f t="shared" si="12"/>
        <v>4498.18</v>
      </c>
      <c r="E173" s="4">
        <f t="shared" si="13"/>
        <v>5346.21</v>
      </c>
      <c r="F173" s="4">
        <f t="shared" si="14"/>
        <v>3650.15</v>
      </c>
      <c r="G173" s="4">
        <f t="shared" si="15"/>
        <v>150</v>
      </c>
      <c r="H173" s="4">
        <f t="shared" si="17"/>
        <v>318.81</v>
      </c>
      <c r="I173" s="4">
        <f t="shared" si="16"/>
        <v>1041.8699999999999</v>
      </c>
    </row>
    <row r="174" spans="1:9" ht="13.2" x14ac:dyDescent="0.25">
      <c r="A174" s="5" t="s">
        <v>15</v>
      </c>
      <c r="B174" s="5" t="s">
        <v>187</v>
      </c>
      <c r="C174">
        <v>5075</v>
      </c>
      <c r="D174" s="4">
        <f t="shared" si="12"/>
        <v>4498.18</v>
      </c>
      <c r="E174" s="4">
        <f t="shared" si="13"/>
        <v>5346.21</v>
      </c>
      <c r="F174" s="4">
        <f t="shared" si="14"/>
        <v>3650.15</v>
      </c>
      <c r="G174" s="4">
        <f t="shared" si="15"/>
        <v>150</v>
      </c>
      <c r="H174" s="4">
        <f t="shared" si="17"/>
        <v>318.81</v>
      </c>
      <c r="I174" s="4">
        <f t="shared" si="16"/>
        <v>1041.8699999999999</v>
      </c>
    </row>
    <row r="175" spans="1:9" ht="13.2" x14ac:dyDescent="0.25">
      <c r="A175" s="5" t="s">
        <v>15</v>
      </c>
      <c r="B175" s="5" t="s">
        <v>188</v>
      </c>
      <c r="C175">
        <v>4925</v>
      </c>
      <c r="D175" s="4">
        <f t="shared" si="12"/>
        <v>4498.18</v>
      </c>
      <c r="E175" s="4">
        <f t="shared" si="13"/>
        <v>5346.21</v>
      </c>
      <c r="F175" s="4">
        <f t="shared" si="14"/>
        <v>3650.15</v>
      </c>
      <c r="G175" s="4">
        <f t="shared" si="15"/>
        <v>150</v>
      </c>
      <c r="H175" s="4">
        <f t="shared" si="17"/>
        <v>318.81</v>
      </c>
      <c r="I175" s="4">
        <f t="shared" si="16"/>
        <v>1041.8699999999999</v>
      </c>
    </row>
    <row r="176" spans="1:9" ht="13.2" x14ac:dyDescent="0.25">
      <c r="A176" s="5" t="s">
        <v>15</v>
      </c>
      <c r="B176" s="5" t="s">
        <v>189</v>
      </c>
      <c r="C176">
        <v>5250</v>
      </c>
      <c r="D176" s="4">
        <f t="shared" si="12"/>
        <v>4498.18</v>
      </c>
      <c r="E176" s="4">
        <f t="shared" si="13"/>
        <v>5346.21</v>
      </c>
      <c r="F176" s="4">
        <f t="shared" si="14"/>
        <v>3650.15</v>
      </c>
      <c r="G176" s="4">
        <f t="shared" si="15"/>
        <v>325</v>
      </c>
      <c r="H176" s="4">
        <f t="shared" si="17"/>
        <v>318.81</v>
      </c>
      <c r="I176" s="4">
        <f t="shared" si="16"/>
        <v>1041.8699999999999</v>
      </c>
    </row>
    <row r="177" spans="1:9" ht="13.2" x14ac:dyDescent="0.25">
      <c r="A177" s="5" t="s">
        <v>15</v>
      </c>
      <c r="B177" s="5" t="s">
        <v>190</v>
      </c>
      <c r="C177">
        <v>4915</v>
      </c>
      <c r="D177" s="4">
        <f t="shared" si="12"/>
        <v>4498.18</v>
      </c>
      <c r="E177" s="4">
        <f t="shared" si="13"/>
        <v>5346.21</v>
      </c>
      <c r="F177" s="4">
        <f t="shared" si="14"/>
        <v>3650.15</v>
      </c>
      <c r="G177" s="4">
        <f t="shared" si="15"/>
        <v>335</v>
      </c>
      <c r="H177" s="4">
        <f t="shared" si="17"/>
        <v>318.81</v>
      </c>
      <c r="I177" s="4">
        <f t="shared" si="16"/>
        <v>1041.8699999999999</v>
      </c>
    </row>
    <row r="178" spans="1:9" ht="13.2" x14ac:dyDescent="0.25">
      <c r="A178" s="5" t="s">
        <v>15</v>
      </c>
      <c r="B178" s="5" t="s">
        <v>191</v>
      </c>
      <c r="C178">
        <v>5600</v>
      </c>
      <c r="D178" s="4">
        <f t="shared" si="12"/>
        <v>4498.18</v>
      </c>
      <c r="E178" s="4">
        <f t="shared" si="13"/>
        <v>5346.21</v>
      </c>
      <c r="F178" s="4">
        <f t="shared" si="14"/>
        <v>3650.15</v>
      </c>
      <c r="G178" s="4">
        <f t="shared" si="15"/>
        <v>685</v>
      </c>
      <c r="H178" s="4">
        <f t="shared" si="17"/>
        <v>318.81</v>
      </c>
      <c r="I178" s="4">
        <f t="shared" si="16"/>
        <v>1041.8699999999999</v>
      </c>
    </row>
    <row r="179" spans="1:9" ht="13.2" x14ac:dyDescent="0.25">
      <c r="A179" s="5" t="s">
        <v>15</v>
      </c>
      <c r="B179" s="5" t="s">
        <v>192</v>
      </c>
      <c r="C179">
        <v>5075</v>
      </c>
      <c r="D179" s="4">
        <f t="shared" si="12"/>
        <v>4498.18</v>
      </c>
      <c r="E179" s="4">
        <f t="shared" si="13"/>
        <v>5346.21</v>
      </c>
      <c r="F179" s="4">
        <f t="shared" si="14"/>
        <v>3650.15</v>
      </c>
      <c r="G179" s="4">
        <f t="shared" si="15"/>
        <v>525</v>
      </c>
      <c r="H179" s="4">
        <f t="shared" si="17"/>
        <v>318.81</v>
      </c>
      <c r="I179" s="4">
        <f t="shared" si="16"/>
        <v>1041.8699999999999</v>
      </c>
    </row>
    <row r="180" spans="1:9" ht="13.2" x14ac:dyDescent="0.25">
      <c r="A180" s="5" t="s">
        <v>15</v>
      </c>
      <c r="B180" s="5" t="s">
        <v>193</v>
      </c>
      <c r="C180">
        <v>4450</v>
      </c>
      <c r="D180" s="4">
        <f t="shared" si="12"/>
        <v>4498.18</v>
      </c>
      <c r="E180" s="4">
        <f t="shared" si="13"/>
        <v>5346.21</v>
      </c>
      <c r="F180" s="4">
        <f t="shared" si="14"/>
        <v>3650.15</v>
      </c>
      <c r="G180" s="4">
        <f t="shared" si="15"/>
        <v>625</v>
      </c>
      <c r="H180" s="4">
        <f t="shared" si="17"/>
        <v>318.81</v>
      </c>
      <c r="I180" s="4">
        <f t="shared" si="16"/>
        <v>1041.8699999999999</v>
      </c>
    </row>
    <row r="181" spans="1:9" ht="13.2" x14ac:dyDescent="0.25">
      <c r="A181" s="5" t="s">
        <v>15</v>
      </c>
      <c r="B181" s="5" t="s">
        <v>194</v>
      </c>
      <c r="C181">
        <v>4215</v>
      </c>
      <c r="D181" s="4">
        <f t="shared" si="12"/>
        <v>4498.18</v>
      </c>
      <c r="E181" s="4">
        <f t="shared" si="13"/>
        <v>5346.21</v>
      </c>
      <c r="F181" s="4">
        <f t="shared" si="14"/>
        <v>3650.15</v>
      </c>
      <c r="G181" s="4">
        <f t="shared" si="15"/>
        <v>235</v>
      </c>
      <c r="H181" s="4">
        <f t="shared" si="17"/>
        <v>318.81</v>
      </c>
      <c r="I181" s="4">
        <f t="shared" si="16"/>
        <v>1041.8699999999999</v>
      </c>
    </row>
    <row r="182" spans="1:9" ht="13.2" x14ac:dyDescent="0.25">
      <c r="A182" s="5" t="s">
        <v>15</v>
      </c>
      <c r="B182" s="5" t="s">
        <v>195</v>
      </c>
      <c r="C182">
        <v>4325</v>
      </c>
      <c r="D182" s="4">
        <f t="shared" si="12"/>
        <v>4498.18</v>
      </c>
      <c r="E182" s="4">
        <f t="shared" si="13"/>
        <v>5346.21</v>
      </c>
      <c r="F182" s="4">
        <f t="shared" si="14"/>
        <v>3650.15</v>
      </c>
      <c r="G182" s="4">
        <f t="shared" si="15"/>
        <v>110</v>
      </c>
      <c r="H182" s="4">
        <f t="shared" si="17"/>
        <v>318.81</v>
      </c>
      <c r="I182" s="4">
        <f t="shared" si="16"/>
        <v>1041.8699999999999</v>
      </c>
    </row>
    <row r="183" spans="1:9" ht="13.2" x14ac:dyDescent="0.25">
      <c r="A183" s="5" t="s">
        <v>15</v>
      </c>
      <c r="B183" s="5" t="s">
        <v>196</v>
      </c>
      <c r="C183">
        <v>4665</v>
      </c>
      <c r="D183" s="4">
        <f t="shared" si="12"/>
        <v>4498.18</v>
      </c>
      <c r="E183" s="4">
        <f t="shared" si="13"/>
        <v>5346.21</v>
      </c>
      <c r="F183" s="4">
        <f t="shared" si="14"/>
        <v>3650.15</v>
      </c>
      <c r="G183" s="4">
        <f t="shared" si="15"/>
        <v>340</v>
      </c>
      <c r="H183" s="4">
        <f t="shared" si="17"/>
        <v>318.81</v>
      </c>
      <c r="I183" s="4">
        <f t="shared" si="16"/>
        <v>1041.8699999999999</v>
      </c>
    </row>
    <row r="184" spans="1:9" ht="13.2" x14ac:dyDescent="0.25">
      <c r="A184" s="5" t="s">
        <v>15</v>
      </c>
      <c r="B184" s="5" t="s">
        <v>197</v>
      </c>
      <c r="C184">
        <v>4615</v>
      </c>
      <c r="D184" s="4">
        <f t="shared" si="12"/>
        <v>4498.18</v>
      </c>
      <c r="E184" s="4">
        <f t="shared" si="13"/>
        <v>5346.21</v>
      </c>
      <c r="F184" s="4">
        <f t="shared" si="14"/>
        <v>3650.15</v>
      </c>
      <c r="G184" s="4">
        <f t="shared" si="15"/>
        <v>50</v>
      </c>
      <c r="H184" s="4">
        <f t="shared" si="17"/>
        <v>318.81</v>
      </c>
      <c r="I184" s="4">
        <f t="shared" si="16"/>
        <v>1041.8699999999999</v>
      </c>
    </row>
    <row r="185" spans="1:9" ht="13.2" x14ac:dyDescent="0.25">
      <c r="A185" s="5" t="s">
        <v>15</v>
      </c>
      <c r="B185" s="5" t="s">
        <v>198</v>
      </c>
      <c r="C185">
        <v>4615</v>
      </c>
      <c r="D185" s="4">
        <f t="shared" si="12"/>
        <v>4498.18</v>
      </c>
      <c r="E185" s="4">
        <f t="shared" si="13"/>
        <v>5346.21</v>
      </c>
      <c r="F185" s="4">
        <f t="shared" si="14"/>
        <v>3650.15</v>
      </c>
      <c r="G185" s="4">
        <f t="shared" si="15"/>
        <v>0</v>
      </c>
      <c r="H185" s="4">
        <f t="shared" si="17"/>
        <v>318.81</v>
      </c>
      <c r="I185" s="4">
        <f t="shared" si="16"/>
        <v>1041.8699999999999</v>
      </c>
    </row>
    <row r="186" spans="1:9" ht="13.2" x14ac:dyDescent="0.25">
      <c r="A186" s="5" t="s">
        <v>15</v>
      </c>
      <c r="B186" s="5" t="s">
        <v>199</v>
      </c>
      <c r="C186">
        <v>4500</v>
      </c>
      <c r="D186" s="4">
        <f t="shared" si="12"/>
        <v>4498.18</v>
      </c>
      <c r="E186" s="4">
        <f t="shared" si="13"/>
        <v>5346.21</v>
      </c>
      <c r="F186" s="4">
        <f t="shared" si="14"/>
        <v>3650.15</v>
      </c>
      <c r="G186" s="4">
        <f t="shared" si="15"/>
        <v>115</v>
      </c>
      <c r="H186" s="4">
        <f t="shared" si="17"/>
        <v>318.81</v>
      </c>
      <c r="I186" s="4">
        <f t="shared" si="16"/>
        <v>1041.8699999999999</v>
      </c>
    </row>
    <row r="187" spans="1:9" ht="13.2" x14ac:dyDescent="0.25">
      <c r="A187" s="5" t="s">
        <v>15</v>
      </c>
      <c r="B187" s="5" t="s">
        <v>200</v>
      </c>
      <c r="C187">
        <v>4765</v>
      </c>
      <c r="D187" s="4">
        <f t="shared" si="12"/>
        <v>4498.18</v>
      </c>
      <c r="E187" s="4">
        <f t="shared" si="13"/>
        <v>5346.21</v>
      </c>
      <c r="F187" s="4">
        <f t="shared" si="14"/>
        <v>3650.15</v>
      </c>
      <c r="G187" s="4">
        <f t="shared" si="15"/>
        <v>265</v>
      </c>
      <c r="H187" s="4">
        <f t="shared" si="17"/>
        <v>318.81</v>
      </c>
      <c r="I187" s="4">
        <f t="shared" si="16"/>
        <v>1041.8699999999999</v>
      </c>
    </row>
    <row r="188" spans="1:9" ht="13.2" x14ac:dyDescent="0.25">
      <c r="A188" s="5" t="s">
        <v>15</v>
      </c>
      <c r="B188" s="5" t="s">
        <v>201</v>
      </c>
      <c r="C188">
        <v>4500</v>
      </c>
      <c r="D188" s="4">
        <f t="shared" si="12"/>
        <v>4498.18</v>
      </c>
      <c r="E188" s="4">
        <f t="shared" si="13"/>
        <v>5346.21</v>
      </c>
      <c r="F188" s="4">
        <f t="shared" si="14"/>
        <v>3650.15</v>
      </c>
      <c r="G188" s="4">
        <f t="shared" si="15"/>
        <v>265</v>
      </c>
      <c r="H188" s="4">
        <f t="shared" si="17"/>
        <v>318.81</v>
      </c>
      <c r="I188" s="4">
        <f t="shared" si="16"/>
        <v>1041.8699999999999</v>
      </c>
    </row>
    <row r="189" spans="1:9" ht="13.2" x14ac:dyDescent="0.25">
      <c r="A189" s="5" t="s">
        <v>15</v>
      </c>
      <c r="B189" s="5" t="s">
        <v>202</v>
      </c>
      <c r="C189">
        <v>4500</v>
      </c>
      <c r="D189" s="4">
        <f t="shared" si="12"/>
        <v>4498.18</v>
      </c>
      <c r="E189" s="4">
        <f t="shared" si="13"/>
        <v>5346.21</v>
      </c>
      <c r="F189" s="4">
        <f t="shared" si="14"/>
        <v>3650.15</v>
      </c>
      <c r="G189" s="4">
        <f t="shared" si="15"/>
        <v>0</v>
      </c>
      <c r="H189" s="4">
        <f t="shared" si="17"/>
        <v>318.81</v>
      </c>
      <c r="I189" s="4">
        <f t="shared" si="16"/>
        <v>1041.8699999999999</v>
      </c>
    </row>
    <row r="190" spans="1:9" ht="13.2" x14ac:dyDescent="0.25">
      <c r="A190" s="5" t="s">
        <v>15</v>
      </c>
      <c r="B190" s="5" t="s">
        <v>203</v>
      </c>
      <c r="C190">
        <v>4850</v>
      </c>
      <c r="D190" s="4">
        <f t="shared" si="12"/>
        <v>4498.18</v>
      </c>
      <c r="E190" s="4">
        <f t="shared" si="13"/>
        <v>5346.21</v>
      </c>
      <c r="F190" s="4">
        <f t="shared" si="14"/>
        <v>3650.15</v>
      </c>
      <c r="G190" s="4">
        <f t="shared" si="15"/>
        <v>350</v>
      </c>
      <c r="H190" s="4">
        <f t="shared" si="17"/>
        <v>318.81</v>
      </c>
      <c r="I190" s="4">
        <f t="shared" si="16"/>
        <v>1041.8699999999999</v>
      </c>
    </row>
    <row r="191" spans="1:9" ht="13.2" x14ac:dyDescent="0.25">
      <c r="A191" s="5" t="s">
        <v>15</v>
      </c>
      <c r="B191" s="5" t="s">
        <v>204</v>
      </c>
      <c r="C191">
        <v>4930</v>
      </c>
      <c r="D191" s="4">
        <f t="shared" si="12"/>
        <v>4498.18</v>
      </c>
      <c r="E191" s="4">
        <f t="shared" si="13"/>
        <v>5346.21</v>
      </c>
      <c r="F191" s="4">
        <f t="shared" si="14"/>
        <v>3650.15</v>
      </c>
      <c r="G191" s="4">
        <f t="shared" si="15"/>
        <v>80</v>
      </c>
      <c r="H191" s="4">
        <f t="shared" si="17"/>
        <v>318.81</v>
      </c>
      <c r="I191" s="4">
        <f t="shared" si="16"/>
        <v>1041.8699999999999</v>
      </c>
    </row>
    <row r="192" spans="1:9" ht="13.2" x14ac:dyDescent="0.25">
      <c r="A192" s="5" t="s">
        <v>15</v>
      </c>
      <c r="B192" s="5" t="s">
        <v>205</v>
      </c>
      <c r="C192">
        <v>4700</v>
      </c>
      <c r="D192" s="4">
        <f t="shared" si="12"/>
        <v>4498.18</v>
      </c>
      <c r="E192" s="4">
        <f t="shared" si="13"/>
        <v>5346.21</v>
      </c>
      <c r="F192" s="4">
        <f t="shared" si="14"/>
        <v>3650.15</v>
      </c>
      <c r="G192" s="4">
        <f t="shared" si="15"/>
        <v>230</v>
      </c>
      <c r="H192" s="4">
        <f t="shared" si="17"/>
        <v>318.81</v>
      </c>
      <c r="I192" s="4">
        <f t="shared" si="16"/>
        <v>1041.8699999999999</v>
      </c>
    </row>
    <row r="193" spans="1:9" ht="13.2" x14ac:dyDescent="0.25">
      <c r="A193" s="5" t="s">
        <v>15</v>
      </c>
      <c r="B193" s="5" t="s">
        <v>206</v>
      </c>
      <c r="C193">
        <v>4890</v>
      </c>
      <c r="D193" s="4">
        <f t="shared" si="12"/>
        <v>4498.18</v>
      </c>
      <c r="E193" s="4">
        <f t="shared" si="13"/>
        <v>5346.21</v>
      </c>
      <c r="F193" s="4">
        <f t="shared" si="14"/>
        <v>3650.15</v>
      </c>
      <c r="G193" s="4">
        <f t="shared" si="15"/>
        <v>190</v>
      </c>
      <c r="H193" s="4">
        <f t="shared" si="17"/>
        <v>318.81</v>
      </c>
      <c r="I193" s="4">
        <f t="shared" si="16"/>
        <v>1041.8699999999999</v>
      </c>
    </row>
    <row r="194" spans="1:9" ht="13.2" x14ac:dyDescent="0.25">
      <c r="A194" s="5" t="s">
        <v>15</v>
      </c>
      <c r="B194" s="5" t="s">
        <v>207</v>
      </c>
      <c r="C194">
        <v>4625</v>
      </c>
      <c r="D194" s="4">
        <f t="shared" ref="D194:D205" si="18">ROUND(AVERAGE($C$2:$C$205),2)</f>
        <v>4498.18</v>
      </c>
      <c r="E194" s="4">
        <f t="shared" ref="E194:E205" si="19">ROUND(D194+(2.66*H194),2)</f>
        <v>5346.21</v>
      </c>
      <c r="F194" s="4">
        <f t="shared" ref="F194:F205" si="20">ROUND(D194-(2.66*H194),2)</f>
        <v>3650.15</v>
      </c>
      <c r="G194" s="4">
        <f t="shared" ref="G194:G205" si="21">ABS(C193-C194)</f>
        <v>265</v>
      </c>
      <c r="H194" s="4">
        <f t="shared" si="17"/>
        <v>318.81</v>
      </c>
      <c r="I194" s="4">
        <f t="shared" ref="I194:I205" si="22">ROUND(3.268*H194,2)</f>
        <v>1041.8699999999999</v>
      </c>
    </row>
    <row r="195" spans="1:9" ht="13.2" x14ac:dyDescent="0.25">
      <c r="A195" s="5" t="s">
        <v>15</v>
      </c>
      <c r="B195" s="5" t="s">
        <v>208</v>
      </c>
      <c r="C195">
        <v>4425</v>
      </c>
      <c r="D195" s="4">
        <f t="shared" si="18"/>
        <v>4498.18</v>
      </c>
      <c r="E195" s="4">
        <f t="shared" si="19"/>
        <v>5346.21</v>
      </c>
      <c r="F195" s="4">
        <f t="shared" si="20"/>
        <v>3650.15</v>
      </c>
      <c r="G195" s="4">
        <f t="shared" si="21"/>
        <v>200</v>
      </c>
      <c r="H195" s="4">
        <f t="shared" ref="H195:H205" si="23">ROUND(AVERAGE($G$3:$G$205),2)</f>
        <v>318.81</v>
      </c>
      <c r="I195" s="4">
        <f t="shared" si="22"/>
        <v>1041.8699999999999</v>
      </c>
    </row>
    <row r="196" spans="1:9" ht="13.2" x14ac:dyDescent="0.25">
      <c r="A196" s="5" t="s">
        <v>15</v>
      </c>
      <c r="B196" s="5" t="s">
        <v>209</v>
      </c>
      <c r="C196">
        <v>4135</v>
      </c>
      <c r="D196" s="4">
        <f t="shared" si="18"/>
        <v>4498.18</v>
      </c>
      <c r="E196" s="4">
        <f t="shared" si="19"/>
        <v>5346.21</v>
      </c>
      <c r="F196" s="4">
        <f t="shared" si="20"/>
        <v>3650.15</v>
      </c>
      <c r="G196" s="4">
        <f t="shared" si="21"/>
        <v>290</v>
      </c>
      <c r="H196" s="4">
        <f t="shared" si="23"/>
        <v>318.81</v>
      </c>
      <c r="I196" s="4">
        <f t="shared" si="22"/>
        <v>1041.8699999999999</v>
      </c>
    </row>
    <row r="197" spans="1:9" ht="13.2" x14ac:dyDescent="0.25">
      <c r="A197" s="5" t="s">
        <v>15</v>
      </c>
      <c r="B197" s="5" t="s">
        <v>210</v>
      </c>
      <c r="C197">
        <v>4190</v>
      </c>
      <c r="D197" s="4">
        <f t="shared" si="18"/>
        <v>4498.18</v>
      </c>
      <c r="E197" s="4">
        <f t="shared" si="19"/>
        <v>5346.21</v>
      </c>
      <c r="F197" s="4">
        <f t="shared" si="20"/>
        <v>3650.15</v>
      </c>
      <c r="G197" s="4">
        <f t="shared" si="21"/>
        <v>55</v>
      </c>
      <c r="H197" s="4">
        <f t="shared" si="23"/>
        <v>318.81</v>
      </c>
      <c r="I197" s="4">
        <f t="shared" si="22"/>
        <v>1041.8699999999999</v>
      </c>
    </row>
    <row r="198" spans="1:9" ht="13.2" x14ac:dyDescent="0.25">
      <c r="A198" s="5" t="s">
        <v>15</v>
      </c>
      <c r="B198" s="5" t="s">
        <v>211</v>
      </c>
      <c r="C198">
        <v>4080</v>
      </c>
      <c r="D198" s="4">
        <f t="shared" si="18"/>
        <v>4498.18</v>
      </c>
      <c r="E198" s="4">
        <f t="shared" si="19"/>
        <v>5346.21</v>
      </c>
      <c r="F198" s="4">
        <f t="shared" si="20"/>
        <v>3650.15</v>
      </c>
      <c r="G198" s="4">
        <f t="shared" si="21"/>
        <v>110</v>
      </c>
      <c r="H198" s="4">
        <f t="shared" si="23"/>
        <v>318.81</v>
      </c>
      <c r="I198" s="4">
        <f t="shared" si="22"/>
        <v>1041.8699999999999</v>
      </c>
    </row>
    <row r="199" spans="1:9" ht="13.2" x14ac:dyDescent="0.25">
      <c r="A199" s="5" t="s">
        <v>15</v>
      </c>
      <c r="B199" s="5" t="s">
        <v>212</v>
      </c>
      <c r="C199">
        <v>3690</v>
      </c>
      <c r="D199" s="4">
        <f t="shared" si="18"/>
        <v>4498.18</v>
      </c>
      <c r="E199" s="4">
        <f t="shared" si="19"/>
        <v>5346.21</v>
      </c>
      <c r="F199" s="4">
        <f t="shared" si="20"/>
        <v>3650.15</v>
      </c>
      <c r="G199" s="4">
        <f t="shared" si="21"/>
        <v>390</v>
      </c>
      <c r="H199" s="4">
        <f t="shared" si="23"/>
        <v>318.81</v>
      </c>
      <c r="I199" s="4">
        <f t="shared" si="22"/>
        <v>1041.8699999999999</v>
      </c>
    </row>
    <row r="200" spans="1:9" ht="13.2" x14ac:dyDescent="0.25">
      <c r="A200" s="5" t="s">
        <v>15</v>
      </c>
      <c r="B200" s="5" t="s">
        <v>213</v>
      </c>
      <c r="C200">
        <v>5050</v>
      </c>
      <c r="D200" s="4">
        <f t="shared" si="18"/>
        <v>4498.18</v>
      </c>
      <c r="E200" s="4">
        <f t="shared" si="19"/>
        <v>5346.21</v>
      </c>
      <c r="F200" s="4">
        <f t="shared" si="20"/>
        <v>3650.15</v>
      </c>
      <c r="G200" s="4">
        <f t="shared" si="21"/>
        <v>1360</v>
      </c>
      <c r="H200" s="4">
        <f t="shared" si="23"/>
        <v>318.81</v>
      </c>
      <c r="I200" s="4">
        <f t="shared" si="22"/>
        <v>1041.8699999999999</v>
      </c>
    </row>
    <row r="201" spans="1:9" ht="13.2" x14ac:dyDescent="0.25">
      <c r="A201" s="5" t="s">
        <v>15</v>
      </c>
      <c r="B201" s="5" t="s">
        <v>214</v>
      </c>
      <c r="C201">
        <v>4625</v>
      </c>
      <c r="D201" s="4">
        <f t="shared" si="18"/>
        <v>4498.18</v>
      </c>
      <c r="E201" s="4">
        <f t="shared" si="19"/>
        <v>5346.21</v>
      </c>
      <c r="F201" s="4">
        <f t="shared" si="20"/>
        <v>3650.15</v>
      </c>
      <c r="G201" s="4">
        <f t="shared" si="21"/>
        <v>425</v>
      </c>
      <c r="H201" s="4">
        <f t="shared" si="23"/>
        <v>318.81</v>
      </c>
      <c r="I201" s="4">
        <f t="shared" si="22"/>
        <v>1041.8699999999999</v>
      </c>
    </row>
    <row r="202" spans="1:9" ht="13.2" x14ac:dyDescent="0.25">
      <c r="A202" s="5" t="s">
        <v>15</v>
      </c>
      <c r="B202" s="5" t="s">
        <v>215</v>
      </c>
      <c r="C202">
        <v>5150</v>
      </c>
      <c r="D202" s="4">
        <f t="shared" si="18"/>
        <v>4498.18</v>
      </c>
      <c r="E202" s="4">
        <f t="shared" si="19"/>
        <v>5346.21</v>
      </c>
      <c r="F202" s="4">
        <f t="shared" si="20"/>
        <v>3650.15</v>
      </c>
      <c r="G202" s="4">
        <f t="shared" si="21"/>
        <v>525</v>
      </c>
      <c r="H202" s="4">
        <f t="shared" si="23"/>
        <v>318.81</v>
      </c>
      <c r="I202" s="4">
        <f t="shared" si="22"/>
        <v>1041.8699999999999</v>
      </c>
    </row>
    <row r="203" spans="1:9" ht="13.2" x14ac:dyDescent="0.25">
      <c r="A203" s="5" t="s">
        <v>15</v>
      </c>
      <c r="B203" s="5" t="s">
        <v>216</v>
      </c>
      <c r="C203">
        <v>5250</v>
      </c>
      <c r="D203" s="4">
        <f t="shared" si="18"/>
        <v>4498.18</v>
      </c>
      <c r="E203" s="4">
        <f t="shared" si="19"/>
        <v>5346.21</v>
      </c>
      <c r="F203" s="4">
        <f t="shared" si="20"/>
        <v>3650.15</v>
      </c>
      <c r="G203" s="4">
        <f t="shared" si="21"/>
        <v>100</v>
      </c>
      <c r="H203" s="4">
        <f t="shared" si="23"/>
        <v>318.81</v>
      </c>
      <c r="I203" s="4">
        <f t="shared" si="22"/>
        <v>1041.8699999999999</v>
      </c>
    </row>
    <row r="204" spans="1:9" ht="13.2" x14ac:dyDescent="0.25">
      <c r="A204" s="5" t="s">
        <v>15</v>
      </c>
      <c r="B204" s="5" t="s">
        <v>217</v>
      </c>
      <c r="C204">
        <v>5000</v>
      </c>
      <c r="D204" s="4">
        <f t="shared" si="18"/>
        <v>4498.18</v>
      </c>
      <c r="E204" s="4">
        <f t="shared" si="19"/>
        <v>5346.21</v>
      </c>
      <c r="F204" s="4">
        <f t="shared" si="20"/>
        <v>3650.15</v>
      </c>
      <c r="G204" s="4">
        <f t="shared" si="21"/>
        <v>250</v>
      </c>
      <c r="H204" s="4">
        <f t="shared" si="23"/>
        <v>318.81</v>
      </c>
      <c r="I204" s="4">
        <f t="shared" si="22"/>
        <v>1041.8699999999999</v>
      </c>
    </row>
    <row r="205" spans="1:9" ht="13.2" x14ac:dyDescent="0.25">
      <c r="A205" s="5" t="s">
        <v>15</v>
      </c>
      <c r="B205" s="5" t="s">
        <v>218</v>
      </c>
      <c r="C205">
        <v>5000</v>
      </c>
      <c r="D205" s="4">
        <f t="shared" si="18"/>
        <v>4498.18</v>
      </c>
      <c r="E205" s="4">
        <f t="shared" si="19"/>
        <v>5346.21</v>
      </c>
      <c r="F205" s="4">
        <f t="shared" si="20"/>
        <v>3650.15</v>
      </c>
      <c r="G205" s="4">
        <f t="shared" si="21"/>
        <v>0</v>
      </c>
      <c r="H205" s="4">
        <f t="shared" si="23"/>
        <v>318.81</v>
      </c>
      <c r="I205" s="4">
        <f t="shared" si="22"/>
        <v>1041.8699999999999</v>
      </c>
    </row>
    <row r="206" spans="1:9" ht="13.2" x14ac:dyDescent="0.25"/>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206"/>
  <sheetViews>
    <sheetView workbookViewId="0">
      <selection activeCell="N33" sqref="N33"/>
    </sheetView>
  </sheetViews>
  <sheetFormatPr defaultColWidth="12.6640625" defaultRowHeight="15.75" customHeight="1" x14ac:dyDescent="0.25"/>
  <cols>
    <col min="1" max="1" width="8.88671875" bestFit="1" customWidth="1"/>
    <col min="2" max="2" width="8.33203125" bestFit="1" customWidth="1"/>
    <col min="3" max="3" width="12.77734375" bestFit="1" customWidth="1"/>
  </cols>
  <sheetData>
    <row r="1" spans="1:9" ht="15.75" customHeight="1" x14ac:dyDescent="0.25">
      <c r="A1" s="13" t="s">
        <v>7</v>
      </c>
      <c r="B1" s="13" t="s">
        <v>1</v>
      </c>
      <c r="C1" s="13" t="s">
        <v>8</v>
      </c>
      <c r="D1" s="17" t="s">
        <v>9</v>
      </c>
      <c r="E1" s="17" t="s">
        <v>10</v>
      </c>
      <c r="F1" s="17" t="s">
        <v>11</v>
      </c>
      <c r="G1" s="17" t="s">
        <v>12</v>
      </c>
      <c r="H1" s="17" t="s">
        <v>13</v>
      </c>
      <c r="I1" s="17" t="s">
        <v>14</v>
      </c>
    </row>
    <row r="2" spans="1:9" ht="15.75" customHeight="1" x14ac:dyDescent="0.25">
      <c r="A2" s="5" t="s">
        <v>15</v>
      </c>
      <c r="B2" s="5" t="s">
        <v>6</v>
      </c>
      <c r="C2">
        <v>5045</v>
      </c>
      <c r="D2" s="18">
        <f t="shared" ref="D2:D33" si="0">ROUND(AVERAGE($C$2:$C$205),2)</f>
        <v>4498.18</v>
      </c>
      <c r="E2" s="18">
        <f t="shared" ref="E2:E65" si="1">ROUND(D2+(2.66*H2),2)</f>
        <v>5346.21</v>
      </c>
      <c r="F2" s="18">
        <f t="shared" ref="F2:F65" si="2">ROUND(D2-(2.66*H2),2)</f>
        <v>3650.15</v>
      </c>
      <c r="G2" s="14"/>
      <c r="H2" s="18">
        <f t="shared" ref="H2:H33" si="3">ROUND(AVERAGE($G$3:$G$205),2)</f>
        <v>318.81</v>
      </c>
      <c r="I2" s="4">
        <f t="shared" ref="I2:I65" si="4">ROUND(3.268*H2,2)</f>
        <v>1041.8699999999999</v>
      </c>
    </row>
    <row r="3" spans="1:9" ht="15.75" customHeight="1" x14ac:dyDescent="0.25">
      <c r="A3" s="5" t="s">
        <v>15</v>
      </c>
      <c r="B3" s="5" t="s">
        <v>16</v>
      </c>
      <c r="C3">
        <v>4350</v>
      </c>
      <c r="D3" s="18">
        <f t="shared" si="0"/>
        <v>4498.18</v>
      </c>
      <c r="E3" s="18">
        <f t="shared" si="1"/>
        <v>5346.21</v>
      </c>
      <c r="F3" s="18">
        <f t="shared" si="2"/>
        <v>3650.15</v>
      </c>
      <c r="G3" s="14">
        <f t="shared" ref="G3:G65" si="5">ABS(C2-C3)</f>
        <v>695</v>
      </c>
      <c r="H3" s="18">
        <f t="shared" si="3"/>
        <v>318.81</v>
      </c>
      <c r="I3" s="4">
        <f t="shared" si="4"/>
        <v>1041.8699999999999</v>
      </c>
    </row>
    <row r="4" spans="1:9" ht="15.75" customHeight="1" x14ac:dyDescent="0.25">
      <c r="A4" s="5" t="s">
        <v>15</v>
      </c>
      <c r="B4" s="5" t="s">
        <v>17</v>
      </c>
      <c r="C4">
        <v>4350</v>
      </c>
      <c r="D4" s="18">
        <f t="shared" si="0"/>
        <v>4498.18</v>
      </c>
      <c r="E4" s="18">
        <f t="shared" si="1"/>
        <v>5346.21</v>
      </c>
      <c r="F4" s="18">
        <f t="shared" si="2"/>
        <v>3650.15</v>
      </c>
      <c r="G4" s="14">
        <f t="shared" si="5"/>
        <v>0</v>
      </c>
      <c r="H4" s="18">
        <f t="shared" si="3"/>
        <v>318.81</v>
      </c>
      <c r="I4" s="4">
        <f t="shared" si="4"/>
        <v>1041.8699999999999</v>
      </c>
    </row>
    <row r="5" spans="1:9" ht="15.75" customHeight="1" x14ac:dyDescent="0.25">
      <c r="A5" s="5" t="s">
        <v>15</v>
      </c>
      <c r="B5" s="5" t="s">
        <v>18</v>
      </c>
      <c r="C5">
        <v>3975</v>
      </c>
      <c r="D5" s="18">
        <f t="shared" si="0"/>
        <v>4498.18</v>
      </c>
      <c r="E5" s="18">
        <f t="shared" si="1"/>
        <v>5346.21</v>
      </c>
      <c r="F5" s="18">
        <f t="shared" si="2"/>
        <v>3650.15</v>
      </c>
      <c r="G5" s="14">
        <f t="shared" si="5"/>
        <v>375</v>
      </c>
      <c r="H5" s="18">
        <f t="shared" si="3"/>
        <v>318.81</v>
      </c>
      <c r="I5" s="4">
        <f t="shared" si="4"/>
        <v>1041.8699999999999</v>
      </c>
    </row>
    <row r="6" spans="1:9" ht="15.75" customHeight="1" x14ac:dyDescent="0.25">
      <c r="A6" s="5" t="s">
        <v>15</v>
      </c>
      <c r="B6" s="5" t="s">
        <v>19</v>
      </c>
      <c r="C6">
        <v>4290</v>
      </c>
      <c r="D6" s="18">
        <f t="shared" si="0"/>
        <v>4498.18</v>
      </c>
      <c r="E6" s="18">
        <f t="shared" si="1"/>
        <v>5346.21</v>
      </c>
      <c r="F6" s="18">
        <f t="shared" si="2"/>
        <v>3650.15</v>
      </c>
      <c r="G6" s="14">
        <f t="shared" si="5"/>
        <v>315</v>
      </c>
      <c r="H6" s="18">
        <f t="shared" si="3"/>
        <v>318.81</v>
      </c>
      <c r="I6" s="4">
        <f t="shared" si="4"/>
        <v>1041.8699999999999</v>
      </c>
    </row>
    <row r="7" spans="1:9" ht="15.75" customHeight="1" x14ac:dyDescent="0.25">
      <c r="A7" s="5" t="s">
        <v>15</v>
      </c>
      <c r="B7" s="5" t="s">
        <v>20</v>
      </c>
      <c r="C7">
        <v>4430</v>
      </c>
      <c r="D7" s="18">
        <f t="shared" si="0"/>
        <v>4498.18</v>
      </c>
      <c r="E7" s="18">
        <f t="shared" si="1"/>
        <v>5346.21</v>
      </c>
      <c r="F7" s="18">
        <f t="shared" si="2"/>
        <v>3650.15</v>
      </c>
      <c r="G7" s="14">
        <f t="shared" si="5"/>
        <v>140</v>
      </c>
      <c r="H7" s="18">
        <f t="shared" si="3"/>
        <v>318.81</v>
      </c>
      <c r="I7" s="4">
        <f t="shared" si="4"/>
        <v>1041.8699999999999</v>
      </c>
    </row>
    <row r="8" spans="1:9" ht="15.75" customHeight="1" x14ac:dyDescent="0.25">
      <c r="A8" s="5" t="s">
        <v>15</v>
      </c>
      <c r="B8" s="5" t="s">
        <v>21</v>
      </c>
      <c r="C8">
        <v>4485</v>
      </c>
      <c r="D8" s="18">
        <f t="shared" si="0"/>
        <v>4498.18</v>
      </c>
      <c r="E8" s="18">
        <f t="shared" si="1"/>
        <v>5346.21</v>
      </c>
      <c r="F8" s="18">
        <f t="shared" si="2"/>
        <v>3650.15</v>
      </c>
      <c r="G8" s="14">
        <f t="shared" si="5"/>
        <v>55</v>
      </c>
      <c r="H8" s="18">
        <f t="shared" si="3"/>
        <v>318.81</v>
      </c>
      <c r="I8" s="4">
        <f t="shared" si="4"/>
        <v>1041.8699999999999</v>
      </c>
    </row>
    <row r="9" spans="1:9" ht="15.75" customHeight="1" x14ac:dyDescent="0.25">
      <c r="A9" s="5" t="s">
        <v>15</v>
      </c>
      <c r="B9" s="5" t="s">
        <v>22</v>
      </c>
      <c r="C9">
        <v>4285</v>
      </c>
      <c r="D9" s="18">
        <f t="shared" si="0"/>
        <v>4498.18</v>
      </c>
      <c r="E9" s="18">
        <f t="shared" si="1"/>
        <v>5346.21</v>
      </c>
      <c r="F9" s="18">
        <f t="shared" si="2"/>
        <v>3650.15</v>
      </c>
      <c r="G9" s="14">
        <f t="shared" si="5"/>
        <v>200</v>
      </c>
      <c r="H9" s="18">
        <f t="shared" si="3"/>
        <v>318.81</v>
      </c>
      <c r="I9" s="4">
        <f t="shared" si="4"/>
        <v>1041.8699999999999</v>
      </c>
    </row>
    <row r="10" spans="1:9" ht="15.75" customHeight="1" x14ac:dyDescent="0.25">
      <c r="A10" s="5" t="s">
        <v>15</v>
      </c>
      <c r="B10" s="5" t="s">
        <v>23</v>
      </c>
      <c r="C10">
        <v>3980</v>
      </c>
      <c r="D10" s="18">
        <f t="shared" si="0"/>
        <v>4498.18</v>
      </c>
      <c r="E10" s="18">
        <f t="shared" si="1"/>
        <v>5346.21</v>
      </c>
      <c r="F10" s="18">
        <f t="shared" si="2"/>
        <v>3650.15</v>
      </c>
      <c r="G10" s="14">
        <f t="shared" si="5"/>
        <v>305</v>
      </c>
      <c r="H10" s="18">
        <f t="shared" si="3"/>
        <v>318.81</v>
      </c>
      <c r="I10" s="4">
        <f t="shared" si="4"/>
        <v>1041.8699999999999</v>
      </c>
    </row>
    <row r="11" spans="1:9" ht="15.75" customHeight="1" x14ac:dyDescent="0.25">
      <c r="A11" s="5" t="s">
        <v>15</v>
      </c>
      <c r="B11" s="5" t="s">
        <v>24</v>
      </c>
      <c r="C11">
        <v>3925</v>
      </c>
      <c r="D11" s="18">
        <f t="shared" si="0"/>
        <v>4498.18</v>
      </c>
      <c r="E11" s="18">
        <f t="shared" si="1"/>
        <v>5346.21</v>
      </c>
      <c r="F11" s="18">
        <f t="shared" si="2"/>
        <v>3650.15</v>
      </c>
      <c r="G11" s="14">
        <f t="shared" si="5"/>
        <v>55</v>
      </c>
      <c r="H11" s="18">
        <f t="shared" si="3"/>
        <v>318.81</v>
      </c>
      <c r="I11" s="4">
        <f t="shared" si="4"/>
        <v>1041.8699999999999</v>
      </c>
    </row>
    <row r="12" spans="1:9" ht="15.75" customHeight="1" x14ac:dyDescent="0.25">
      <c r="A12" s="5" t="s">
        <v>15</v>
      </c>
      <c r="B12" s="5" t="s">
        <v>25</v>
      </c>
      <c r="C12">
        <v>3645</v>
      </c>
      <c r="D12" s="18">
        <f t="shared" si="0"/>
        <v>4498.18</v>
      </c>
      <c r="E12" s="18">
        <f t="shared" si="1"/>
        <v>5346.21</v>
      </c>
      <c r="F12" s="18">
        <f t="shared" si="2"/>
        <v>3650.15</v>
      </c>
      <c r="G12" s="14">
        <f t="shared" si="5"/>
        <v>280</v>
      </c>
      <c r="H12" s="18">
        <f t="shared" si="3"/>
        <v>318.81</v>
      </c>
      <c r="I12" s="4">
        <f t="shared" si="4"/>
        <v>1041.8699999999999</v>
      </c>
    </row>
    <row r="13" spans="1:9" ht="15.75" customHeight="1" x14ac:dyDescent="0.25">
      <c r="A13" s="5" t="s">
        <v>15</v>
      </c>
      <c r="B13" s="5" t="s">
        <v>26</v>
      </c>
      <c r="C13">
        <v>3760</v>
      </c>
      <c r="D13" s="18">
        <f t="shared" si="0"/>
        <v>4498.18</v>
      </c>
      <c r="E13" s="18">
        <f t="shared" si="1"/>
        <v>5346.21</v>
      </c>
      <c r="F13" s="18">
        <f t="shared" si="2"/>
        <v>3650.15</v>
      </c>
      <c r="G13" s="14">
        <f t="shared" si="5"/>
        <v>115</v>
      </c>
      <c r="H13" s="18">
        <f t="shared" si="3"/>
        <v>318.81</v>
      </c>
      <c r="I13" s="4">
        <f t="shared" si="4"/>
        <v>1041.8699999999999</v>
      </c>
    </row>
    <row r="14" spans="1:9" ht="15.75" customHeight="1" x14ac:dyDescent="0.25">
      <c r="A14" s="5" t="s">
        <v>15</v>
      </c>
      <c r="B14" s="5" t="s">
        <v>27</v>
      </c>
      <c r="C14">
        <v>3300</v>
      </c>
      <c r="D14" s="18">
        <f t="shared" si="0"/>
        <v>4498.18</v>
      </c>
      <c r="E14" s="18">
        <f t="shared" si="1"/>
        <v>5346.21</v>
      </c>
      <c r="F14" s="18">
        <f t="shared" si="2"/>
        <v>3650.15</v>
      </c>
      <c r="G14" s="14">
        <f t="shared" si="5"/>
        <v>460</v>
      </c>
      <c r="H14" s="18">
        <f t="shared" si="3"/>
        <v>318.81</v>
      </c>
      <c r="I14" s="4">
        <f t="shared" si="4"/>
        <v>1041.8699999999999</v>
      </c>
    </row>
    <row r="15" spans="1:9" ht="15.75" customHeight="1" x14ac:dyDescent="0.25">
      <c r="A15" s="5" t="s">
        <v>15</v>
      </c>
      <c r="B15" s="5" t="s">
        <v>28</v>
      </c>
      <c r="C15">
        <v>3685</v>
      </c>
      <c r="D15" s="18">
        <f t="shared" si="0"/>
        <v>4498.18</v>
      </c>
      <c r="E15" s="18">
        <f t="shared" si="1"/>
        <v>5346.21</v>
      </c>
      <c r="F15" s="18">
        <f t="shared" si="2"/>
        <v>3650.15</v>
      </c>
      <c r="G15" s="14">
        <f t="shared" si="5"/>
        <v>385</v>
      </c>
      <c r="H15" s="18">
        <f t="shared" si="3"/>
        <v>318.81</v>
      </c>
      <c r="I15" s="4">
        <f t="shared" si="4"/>
        <v>1041.8699999999999</v>
      </c>
    </row>
    <row r="16" spans="1:9" ht="15.75" customHeight="1" x14ac:dyDescent="0.25">
      <c r="A16" s="5" t="s">
        <v>15</v>
      </c>
      <c r="B16" s="5" t="s">
        <v>29</v>
      </c>
      <c r="C16">
        <v>3463</v>
      </c>
      <c r="D16" s="18">
        <f t="shared" si="0"/>
        <v>4498.18</v>
      </c>
      <c r="E16" s="18">
        <f t="shared" si="1"/>
        <v>5346.21</v>
      </c>
      <c r="F16" s="18">
        <f t="shared" si="2"/>
        <v>3650.15</v>
      </c>
      <c r="G16" s="14">
        <f t="shared" si="5"/>
        <v>222</v>
      </c>
      <c r="H16" s="18">
        <f t="shared" si="3"/>
        <v>318.81</v>
      </c>
      <c r="I16" s="4">
        <f t="shared" si="4"/>
        <v>1041.8699999999999</v>
      </c>
    </row>
    <row r="17" spans="1:9" ht="15.75" customHeight="1" x14ac:dyDescent="0.25">
      <c r="A17" s="5" t="s">
        <v>15</v>
      </c>
      <c r="B17" s="5" t="s">
        <v>30</v>
      </c>
      <c r="C17">
        <v>5200</v>
      </c>
      <c r="D17" s="18">
        <f t="shared" si="0"/>
        <v>4498.18</v>
      </c>
      <c r="E17" s="18">
        <f t="shared" si="1"/>
        <v>5346.21</v>
      </c>
      <c r="F17" s="18">
        <f t="shared" si="2"/>
        <v>3650.15</v>
      </c>
      <c r="G17" s="14">
        <f t="shared" si="5"/>
        <v>1737</v>
      </c>
      <c r="H17" s="18">
        <f t="shared" si="3"/>
        <v>318.81</v>
      </c>
      <c r="I17" s="4">
        <f t="shared" si="4"/>
        <v>1041.8699999999999</v>
      </c>
    </row>
    <row r="18" spans="1:9" ht="15.75" customHeight="1" x14ac:dyDescent="0.25">
      <c r="A18" s="5" t="s">
        <v>15</v>
      </c>
      <c r="B18" s="5" t="s">
        <v>31</v>
      </c>
      <c r="C18">
        <v>5100</v>
      </c>
      <c r="D18" s="18">
        <f t="shared" si="0"/>
        <v>4498.18</v>
      </c>
      <c r="E18" s="18">
        <f t="shared" si="1"/>
        <v>5346.21</v>
      </c>
      <c r="F18" s="18">
        <f t="shared" si="2"/>
        <v>3650.15</v>
      </c>
      <c r="G18" s="14">
        <f t="shared" si="5"/>
        <v>100</v>
      </c>
      <c r="H18" s="18">
        <f t="shared" si="3"/>
        <v>318.81</v>
      </c>
      <c r="I18" s="4">
        <f t="shared" si="4"/>
        <v>1041.8699999999999</v>
      </c>
    </row>
    <row r="19" spans="1:9" ht="15.75" customHeight="1" x14ac:dyDescent="0.25">
      <c r="A19" s="5" t="s">
        <v>15</v>
      </c>
      <c r="B19" s="5" t="s">
        <v>32</v>
      </c>
      <c r="C19">
        <v>4635</v>
      </c>
      <c r="D19" s="18">
        <f t="shared" si="0"/>
        <v>4498.18</v>
      </c>
      <c r="E19" s="18">
        <f t="shared" si="1"/>
        <v>5346.21</v>
      </c>
      <c r="F19" s="18">
        <f t="shared" si="2"/>
        <v>3650.15</v>
      </c>
      <c r="G19" s="14">
        <f t="shared" si="5"/>
        <v>465</v>
      </c>
      <c r="H19" s="18">
        <f t="shared" si="3"/>
        <v>318.81</v>
      </c>
      <c r="I19" s="4">
        <f t="shared" si="4"/>
        <v>1041.8699999999999</v>
      </c>
    </row>
    <row r="20" spans="1:9" ht="15.75" customHeight="1" x14ac:dyDescent="0.25">
      <c r="A20" s="5" t="s">
        <v>15</v>
      </c>
      <c r="B20" s="5" t="s">
        <v>33</v>
      </c>
      <c r="C20">
        <v>5100</v>
      </c>
      <c r="D20" s="18">
        <f t="shared" si="0"/>
        <v>4498.18</v>
      </c>
      <c r="E20" s="18">
        <f t="shared" si="1"/>
        <v>5346.21</v>
      </c>
      <c r="F20" s="18">
        <f t="shared" si="2"/>
        <v>3650.15</v>
      </c>
      <c r="G20" s="14">
        <f t="shared" si="5"/>
        <v>465</v>
      </c>
      <c r="H20" s="18">
        <f t="shared" si="3"/>
        <v>318.81</v>
      </c>
      <c r="I20" s="4">
        <f t="shared" si="4"/>
        <v>1041.8699999999999</v>
      </c>
    </row>
    <row r="21" spans="1:9" ht="15.75" customHeight="1" x14ac:dyDescent="0.25">
      <c r="A21" s="5" t="s">
        <v>15</v>
      </c>
      <c r="B21" s="5" t="s">
        <v>34</v>
      </c>
      <c r="C21">
        <v>5450</v>
      </c>
      <c r="D21" s="18">
        <f t="shared" si="0"/>
        <v>4498.18</v>
      </c>
      <c r="E21" s="18">
        <f t="shared" si="1"/>
        <v>5346.21</v>
      </c>
      <c r="F21" s="18">
        <f t="shared" si="2"/>
        <v>3650.15</v>
      </c>
      <c r="G21" s="14">
        <f t="shared" si="5"/>
        <v>350</v>
      </c>
      <c r="H21" s="18">
        <f t="shared" si="3"/>
        <v>318.81</v>
      </c>
      <c r="I21" s="4">
        <f t="shared" si="4"/>
        <v>1041.8699999999999</v>
      </c>
    </row>
    <row r="22" spans="1:9" ht="15.75" customHeight="1" x14ac:dyDescent="0.25">
      <c r="A22" s="5" t="s">
        <v>15</v>
      </c>
      <c r="B22" s="5" t="s">
        <v>35</v>
      </c>
      <c r="C22">
        <v>4635</v>
      </c>
      <c r="D22" s="18">
        <f t="shared" si="0"/>
        <v>4498.18</v>
      </c>
      <c r="E22" s="18">
        <f t="shared" si="1"/>
        <v>5346.21</v>
      </c>
      <c r="F22" s="18">
        <f t="shared" si="2"/>
        <v>3650.15</v>
      </c>
      <c r="G22" s="14">
        <f t="shared" si="5"/>
        <v>815</v>
      </c>
      <c r="H22" s="18">
        <f t="shared" si="3"/>
        <v>318.81</v>
      </c>
      <c r="I22" s="4">
        <f t="shared" si="4"/>
        <v>1041.8699999999999</v>
      </c>
    </row>
    <row r="23" spans="1:9" ht="15.75" customHeight="1" x14ac:dyDescent="0.25">
      <c r="A23" s="5" t="s">
        <v>15</v>
      </c>
      <c r="B23" s="5" t="s">
        <v>36</v>
      </c>
      <c r="C23">
        <v>4720</v>
      </c>
      <c r="D23" s="18">
        <f t="shared" si="0"/>
        <v>4498.18</v>
      </c>
      <c r="E23" s="18">
        <f t="shared" si="1"/>
        <v>5346.21</v>
      </c>
      <c r="F23" s="18">
        <f t="shared" si="2"/>
        <v>3650.15</v>
      </c>
      <c r="G23" s="14">
        <f t="shared" si="5"/>
        <v>85</v>
      </c>
      <c r="H23" s="18">
        <f t="shared" si="3"/>
        <v>318.81</v>
      </c>
      <c r="I23" s="4">
        <f t="shared" si="4"/>
        <v>1041.8699999999999</v>
      </c>
    </row>
    <row r="24" spans="1:9" ht="15.75" customHeight="1" x14ac:dyDescent="0.25">
      <c r="A24" s="5" t="s">
        <v>15</v>
      </c>
      <c r="B24" s="5" t="s">
        <v>37</v>
      </c>
      <c r="C24">
        <v>4810</v>
      </c>
      <c r="D24" s="18">
        <f t="shared" si="0"/>
        <v>4498.18</v>
      </c>
      <c r="E24" s="18">
        <f t="shared" si="1"/>
        <v>5346.21</v>
      </c>
      <c r="F24" s="18">
        <f t="shared" si="2"/>
        <v>3650.15</v>
      </c>
      <c r="G24" s="14">
        <f t="shared" si="5"/>
        <v>90</v>
      </c>
      <c r="H24" s="18">
        <f t="shared" si="3"/>
        <v>318.81</v>
      </c>
      <c r="I24" s="4">
        <f t="shared" si="4"/>
        <v>1041.8699999999999</v>
      </c>
    </row>
    <row r="25" spans="1:9" ht="15.75" customHeight="1" x14ac:dyDescent="0.25">
      <c r="A25" s="5" t="s">
        <v>15</v>
      </c>
      <c r="B25" s="5" t="s">
        <v>38</v>
      </c>
      <c r="C25">
        <v>4565</v>
      </c>
      <c r="D25" s="18">
        <f t="shared" si="0"/>
        <v>4498.18</v>
      </c>
      <c r="E25" s="18">
        <f t="shared" si="1"/>
        <v>5346.21</v>
      </c>
      <c r="F25" s="18">
        <f t="shared" si="2"/>
        <v>3650.15</v>
      </c>
      <c r="G25" s="14">
        <f t="shared" si="5"/>
        <v>245</v>
      </c>
      <c r="H25" s="18">
        <f t="shared" si="3"/>
        <v>318.81</v>
      </c>
      <c r="I25" s="4">
        <f t="shared" si="4"/>
        <v>1041.8699999999999</v>
      </c>
    </row>
    <row r="26" spans="1:9" ht="15.75" customHeight="1" x14ac:dyDescent="0.25">
      <c r="A26" s="5" t="s">
        <v>15</v>
      </c>
      <c r="B26" s="5" t="s">
        <v>39</v>
      </c>
      <c r="C26">
        <v>4410</v>
      </c>
      <c r="D26" s="18">
        <f t="shared" si="0"/>
        <v>4498.18</v>
      </c>
      <c r="E26" s="18">
        <f t="shared" si="1"/>
        <v>5346.21</v>
      </c>
      <c r="F26" s="18">
        <f t="shared" si="2"/>
        <v>3650.15</v>
      </c>
      <c r="G26" s="14">
        <f t="shared" si="5"/>
        <v>155</v>
      </c>
      <c r="H26" s="18">
        <f t="shared" si="3"/>
        <v>318.81</v>
      </c>
      <c r="I26" s="4">
        <f t="shared" si="4"/>
        <v>1041.8699999999999</v>
      </c>
    </row>
    <row r="27" spans="1:9" ht="15.75" customHeight="1" x14ac:dyDescent="0.25">
      <c r="A27" s="5" t="s">
        <v>15</v>
      </c>
      <c r="B27" s="5" t="s">
        <v>40</v>
      </c>
      <c r="C27">
        <v>4065</v>
      </c>
      <c r="D27" s="18">
        <f t="shared" si="0"/>
        <v>4498.18</v>
      </c>
      <c r="E27" s="18">
        <f t="shared" si="1"/>
        <v>5346.21</v>
      </c>
      <c r="F27" s="18">
        <f t="shared" si="2"/>
        <v>3650.15</v>
      </c>
      <c r="G27" s="14">
        <f t="shared" si="5"/>
        <v>345</v>
      </c>
      <c r="H27" s="18">
        <f t="shared" si="3"/>
        <v>318.81</v>
      </c>
      <c r="I27" s="4">
        <f t="shared" si="4"/>
        <v>1041.8699999999999</v>
      </c>
    </row>
    <row r="28" spans="1:9" ht="15.75" customHeight="1" x14ac:dyDescent="0.25">
      <c r="A28" s="5" t="s">
        <v>15</v>
      </c>
      <c r="B28" s="5" t="s">
        <v>41</v>
      </c>
      <c r="C28">
        <v>4565</v>
      </c>
      <c r="D28" s="18">
        <f t="shared" si="0"/>
        <v>4498.18</v>
      </c>
      <c r="E28" s="18">
        <f t="shared" si="1"/>
        <v>5346.21</v>
      </c>
      <c r="F28" s="18">
        <f t="shared" si="2"/>
        <v>3650.15</v>
      </c>
      <c r="G28" s="14">
        <f t="shared" si="5"/>
        <v>500</v>
      </c>
      <c r="H28" s="18">
        <f t="shared" si="3"/>
        <v>318.81</v>
      </c>
      <c r="I28" s="4">
        <f t="shared" si="4"/>
        <v>1041.8699999999999</v>
      </c>
    </row>
    <row r="29" spans="1:9" ht="13.2" x14ac:dyDescent="0.25">
      <c r="A29" s="5" t="s">
        <v>15</v>
      </c>
      <c r="B29" s="5" t="s">
        <v>42</v>
      </c>
      <c r="C29">
        <v>5190</v>
      </c>
      <c r="D29" s="18">
        <f t="shared" si="0"/>
        <v>4498.18</v>
      </c>
      <c r="E29" s="18">
        <f t="shared" si="1"/>
        <v>5346.21</v>
      </c>
      <c r="F29" s="18">
        <f t="shared" si="2"/>
        <v>3650.15</v>
      </c>
      <c r="G29" s="14">
        <f t="shared" si="5"/>
        <v>625</v>
      </c>
      <c r="H29" s="18">
        <f t="shared" si="3"/>
        <v>318.81</v>
      </c>
      <c r="I29" s="4">
        <f t="shared" si="4"/>
        <v>1041.8699999999999</v>
      </c>
    </row>
    <row r="30" spans="1:9" ht="13.2" x14ac:dyDescent="0.25">
      <c r="A30" s="5" t="s">
        <v>15</v>
      </c>
      <c r="B30" s="5" t="s">
        <v>43</v>
      </c>
      <c r="C30">
        <v>4725</v>
      </c>
      <c r="D30" s="18">
        <f t="shared" si="0"/>
        <v>4498.18</v>
      </c>
      <c r="E30" s="18">
        <f t="shared" si="1"/>
        <v>5346.21</v>
      </c>
      <c r="F30" s="18">
        <f t="shared" si="2"/>
        <v>3650.15</v>
      </c>
      <c r="G30" s="14">
        <f t="shared" si="5"/>
        <v>465</v>
      </c>
      <c r="H30" s="18">
        <f t="shared" si="3"/>
        <v>318.81</v>
      </c>
      <c r="I30" s="4">
        <f t="shared" si="4"/>
        <v>1041.8699999999999</v>
      </c>
    </row>
    <row r="31" spans="1:9" ht="13.2" x14ac:dyDescent="0.25">
      <c r="A31" s="5" t="s">
        <v>15</v>
      </c>
      <c r="B31" s="5" t="s">
        <v>44</v>
      </c>
      <c r="C31">
        <v>4640</v>
      </c>
      <c r="D31" s="18">
        <f t="shared" si="0"/>
        <v>4498.18</v>
      </c>
      <c r="E31" s="18">
        <f t="shared" si="1"/>
        <v>5346.21</v>
      </c>
      <c r="F31" s="18">
        <f t="shared" si="2"/>
        <v>3650.15</v>
      </c>
      <c r="G31" s="14">
        <f t="shared" si="5"/>
        <v>85</v>
      </c>
      <c r="H31" s="18">
        <f t="shared" si="3"/>
        <v>318.81</v>
      </c>
      <c r="I31" s="4">
        <f t="shared" si="4"/>
        <v>1041.8699999999999</v>
      </c>
    </row>
    <row r="32" spans="1:9" ht="13.2" x14ac:dyDescent="0.25">
      <c r="A32" s="5" t="s">
        <v>15</v>
      </c>
      <c r="B32" s="5" t="s">
        <v>45</v>
      </c>
      <c r="C32">
        <v>4640</v>
      </c>
      <c r="D32" s="18">
        <f t="shared" si="0"/>
        <v>4498.18</v>
      </c>
      <c r="E32" s="18">
        <f t="shared" si="1"/>
        <v>5346.21</v>
      </c>
      <c r="F32" s="18">
        <f t="shared" si="2"/>
        <v>3650.15</v>
      </c>
      <c r="G32" s="14">
        <f t="shared" si="5"/>
        <v>0</v>
      </c>
      <c r="H32" s="18">
        <f t="shared" si="3"/>
        <v>318.81</v>
      </c>
      <c r="I32" s="4">
        <f t="shared" si="4"/>
        <v>1041.8699999999999</v>
      </c>
    </row>
    <row r="33" spans="1:9" ht="13.2" x14ac:dyDescent="0.25">
      <c r="A33" s="5" t="s">
        <v>15</v>
      </c>
      <c r="B33" s="5" t="s">
        <v>46</v>
      </c>
      <c r="C33">
        <v>4895</v>
      </c>
      <c r="D33" s="18">
        <f t="shared" si="0"/>
        <v>4498.18</v>
      </c>
      <c r="E33" s="18">
        <f t="shared" si="1"/>
        <v>5346.21</v>
      </c>
      <c r="F33" s="18">
        <f t="shared" si="2"/>
        <v>3650.15</v>
      </c>
      <c r="G33" s="14">
        <f t="shared" si="5"/>
        <v>255</v>
      </c>
      <c r="H33" s="18">
        <f t="shared" si="3"/>
        <v>318.81</v>
      </c>
      <c r="I33" s="4">
        <f t="shared" si="4"/>
        <v>1041.8699999999999</v>
      </c>
    </row>
    <row r="34" spans="1:9" ht="13.2" x14ac:dyDescent="0.25">
      <c r="A34" s="5" t="s">
        <v>15</v>
      </c>
      <c r="B34" s="5" t="s">
        <v>47</v>
      </c>
      <c r="C34">
        <v>4790</v>
      </c>
      <c r="D34" s="18">
        <f t="shared" ref="D34:D65" si="6">ROUND(AVERAGE($C$2:$C$205),2)</f>
        <v>4498.18</v>
      </c>
      <c r="E34" s="18">
        <f t="shared" si="1"/>
        <v>5346.21</v>
      </c>
      <c r="F34" s="18">
        <f t="shared" si="2"/>
        <v>3650.15</v>
      </c>
      <c r="G34" s="14">
        <f t="shared" si="5"/>
        <v>105</v>
      </c>
      <c r="H34" s="18">
        <f t="shared" ref="H34:H65" si="7">ROUND(AVERAGE($G$3:$G$205),2)</f>
        <v>318.81</v>
      </c>
      <c r="I34" s="4">
        <f t="shared" si="4"/>
        <v>1041.8699999999999</v>
      </c>
    </row>
    <row r="35" spans="1:9" ht="13.2" x14ac:dyDescent="0.25">
      <c r="A35" s="5" t="s">
        <v>15</v>
      </c>
      <c r="B35" s="5" t="s">
        <v>48</v>
      </c>
      <c r="C35">
        <v>4845</v>
      </c>
      <c r="D35" s="18">
        <f t="shared" si="6"/>
        <v>4498.18</v>
      </c>
      <c r="E35" s="18">
        <f t="shared" si="1"/>
        <v>5346.21</v>
      </c>
      <c r="F35" s="18">
        <f t="shared" si="2"/>
        <v>3650.15</v>
      </c>
      <c r="G35" s="14">
        <f t="shared" si="5"/>
        <v>55</v>
      </c>
      <c r="H35" s="18">
        <f t="shared" si="7"/>
        <v>318.81</v>
      </c>
      <c r="I35" s="4">
        <f t="shared" si="4"/>
        <v>1041.8699999999999</v>
      </c>
    </row>
    <row r="36" spans="1:9" ht="13.2" x14ac:dyDescent="0.25">
      <c r="A36" s="5" t="s">
        <v>15</v>
      </c>
      <c r="B36" s="5" t="s">
        <v>49</v>
      </c>
      <c r="C36">
        <v>4700</v>
      </c>
      <c r="D36" s="18">
        <f t="shared" si="6"/>
        <v>4498.18</v>
      </c>
      <c r="E36" s="18">
        <f t="shared" si="1"/>
        <v>5346.21</v>
      </c>
      <c r="F36" s="18">
        <f t="shared" si="2"/>
        <v>3650.15</v>
      </c>
      <c r="G36" s="14">
        <f t="shared" si="5"/>
        <v>145</v>
      </c>
      <c r="H36" s="18">
        <f t="shared" si="7"/>
        <v>318.81</v>
      </c>
      <c r="I36" s="4">
        <f t="shared" si="4"/>
        <v>1041.8699999999999</v>
      </c>
    </row>
    <row r="37" spans="1:9" ht="13.2" x14ac:dyDescent="0.25">
      <c r="A37" s="5" t="s">
        <v>15</v>
      </c>
      <c r="B37" s="5" t="s">
        <v>50</v>
      </c>
      <c r="C37">
        <v>4600</v>
      </c>
      <c r="D37" s="18">
        <f t="shared" si="6"/>
        <v>4498.18</v>
      </c>
      <c r="E37" s="18">
        <f t="shared" si="1"/>
        <v>5346.21</v>
      </c>
      <c r="F37" s="18">
        <f t="shared" si="2"/>
        <v>3650.15</v>
      </c>
      <c r="G37" s="14">
        <f t="shared" si="5"/>
        <v>100</v>
      </c>
      <c r="H37" s="18">
        <f t="shared" si="7"/>
        <v>318.81</v>
      </c>
      <c r="I37" s="4">
        <f t="shared" si="4"/>
        <v>1041.8699999999999</v>
      </c>
    </row>
    <row r="38" spans="1:9" ht="13.2" x14ac:dyDescent="0.25">
      <c r="A38" s="5" t="s">
        <v>15</v>
      </c>
      <c r="B38" s="5" t="s">
        <v>51</v>
      </c>
      <c r="C38">
        <v>4110</v>
      </c>
      <c r="D38" s="18">
        <f t="shared" si="6"/>
        <v>4498.18</v>
      </c>
      <c r="E38" s="18">
        <f t="shared" si="1"/>
        <v>5346.21</v>
      </c>
      <c r="F38" s="18">
        <f t="shared" si="2"/>
        <v>3650.15</v>
      </c>
      <c r="G38" s="14">
        <f t="shared" si="5"/>
        <v>490</v>
      </c>
      <c r="H38" s="18">
        <f t="shared" si="7"/>
        <v>318.81</v>
      </c>
      <c r="I38" s="4">
        <f t="shared" si="4"/>
        <v>1041.8699999999999</v>
      </c>
    </row>
    <row r="39" spans="1:9" ht="13.2" x14ac:dyDescent="0.25">
      <c r="A39" s="5" t="s">
        <v>15</v>
      </c>
      <c r="B39" s="5" t="s">
        <v>52</v>
      </c>
      <c r="C39">
        <v>4410</v>
      </c>
      <c r="D39" s="18">
        <f t="shared" si="6"/>
        <v>4498.18</v>
      </c>
      <c r="E39" s="18">
        <f t="shared" si="1"/>
        <v>5346.21</v>
      </c>
      <c r="F39" s="18">
        <f t="shared" si="2"/>
        <v>3650.15</v>
      </c>
      <c r="G39" s="14">
        <f t="shared" si="5"/>
        <v>300</v>
      </c>
      <c r="H39" s="18">
        <f t="shared" si="7"/>
        <v>318.81</v>
      </c>
      <c r="I39" s="4">
        <f t="shared" si="4"/>
        <v>1041.8699999999999</v>
      </c>
    </row>
    <row r="40" spans="1:9" ht="13.2" x14ac:dyDescent="0.25">
      <c r="A40" s="5" t="s">
        <v>15</v>
      </c>
      <c r="B40" s="5" t="s">
        <v>53</v>
      </c>
      <c r="C40">
        <v>4180</v>
      </c>
      <c r="D40" s="18">
        <f t="shared" si="6"/>
        <v>4498.18</v>
      </c>
      <c r="E40" s="18">
        <f t="shared" si="1"/>
        <v>5346.21</v>
      </c>
      <c r="F40" s="18">
        <f t="shared" si="2"/>
        <v>3650.15</v>
      </c>
      <c r="G40" s="14">
        <f t="shared" si="5"/>
        <v>230</v>
      </c>
      <c r="H40" s="18">
        <f t="shared" si="7"/>
        <v>318.81</v>
      </c>
      <c r="I40" s="4">
        <f t="shared" si="4"/>
        <v>1041.8699999999999</v>
      </c>
    </row>
    <row r="41" spans="1:9" ht="13.2" x14ac:dyDescent="0.25">
      <c r="A41" s="5" t="s">
        <v>15</v>
      </c>
      <c r="B41" s="5" t="s">
        <v>54</v>
      </c>
      <c r="C41">
        <v>4790</v>
      </c>
      <c r="D41" s="18">
        <f t="shared" si="6"/>
        <v>4498.18</v>
      </c>
      <c r="E41" s="18">
        <f t="shared" si="1"/>
        <v>5346.21</v>
      </c>
      <c r="F41" s="18">
        <f t="shared" si="2"/>
        <v>3650.15</v>
      </c>
      <c r="G41" s="14">
        <f t="shared" si="5"/>
        <v>610</v>
      </c>
      <c r="H41" s="18">
        <f t="shared" si="7"/>
        <v>318.81</v>
      </c>
      <c r="I41" s="4">
        <f t="shared" si="4"/>
        <v>1041.8699999999999</v>
      </c>
    </row>
    <row r="42" spans="1:9" ht="13.2" x14ac:dyDescent="0.25">
      <c r="A42" s="5" t="s">
        <v>15</v>
      </c>
      <c r="B42" s="5" t="s">
        <v>55</v>
      </c>
      <c r="C42">
        <v>4790</v>
      </c>
      <c r="D42" s="18">
        <f t="shared" si="6"/>
        <v>4498.18</v>
      </c>
      <c r="E42" s="18">
        <f t="shared" si="1"/>
        <v>5346.21</v>
      </c>
      <c r="F42" s="18">
        <f t="shared" si="2"/>
        <v>3650.15</v>
      </c>
      <c r="G42" s="14">
        <f t="shared" si="5"/>
        <v>0</v>
      </c>
      <c r="H42" s="18">
        <f t="shared" si="7"/>
        <v>318.81</v>
      </c>
      <c r="I42" s="4">
        <f t="shared" si="4"/>
        <v>1041.8699999999999</v>
      </c>
    </row>
    <row r="43" spans="1:9" ht="13.2" x14ac:dyDescent="0.25">
      <c r="A43" s="5" t="s">
        <v>15</v>
      </c>
      <c r="B43" s="5" t="s">
        <v>56</v>
      </c>
      <c r="C43">
        <v>4340</v>
      </c>
      <c r="D43" s="18">
        <f t="shared" si="6"/>
        <v>4498.18</v>
      </c>
      <c r="E43" s="18">
        <f t="shared" si="1"/>
        <v>5346.21</v>
      </c>
      <c r="F43" s="18">
        <f t="shared" si="2"/>
        <v>3650.15</v>
      </c>
      <c r="G43" s="14">
        <f t="shared" si="5"/>
        <v>450</v>
      </c>
      <c r="H43" s="18">
        <f t="shared" si="7"/>
        <v>318.81</v>
      </c>
      <c r="I43" s="4">
        <f t="shared" si="4"/>
        <v>1041.8699999999999</v>
      </c>
    </row>
    <row r="44" spans="1:9" ht="13.2" x14ac:dyDescent="0.25">
      <c r="A44" s="5" t="s">
        <v>15</v>
      </c>
      <c r="B44" s="5" t="s">
        <v>57</v>
      </c>
      <c r="C44">
        <v>4895</v>
      </c>
      <c r="D44" s="18">
        <f t="shared" si="6"/>
        <v>4498.18</v>
      </c>
      <c r="E44" s="18">
        <f t="shared" si="1"/>
        <v>5346.21</v>
      </c>
      <c r="F44" s="18">
        <f t="shared" si="2"/>
        <v>3650.15</v>
      </c>
      <c r="G44" s="14">
        <f t="shared" si="5"/>
        <v>555</v>
      </c>
      <c r="H44" s="18">
        <f t="shared" si="7"/>
        <v>318.81</v>
      </c>
      <c r="I44" s="4">
        <f t="shared" si="4"/>
        <v>1041.8699999999999</v>
      </c>
    </row>
    <row r="45" spans="1:9" ht="13.2" x14ac:dyDescent="0.25">
      <c r="A45" s="5" t="s">
        <v>15</v>
      </c>
      <c r="B45" s="5" t="s">
        <v>58</v>
      </c>
      <c r="C45">
        <v>5750</v>
      </c>
      <c r="D45" s="18">
        <f t="shared" si="6"/>
        <v>4498.18</v>
      </c>
      <c r="E45" s="18">
        <f t="shared" si="1"/>
        <v>5346.21</v>
      </c>
      <c r="F45" s="18">
        <f t="shared" si="2"/>
        <v>3650.15</v>
      </c>
      <c r="G45" s="14">
        <f t="shared" si="5"/>
        <v>855</v>
      </c>
      <c r="H45" s="18">
        <f t="shared" si="7"/>
        <v>318.81</v>
      </c>
      <c r="I45" s="4">
        <f t="shared" si="4"/>
        <v>1041.8699999999999</v>
      </c>
    </row>
    <row r="46" spans="1:9" ht="13.2" x14ac:dyDescent="0.25">
      <c r="A46" s="5" t="s">
        <v>15</v>
      </c>
      <c r="B46" s="5" t="s">
        <v>59</v>
      </c>
      <c r="C46">
        <v>4740</v>
      </c>
      <c r="D46" s="18">
        <f t="shared" si="6"/>
        <v>4498.18</v>
      </c>
      <c r="E46" s="18">
        <f t="shared" si="1"/>
        <v>5346.21</v>
      </c>
      <c r="F46" s="18">
        <f t="shared" si="2"/>
        <v>3650.15</v>
      </c>
      <c r="G46" s="14">
        <f t="shared" si="5"/>
        <v>1010</v>
      </c>
      <c r="H46" s="18">
        <f t="shared" si="7"/>
        <v>318.81</v>
      </c>
      <c r="I46" s="4">
        <f t="shared" si="4"/>
        <v>1041.8699999999999</v>
      </c>
    </row>
    <row r="47" spans="1:9" ht="13.2" x14ac:dyDescent="0.25">
      <c r="A47" s="5" t="s">
        <v>15</v>
      </c>
      <c r="B47" s="5" t="s">
        <v>60</v>
      </c>
      <c r="C47">
        <v>5000</v>
      </c>
      <c r="D47" s="18">
        <f t="shared" si="6"/>
        <v>4498.18</v>
      </c>
      <c r="E47" s="18">
        <f t="shared" si="1"/>
        <v>5346.21</v>
      </c>
      <c r="F47" s="18">
        <f t="shared" si="2"/>
        <v>3650.15</v>
      </c>
      <c r="G47" s="14">
        <f t="shared" si="5"/>
        <v>260</v>
      </c>
      <c r="H47" s="18">
        <f t="shared" si="7"/>
        <v>318.81</v>
      </c>
      <c r="I47" s="4">
        <f t="shared" si="4"/>
        <v>1041.8699999999999</v>
      </c>
    </row>
    <row r="48" spans="1:9" ht="13.2" x14ac:dyDescent="0.25">
      <c r="A48" s="5" t="s">
        <v>15</v>
      </c>
      <c r="B48" s="5" t="s">
        <v>61</v>
      </c>
      <c r="C48">
        <v>4895</v>
      </c>
      <c r="D48" s="18">
        <f t="shared" si="6"/>
        <v>4498.18</v>
      </c>
      <c r="E48" s="18">
        <f t="shared" si="1"/>
        <v>5346.21</v>
      </c>
      <c r="F48" s="18">
        <f t="shared" si="2"/>
        <v>3650.15</v>
      </c>
      <c r="G48" s="14">
        <f t="shared" si="5"/>
        <v>105</v>
      </c>
      <c r="H48" s="18">
        <f t="shared" si="7"/>
        <v>318.81</v>
      </c>
      <c r="I48" s="4">
        <f t="shared" si="4"/>
        <v>1041.8699999999999</v>
      </c>
    </row>
    <row r="49" spans="1:9" ht="13.2" x14ac:dyDescent="0.25">
      <c r="A49" s="5" t="s">
        <v>15</v>
      </c>
      <c r="B49" s="5" t="s">
        <v>62</v>
      </c>
      <c r="C49">
        <v>4255</v>
      </c>
      <c r="D49" s="18">
        <f t="shared" si="6"/>
        <v>4498.18</v>
      </c>
      <c r="E49" s="18">
        <f t="shared" si="1"/>
        <v>5346.21</v>
      </c>
      <c r="F49" s="18">
        <f t="shared" si="2"/>
        <v>3650.15</v>
      </c>
      <c r="G49" s="14">
        <f t="shared" si="5"/>
        <v>640</v>
      </c>
      <c r="H49" s="18">
        <f t="shared" si="7"/>
        <v>318.81</v>
      </c>
      <c r="I49" s="4">
        <f t="shared" si="4"/>
        <v>1041.8699999999999</v>
      </c>
    </row>
    <row r="50" spans="1:9" ht="13.2" x14ac:dyDescent="0.25">
      <c r="A50" s="5" t="s">
        <v>15</v>
      </c>
      <c r="B50" s="5" t="s">
        <v>63</v>
      </c>
      <c r="C50">
        <v>4170</v>
      </c>
      <c r="D50" s="18">
        <f t="shared" si="6"/>
        <v>4498.18</v>
      </c>
      <c r="E50" s="18">
        <f t="shared" si="1"/>
        <v>5346.21</v>
      </c>
      <c r="F50" s="18">
        <f t="shared" si="2"/>
        <v>3650.15</v>
      </c>
      <c r="G50" s="14">
        <f t="shared" si="5"/>
        <v>85</v>
      </c>
      <c r="H50" s="18">
        <f t="shared" si="7"/>
        <v>318.81</v>
      </c>
      <c r="I50" s="4">
        <f t="shared" si="4"/>
        <v>1041.8699999999999</v>
      </c>
    </row>
    <row r="51" spans="1:9" ht="13.2" x14ac:dyDescent="0.25">
      <c r="A51" s="5" t="s">
        <v>15</v>
      </c>
      <c r="B51" s="5" t="s">
        <v>64</v>
      </c>
      <c r="C51">
        <v>3850</v>
      </c>
      <c r="D51" s="18">
        <f t="shared" si="6"/>
        <v>4498.18</v>
      </c>
      <c r="E51" s="18">
        <f t="shared" si="1"/>
        <v>5346.21</v>
      </c>
      <c r="F51" s="18">
        <f t="shared" si="2"/>
        <v>3650.15</v>
      </c>
      <c r="G51" s="14">
        <f t="shared" si="5"/>
        <v>320</v>
      </c>
      <c r="H51" s="18">
        <f t="shared" si="7"/>
        <v>318.81</v>
      </c>
      <c r="I51" s="4">
        <f t="shared" si="4"/>
        <v>1041.8699999999999</v>
      </c>
    </row>
    <row r="52" spans="1:9" ht="13.2" x14ac:dyDescent="0.25">
      <c r="A52" s="5" t="s">
        <v>15</v>
      </c>
      <c r="B52" s="5" t="s">
        <v>65</v>
      </c>
      <c r="C52">
        <v>4445</v>
      </c>
      <c r="D52" s="18">
        <f t="shared" si="6"/>
        <v>4498.18</v>
      </c>
      <c r="E52" s="18">
        <f t="shared" si="1"/>
        <v>5346.21</v>
      </c>
      <c r="F52" s="18">
        <f t="shared" si="2"/>
        <v>3650.15</v>
      </c>
      <c r="G52" s="14">
        <f t="shared" si="5"/>
        <v>595</v>
      </c>
      <c r="H52" s="18">
        <f t="shared" si="7"/>
        <v>318.81</v>
      </c>
      <c r="I52" s="4">
        <f t="shared" si="4"/>
        <v>1041.8699999999999</v>
      </c>
    </row>
    <row r="53" spans="1:9" ht="13.2" x14ac:dyDescent="0.25">
      <c r="A53" s="5" t="s">
        <v>15</v>
      </c>
      <c r="B53" s="5" t="s">
        <v>66</v>
      </c>
      <c r="C53">
        <v>4650</v>
      </c>
      <c r="D53" s="18">
        <f t="shared" si="6"/>
        <v>4498.18</v>
      </c>
      <c r="E53" s="18">
        <f t="shared" si="1"/>
        <v>5346.21</v>
      </c>
      <c r="F53" s="18">
        <f t="shared" si="2"/>
        <v>3650.15</v>
      </c>
      <c r="G53" s="14">
        <f t="shared" si="5"/>
        <v>205</v>
      </c>
      <c r="H53" s="18">
        <f t="shared" si="7"/>
        <v>318.81</v>
      </c>
      <c r="I53" s="4">
        <f t="shared" si="4"/>
        <v>1041.8699999999999</v>
      </c>
    </row>
    <row r="54" spans="1:9" ht="13.2" x14ac:dyDescent="0.25">
      <c r="A54" s="5" t="s">
        <v>15</v>
      </c>
      <c r="B54" s="5" t="s">
        <v>67</v>
      </c>
      <c r="C54">
        <v>4170</v>
      </c>
      <c r="D54" s="18">
        <f t="shared" si="6"/>
        <v>4498.18</v>
      </c>
      <c r="E54" s="18">
        <f t="shared" si="1"/>
        <v>5346.21</v>
      </c>
      <c r="F54" s="18">
        <f t="shared" si="2"/>
        <v>3650.15</v>
      </c>
      <c r="G54" s="14">
        <f t="shared" si="5"/>
        <v>480</v>
      </c>
      <c r="H54" s="18">
        <f t="shared" si="7"/>
        <v>318.81</v>
      </c>
      <c r="I54" s="4">
        <f t="shared" si="4"/>
        <v>1041.8699999999999</v>
      </c>
    </row>
    <row r="55" spans="1:9" ht="13.2" x14ac:dyDescent="0.25">
      <c r="A55" s="5" t="s">
        <v>15</v>
      </c>
      <c r="B55" s="5" t="s">
        <v>68</v>
      </c>
      <c r="C55">
        <v>4255</v>
      </c>
      <c r="D55" s="18">
        <f t="shared" si="6"/>
        <v>4498.18</v>
      </c>
      <c r="E55" s="18">
        <f t="shared" si="1"/>
        <v>5346.21</v>
      </c>
      <c r="F55" s="18">
        <f t="shared" si="2"/>
        <v>3650.15</v>
      </c>
      <c r="G55" s="14">
        <f t="shared" si="5"/>
        <v>85</v>
      </c>
      <c r="H55" s="18">
        <f t="shared" si="7"/>
        <v>318.81</v>
      </c>
      <c r="I55" s="4">
        <f t="shared" si="4"/>
        <v>1041.8699999999999</v>
      </c>
    </row>
    <row r="56" spans="1:9" ht="13.2" x14ac:dyDescent="0.25">
      <c r="A56" s="5" t="s">
        <v>15</v>
      </c>
      <c r="B56" s="5" t="s">
        <v>69</v>
      </c>
      <c r="C56">
        <v>4170</v>
      </c>
      <c r="D56" s="18">
        <f t="shared" si="6"/>
        <v>4498.18</v>
      </c>
      <c r="E56" s="18">
        <f t="shared" si="1"/>
        <v>5346.21</v>
      </c>
      <c r="F56" s="18">
        <f t="shared" si="2"/>
        <v>3650.15</v>
      </c>
      <c r="G56" s="14">
        <f t="shared" si="5"/>
        <v>85</v>
      </c>
      <c r="H56" s="18">
        <f t="shared" si="7"/>
        <v>318.81</v>
      </c>
      <c r="I56" s="4">
        <f t="shared" si="4"/>
        <v>1041.8699999999999</v>
      </c>
    </row>
    <row r="57" spans="1:9" ht="13.2" x14ac:dyDescent="0.25">
      <c r="A57" s="5" t="s">
        <v>15</v>
      </c>
      <c r="B57" s="5" t="s">
        <v>70</v>
      </c>
      <c r="C57">
        <v>4375</v>
      </c>
      <c r="D57" s="18">
        <f t="shared" si="6"/>
        <v>4498.18</v>
      </c>
      <c r="E57" s="18">
        <f t="shared" si="1"/>
        <v>5346.21</v>
      </c>
      <c r="F57" s="18">
        <f t="shared" si="2"/>
        <v>3650.15</v>
      </c>
      <c r="G57" s="14">
        <f t="shared" si="5"/>
        <v>205</v>
      </c>
      <c r="H57" s="18">
        <f t="shared" si="7"/>
        <v>318.81</v>
      </c>
      <c r="I57" s="4">
        <f t="shared" si="4"/>
        <v>1041.8699999999999</v>
      </c>
    </row>
    <row r="58" spans="1:9" ht="13.2" x14ac:dyDescent="0.25">
      <c r="A58" s="5" t="s">
        <v>15</v>
      </c>
      <c r="B58" s="5" t="s">
        <v>71</v>
      </c>
      <c r="C58">
        <v>4175</v>
      </c>
      <c r="D58" s="18">
        <f t="shared" si="6"/>
        <v>4498.18</v>
      </c>
      <c r="E58" s="18">
        <f t="shared" si="1"/>
        <v>5346.21</v>
      </c>
      <c r="F58" s="18">
        <f t="shared" si="2"/>
        <v>3650.15</v>
      </c>
      <c r="G58" s="14">
        <f t="shared" si="5"/>
        <v>200</v>
      </c>
      <c r="H58" s="18">
        <f t="shared" si="7"/>
        <v>318.81</v>
      </c>
      <c r="I58" s="4">
        <f t="shared" si="4"/>
        <v>1041.8699999999999</v>
      </c>
    </row>
    <row r="59" spans="1:9" ht="13.2" x14ac:dyDescent="0.25">
      <c r="A59" s="5" t="s">
        <v>15</v>
      </c>
      <c r="B59" s="5" t="s">
        <v>72</v>
      </c>
      <c r="C59">
        <v>4550</v>
      </c>
      <c r="D59" s="18">
        <f t="shared" si="6"/>
        <v>4498.18</v>
      </c>
      <c r="E59" s="18">
        <f t="shared" si="1"/>
        <v>5346.21</v>
      </c>
      <c r="F59" s="18">
        <f t="shared" si="2"/>
        <v>3650.15</v>
      </c>
      <c r="G59" s="14">
        <f t="shared" si="5"/>
        <v>375</v>
      </c>
      <c r="H59" s="18">
        <f t="shared" si="7"/>
        <v>318.81</v>
      </c>
      <c r="I59" s="4">
        <f t="shared" si="4"/>
        <v>1041.8699999999999</v>
      </c>
    </row>
    <row r="60" spans="1:9" ht="13.2" x14ac:dyDescent="0.25">
      <c r="A60" s="5" t="s">
        <v>15</v>
      </c>
      <c r="B60" s="5" t="s">
        <v>73</v>
      </c>
      <c r="C60">
        <v>4450</v>
      </c>
      <c r="D60" s="18">
        <f t="shared" si="6"/>
        <v>4498.18</v>
      </c>
      <c r="E60" s="18">
        <f t="shared" si="1"/>
        <v>5346.21</v>
      </c>
      <c r="F60" s="18">
        <f t="shared" si="2"/>
        <v>3650.15</v>
      </c>
      <c r="G60" s="14">
        <f t="shared" si="5"/>
        <v>100</v>
      </c>
      <c r="H60" s="18">
        <f t="shared" si="7"/>
        <v>318.81</v>
      </c>
      <c r="I60" s="4">
        <f t="shared" si="4"/>
        <v>1041.8699999999999</v>
      </c>
    </row>
    <row r="61" spans="1:9" ht="13.2" x14ac:dyDescent="0.25">
      <c r="A61" s="5" t="s">
        <v>15</v>
      </c>
      <c r="B61" s="5" t="s">
        <v>74</v>
      </c>
      <c r="C61">
        <v>2855</v>
      </c>
      <c r="D61" s="18">
        <f t="shared" si="6"/>
        <v>4498.18</v>
      </c>
      <c r="E61" s="18">
        <f t="shared" si="1"/>
        <v>5346.21</v>
      </c>
      <c r="F61" s="18">
        <f t="shared" si="2"/>
        <v>3650.15</v>
      </c>
      <c r="G61" s="14">
        <f t="shared" si="5"/>
        <v>1595</v>
      </c>
      <c r="H61" s="18">
        <f t="shared" si="7"/>
        <v>318.81</v>
      </c>
      <c r="I61" s="4">
        <f t="shared" si="4"/>
        <v>1041.8699999999999</v>
      </c>
    </row>
    <row r="62" spans="1:9" ht="13.2" x14ac:dyDescent="0.25">
      <c r="A62" s="5" t="s">
        <v>15</v>
      </c>
      <c r="B62" s="5" t="s">
        <v>75</v>
      </c>
      <c r="C62">
        <v>2920</v>
      </c>
      <c r="D62" s="18">
        <f t="shared" si="6"/>
        <v>4498.18</v>
      </c>
      <c r="E62" s="18">
        <f t="shared" si="1"/>
        <v>5346.21</v>
      </c>
      <c r="F62" s="18">
        <f t="shared" si="2"/>
        <v>3650.15</v>
      </c>
      <c r="G62" s="14">
        <f t="shared" si="5"/>
        <v>65</v>
      </c>
      <c r="H62" s="18">
        <f t="shared" si="7"/>
        <v>318.81</v>
      </c>
      <c r="I62" s="4">
        <f t="shared" si="4"/>
        <v>1041.8699999999999</v>
      </c>
    </row>
    <row r="63" spans="1:9" ht="13.2" x14ac:dyDescent="0.25">
      <c r="A63" s="5" t="s">
        <v>15</v>
      </c>
      <c r="B63" s="5" t="s">
        <v>76</v>
      </c>
      <c r="C63">
        <v>4375</v>
      </c>
      <c r="D63" s="18">
        <f t="shared" si="6"/>
        <v>4498.18</v>
      </c>
      <c r="E63" s="18">
        <f t="shared" si="1"/>
        <v>5346.21</v>
      </c>
      <c r="F63" s="18">
        <f t="shared" si="2"/>
        <v>3650.15</v>
      </c>
      <c r="G63" s="14">
        <f t="shared" si="5"/>
        <v>1455</v>
      </c>
      <c r="H63" s="18">
        <f t="shared" si="7"/>
        <v>318.81</v>
      </c>
      <c r="I63" s="4">
        <f t="shared" si="4"/>
        <v>1041.8699999999999</v>
      </c>
    </row>
    <row r="64" spans="1:9" ht="13.2" x14ac:dyDescent="0.25">
      <c r="A64" s="5" t="s">
        <v>15</v>
      </c>
      <c r="B64" s="5" t="s">
        <v>77</v>
      </c>
      <c r="C64">
        <v>4375</v>
      </c>
      <c r="D64" s="18">
        <f t="shared" si="6"/>
        <v>4498.18</v>
      </c>
      <c r="E64" s="18">
        <f t="shared" si="1"/>
        <v>5346.21</v>
      </c>
      <c r="F64" s="18">
        <f t="shared" si="2"/>
        <v>3650.15</v>
      </c>
      <c r="G64" s="14">
        <f t="shared" si="5"/>
        <v>0</v>
      </c>
      <c r="H64" s="18">
        <f t="shared" si="7"/>
        <v>318.81</v>
      </c>
      <c r="I64" s="4">
        <f t="shared" si="4"/>
        <v>1041.8699999999999</v>
      </c>
    </row>
    <row r="65" spans="1:9" ht="13.2" x14ac:dyDescent="0.25">
      <c r="A65" s="5" t="s">
        <v>15</v>
      </c>
      <c r="B65" s="5" t="s">
        <v>78</v>
      </c>
      <c r="C65">
        <v>4355</v>
      </c>
      <c r="D65" s="18">
        <f t="shared" si="6"/>
        <v>4498.18</v>
      </c>
      <c r="E65" s="18">
        <f t="shared" si="1"/>
        <v>5346.21</v>
      </c>
      <c r="F65" s="18">
        <f t="shared" si="2"/>
        <v>3650.15</v>
      </c>
      <c r="G65" s="14">
        <f t="shared" si="5"/>
        <v>20</v>
      </c>
      <c r="H65" s="18">
        <f t="shared" si="7"/>
        <v>318.81</v>
      </c>
      <c r="I65" s="4">
        <f t="shared" si="4"/>
        <v>1041.8699999999999</v>
      </c>
    </row>
    <row r="66" spans="1:9" ht="13.2" x14ac:dyDescent="0.25">
      <c r="A66" s="5" t="s">
        <v>15</v>
      </c>
      <c r="B66" s="5" t="s">
        <v>79</v>
      </c>
      <c r="C66">
        <v>4090</v>
      </c>
      <c r="D66" s="18">
        <f t="shared" ref="D66:D129" si="8">ROUND(AVERAGE($C$2:$C$205),2)</f>
        <v>4498.18</v>
      </c>
      <c r="E66" s="18">
        <f t="shared" ref="E66:E129" si="9">ROUND(D66+(2.66*H66),2)</f>
        <v>5346.21</v>
      </c>
      <c r="F66" s="18">
        <f t="shared" ref="F66:F129" si="10">ROUND(D66-(2.66*H66),2)</f>
        <v>3650.15</v>
      </c>
      <c r="G66" s="14">
        <f t="shared" ref="G66:G129" si="11">ABS(C65-C66)</f>
        <v>265</v>
      </c>
      <c r="H66" s="18">
        <f t="shared" ref="H66:H129" si="12">ROUND(AVERAGE($G$3:$G$205),2)</f>
        <v>318.81</v>
      </c>
      <c r="I66" s="4">
        <f t="shared" ref="I66:I129" si="13">ROUND(3.268*H66,2)</f>
        <v>1041.8699999999999</v>
      </c>
    </row>
    <row r="67" spans="1:9" ht="13.2" x14ac:dyDescent="0.25">
      <c r="A67" s="5" t="s">
        <v>15</v>
      </c>
      <c r="B67" s="5" t="s">
        <v>80</v>
      </c>
      <c r="C67">
        <v>5000</v>
      </c>
      <c r="D67" s="18">
        <f t="shared" si="8"/>
        <v>4498.18</v>
      </c>
      <c r="E67" s="18">
        <f t="shared" si="9"/>
        <v>5346.21</v>
      </c>
      <c r="F67" s="18">
        <f t="shared" si="10"/>
        <v>3650.15</v>
      </c>
      <c r="G67" s="14">
        <f t="shared" si="11"/>
        <v>910</v>
      </c>
      <c r="H67" s="18">
        <f t="shared" si="12"/>
        <v>318.81</v>
      </c>
      <c r="I67" s="4">
        <f t="shared" si="13"/>
        <v>1041.8699999999999</v>
      </c>
    </row>
    <row r="68" spans="1:9" ht="13.2" x14ac:dyDescent="0.25">
      <c r="A68" s="5" t="s">
        <v>15</v>
      </c>
      <c r="B68" s="5" t="s">
        <v>81</v>
      </c>
      <c r="C68">
        <v>4335</v>
      </c>
      <c r="D68" s="18">
        <f t="shared" si="8"/>
        <v>4498.18</v>
      </c>
      <c r="E68" s="18">
        <f t="shared" si="9"/>
        <v>5346.21</v>
      </c>
      <c r="F68" s="18">
        <f t="shared" si="10"/>
        <v>3650.15</v>
      </c>
      <c r="G68" s="14">
        <f t="shared" si="11"/>
        <v>665</v>
      </c>
      <c r="H68" s="18">
        <f t="shared" si="12"/>
        <v>318.81</v>
      </c>
      <c r="I68" s="4">
        <f t="shared" si="13"/>
        <v>1041.8699999999999</v>
      </c>
    </row>
    <row r="69" spans="1:9" ht="13.2" x14ac:dyDescent="0.25">
      <c r="A69" s="5" t="s">
        <v>15</v>
      </c>
      <c r="B69" s="5" t="s">
        <v>82</v>
      </c>
      <c r="C69">
        <v>5000</v>
      </c>
      <c r="D69" s="18">
        <f t="shared" si="8"/>
        <v>4498.18</v>
      </c>
      <c r="E69" s="18">
        <f t="shared" si="9"/>
        <v>5346.21</v>
      </c>
      <c r="F69" s="18">
        <f t="shared" si="10"/>
        <v>3650.15</v>
      </c>
      <c r="G69" s="14">
        <f t="shared" si="11"/>
        <v>665</v>
      </c>
      <c r="H69" s="18">
        <f t="shared" si="12"/>
        <v>318.81</v>
      </c>
      <c r="I69" s="4">
        <f t="shared" si="13"/>
        <v>1041.8699999999999</v>
      </c>
    </row>
    <row r="70" spans="1:9" ht="13.2" x14ac:dyDescent="0.25">
      <c r="A70" s="5" t="s">
        <v>15</v>
      </c>
      <c r="B70" s="5" t="s">
        <v>83</v>
      </c>
      <c r="C70">
        <v>4640</v>
      </c>
      <c r="D70" s="18">
        <f t="shared" si="8"/>
        <v>4498.18</v>
      </c>
      <c r="E70" s="18">
        <f t="shared" si="9"/>
        <v>5346.21</v>
      </c>
      <c r="F70" s="18">
        <f t="shared" si="10"/>
        <v>3650.15</v>
      </c>
      <c r="G70" s="14">
        <f t="shared" si="11"/>
        <v>360</v>
      </c>
      <c r="H70" s="18">
        <f t="shared" si="12"/>
        <v>318.81</v>
      </c>
      <c r="I70" s="4">
        <f t="shared" si="13"/>
        <v>1041.8699999999999</v>
      </c>
    </row>
    <row r="71" spans="1:9" ht="13.2" x14ac:dyDescent="0.25">
      <c r="A71" s="5" t="s">
        <v>15</v>
      </c>
      <c r="B71" s="5" t="s">
        <v>84</v>
      </c>
      <c r="C71">
        <v>4335</v>
      </c>
      <c r="D71" s="18">
        <f t="shared" si="8"/>
        <v>4498.18</v>
      </c>
      <c r="E71" s="18">
        <f t="shared" si="9"/>
        <v>5346.21</v>
      </c>
      <c r="F71" s="18">
        <f t="shared" si="10"/>
        <v>3650.15</v>
      </c>
      <c r="G71" s="14">
        <f t="shared" si="11"/>
        <v>305</v>
      </c>
      <c r="H71" s="18">
        <f t="shared" si="12"/>
        <v>318.81</v>
      </c>
      <c r="I71" s="4">
        <f t="shared" si="13"/>
        <v>1041.8699999999999</v>
      </c>
    </row>
    <row r="72" spans="1:9" ht="13.2" x14ac:dyDescent="0.25">
      <c r="A72" s="5" t="s">
        <v>15</v>
      </c>
      <c r="B72" s="5" t="s">
        <v>85</v>
      </c>
      <c r="C72">
        <v>5000</v>
      </c>
      <c r="D72" s="18">
        <f t="shared" si="8"/>
        <v>4498.18</v>
      </c>
      <c r="E72" s="18">
        <f t="shared" si="9"/>
        <v>5346.21</v>
      </c>
      <c r="F72" s="18">
        <f t="shared" si="10"/>
        <v>3650.15</v>
      </c>
      <c r="G72" s="14">
        <f t="shared" si="11"/>
        <v>665</v>
      </c>
      <c r="H72" s="18">
        <f t="shared" si="12"/>
        <v>318.81</v>
      </c>
      <c r="I72" s="4">
        <f t="shared" si="13"/>
        <v>1041.8699999999999</v>
      </c>
    </row>
    <row r="73" spans="1:9" ht="13.2" x14ac:dyDescent="0.25">
      <c r="A73" s="5" t="s">
        <v>15</v>
      </c>
      <c r="B73" s="5" t="s">
        <v>86</v>
      </c>
      <c r="C73">
        <v>4615</v>
      </c>
      <c r="D73" s="18">
        <f t="shared" si="8"/>
        <v>4498.18</v>
      </c>
      <c r="E73" s="18">
        <f t="shared" si="9"/>
        <v>5346.21</v>
      </c>
      <c r="F73" s="18">
        <f t="shared" si="10"/>
        <v>3650.15</v>
      </c>
      <c r="G73" s="14">
        <f t="shared" si="11"/>
        <v>385</v>
      </c>
      <c r="H73" s="18">
        <f t="shared" si="12"/>
        <v>318.81</v>
      </c>
      <c r="I73" s="4">
        <f t="shared" si="13"/>
        <v>1041.8699999999999</v>
      </c>
    </row>
    <row r="74" spans="1:9" ht="13.2" x14ac:dyDescent="0.25">
      <c r="A74" s="5" t="s">
        <v>15</v>
      </c>
      <c r="B74" s="5" t="s">
        <v>87</v>
      </c>
      <c r="C74">
        <v>4215</v>
      </c>
      <c r="D74" s="18">
        <f t="shared" si="8"/>
        <v>4498.18</v>
      </c>
      <c r="E74" s="18">
        <f t="shared" si="9"/>
        <v>5346.21</v>
      </c>
      <c r="F74" s="18">
        <f t="shared" si="10"/>
        <v>3650.15</v>
      </c>
      <c r="G74" s="14">
        <f t="shared" si="11"/>
        <v>400</v>
      </c>
      <c r="H74" s="18">
        <f t="shared" si="12"/>
        <v>318.81</v>
      </c>
      <c r="I74" s="4">
        <f t="shared" si="13"/>
        <v>1041.8699999999999</v>
      </c>
    </row>
    <row r="75" spans="1:9" ht="13.2" x14ac:dyDescent="0.25">
      <c r="A75" s="5" t="s">
        <v>15</v>
      </c>
      <c r="B75" s="5" t="s">
        <v>88</v>
      </c>
      <c r="C75">
        <v>4275</v>
      </c>
      <c r="D75" s="18">
        <f t="shared" si="8"/>
        <v>4498.18</v>
      </c>
      <c r="E75" s="18">
        <f t="shared" si="9"/>
        <v>5346.21</v>
      </c>
      <c r="F75" s="18">
        <f t="shared" si="10"/>
        <v>3650.15</v>
      </c>
      <c r="G75" s="14">
        <f t="shared" si="11"/>
        <v>60</v>
      </c>
      <c r="H75" s="18">
        <f t="shared" si="12"/>
        <v>318.81</v>
      </c>
      <c r="I75" s="4">
        <f t="shared" si="13"/>
        <v>1041.8699999999999</v>
      </c>
    </row>
    <row r="76" spans="1:9" ht="13.2" x14ac:dyDescent="0.25">
      <c r="A76" s="5" t="s">
        <v>15</v>
      </c>
      <c r="B76" s="5" t="s">
        <v>89</v>
      </c>
      <c r="C76">
        <v>4275</v>
      </c>
      <c r="D76" s="18">
        <f t="shared" si="8"/>
        <v>4498.18</v>
      </c>
      <c r="E76" s="18">
        <f t="shared" si="9"/>
        <v>5346.21</v>
      </c>
      <c r="F76" s="18">
        <f t="shared" si="10"/>
        <v>3650.15</v>
      </c>
      <c r="G76" s="14">
        <f t="shared" si="11"/>
        <v>0</v>
      </c>
      <c r="H76" s="18">
        <f t="shared" si="12"/>
        <v>318.81</v>
      </c>
      <c r="I76" s="4">
        <f t="shared" si="13"/>
        <v>1041.8699999999999</v>
      </c>
    </row>
    <row r="77" spans="1:9" ht="13.2" x14ac:dyDescent="0.25">
      <c r="A77" s="5" t="s">
        <v>15</v>
      </c>
      <c r="B77" s="5" t="s">
        <v>90</v>
      </c>
      <c r="C77">
        <v>5000</v>
      </c>
      <c r="D77" s="18">
        <f t="shared" si="8"/>
        <v>4498.18</v>
      </c>
      <c r="E77" s="18">
        <f t="shared" si="9"/>
        <v>5346.21</v>
      </c>
      <c r="F77" s="18">
        <f t="shared" si="10"/>
        <v>3650.15</v>
      </c>
      <c r="G77" s="14">
        <f t="shared" si="11"/>
        <v>725</v>
      </c>
      <c r="H77" s="18">
        <f t="shared" si="12"/>
        <v>318.81</v>
      </c>
      <c r="I77" s="4">
        <f t="shared" si="13"/>
        <v>1041.8699999999999</v>
      </c>
    </row>
    <row r="78" spans="1:9" ht="13.2" x14ac:dyDescent="0.25">
      <c r="A78" s="5" t="s">
        <v>15</v>
      </c>
      <c r="B78" s="5" t="s">
        <v>91</v>
      </c>
      <c r="C78">
        <v>4615</v>
      </c>
      <c r="D78" s="18">
        <f t="shared" si="8"/>
        <v>4498.18</v>
      </c>
      <c r="E78" s="18">
        <f t="shared" si="9"/>
        <v>5346.21</v>
      </c>
      <c r="F78" s="18">
        <f t="shared" si="10"/>
        <v>3650.15</v>
      </c>
      <c r="G78" s="14">
        <f t="shared" si="11"/>
        <v>385</v>
      </c>
      <c r="H78" s="18">
        <f t="shared" si="12"/>
        <v>318.81</v>
      </c>
      <c r="I78" s="4">
        <f t="shared" si="13"/>
        <v>1041.8699999999999</v>
      </c>
    </row>
    <row r="79" spans="1:9" ht="13.2" x14ac:dyDescent="0.25">
      <c r="A79" s="5" t="s">
        <v>15</v>
      </c>
      <c r="B79" s="5" t="s">
        <v>92</v>
      </c>
      <c r="C79">
        <v>4735</v>
      </c>
      <c r="D79" s="18">
        <f t="shared" si="8"/>
        <v>4498.18</v>
      </c>
      <c r="E79" s="18">
        <f t="shared" si="9"/>
        <v>5346.21</v>
      </c>
      <c r="F79" s="18">
        <f t="shared" si="10"/>
        <v>3650.15</v>
      </c>
      <c r="G79" s="14">
        <f t="shared" si="11"/>
        <v>120</v>
      </c>
      <c r="H79" s="18">
        <f t="shared" si="12"/>
        <v>318.81</v>
      </c>
      <c r="I79" s="4">
        <f t="shared" si="13"/>
        <v>1041.8699999999999</v>
      </c>
    </row>
    <row r="80" spans="1:9" ht="13.2" x14ac:dyDescent="0.25">
      <c r="A80" s="5" t="s">
        <v>15</v>
      </c>
      <c r="B80" s="5" t="s">
        <v>93</v>
      </c>
      <c r="C80">
        <v>4215</v>
      </c>
      <c r="D80" s="18">
        <f t="shared" si="8"/>
        <v>4498.18</v>
      </c>
      <c r="E80" s="18">
        <f t="shared" si="9"/>
        <v>5346.21</v>
      </c>
      <c r="F80" s="18">
        <f t="shared" si="10"/>
        <v>3650.15</v>
      </c>
      <c r="G80" s="14">
        <f t="shared" si="11"/>
        <v>520</v>
      </c>
      <c r="H80" s="18">
        <f t="shared" si="12"/>
        <v>318.81</v>
      </c>
      <c r="I80" s="4">
        <f t="shared" si="13"/>
        <v>1041.8699999999999</v>
      </c>
    </row>
    <row r="81" spans="1:9" ht="13.2" x14ac:dyDescent="0.25">
      <c r="A81" s="5" t="s">
        <v>15</v>
      </c>
      <c r="B81" s="5" t="s">
        <v>94</v>
      </c>
      <c r="C81">
        <v>4700</v>
      </c>
      <c r="D81" s="18">
        <f t="shared" si="8"/>
        <v>4498.18</v>
      </c>
      <c r="E81" s="18">
        <f t="shared" si="9"/>
        <v>5346.21</v>
      </c>
      <c r="F81" s="18">
        <f t="shared" si="10"/>
        <v>3650.15</v>
      </c>
      <c r="G81" s="14">
        <f t="shared" si="11"/>
        <v>485</v>
      </c>
      <c r="H81" s="18">
        <f t="shared" si="12"/>
        <v>318.81</v>
      </c>
      <c r="I81" s="4">
        <f t="shared" si="13"/>
        <v>1041.8699999999999</v>
      </c>
    </row>
    <row r="82" spans="1:9" ht="13.2" x14ac:dyDescent="0.25">
      <c r="A82" s="5" t="s">
        <v>15</v>
      </c>
      <c r="B82" s="5" t="s">
        <v>95</v>
      </c>
      <c r="C82">
        <v>4700</v>
      </c>
      <c r="D82" s="18">
        <f t="shared" si="8"/>
        <v>4498.18</v>
      </c>
      <c r="E82" s="18">
        <f t="shared" si="9"/>
        <v>5346.21</v>
      </c>
      <c r="F82" s="18">
        <f t="shared" si="10"/>
        <v>3650.15</v>
      </c>
      <c r="G82" s="14">
        <f t="shared" si="11"/>
        <v>0</v>
      </c>
      <c r="H82" s="18">
        <f t="shared" si="12"/>
        <v>318.81</v>
      </c>
      <c r="I82" s="4">
        <f t="shared" si="13"/>
        <v>1041.8699999999999</v>
      </c>
    </row>
    <row r="83" spans="1:9" ht="13.2" x14ac:dyDescent="0.25">
      <c r="A83" s="5" t="s">
        <v>15</v>
      </c>
      <c r="B83" s="5" t="s">
        <v>96</v>
      </c>
      <c r="C83">
        <v>4700</v>
      </c>
      <c r="D83" s="18">
        <f t="shared" si="8"/>
        <v>4498.18</v>
      </c>
      <c r="E83" s="18">
        <f t="shared" si="9"/>
        <v>5346.21</v>
      </c>
      <c r="F83" s="18">
        <f t="shared" si="10"/>
        <v>3650.15</v>
      </c>
      <c r="G83" s="14">
        <f t="shared" si="11"/>
        <v>0</v>
      </c>
      <c r="H83" s="18">
        <f t="shared" si="12"/>
        <v>318.81</v>
      </c>
      <c r="I83" s="4">
        <f t="shared" si="13"/>
        <v>1041.8699999999999</v>
      </c>
    </row>
    <row r="84" spans="1:9" ht="13.2" x14ac:dyDescent="0.25">
      <c r="A84" s="5" t="s">
        <v>15</v>
      </c>
      <c r="B84" s="5" t="s">
        <v>97</v>
      </c>
      <c r="C84">
        <v>4700</v>
      </c>
      <c r="D84" s="18">
        <f t="shared" si="8"/>
        <v>4498.18</v>
      </c>
      <c r="E84" s="18">
        <f t="shared" si="9"/>
        <v>5346.21</v>
      </c>
      <c r="F84" s="18">
        <f t="shared" si="10"/>
        <v>3650.15</v>
      </c>
      <c r="G84" s="14">
        <f t="shared" si="11"/>
        <v>0</v>
      </c>
      <c r="H84" s="18">
        <f t="shared" si="12"/>
        <v>318.81</v>
      </c>
      <c r="I84" s="4">
        <f t="shared" si="13"/>
        <v>1041.8699999999999</v>
      </c>
    </row>
    <row r="85" spans="1:9" ht="13.2" x14ac:dyDescent="0.25">
      <c r="A85" s="5" t="s">
        <v>15</v>
      </c>
      <c r="B85" s="5" t="s">
        <v>98</v>
      </c>
      <c r="C85">
        <v>4095</v>
      </c>
      <c r="D85" s="18">
        <f t="shared" si="8"/>
        <v>4498.18</v>
      </c>
      <c r="E85" s="18">
        <f t="shared" si="9"/>
        <v>5346.21</v>
      </c>
      <c r="F85" s="18">
        <f t="shared" si="10"/>
        <v>3650.15</v>
      </c>
      <c r="G85" s="14">
        <f t="shared" si="11"/>
        <v>605</v>
      </c>
      <c r="H85" s="18">
        <f t="shared" si="12"/>
        <v>318.81</v>
      </c>
      <c r="I85" s="4">
        <f t="shared" si="13"/>
        <v>1041.8699999999999</v>
      </c>
    </row>
    <row r="86" spans="1:9" ht="13.2" x14ac:dyDescent="0.25">
      <c r="A86" s="5" t="s">
        <v>15</v>
      </c>
      <c r="B86" s="5" t="s">
        <v>99</v>
      </c>
      <c r="C86">
        <v>4095</v>
      </c>
      <c r="D86" s="18">
        <f t="shared" si="8"/>
        <v>4498.18</v>
      </c>
      <c r="E86" s="18">
        <f t="shared" si="9"/>
        <v>5346.21</v>
      </c>
      <c r="F86" s="18">
        <f t="shared" si="10"/>
        <v>3650.15</v>
      </c>
      <c r="G86" s="14">
        <f t="shared" si="11"/>
        <v>0</v>
      </c>
      <c r="H86" s="18">
        <f t="shared" si="12"/>
        <v>318.81</v>
      </c>
      <c r="I86" s="4">
        <f t="shared" si="13"/>
        <v>1041.8699999999999</v>
      </c>
    </row>
    <row r="87" spans="1:9" ht="13.2" x14ac:dyDescent="0.25">
      <c r="A87" s="5" t="s">
        <v>15</v>
      </c>
      <c r="B87" s="5" t="s">
        <v>100</v>
      </c>
      <c r="C87">
        <v>3940</v>
      </c>
      <c r="D87" s="18">
        <f t="shared" si="8"/>
        <v>4498.18</v>
      </c>
      <c r="E87" s="18">
        <f t="shared" si="9"/>
        <v>5346.21</v>
      </c>
      <c r="F87" s="18">
        <f t="shared" si="10"/>
        <v>3650.15</v>
      </c>
      <c r="G87" s="14">
        <f t="shared" si="11"/>
        <v>155</v>
      </c>
      <c r="H87" s="18">
        <f t="shared" si="12"/>
        <v>318.81</v>
      </c>
      <c r="I87" s="4">
        <f t="shared" si="13"/>
        <v>1041.8699999999999</v>
      </c>
    </row>
    <row r="88" spans="1:9" ht="13.2" x14ac:dyDescent="0.25">
      <c r="A88" s="5" t="s">
        <v>15</v>
      </c>
      <c r="B88" s="5" t="s">
        <v>101</v>
      </c>
      <c r="C88">
        <v>3700</v>
      </c>
      <c r="D88" s="18">
        <f t="shared" si="8"/>
        <v>4498.18</v>
      </c>
      <c r="E88" s="18">
        <f t="shared" si="9"/>
        <v>5346.21</v>
      </c>
      <c r="F88" s="18">
        <f t="shared" si="10"/>
        <v>3650.15</v>
      </c>
      <c r="G88" s="14">
        <f t="shared" si="11"/>
        <v>240</v>
      </c>
      <c r="H88" s="18">
        <f t="shared" si="12"/>
        <v>318.81</v>
      </c>
      <c r="I88" s="4">
        <f t="shared" si="13"/>
        <v>1041.8699999999999</v>
      </c>
    </row>
    <row r="89" spans="1:9" ht="13.2" x14ac:dyDescent="0.25">
      <c r="A89" s="5" t="s">
        <v>15</v>
      </c>
      <c r="B89" s="5" t="s">
        <v>102</v>
      </c>
      <c r="C89">
        <v>3650</v>
      </c>
      <c r="D89" s="18">
        <f t="shared" si="8"/>
        <v>4498.18</v>
      </c>
      <c r="E89" s="18">
        <f t="shared" si="9"/>
        <v>5346.21</v>
      </c>
      <c r="F89" s="18">
        <f t="shared" si="10"/>
        <v>3650.15</v>
      </c>
      <c r="G89" s="14">
        <f t="shared" si="11"/>
        <v>50</v>
      </c>
      <c r="H89" s="18">
        <f t="shared" si="12"/>
        <v>318.81</v>
      </c>
      <c r="I89" s="4">
        <f t="shared" si="13"/>
        <v>1041.8699999999999</v>
      </c>
    </row>
    <row r="90" spans="1:9" ht="13.2" x14ac:dyDescent="0.25">
      <c r="A90" s="5" t="s">
        <v>15</v>
      </c>
      <c r="B90" s="5" t="s">
        <v>103</v>
      </c>
      <c r="C90">
        <v>4445</v>
      </c>
      <c r="D90" s="18">
        <f t="shared" si="8"/>
        <v>4498.18</v>
      </c>
      <c r="E90" s="18">
        <f t="shared" si="9"/>
        <v>5346.21</v>
      </c>
      <c r="F90" s="18">
        <f t="shared" si="10"/>
        <v>3650.15</v>
      </c>
      <c r="G90" s="14">
        <f t="shared" si="11"/>
        <v>795</v>
      </c>
      <c r="H90" s="18">
        <f t="shared" si="12"/>
        <v>318.81</v>
      </c>
      <c r="I90" s="4">
        <f t="shared" si="13"/>
        <v>1041.8699999999999</v>
      </c>
    </row>
    <row r="91" spans="1:9" ht="13.2" x14ac:dyDescent="0.25">
      <c r="A91" s="5" t="s">
        <v>15</v>
      </c>
      <c r="B91" s="5" t="s">
        <v>104</v>
      </c>
      <c r="C91">
        <v>4000</v>
      </c>
      <c r="D91" s="18">
        <f t="shared" si="8"/>
        <v>4498.18</v>
      </c>
      <c r="E91" s="18">
        <f t="shared" si="9"/>
        <v>5346.21</v>
      </c>
      <c r="F91" s="18">
        <f t="shared" si="10"/>
        <v>3650.15</v>
      </c>
      <c r="G91" s="14">
        <f t="shared" si="11"/>
        <v>445</v>
      </c>
      <c r="H91" s="18">
        <f t="shared" si="12"/>
        <v>318.81</v>
      </c>
      <c r="I91" s="4">
        <f t="shared" si="13"/>
        <v>1041.8699999999999</v>
      </c>
    </row>
    <row r="92" spans="1:9" ht="13.2" x14ac:dyDescent="0.25">
      <c r="A92" s="5" t="s">
        <v>15</v>
      </c>
      <c r="B92" s="5" t="s">
        <v>105</v>
      </c>
      <c r="C92">
        <v>4845</v>
      </c>
      <c r="D92" s="18">
        <f t="shared" si="8"/>
        <v>4498.18</v>
      </c>
      <c r="E92" s="18">
        <f t="shared" si="9"/>
        <v>5346.21</v>
      </c>
      <c r="F92" s="18">
        <f t="shared" si="10"/>
        <v>3650.15</v>
      </c>
      <c r="G92" s="14">
        <f t="shared" si="11"/>
        <v>845</v>
      </c>
      <c r="H92" s="18">
        <f t="shared" si="12"/>
        <v>318.81</v>
      </c>
      <c r="I92" s="4">
        <f t="shared" si="13"/>
        <v>1041.8699999999999</v>
      </c>
    </row>
    <row r="93" spans="1:9" ht="13.2" x14ac:dyDescent="0.25">
      <c r="A93" s="5" t="s">
        <v>15</v>
      </c>
      <c r="B93" s="5" t="s">
        <v>106</v>
      </c>
      <c r="C93">
        <v>5000</v>
      </c>
      <c r="D93" s="18">
        <f t="shared" si="8"/>
        <v>4498.18</v>
      </c>
      <c r="E93" s="18">
        <f t="shared" si="9"/>
        <v>5346.21</v>
      </c>
      <c r="F93" s="18">
        <f t="shared" si="10"/>
        <v>3650.15</v>
      </c>
      <c r="G93" s="14">
        <f t="shared" si="11"/>
        <v>155</v>
      </c>
      <c r="H93" s="18">
        <f t="shared" si="12"/>
        <v>318.81</v>
      </c>
      <c r="I93" s="4">
        <f t="shared" si="13"/>
        <v>1041.8699999999999</v>
      </c>
    </row>
    <row r="94" spans="1:9" ht="13.2" x14ac:dyDescent="0.25">
      <c r="A94" s="5" t="s">
        <v>15</v>
      </c>
      <c r="B94" s="5" t="s">
        <v>107</v>
      </c>
      <c r="C94">
        <v>4560</v>
      </c>
      <c r="D94" s="18">
        <f t="shared" si="8"/>
        <v>4498.18</v>
      </c>
      <c r="E94" s="18">
        <f t="shared" si="9"/>
        <v>5346.21</v>
      </c>
      <c r="F94" s="18">
        <f t="shared" si="10"/>
        <v>3650.15</v>
      </c>
      <c r="G94" s="14">
        <f t="shared" si="11"/>
        <v>440</v>
      </c>
      <c r="H94" s="18">
        <f t="shared" si="12"/>
        <v>318.81</v>
      </c>
      <c r="I94" s="4">
        <f t="shared" si="13"/>
        <v>1041.8699999999999</v>
      </c>
    </row>
    <row r="95" spans="1:9" ht="13.2" x14ac:dyDescent="0.25">
      <c r="A95" s="5" t="s">
        <v>15</v>
      </c>
      <c r="B95" s="5" t="s">
        <v>108</v>
      </c>
      <c r="C95">
        <v>4700</v>
      </c>
      <c r="D95" s="18">
        <f t="shared" si="8"/>
        <v>4498.18</v>
      </c>
      <c r="E95" s="18">
        <f t="shared" si="9"/>
        <v>5346.21</v>
      </c>
      <c r="F95" s="18">
        <f t="shared" si="10"/>
        <v>3650.15</v>
      </c>
      <c r="G95" s="14">
        <f t="shared" si="11"/>
        <v>140</v>
      </c>
      <c r="H95" s="18">
        <f t="shared" si="12"/>
        <v>318.81</v>
      </c>
      <c r="I95" s="4">
        <f t="shared" si="13"/>
        <v>1041.8699999999999</v>
      </c>
    </row>
    <row r="96" spans="1:9" ht="13.2" x14ac:dyDescent="0.25">
      <c r="A96" s="5" t="s">
        <v>15</v>
      </c>
      <c r="B96" s="5" t="s">
        <v>109</v>
      </c>
      <c r="C96">
        <v>4310</v>
      </c>
      <c r="D96" s="18">
        <f t="shared" si="8"/>
        <v>4498.18</v>
      </c>
      <c r="E96" s="18">
        <f t="shared" si="9"/>
        <v>5346.21</v>
      </c>
      <c r="F96" s="18">
        <f t="shared" si="10"/>
        <v>3650.15</v>
      </c>
      <c r="G96" s="14">
        <f t="shared" si="11"/>
        <v>390</v>
      </c>
      <c r="H96" s="18">
        <f t="shared" si="12"/>
        <v>318.81</v>
      </c>
      <c r="I96" s="4">
        <f t="shared" si="13"/>
        <v>1041.8699999999999</v>
      </c>
    </row>
    <row r="97" spans="1:9" ht="13.2" x14ac:dyDescent="0.25">
      <c r="A97" s="5" t="s">
        <v>15</v>
      </c>
      <c r="B97" s="5" t="s">
        <v>110</v>
      </c>
      <c r="C97">
        <v>4310</v>
      </c>
      <c r="D97" s="18">
        <f t="shared" si="8"/>
        <v>4498.18</v>
      </c>
      <c r="E97" s="18">
        <f t="shared" si="9"/>
        <v>5346.21</v>
      </c>
      <c r="F97" s="18">
        <f t="shared" si="10"/>
        <v>3650.15</v>
      </c>
      <c r="G97" s="14">
        <f t="shared" si="11"/>
        <v>0</v>
      </c>
      <c r="H97" s="18">
        <f t="shared" si="12"/>
        <v>318.81</v>
      </c>
      <c r="I97" s="4">
        <f t="shared" si="13"/>
        <v>1041.8699999999999</v>
      </c>
    </row>
    <row r="98" spans="1:9" ht="13.2" x14ac:dyDescent="0.25">
      <c r="A98" s="5" t="s">
        <v>15</v>
      </c>
      <c r="B98" s="5" t="s">
        <v>111</v>
      </c>
      <c r="C98">
        <v>5000</v>
      </c>
      <c r="D98" s="18">
        <f t="shared" si="8"/>
        <v>4498.18</v>
      </c>
      <c r="E98" s="18">
        <f t="shared" si="9"/>
        <v>5346.21</v>
      </c>
      <c r="F98" s="18">
        <f t="shared" si="10"/>
        <v>3650.15</v>
      </c>
      <c r="G98" s="14">
        <f t="shared" si="11"/>
        <v>690</v>
      </c>
      <c r="H98" s="18">
        <f t="shared" si="12"/>
        <v>318.81</v>
      </c>
      <c r="I98" s="4">
        <f t="shared" si="13"/>
        <v>1041.8699999999999</v>
      </c>
    </row>
    <row r="99" spans="1:9" ht="13.2" x14ac:dyDescent="0.25">
      <c r="A99" s="5" t="s">
        <v>15</v>
      </c>
      <c r="B99" s="5" t="s">
        <v>112</v>
      </c>
      <c r="C99">
        <v>4575</v>
      </c>
      <c r="D99" s="18">
        <f t="shared" si="8"/>
        <v>4498.18</v>
      </c>
      <c r="E99" s="18">
        <f t="shared" si="9"/>
        <v>5346.21</v>
      </c>
      <c r="F99" s="18">
        <f t="shared" si="10"/>
        <v>3650.15</v>
      </c>
      <c r="G99" s="14">
        <f t="shared" si="11"/>
        <v>425</v>
      </c>
      <c r="H99" s="18">
        <f t="shared" si="12"/>
        <v>318.81</v>
      </c>
      <c r="I99" s="4">
        <f t="shared" si="13"/>
        <v>1041.8699999999999</v>
      </c>
    </row>
    <row r="100" spans="1:9" ht="13.2" x14ac:dyDescent="0.25">
      <c r="A100" s="5" t="s">
        <v>15</v>
      </c>
      <c r="B100" s="5" t="s">
        <v>113</v>
      </c>
      <c r="C100">
        <v>4700</v>
      </c>
      <c r="D100" s="18">
        <f t="shared" si="8"/>
        <v>4498.18</v>
      </c>
      <c r="E100" s="18">
        <f t="shared" si="9"/>
        <v>5346.21</v>
      </c>
      <c r="F100" s="18">
        <f t="shared" si="10"/>
        <v>3650.15</v>
      </c>
      <c r="G100" s="14">
        <f t="shared" si="11"/>
        <v>125</v>
      </c>
      <c r="H100" s="18">
        <f t="shared" si="12"/>
        <v>318.81</v>
      </c>
      <c r="I100" s="4">
        <f t="shared" si="13"/>
        <v>1041.8699999999999</v>
      </c>
    </row>
    <row r="101" spans="1:9" ht="13.2" x14ac:dyDescent="0.25">
      <c r="A101" s="5" t="s">
        <v>15</v>
      </c>
      <c r="B101" s="5" t="s">
        <v>114</v>
      </c>
      <c r="C101">
        <v>4430</v>
      </c>
      <c r="D101" s="18">
        <f t="shared" si="8"/>
        <v>4498.18</v>
      </c>
      <c r="E101" s="18">
        <f t="shared" si="9"/>
        <v>5346.21</v>
      </c>
      <c r="F101" s="18">
        <f t="shared" si="10"/>
        <v>3650.15</v>
      </c>
      <c r="G101" s="14">
        <f t="shared" si="11"/>
        <v>270</v>
      </c>
      <c r="H101" s="18">
        <f t="shared" si="12"/>
        <v>318.81</v>
      </c>
      <c r="I101" s="4">
        <f t="shared" si="13"/>
        <v>1041.8699999999999</v>
      </c>
    </row>
    <row r="102" spans="1:9" ht="13.2" x14ac:dyDescent="0.25">
      <c r="A102" s="5" t="s">
        <v>15</v>
      </c>
      <c r="B102" s="5" t="s">
        <v>115</v>
      </c>
      <c r="C102">
        <v>4850</v>
      </c>
      <c r="D102" s="18">
        <f t="shared" si="8"/>
        <v>4498.18</v>
      </c>
      <c r="E102" s="18">
        <f t="shared" si="9"/>
        <v>5346.21</v>
      </c>
      <c r="F102" s="18">
        <f t="shared" si="10"/>
        <v>3650.15</v>
      </c>
      <c r="G102" s="14">
        <f t="shared" si="11"/>
        <v>420</v>
      </c>
      <c r="H102" s="18">
        <f t="shared" si="12"/>
        <v>318.81</v>
      </c>
      <c r="I102" s="4">
        <f t="shared" si="13"/>
        <v>1041.8699999999999</v>
      </c>
    </row>
    <row r="103" spans="1:9" ht="13.2" x14ac:dyDescent="0.25">
      <c r="A103" s="5" t="s">
        <v>15</v>
      </c>
      <c r="B103" s="5" t="s">
        <v>116</v>
      </c>
      <c r="C103">
        <v>4850</v>
      </c>
      <c r="D103" s="18">
        <f t="shared" si="8"/>
        <v>4498.18</v>
      </c>
      <c r="E103" s="18">
        <f t="shared" si="9"/>
        <v>5346.21</v>
      </c>
      <c r="F103" s="18">
        <f t="shared" si="10"/>
        <v>3650.15</v>
      </c>
      <c r="G103" s="14">
        <f t="shared" si="11"/>
        <v>0</v>
      </c>
      <c r="H103" s="18">
        <f t="shared" si="12"/>
        <v>318.81</v>
      </c>
      <c r="I103" s="4">
        <f t="shared" si="13"/>
        <v>1041.8699999999999</v>
      </c>
    </row>
    <row r="104" spans="1:9" ht="13.2" x14ac:dyDescent="0.25">
      <c r="A104" s="5" t="s">
        <v>15</v>
      </c>
      <c r="B104" s="5" t="s">
        <v>117</v>
      </c>
      <c r="C104">
        <v>4570</v>
      </c>
      <c r="D104" s="18">
        <f t="shared" si="8"/>
        <v>4498.18</v>
      </c>
      <c r="E104" s="18">
        <f t="shared" si="9"/>
        <v>5346.21</v>
      </c>
      <c r="F104" s="18">
        <f t="shared" si="10"/>
        <v>3650.15</v>
      </c>
      <c r="G104" s="14">
        <f t="shared" si="11"/>
        <v>280</v>
      </c>
      <c r="H104" s="18">
        <f t="shared" si="12"/>
        <v>318.81</v>
      </c>
      <c r="I104" s="4">
        <f t="shared" si="13"/>
        <v>1041.8699999999999</v>
      </c>
    </row>
    <row r="105" spans="1:9" ht="13.2" x14ac:dyDescent="0.25">
      <c r="A105" s="5" t="s">
        <v>15</v>
      </c>
      <c r="B105" s="5" t="s">
        <v>118</v>
      </c>
      <c r="C105">
        <v>4570</v>
      </c>
      <c r="D105" s="18">
        <f t="shared" si="8"/>
        <v>4498.18</v>
      </c>
      <c r="E105" s="18">
        <f t="shared" si="9"/>
        <v>5346.21</v>
      </c>
      <c r="F105" s="18">
        <f t="shared" si="10"/>
        <v>3650.15</v>
      </c>
      <c r="G105" s="14">
        <f t="shared" si="11"/>
        <v>0</v>
      </c>
      <c r="H105" s="18">
        <f t="shared" si="12"/>
        <v>318.81</v>
      </c>
      <c r="I105" s="4">
        <f t="shared" si="13"/>
        <v>1041.8699999999999</v>
      </c>
    </row>
    <row r="106" spans="1:9" ht="13.2" x14ac:dyDescent="0.25">
      <c r="A106" s="5" t="s">
        <v>15</v>
      </c>
      <c r="B106" s="5" t="s">
        <v>119</v>
      </c>
      <c r="C106">
        <v>4855</v>
      </c>
      <c r="D106" s="18">
        <f t="shared" si="8"/>
        <v>4498.18</v>
      </c>
      <c r="E106" s="18">
        <f t="shared" si="9"/>
        <v>5346.21</v>
      </c>
      <c r="F106" s="18">
        <f t="shared" si="10"/>
        <v>3650.15</v>
      </c>
      <c r="G106" s="14">
        <f t="shared" si="11"/>
        <v>285</v>
      </c>
      <c r="H106" s="18">
        <f t="shared" si="12"/>
        <v>318.81</v>
      </c>
      <c r="I106" s="4">
        <f t="shared" si="13"/>
        <v>1041.8699999999999</v>
      </c>
    </row>
    <row r="107" spans="1:9" ht="13.2" x14ac:dyDescent="0.25">
      <c r="A107" s="5" t="s">
        <v>15</v>
      </c>
      <c r="B107" s="5" t="s">
        <v>120</v>
      </c>
      <c r="C107">
        <v>4160</v>
      </c>
      <c r="D107" s="18">
        <f t="shared" si="8"/>
        <v>4498.18</v>
      </c>
      <c r="E107" s="18">
        <f t="shared" si="9"/>
        <v>5346.21</v>
      </c>
      <c r="F107" s="18">
        <f t="shared" si="10"/>
        <v>3650.15</v>
      </c>
      <c r="G107" s="14">
        <f t="shared" si="11"/>
        <v>695</v>
      </c>
      <c r="H107" s="18">
        <f t="shared" si="12"/>
        <v>318.81</v>
      </c>
      <c r="I107" s="4">
        <f t="shared" si="13"/>
        <v>1041.8699999999999</v>
      </c>
    </row>
    <row r="108" spans="1:9" ht="13.2" x14ac:dyDescent="0.25">
      <c r="A108" s="5" t="s">
        <v>15</v>
      </c>
      <c r="B108" s="5" t="s">
        <v>121</v>
      </c>
      <c r="C108">
        <v>4325</v>
      </c>
      <c r="D108" s="18">
        <f t="shared" si="8"/>
        <v>4498.18</v>
      </c>
      <c r="E108" s="18">
        <f t="shared" si="9"/>
        <v>5346.21</v>
      </c>
      <c r="F108" s="18">
        <f t="shared" si="10"/>
        <v>3650.15</v>
      </c>
      <c r="G108" s="14">
        <f t="shared" si="11"/>
        <v>165</v>
      </c>
      <c r="H108" s="18">
        <f t="shared" si="12"/>
        <v>318.81</v>
      </c>
      <c r="I108" s="4">
        <f t="shared" si="13"/>
        <v>1041.8699999999999</v>
      </c>
    </row>
    <row r="109" spans="1:9" ht="13.2" x14ac:dyDescent="0.25">
      <c r="A109" s="5" t="s">
        <v>15</v>
      </c>
      <c r="B109" s="5" t="s">
        <v>122</v>
      </c>
      <c r="C109">
        <v>4125</v>
      </c>
      <c r="D109" s="18">
        <f t="shared" si="8"/>
        <v>4498.18</v>
      </c>
      <c r="E109" s="18">
        <f t="shared" si="9"/>
        <v>5346.21</v>
      </c>
      <c r="F109" s="18">
        <f t="shared" si="10"/>
        <v>3650.15</v>
      </c>
      <c r="G109" s="14">
        <f t="shared" si="11"/>
        <v>200</v>
      </c>
      <c r="H109" s="18">
        <f t="shared" si="12"/>
        <v>318.81</v>
      </c>
      <c r="I109" s="4">
        <f t="shared" si="13"/>
        <v>1041.8699999999999</v>
      </c>
    </row>
    <row r="110" spans="1:9" ht="13.2" x14ac:dyDescent="0.25">
      <c r="A110" s="5" t="s">
        <v>15</v>
      </c>
      <c r="B110" s="5" t="s">
        <v>123</v>
      </c>
      <c r="C110">
        <v>4100</v>
      </c>
      <c r="D110" s="18">
        <f t="shared" si="8"/>
        <v>4498.18</v>
      </c>
      <c r="E110" s="18">
        <f t="shared" si="9"/>
        <v>5346.21</v>
      </c>
      <c r="F110" s="18">
        <f t="shared" si="10"/>
        <v>3650.15</v>
      </c>
      <c r="G110" s="14">
        <f t="shared" si="11"/>
        <v>25</v>
      </c>
      <c r="H110" s="18">
        <f t="shared" si="12"/>
        <v>318.81</v>
      </c>
      <c r="I110" s="4">
        <f t="shared" si="13"/>
        <v>1041.8699999999999</v>
      </c>
    </row>
    <row r="111" spans="1:9" ht="13.2" x14ac:dyDescent="0.25">
      <c r="A111" s="5" t="s">
        <v>15</v>
      </c>
      <c r="B111" s="5" t="s">
        <v>124</v>
      </c>
      <c r="C111">
        <v>4340</v>
      </c>
      <c r="D111" s="18">
        <f t="shared" si="8"/>
        <v>4498.18</v>
      </c>
      <c r="E111" s="18">
        <f t="shared" si="9"/>
        <v>5346.21</v>
      </c>
      <c r="F111" s="18">
        <f t="shared" si="10"/>
        <v>3650.15</v>
      </c>
      <c r="G111" s="14">
        <f t="shared" si="11"/>
        <v>240</v>
      </c>
      <c r="H111" s="18">
        <f t="shared" si="12"/>
        <v>318.81</v>
      </c>
      <c r="I111" s="4">
        <f t="shared" si="13"/>
        <v>1041.8699999999999</v>
      </c>
    </row>
    <row r="112" spans="1:9" ht="13.2" x14ac:dyDescent="0.25">
      <c r="A112" s="5" t="s">
        <v>15</v>
      </c>
      <c r="B112" s="5" t="s">
        <v>125</v>
      </c>
      <c r="C112">
        <v>4575</v>
      </c>
      <c r="D112" s="18">
        <f t="shared" si="8"/>
        <v>4498.18</v>
      </c>
      <c r="E112" s="18">
        <f t="shared" si="9"/>
        <v>5346.21</v>
      </c>
      <c r="F112" s="18">
        <f t="shared" si="10"/>
        <v>3650.15</v>
      </c>
      <c r="G112" s="14">
        <f t="shared" si="11"/>
        <v>235</v>
      </c>
      <c r="H112" s="18">
        <f t="shared" si="12"/>
        <v>318.81</v>
      </c>
      <c r="I112" s="4">
        <f t="shared" si="13"/>
        <v>1041.8699999999999</v>
      </c>
    </row>
    <row r="113" spans="1:9" ht="13.2" x14ac:dyDescent="0.25">
      <c r="A113" s="5" t="s">
        <v>15</v>
      </c>
      <c r="B113" s="5" t="s">
        <v>126</v>
      </c>
      <c r="C113">
        <v>3875</v>
      </c>
      <c r="D113" s="18">
        <f t="shared" si="8"/>
        <v>4498.18</v>
      </c>
      <c r="E113" s="18">
        <f t="shared" si="9"/>
        <v>5346.21</v>
      </c>
      <c r="F113" s="18">
        <f t="shared" si="10"/>
        <v>3650.15</v>
      </c>
      <c r="G113" s="14">
        <f t="shared" si="11"/>
        <v>700</v>
      </c>
      <c r="H113" s="18">
        <f t="shared" si="12"/>
        <v>318.81</v>
      </c>
      <c r="I113" s="4">
        <f t="shared" si="13"/>
        <v>1041.8699999999999</v>
      </c>
    </row>
    <row r="114" spans="1:9" ht="13.2" x14ac:dyDescent="0.25">
      <c r="A114" s="5" t="s">
        <v>15</v>
      </c>
      <c r="B114" s="5" t="s">
        <v>127</v>
      </c>
      <c r="C114">
        <v>4050</v>
      </c>
      <c r="D114" s="18">
        <f t="shared" si="8"/>
        <v>4498.18</v>
      </c>
      <c r="E114" s="18">
        <f t="shared" si="9"/>
        <v>5346.21</v>
      </c>
      <c r="F114" s="18">
        <f t="shared" si="10"/>
        <v>3650.15</v>
      </c>
      <c r="G114" s="14">
        <f t="shared" si="11"/>
        <v>175</v>
      </c>
      <c r="H114" s="18">
        <f t="shared" si="12"/>
        <v>318.81</v>
      </c>
      <c r="I114" s="4">
        <f t="shared" si="13"/>
        <v>1041.8699999999999</v>
      </c>
    </row>
    <row r="115" spans="1:9" ht="13.2" x14ac:dyDescent="0.25">
      <c r="A115" s="5" t="s">
        <v>15</v>
      </c>
      <c r="B115" s="5" t="s">
        <v>128</v>
      </c>
      <c r="C115">
        <v>4050</v>
      </c>
      <c r="D115" s="18">
        <f t="shared" si="8"/>
        <v>4498.18</v>
      </c>
      <c r="E115" s="18">
        <f t="shared" si="9"/>
        <v>5346.21</v>
      </c>
      <c r="F115" s="18">
        <f t="shared" si="10"/>
        <v>3650.15</v>
      </c>
      <c r="G115" s="14">
        <f t="shared" si="11"/>
        <v>0</v>
      </c>
      <c r="H115" s="18">
        <f t="shared" si="12"/>
        <v>318.81</v>
      </c>
      <c r="I115" s="4">
        <f t="shared" si="13"/>
        <v>1041.8699999999999</v>
      </c>
    </row>
    <row r="116" spans="1:9" ht="13.2" x14ac:dyDescent="0.25">
      <c r="A116" s="5" t="s">
        <v>15</v>
      </c>
      <c r="B116" s="5" t="s">
        <v>129</v>
      </c>
      <c r="C116">
        <v>4685</v>
      </c>
      <c r="D116" s="18">
        <f t="shared" si="8"/>
        <v>4498.18</v>
      </c>
      <c r="E116" s="18">
        <f t="shared" si="9"/>
        <v>5346.21</v>
      </c>
      <c r="F116" s="18">
        <f t="shared" si="10"/>
        <v>3650.15</v>
      </c>
      <c r="G116" s="14">
        <f t="shared" si="11"/>
        <v>635</v>
      </c>
      <c r="H116" s="18">
        <f t="shared" si="12"/>
        <v>318.81</v>
      </c>
      <c r="I116" s="4">
        <f t="shared" si="13"/>
        <v>1041.8699999999999</v>
      </c>
    </row>
    <row r="117" spans="1:9" ht="13.2" x14ac:dyDescent="0.25">
      <c r="A117" s="5" t="s">
        <v>15</v>
      </c>
      <c r="B117" s="5" t="s">
        <v>130</v>
      </c>
      <c r="C117">
        <v>4685</v>
      </c>
      <c r="D117" s="18">
        <f t="shared" si="8"/>
        <v>4498.18</v>
      </c>
      <c r="E117" s="18">
        <f t="shared" si="9"/>
        <v>5346.21</v>
      </c>
      <c r="F117" s="18">
        <f t="shared" si="10"/>
        <v>3650.15</v>
      </c>
      <c r="G117" s="14">
        <f t="shared" si="11"/>
        <v>0</v>
      </c>
      <c r="H117" s="18">
        <f t="shared" si="12"/>
        <v>318.81</v>
      </c>
      <c r="I117" s="4">
        <f t="shared" si="13"/>
        <v>1041.8699999999999</v>
      </c>
    </row>
    <row r="118" spans="1:9" ht="13.2" x14ac:dyDescent="0.25">
      <c r="A118" s="5" t="s">
        <v>15</v>
      </c>
      <c r="B118" s="5" t="s">
        <v>131</v>
      </c>
      <c r="C118">
        <v>4430</v>
      </c>
      <c r="D118" s="18">
        <f t="shared" si="8"/>
        <v>4498.18</v>
      </c>
      <c r="E118" s="18">
        <f t="shared" si="9"/>
        <v>5346.21</v>
      </c>
      <c r="F118" s="18">
        <f t="shared" si="10"/>
        <v>3650.15</v>
      </c>
      <c r="G118" s="14">
        <f t="shared" si="11"/>
        <v>255</v>
      </c>
      <c r="H118" s="18">
        <f t="shared" si="12"/>
        <v>318.81</v>
      </c>
      <c r="I118" s="4">
        <f t="shared" si="13"/>
        <v>1041.8699999999999</v>
      </c>
    </row>
    <row r="119" spans="1:9" ht="13.2" x14ac:dyDescent="0.25">
      <c r="A119" s="5" t="s">
        <v>15</v>
      </c>
      <c r="B119" s="5" t="s">
        <v>132</v>
      </c>
      <c r="C119">
        <v>4300</v>
      </c>
      <c r="D119" s="18">
        <f t="shared" si="8"/>
        <v>4498.18</v>
      </c>
      <c r="E119" s="18">
        <f t="shared" si="9"/>
        <v>5346.21</v>
      </c>
      <c r="F119" s="18">
        <f t="shared" si="10"/>
        <v>3650.15</v>
      </c>
      <c r="G119" s="14">
        <f t="shared" si="11"/>
        <v>130</v>
      </c>
      <c r="H119" s="18">
        <f t="shared" si="12"/>
        <v>318.81</v>
      </c>
      <c r="I119" s="4">
        <f t="shared" si="13"/>
        <v>1041.8699999999999</v>
      </c>
    </row>
    <row r="120" spans="1:9" ht="13.2" x14ac:dyDescent="0.25">
      <c r="A120" s="5" t="s">
        <v>15</v>
      </c>
      <c r="B120" s="5" t="s">
        <v>133</v>
      </c>
      <c r="C120">
        <v>4690</v>
      </c>
      <c r="D120" s="18">
        <f t="shared" si="8"/>
        <v>4498.18</v>
      </c>
      <c r="E120" s="18">
        <f t="shared" si="9"/>
        <v>5346.21</v>
      </c>
      <c r="F120" s="18">
        <f t="shared" si="10"/>
        <v>3650.15</v>
      </c>
      <c r="G120" s="14">
        <f t="shared" si="11"/>
        <v>390</v>
      </c>
      <c r="H120" s="18">
        <f t="shared" si="12"/>
        <v>318.81</v>
      </c>
      <c r="I120" s="4">
        <f t="shared" si="13"/>
        <v>1041.8699999999999</v>
      </c>
    </row>
    <row r="121" spans="1:9" ht="13.2" x14ac:dyDescent="0.25">
      <c r="A121" s="5" t="s">
        <v>15</v>
      </c>
      <c r="B121" s="5" t="s">
        <v>134</v>
      </c>
      <c r="C121">
        <v>4560</v>
      </c>
      <c r="D121" s="18">
        <f t="shared" si="8"/>
        <v>4498.18</v>
      </c>
      <c r="E121" s="18">
        <f t="shared" si="9"/>
        <v>5346.21</v>
      </c>
      <c r="F121" s="18">
        <f t="shared" si="10"/>
        <v>3650.15</v>
      </c>
      <c r="G121" s="14">
        <f t="shared" si="11"/>
        <v>130</v>
      </c>
      <c r="H121" s="18">
        <f t="shared" si="12"/>
        <v>318.81</v>
      </c>
      <c r="I121" s="4">
        <f t="shared" si="13"/>
        <v>1041.8699999999999</v>
      </c>
    </row>
    <row r="122" spans="1:9" ht="13.2" x14ac:dyDescent="0.25">
      <c r="A122" s="5" t="s">
        <v>15</v>
      </c>
      <c r="B122" s="5" t="s">
        <v>135</v>
      </c>
      <c r="C122">
        <v>3075</v>
      </c>
      <c r="D122" s="18">
        <f t="shared" si="8"/>
        <v>4498.18</v>
      </c>
      <c r="E122" s="18">
        <f t="shared" si="9"/>
        <v>5346.21</v>
      </c>
      <c r="F122" s="18">
        <f t="shared" si="10"/>
        <v>3650.15</v>
      </c>
      <c r="G122" s="14">
        <f t="shared" si="11"/>
        <v>1485</v>
      </c>
      <c r="H122" s="18">
        <f t="shared" si="12"/>
        <v>318.81</v>
      </c>
      <c r="I122" s="4">
        <f t="shared" si="13"/>
        <v>1041.8699999999999</v>
      </c>
    </row>
    <row r="123" spans="1:9" ht="13.2" x14ac:dyDescent="0.25">
      <c r="A123" s="5" t="s">
        <v>15</v>
      </c>
      <c r="B123" s="5" t="s">
        <v>136</v>
      </c>
      <c r="C123">
        <v>2965</v>
      </c>
      <c r="D123" s="18">
        <f t="shared" si="8"/>
        <v>4498.18</v>
      </c>
      <c r="E123" s="18">
        <f t="shared" si="9"/>
        <v>5346.21</v>
      </c>
      <c r="F123" s="18">
        <f t="shared" si="10"/>
        <v>3650.15</v>
      </c>
      <c r="G123" s="14">
        <f t="shared" si="11"/>
        <v>110</v>
      </c>
      <c r="H123" s="18">
        <f t="shared" si="12"/>
        <v>318.81</v>
      </c>
      <c r="I123" s="4">
        <f t="shared" si="13"/>
        <v>1041.8699999999999</v>
      </c>
    </row>
    <row r="124" spans="1:9" ht="13.2" x14ac:dyDescent="0.25">
      <c r="A124" s="5" t="s">
        <v>15</v>
      </c>
      <c r="B124" s="5" t="s">
        <v>137</v>
      </c>
      <c r="C124">
        <v>4080</v>
      </c>
      <c r="D124" s="18">
        <f t="shared" si="8"/>
        <v>4498.18</v>
      </c>
      <c r="E124" s="18">
        <f t="shared" si="9"/>
        <v>5346.21</v>
      </c>
      <c r="F124" s="18">
        <f t="shared" si="10"/>
        <v>3650.15</v>
      </c>
      <c r="G124" s="14">
        <f t="shared" si="11"/>
        <v>1115</v>
      </c>
      <c r="H124" s="18">
        <f t="shared" si="12"/>
        <v>318.81</v>
      </c>
      <c r="I124" s="4">
        <f t="shared" si="13"/>
        <v>1041.8699999999999</v>
      </c>
    </row>
    <row r="125" spans="1:9" ht="13.2" x14ac:dyDescent="0.25">
      <c r="A125" s="5" t="s">
        <v>15</v>
      </c>
      <c r="B125" s="5" t="s">
        <v>138</v>
      </c>
      <c r="C125">
        <v>4080</v>
      </c>
      <c r="D125" s="18">
        <f t="shared" si="8"/>
        <v>4498.18</v>
      </c>
      <c r="E125" s="18">
        <f t="shared" si="9"/>
        <v>5346.21</v>
      </c>
      <c r="F125" s="18">
        <f t="shared" si="10"/>
        <v>3650.15</v>
      </c>
      <c r="G125" s="14">
        <f t="shared" si="11"/>
        <v>0</v>
      </c>
      <c r="H125" s="18">
        <f t="shared" si="12"/>
        <v>318.81</v>
      </c>
      <c r="I125" s="4">
        <f t="shared" si="13"/>
        <v>1041.8699999999999</v>
      </c>
    </row>
    <row r="126" spans="1:9" ht="13.2" x14ac:dyDescent="0.25">
      <c r="A126" s="5" t="s">
        <v>15</v>
      </c>
      <c r="B126" s="5" t="s">
        <v>139</v>
      </c>
      <c r="C126">
        <v>4425</v>
      </c>
      <c r="D126" s="18">
        <f t="shared" si="8"/>
        <v>4498.18</v>
      </c>
      <c r="E126" s="18">
        <f t="shared" si="9"/>
        <v>5346.21</v>
      </c>
      <c r="F126" s="18">
        <f t="shared" si="10"/>
        <v>3650.15</v>
      </c>
      <c r="G126" s="14">
        <f t="shared" si="11"/>
        <v>345</v>
      </c>
      <c r="H126" s="18">
        <f t="shared" si="12"/>
        <v>318.81</v>
      </c>
      <c r="I126" s="4">
        <f t="shared" si="13"/>
        <v>1041.8699999999999</v>
      </c>
    </row>
    <row r="127" spans="1:9" ht="13.2" x14ac:dyDescent="0.25">
      <c r="A127" s="5" t="s">
        <v>15</v>
      </c>
      <c r="B127" s="5" t="s">
        <v>140</v>
      </c>
      <c r="C127">
        <v>4300</v>
      </c>
      <c r="D127" s="18">
        <f t="shared" si="8"/>
        <v>4498.18</v>
      </c>
      <c r="E127" s="18">
        <f t="shared" si="9"/>
        <v>5346.21</v>
      </c>
      <c r="F127" s="18">
        <f t="shared" si="10"/>
        <v>3650.15</v>
      </c>
      <c r="G127" s="14">
        <f t="shared" si="11"/>
        <v>125</v>
      </c>
      <c r="H127" s="18">
        <f t="shared" si="12"/>
        <v>318.81</v>
      </c>
      <c r="I127" s="4">
        <f t="shared" si="13"/>
        <v>1041.8699999999999</v>
      </c>
    </row>
    <row r="128" spans="1:9" ht="13.2" x14ac:dyDescent="0.25">
      <c r="A128" s="5" t="s">
        <v>15</v>
      </c>
      <c r="B128" s="5" t="s">
        <v>141</v>
      </c>
      <c r="C128">
        <v>4430</v>
      </c>
      <c r="D128" s="18">
        <f t="shared" si="8"/>
        <v>4498.18</v>
      </c>
      <c r="E128" s="18">
        <f t="shared" si="9"/>
        <v>5346.21</v>
      </c>
      <c r="F128" s="18">
        <f t="shared" si="10"/>
        <v>3650.15</v>
      </c>
      <c r="G128" s="14">
        <f t="shared" si="11"/>
        <v>130</v>
      </c>
      <c r="H128" s="18">
        <f t="shared" si="12"/>
        <v>318.81</v>
      </c>
      <c r="I128" s="4">
        <f t="shared" si="13"/>
        <v>1041.8699999999999</v>
      </c>
    </row>
    <row r="129" spans="1:9" ht="13.2" x14ac:dyDescent="0.25">
      <c r="A129" s="5" t="s">
        <v>15</v>
      </c>
      <c r="B129" s="5" t="s">
        <v>142</v>
      </c>
      <c r="C129">
        <v>4840</v>
      </c>
      <c r="D129" s="18">
        <f t="shared" si="8"/>
        <v>4498.18</v>
      </c>
      <c r="E129" s="18">
        <f t="shared" si="9"/>
        <v>5346.21</v>
      </c>
      <c r="F129" s="18">
        <f t="shared" si="10"/>
        <v>3650.15</v>
      </c>
      <c r="G129" s="14">
        <f t="shared" si="11"/>
        <v>410</v>
      </c>
      <c r="H129" s="18">
        <f t="shared" si="12"/>
        <v>318.81</v>
      </c>
      <c r="I129" s="4">
        <f t="shared" si="13"/>
        <v>1041.8699999999999</v>
      </c>
    </row>
    <row r="130" spans="1:9" ht="13.2" x14ac:dyDescent="0.25">
      <c r="A130" s="5" t="s">
        <v>15</v>
      </c>
      <c r="B130" s="5" t="s">
        <v>143</v>
      </c>
      <c r="C130">
        <v>4840</v>
      </c>
      <c r="D130" s="18">
        <f t="shared" ref="D130:D193" si="14">ROUND(AVERAGE($C$2:$C$205),2)</f>
        <v>4498.18</v>
      </c>
      <c r="E130" s="18">
        <f t="shared" ref="E130:E193" si="15">ROUND(D130+(2.66*H130),2)</f>
        <v>5346.21</v>
      </c>
      <c r="F130" s="18">
        <f t="shared" ref="F130:F193" si="16">ROUND(D130-(2.66*H130),2)</f>
        <v>3650.15</v>
      </c>
      <c r="G130" s="14">
        <f t="shared" ref="G130:G193" si="17">ABS(C129-C130)</f>
        <v>0</v>
      </c>
      <c r="H130" s="18">
        <f t="shared" ref="H130:H193" si="18">ROUND(AVERAGE($G$3:$G$205),2)</f>
        <v>318.81</v>
      </c>
      <c r="I130" s="4">
        <f t="shared" ref="I130:I193" si="19">ROUND(3.268*H130,2)</f>
        <v>1041.8699999999999</v>
      </c>
    </row>
    <row r="131" spans="1:9" ht="13.2" x14ac:dyDescent="0.25">
      <c r="A131" s="5" t="s">
        <v>15</v>
      </c>
      <c r="B131" s="5" t="s">
        <v>144</v>
      </c>
      <c r="C131">
        <v>4310</v>
      </c>
      <c r="D131" s="18">
        <f t="shared" si="14"/>
        <v>4498.18</v>
      </c>
      <c r="E131" s="18">
        <f t="shared" si="15"/>
        <v>5346.21</v>
      </c>
      <c r="F131" s="18">
        <f t="shared" si="16"/>
        <v>3650.15</v>
      </c>
      <c r="G131" s="14">
        <f t="shared" si="17"/>
        <v>530</v>
      </c>
      <c r="H131" s="18">
        <f t="shared" si="18"/>
        <v>318.81</v>
      </c>
      <c r="I131" s="4">
        <f t="shared" si="19"/>
        <v>1041.8699999999999</v>
      </c>
    </row>
    <row r="132" spans="1:9" ht="13.2" x14ac:dyDescent="0.25">
      <c r="A132" s="5" t="s">
        <v>15</v>
      </c>
      <c r="B132" s="5" t="s">
        <v>145</v>
      </c>
      <c r="C132">
        <v>4185</v>
      </c>
      <c r="D132" s="18">
        <f t="shared" si="14"/>
        <v>4498.18</v>
      </c>
      <c r="E132" s="18">
        <f t="shared" si="15"/>
        <v>5346.21</v>
      </c>
      <c r="F132" s="18">
        <f t="shared" si="16"/>
        <v>3650.15</v>
      </c>
      <c r="G132" s="14">
        <f t="shared" si="17"/>
        <v>125</v>
      </c>
      <c r="H132" s="18">
        <f t="shared" si="18"/>
        <v>318.81</v>
      </c>
      <c r="I132" s="4">
        <f t="shared" si="19"/>
        <v>1041.8699999999999</v>
      </c>
    </row>
    <row r="133" spans="1:9" ht="13.2" x14ac:dyDescent="0.25">
      <c r="A133" s="5" t="s">
        <v>15</v>
      </c>
      <c r="B133" s="5" t="s">
        <v>146</v>
      </c>
      <c r="C133">
        <v>4570</v>
      </c>
      <c r="D133" s="18">
        <f t="shared" si="14"/>
        <v>4498.18</v>
      </c>
      <c r="E133" s="18">
        <f t="shared" si="15"/>
        <v>5346.21</v>
      </c>
      <c r="F133" s="18">
        <f t="shared" si="16"/>
        <v>3650.15</v>
      </c>
      <c r="G133" s="14">
        <f t="shared" si="17"/>
        <v>385</v>
      </c>
      <c r="H133" s="18">
        <f t="shared" si="18"/>
        <v>318.81</v>
      </c>
      <c r="I133" s="4">
        <f t="shared" si="19"/>
        <v>1041.8699999999999</v>
      </c>
    </row>
    <row r="134" spans="1:9" ht="13.2" x14ac:dyDescent="0.25">
      <c r="A134" s="5" t="s">
        <v>15</v>
      </c>
      <c r="B134" s="5" t="s">
        <v>147</v>
      </c>
      <c r="C134">
        <v>4700</v>
      </c>
      <c r="D134" s="18">
        <f t="shared" si="14"/>
        <v>4498.18</v>
      </c>
      <c r="E134" s="18">
        <f t="shared" si="15"/>
        <v>5346.21</v>
      </c>
      <c r="F134" s="18">
        <f t="shared" si="16"/>
        <v>3650.15</v>
      </c>
      <c r="G134" s="14">
        <f t="shared" si="17"/>
        <v>130</v>
      </c>
      <c r="H134" s="18">
        <f t="shared" si="18"/>
        <v>318.81</v>
      </c>
      <c r="I134" s="4">
        <f t="shared" si="19"/>
        <v>1041.8699999999999</v>
      </c>
    </row>
    <row r="135" spans="1:9" ht="13.2" x14ac:dyDescent="0.25">
      <c r="A135" s="5" t="s">
        <v>15</v>
      </c>
      <c r="B135" s="5" t="s">
        <v>148</v>
      </c>
      <c r="C135">
        <v>4440</v>
      </c>
      <c r="D135" s="18">
        <f t="shared" si="14"/>
        <v>4498.18</v>
      </c>
      <c r="E135" s="18">
        <f t="shared" si="15"/>
        <v>5346.21</v>
      </c>
      <c r="F135" s="18">
        <f t="shared" si="16"/>
        <v>3650.15</v>
      </c>
      <c r="G135" s="14">
        <f t="shared" si="17"/>
        <v>260</v>
      </c>
      <c r="H135" s="18">
        <f t="shared" si="18"/>
        <v>318.81</v>
      </c>
      <c r="I135" s="4">
        <f t="shared" si="19"/>
        <v>1041.8699999999999</v>
      </c>
    </row>
    <row r="136" spans="1:9" ht="13.2" x14ac:dyDescent="0.25">
      <c r="A136" s="5" t="s">
        <v>15</v>
      </c>
      <c r="B136" s="5" t="s">
        <v>149</v>
      </c>
      <c r="C136">
        <v>4850</v>
      </c>
      <c r="D136" s="18">
        <f t="shared" si="14"/>
        <v>4498.18</v>
      </c>
      <c r="E136" s="18">
        <f t="shared" si="15"/>
        <v>5346.21</v>
      </c>
      <c r="F136" s="18">
        <f t="shared" si="16"/>
        <v>3650.15</v>
      </c>
      <c r="G136" s="14">
        <f t="shared" si="17"/>
        <v>410</v>
      </c>
      <c r="H136" s="18">
        <f t="shared" si="18"/>
        <v>318.81</v>
      </c>
      <c r="I136" s="4">
        <f t="shared" si="19"/>
        <v>1041.8699999999999</v>
      </c>
    </row>
    <row r="137" spans="1:9" ht="13.2" x14ac:dyDescent="0.25">
      <c r="A137" s="5" t="s">
        <v>15</v>
      </c>
      <c r="B137" s="5" t="s">
        <v>150</v>
      </c>
      <c r="C137">
        <v>4125</v>
      </c>
      <c r="D137" s="18">
        <f t="shared" si="14"/>
        <v>4498.18</v>
      </c>
      <c r="E137" s="18">
        <f t="shared" si="15"/>
        <v>5346.21</v>
      </c>
      <c r="F137" s="18">
        <f t="shared" si="16"/>
        <v>3650.15</v>
      </c>
      <c r="G137" s="14">
        <f t="shared" si="17"/>
        <v>725</v>
      </c>
      <c r="H137" s="18">
        <f t="shared" si="18"/>
        <v>318.81</v>
      </c>
      <c r="I137" s="4">
        <f t="shared" si="19"/>
        <v>1041.8699999999999</v>
      </c>
    </row>
    <row r="138" spans="1:9" ht="13.2" x14ac:dyDescent="0.25">
      <c r="A138" s="5" t="s">
        <v>15</v>
      </c>
      <c r="B138" s="5" t="s">
        <v>151</v>
      </c>
      <c r="C138">
        <v>4450</v>
      </c>
      <c r="D138" s="18">
        <f t="shared" si="14"/>
        <v>4498.18</v>
      </c>
      <c r="E138" s="18">
        <f t="shared" si="15"/>
        <v>5346.21</v>
      </c>
      <c r="F138" s="18">
        <f t="shared" si="16"/>
        <v>3650.15</v>
      </c>
      <c r="G138" s="14">
        <f t="shared" si="17"/>
        <v>325</v>
      </c>
      <c r="H138" s="18">
        <f t="shared" si="18"/>
        <v>318.81</v>
      </c>
      <c r="I138" s="4">
        <f t="shared" si="19"/>
        <v>1041.8699999999999</v>
      </c>
    </row>
    <row r="139" spans="1:9" ht="13.2" x14ac:dyDescent="0.25">
      <c r="A139" s="5" t="s">
        <v>15</v>
      </c>
      <c r="B139" s="5" t="s">
        <v>152</v>
      </c>
      <c r="C139">
        <v>4450</v>
      </c>
      <c r="D139" s="18">
        <f t="shared" si="14"/>
        <v>4498.18</v>
      </c>
      <c r="E139" s="18">
        <f t="shared" si="15"/>
        <v>5346.21</v>
      </c>
      <c r="F139" s="18">
        <f t="shared" si="16"/>
        <v>3650.15</v>
      </c>
      <c r="G139" s="14">
        <f t="shared" si="17"/>
        <v>0</v>
      </c>
      <c r="H139" s="18">
        <f t="shared" si="18"/>
        <v>318.81</v>
      </c>
      <c r="I139" s="4">
        <f t="shared" si="19"/>
        <v>1041.8699999999999</v>
      </c>
    </row>
    <row r="140" spans="1:9" ht="13.2" x14ac:dyDescent="0.25">
      <c r="A140" s="5" t="s">
        <v>15</v>
      </c>
      <c r="B140" s="5" t="s">
        <v>153</v>
      </c>
      <c r="C140">
        <v>4850</v>
      </c>
      <c r="D140" s="18">
        <f t="shared" si="14"/>
        <v>4498.18</v>
      </c>
      <c r="E140" s="18">
        <f t="shared" si="15"/>
        <v>5346.21</v>
      </c>
      <c r="F140" s="18">
        <f t="shared" si="16"/>
        <v>3650.15</v>
      </c>
      <c r="G140" s="14">
        <f t="shared" si="17"/>
        <v>400</v>
      </c>
      <c r="H140" s="18">
        <f t="shared" si="18"/>
        <v>318.81</v>
      </c>
      <c r="I140" s="4">
        <f t="shared" si="19"/>
        <v>1041.8699999999999</v>
      </c>
    </row>
    <row r="141" spans="1:9" ht="13.2" x14ac:dyDescent="0.25">
      <c r="A141" s="5" t="s">
        <v>15</v>
      </c>
      <c r="B141" s="5" t="s">
        <v>154</v>
      </c>
      <c r="C141">
        <v>4450</v>
      </c>
      <c r="D141" s="18">
        <f t="shared" si="14"/>
        <v>4498.18</v>
      </c>
      <c r="E141" s="18">
        <f t="shared" si="15"/>
        <v>5346.21</v>
      </c>
      <c r="F141" s="18">
        <f t="shared" si="16"/>
        <v>3650.15</v>
      </c>
      <c r="G141" s="14">
        <f t="shared" si="17"/>
        <v>400</v>
      </c>
      <c r="H141" s="18">
        <f t="shared" si="18"/>
        <v>318.81</v>
      </c>
      <c r="I141" s="4">
        <f t="shared" si="19"/>
        <v>1041.8699999999999</v>
      </c>
    </row>
    <row r="142" spans="1:9" ht="13.2" x14ac:dyDescent="0.25">
      <c r="A142" s="5" t="s">
        <v>15</v>
      </c>
      <c r="B142" s="5" t="s">
        <v>155</v>
      </c>
      <c r="C142">
        <v>3635</v>
      </c>
      <c r="D142" s="18">
        <f t="shared" si="14"/>
        <v>4498.18</v>
      </c>
      <c r="E142" s="18">
        <f t="shared" si="15"/>
        <v>5346.21</v>
      </c>
      <c r="F142" s="18">
        <f t="shared" si="16"/>
        <v>3650.15</v>
      </c>
      <c r="G142" s="14">
        <f t="shared" si="17"/>
        <v>815</v>
      </c>
      <c r="H142" s="18">
        <f t="shared" si="18"/>
        <v>318.81</v>
      </c>
      <c r="I142" s="4">
        <f t="shared" si="19"/>
        <v>1041.8699999999999</v>
      </c>
    </row>
    <row r="143" spans="1:9" ht="13.2" x14ac:dyDescent="0.25">
      <c r="A143" s="5" t="s">
        <v>15</v>
      </c>
      <c r="B143" s="5" t="s">
        <v>156</v>
      </c>
      <c r="C143">
        <v>3635</v>
      </c>
      <c r="D143" s="18">
        <f t="shared" si="14"/>
        <v>4498.18</v>
      </c>
      <c r="E143" s="18">
        <f t="shared" si="15"/>
        <v>5346.21</v>
      </c>
      <c r="F143" s="18">
        <f t="shared" si="16"/>
        <v>3650.15</v>
      </c>
      <c r="G143" s="14">
        <f t="shared" si="17"/>
        <v>0</v>
      </c>
      <c r="H143" s="18">
        <f t="shared" si="18"/>
        <v>318.81</v>
      </c>
      <c r="I143" s="4">
        <f t="shared" si="19"/>
        <v>1041.8699999999999</v>
      </c>
    </row>
    <row r="144" spans="1:9" ht="13.2" x14ac:dyDescent="0.25">
      <c r="A144" s="5" t="s">
        <v>15</v>
      </c>
      <c r="B144" s="5" t="s">
        <v>157</v>
      </c>
      <c r="C144">
        <v>3635</v>
      </c>
      <c r="D144" s="18">
        <f t="shared" si="14"/>
        <v>4498.18</v>
      </c>
      <c r="E144" s="18">
        <f t="shared" si="15"/>
        <v>5346.21</v>
      </c>
      <c r="F144" s="18">
        <f t="shared" si="16"/>
        <v>3650.15</v>
      </c>
      <c r="G144" s="14">
        <f t="shared" si="17"/>
        <v>0</v>
      </c>
      <c r="H144" s="18">
        <f t="shared" si="18"/>
        <v>318.81</v>
      </c>
      <c r="I144" s="4">
        <f t="shared" si="19"/>
        <v>1041.8699999999999</v>
      </c>
    </row>
    <row r="145" spans="1:9" ht="13.2" x14ac:dyDescent="0.25">
      <c r="A145" s="5" t="s">
        <v>15</v>
      </c>
      <c r="B145" s="5" t="s">
        <v>158</v>
      </c>
      <c r="C145">
        <v>3900</v>
      </c>
      <c r="D145" s="18">
        <f t="shared" si="14"/>
        <v>4498.18</v>
      </c>
      <c r="E145" s="18">
        <f t="shared" si="15"/>
        <v>5346.21</v>
      </c>
      <c r="F145" s="18">
        <f t="shared" si="16"/>
        <v>3650.15</v>
      </c>
      <c r="G145" s="14">
        <f t="shared" si="17"/>
        <v>265</v>
      </c>
      <c r="H145" s="18">
        <f t="shared" si="18"/>
        <v>318.81</v>
      </c>
      <c r="I145" s="4">
        <f t="shared" si="19"/>
        <v>1041.8699999999999</v>
      </c>
    </row>
    <row r="146" spans="1:9" ht="13.2" x14ac:dyDescent="0.25">
      <c r="A146" s="5" t="s">
        <v>15</v>
      </c>
      <c r="B146" s="5" t="s">
        <v>159</v>
      </c>
      <c r="C146">
        <v>4340</v>
      </c>
      <c r="D146" s="18">
        <f t="shared" si="14"/>
        <v>4498.18</v>
      </c>
      <c r="E146" s="18">
        <f t="shared" si="15"/>
        <v>5346.21</v>
      </c>
      <c r="F146" s="18">
        <f t="shared" si="16"/>
        <v>3650.15</v>
      </c>
      <c r="G146" s="14">
        <f t="shared" si="17"/>
        <v>440</v>
      </c>
      <c r="H146" s="18">
        <f t="shared" si="18"/>
        <v>318.81</v>
      </c>
      <c r="I146" s="4">
        <f t="shared" si="19"/>
        <v>1041.8699999999999</v>
      </c>
    </row>
    <row r="147" spans="1:9" ht="13.2" x14ac:dyDescent="0.25">
      <c r="A147" s="5" t="s">
        <v>15</v>
      </c>
      <c r="B147" s="5" t="s">
        <v>160</v>
      </c>
      <c r="C147">
        <v>4340</v>
      </c>
      <c r="D147" s="18">
        <f t="shared" si="14"/>
        <v>4498.18</v>
      </c>
      <c r="E147" s="18">
        <f t="shared" si="15"/>
        <v>5346.21</v>
      </c>
      <c r="F147" s="18">
        <f t="shared" si="16"/>
        <v>3650.15</v>
      </c>
      <c r="G147" s="14">
        <f t="shared" si="17"/>
        <v>0</v>
      </c>
      <c r="H147" s="18">
        <f t="shared" si="18"/>
        <v>318.81</v>
      </c>
      <c r="I147" s="4">
        <f t="shared" si="19"/>
        <v>1041.8699999999999</v>
      </c>
    </row>
    <row r="148" spans="1:9" ht="13.2" x14ac:dyDescent="0.25">
      <c r="A148" s="5" t="s">
        <v>15</v>
      </c>
      <c r="B148" s="5" t="s">
        <v>161</v>
      </c>
      <c r="C148">
        <v>3665</v>
      </c>
      <c r="D148" s="18">
        <f t="shared" si="14"/>
        <v>4498.18</v>
      </c>
      <c r="E148" s="18">
        <f t="shared" si="15"/>
        <v>5346.21</v>
      </c>
      <c r="F148" s="18">
        <f t="shared" si="16"/>
        <v>3650.15</v>
      </c>
      <c r="G148" s="14">
        <f t="shared" si="17"/>
        <v>675</v>
      </c>
      <c r="H148" s="18">
        <f t="shared" si="18"/>
        <v>318.81</v>
      </c>
      <c r="I148" s="4">
        <f t="shared" si="19"/>
        <v>1041.8699999999999</v>
      </c>
    </row>
    <row r="149" spans="1:9" ht="13.2" x14ac:dyDescent="0.25">
      <c r="A149" s="5" t="s">
        <v>15</v>
      </c>
      <c r="B149" s="5" t="s">
        <v>162</v>
      </c>
      <c r="C149">
        <v>3775</v>
      </c>
      <c r="D149" s="18">
        <f t="shared" si="14"/>
        <v>4498.18</v>
      </c>
      <c r="E149" s="18">
        <f t="shared" si="15"/>
        <v>5346.21</v>
      </c>
      <c r="F149" s="18">
        <f t="shared" si="16"/>
        <v>3650.15</v>
      </c>
      <c r="G149" s="14">
        <f t="shared" si="17"/>
        <v>110</v>
      </c>
      <c r="H149" s="18">
        <f t="shared" si="18"/>
        <v>318.81</v>
      </c>
      <c r="I149" s="4">
        <f t="shared" si="19"/>
        <v>1041.8699999999999</v>
      </c>
    </row>
    <row r="150" spans="1:9" ht="13.2" x14ac:dyDescent="0.25">
      <c r="A150" s="5" t="s">
        <v>15</v>
      </c>
      <c r="B150" s="5" t="s">
        <v>163</v>
      </c>
      <c r="C150">
        <v>5000</v>
      </c>
      <c r="D150" s="18">
        <f t="shared" si="14"/>
        <v>4498.18</v>
      </c>
      <c r="E150" s="18">
        <f t="shared" si="15"/>
        <v>5346.21</v>
      </c>
      <c r="F150" s="18">
        <f t="shared" si="16"/>
        <v>3650.15</v>
      </c>
      <c r="G150" s="14">
        <f t="shared" si="17"/>
        <v>1225</v>
      </c>
      <c r="H150" s="18">
        <f t="shared" si="18"/>
        <v>318.81</v>
      </c>
      <c r="I150" s="4">
        <f t="shared" si="19"/>
        <v>1041.8699999999999</v>
      </c>
    </row>
    <row r="151" spans="1:9" ht="13.2" x14ac:dyDescent="0.25">
      <c r="A151" s="5" t="s">
        <v>15</v>
      </c>
      <c r="B151" s="5" t="s">
        <v>164</v>
      </c>
      <c r="C151">
        <v>4850</v>
      </c>
      <c r="D151" s="18">
        <f t="shared" si="14"/>
        <v>4498.18</v>
      </c>
      <c r="E151" s="18">
        <f t="shared" si="15"/>
        <v>5346.21</v>
      </c>
      <c r="F151" s="18">
        <f t="shared" si="16"/>
        <v>3650.15</v>
      </c>
      <c r="G151" s="14">
        <f t="shared" si="17"/>
        <v>150</v>
      </c>
      <c r="H151" s="18">
        <f t="shared" si="18"/>
        <v>318.81</v>
      </c>
      <c r="I151" s="4">
        <f t="shared" si="19"/>
        <v>1041.8699999999999</v>
      </c>
    </row>
    <row r="152" spans="1:9" ht="13.2" x14ac:dyDescent="0.25">
      <c r="A152" s="5" t="s">
        <v>15</v>
      </c>
      <c r="B152" s="5" t="s">
        <v>165</v>
      </c>
      <c r="C152">
        <v>4775</v>
      </c>
      <c r="D152" s="18">
        <f t="shared" si="14"/>
        <v>4498.18</v>
      </c>
      <c r="E152" s="18">
        <f t="shared" si="15"/>
        <v>5346.21</v>
      </c>
      <c r="F152" s="18">
        <f t="shared" si="16"/>
        <v>3650.15</v>
      </c>
      <c r="G152" s="14">
        <f t="shared" si="17"/>
        <v>75</v>
      </c>
      <c r="H152" s="18">
        <f t="shared" si="18"/>
        <v>318.81</v>
      </c>
      <c r="I152" s="4">
        <f t="shared" si="19"/>
        <v>1041.8699999999999</v>
      </c>
    </row>
    <row r="153" spans="1:9" ht="13.2" x14ac:dyDescent="0.25">
      <c r="A153" s="5" t="s">
        <v>15</v>
      </c>
      <c r="B153" s="5" t="s">
        <v>166</v>
      </c>
      <c r="C153">
        <v>4500</v>
      </c>
      <c r="D153" s="18">
        <f t="shared" si="14"/>
        <v>4498.18</v>
      </c>
      <c r="E153" s="18">
        <f t="shared" si="15"/>
        <v>5346.21</v>
      </c>
      <c r="F153" s="18">
        <f t="shared" si="16"/>
        <v>3650.15</v>
      </c>
      <c r="G153" s="14">
        <f t="shared" si="17"/>
        <v>275</v>
      </c>
      <c r="H153" s="18">
        <f t="shared" si="18"/>
        <v>318.81</v>
      </c>
      <c r="I153" s="4">
        <f t="shared" si="19"/>
        <v>1041.8699999999999</v>
      </c>
    </row>
    <row r="154" spans="1:9" ht="13.2" x14ac:dyDescent="0.25">
      <c r="A154" s="5" t="s">
        <v>15</v>
      </c>
      <c r="B154" s="5" t="s">
        <v>167</v>
      </c>
      <c r="C154">
        <v>4770</v>
      </c>
      <c r="D154" s="18">
        <f t="shared" si="14"/>
        <v>4498.18</v>
      </c>
      <c r="E154" s="18">
        <f t="shared" si="15"/>
        <v>5346.21</v>
      </c>
      <c r="F154" s="18">
        <f t="shared" si="16"/>
        <v>3650.15</v>
      </c>
      <c r="G154" s="14">
        <f t="shared" si="17"/>
        <v>270</v>
      </c>
      <c r="H154" s="18">
        <f t="shared" si="18"/>
        <v>318.81</v>
      </c>
      <c r="I154" s="4">
        <f t="shared" si="19"/>
        <v>1041.8699999999999</v>
      </c>
    </row>
    <row r="155" spans="1:9" ht="13.2" x14ac:dyDescent="0.25">
      <c r="A155" s="5" t="s">
        <v>15</v>
      </c>
      <c r="B155" s="5" t="s">
        <v>168</v>
      </c>
      <c r="C155">
        <v>4500</v>
      </c>
      <c r="D155" s="18">
        <f t="shared" si="14"/>
        <v>4498.18</v>
      </c>
      <c r="E155" s="18">
        <f t="shared" si="15"/>
        <v>5346.21</v>
      </c>
      <c r="F155" s="18">
        <f t="shared" si="16"/>
        <v>3650.15</v>
      </c>
      <c r="G155" s="14">
        <f t="shared" si="17"/>
        <v>270</v>
      </c>
      <c r="H155" s="18">
        <f t="shared" si="18"/>
        <v>318.81</v>
      </c>
      <c r="I155" s="4">
        <f t="shared" si="19"/>
        <v>1041.8699999999999</v>
      </c>
    </row>
    <row r="156" spans="1:9" ht="13.2" x14ac:dyDescent="0.25">
      <c r="A156" s="5" t="s">
        <v>15</v>
      </c>
      <c r="B156" s="5" t="s">
        <v>169</v>
      </c>
      <c r="C156">
        <v>4770</v>
      </c>
      <c r="D156" s="18">
        <f t="shared" si="14"/>
        <v>4498.18</v>
      </c>
      <c r="E156" s="18">
        <f t="shared" si="15"/>
        <v>5346.21</v>
      </c>
      <c r="F156" s="18">
        <f t="shared" si="16"/>
        <v>3650.15</v>
      </c>
      <c r="G156" s="14">
        <f t="shared" si="17"/>
        <v>270</v>
      </c>
      <c r="H156" s="18">
        <f t="shared" si="18"/>
        <v>318.81</v>
      </c>
      <c r="I156" s="4">
        <f t="shared" si="19"/>
        <v>1041.8699999999999</v>
      </c>
    </row>
    <row r="157" spans="1:9" ht="13.2" x14ac:dyDescent="0.25">
      <c r="A157" s="5" t="s">
        <v>15</v>
      </c>
      <c r="B157" s="5" t="s">
        <v>170</v>
      </c>
      <c r="C157">
        <v>5150</v>
      </c>
      <c r="D157" s="18">
        <f t="shared" si="14"/>
        <v>4498.18</v>
      </c>
      <c r="E157" s="18">
        <f t="shared" si="15"/>
        <v>5346.21</v>
      </c>
      <c r="F157" s="18">
        <f t="shared" si="16"/>
        <v>3650.15</v>
      </c>
      <c r="G157" s="14">
        <f t="shared" si="17"/>
        <v>380</v>
      </c>
      <c r="H157" s="18">
        <f t="shared" si="18"/>
        <v>318.81</v>
      </c>
      <c r="I157" s="4">
        <f t="shared" si="19"/>
        <v>1041.8699999999999</v>
      </c>
    </row>
    <row r="158" spans="1:9" ht="13.2" x14ac:dyDescent="0.25">
      <c r="A158" s="5" t="s">
        <v>15</v>
      </c>
      <c r="B158" s="5" t="s">
        <v>171</v>
      </c>
      <c r="C158">
        <v>4850</v>
      </c>
      <c r="D158" s="18">
        <f t="shared" si="14"/>
        <v>4498.18</v>
      </c>
      <c r="E158" s="18">
        <f t="shared" si="15"/>
        <v>5346.21</v>
      </c>
      <c r="F158" s="18">
        <f t="shared" si="16"/>
        <v>3650.15</v>
      </c>
      <c r="G158" s="14">
        <f t="shared" si="17"/>
        <v>300</v>
      </c>
      <c r="H158" s="18">
        <f t="shared" si="18"/>
        <v>318.81</v>
      </c>
      <c r="I158" s="4">
        <f t="shared" si="19"/>
        <v>1041.8699999999999</v>
      </c>
    </row>
    <row r="159" spans="1:9" ht="13.2" x14ac:dyDescent="0.25">
      <c r="A159" s="5" t="s">
        <v>15</v>
      </c>
      <c r="B159" s="5" t="s">
        <v>172</v>
      </c>
      <c r="C159">
        <v>4700</v>
      </c>
      <c r="D159" s="18">
        <f t="shared" si="14"/>
        <v>4498.18</v>
      </c>
      <c r="E159" s="18">
        <f t="shared" si="15"/>
        <v>5346.21</v>
      </c>
      <c r="F159" s="18">
        <f t="shared" si="16"/>
        <v>3650.15</v>
      </c>
      <c r="G159" s="14">
        <f t="shared" si="17"/>
        <v>150</v>
      </c>
      <c r="H159" s="18">
        <f t="shared" si="18"/>
        <v>318.81</v>
      </c>
      <c r="I159" s="4">
        <f t="shared" si="19"/>
        <v>1041.8699999999999</v>
      </c>
    </row>
    <row r="160" spans="1:9" ht="13.2" x14ac:dyDescent="0.25">
      <c r="A160" s="5" t="s">
        <v>15</v>
      </c>
      <c r="B160" s="5" t="s">
        <v>173</v>
      </c>
      <c r="C160">
        <v>5000</v>
      </c>
      <c r="D160" s="18">
        <f t="shared" si="14"/>
        <v>4498.18</v>
      </c>
      <c r="E160" s="18">
        <f t="shared" si="15"/>
        <v>5346.21</v>
      </c>
      <c r="F160" s="18">
        <f t="shared" si="16"/>
        <v>3650.15</v>
      </c>
      <c r="G160" s="14">
        <f t="shared" si="17"/>
        <v>300</v>
      </c>
      <c r="H160" s="18">
        <f t="shared" si="18"/>
        <v>318.81</v>
      </c>
      <c r="I160" s="4">
        <f t="shared" si="19"/>
        <v>1041.8699999999999</v>
      </c>
    </row>
    <row r="161" spans="1:9" ht="13.2" x14ac:dyDescent="0.25">
      <c r="A161" s="5" t="s">
        <v>15</v>
      </c>
      <c r="B161" s="5" t="s">
        <v>174</v>
      </c>
      <c r="C161">
        <v>5000</v>
      </c>
      <c r="D161" s="18">
        <f t="shared" si="14"/>
        <v>4498.18</v>
      </c>
      <c r="E161" s="18">
        <f t="shared" si="15"/>
        <v>5346.21</v>
      </c>
      <c r="F161" s="18">
        <f t="shared" si="16"/>
        <v>3650.15</v>
      </c>
      <c r="G161" s="14">
        <f t="shared" si="17"/>
        <v>0</v>
      </c>
      <c r="H161" s="18">
        <f t="shared" si="18"/>
        <v>318.81</v>
      </c>
      <c r="I161" s="4">
        <f t="shared" si="19"/>
        <v>1041.8699999999999</v>
      </c>
    </row>
    <row r="162" spans="1:9" ht="13.2" x14ac:dyDescent="0.25">
      <c r="A162" s="5" t="s">
        <v>15</v>
      </c>
      <c r="B162" s="5" t="s">
        <v>175</v>
      </c>
      <c r="C162">
        <v>5000</v>
      </c>
      <c r="D162" s="18">
        <f t="shared" si="14"/>
        <v>4498.18</v>
      </c>
      <c r="E162" s="18">
        <f t="shared" si="15"/>
        <v>5346.21</v>
      </c>
      <c r="F162" s="18">
        <f t="shared" si="16"/>
        <v>3650.15</v>
      </c>
      <c r="G162" s="14">
        <f t="shared" si="17"/>
        <v>0</v>
      </c>
      <c r="H162" s="18">
        <f t="shared" si="18"/>
        <v>318.81</v>
      </c>
      <c r="I162" s="4">
        <f t="shared" si="19"/>
        <v>1041.8699999999999</v>
      </c>
    </row>
    <row r="163" spans="1:9" ht="13.2" x14ac:dyDescent="0.25">
      <c r="A163" s="5" t="s">
        <v>15</v>
      </c>
      <c r="B163" s="5" t="s">
        <v>176</v>
      </c>
      <c r="C163">
        <v>4700</v>
      </c>
      <c r="D163" s="18">
        <f t="shared" si="14"/>
        <v>4498.18</v>
      </c>
      <c r="E163" s="18">
        <f t="shared" si="15"/>
        <v>5346.21</v>
      </c>
      <c r="F163" s="18">
        <f t="shared" si="16"/>
        <v>3650.15</v>
      </c>
      <c r="G163" s="14">
        <f t="shared" si="17"/>
        <v>300</v>
      </c>
      <c r="H163" s="18">
        <f t="shared" si="18"/>
        <v>318.81</v>
      </c>
      <c r="I163" s="4">
        <f t="shared" si="19"/>
        <v>1041.8699999999999</v>
      </c>
    </row>
    <row r="164" spans="1:9" ht="13.2" x14ac:dyDescent="0.25">
      <c r="A164" s="5" t="s">
        <v>15</v>
      </c>
      <c r="B164" s="5" t="s">
        <v>177</v>
      </c>
      <c r="C164">
        <v>4500</v>
      </c>
      <c r="D164" s="18">
        <f t="shared" si="14"/>
        <v>4498.18</v>
      </c>
      <c r="E164" s="18">
        <f t="shared" si="15"/>
        <v>5346.21</v>
      </c>
      <c r="F164" s="18">
        <f t="shared" si="16"/>
        <v>3650.15</v>
      </c>
      <c r="G164" s="14">
        <f t="shared" si="17"/>
        <v>200</v>
      </c>
      <c r="H164" s="18">
        <f t="shared" si="18"/>
        <v>318.81</v>
      </c>
      <c r="I164" s="4">
        <f t="shared" si="19"/>
        <v>1041.8699999999999</v>
      </c>
    </row>
    <row r="165" spans="1:9" ht="13.2" x14ac:dyDescent="0.25">
      <c r="A165" s="5" t="s">
        <v>15</v>
      </c>
      <c r="B165" s="5" t="s">
        <v>178</v>
      </c>
      <c r="C165">
        <v>4840</v>
      </c>
      <c r="D165" s="18">
        <f t="shared" si="14"/>
        <v>4498.18</v>
      </c>
      <c r="E165" s="18">
        <f t="shared" si="15"/>
        <v>5346.21</v>
      </c>
      <c r="F165" s="18">
        <f t="shared" si="16"/>
        <v>3650.15</v>
      </c>
      <c r="G165" s="14">
        <f t="shared" si="17"/>
        <v>340</v>
      </c>
      <c r="H165" s="18">
        <f t="shared" si="18"/>
        <v>318.81</v>
      </c>
      <c r="I165" s="4">
        <f t="shared" si="19"/>
        <v>1041.8699999999999</v>
      </c>
    </row>
    <row r="166" spans="1:9" ht="13.2" x14ac:dyDescent="0.25">
      <c r="A166" s="5" t="s">
        <v>15</v>
      </c>
      <c r="B166" s="5" t="s">
        <v>179</v>
      </c>
      <c r="C166">
        <v>5075</v>
      </c>
      <c r="D166" s="18">
        <f t="shared" si="14"/>
        <v>4498.18</v>
      </c>
      <c r="E166" s="18">
        <f t="shared" si="15"/>
        <v>5346.21</v>
      </c>
      <c r="F166" s="18">
        <f t="shared" si="16"/>
        <v>3650.15</v>
      </c>
      <c r="G166" s="14">
        <f t="shared" si="17"/>
        <v>235</v>
      </c>
      <c r="H166" s="18">
        <f t="shared" si="18"/>
        <v>318.81</v>
      </c>
      <c r="I166" s="4">
        <f t="shared" si="19"/>
        <v>1041.8699999999999</v>
      </c>
    </row>
    <row r="167" spans="1:9" ht="13.2" x14ac:dyDescent="0.25">
      <c r="A167" s="5" t="s">
        <v>15</v>
      </c>
      <c r="B167" s="5" t="s">
        <v>180</v>
      </c>
      <c r="C167">
        <v>5000</v>
      </c>
      <c r="D167" s="18">
        <f t="shared" si="14"/>
        <v>4498.18</v>
      </c>
      <c r="E167" s="18">
        <f t="shared" si="15"/>
        <v>5346.21</v>
      </c>
      <c r="F167" s="18">
        <f t="shared" si="16"/>
        <v>3650.15</v>
      </c>
      <c r="G167" s="14">
        <f t="shared" si="17"/>
        <v>75</v>
      </c>
      <c r="H167" s="18">
        <f t="shared" si="18"/>
        <v>318.81</v>
      </c>
      <c r="I167" s="4">
        <f t="shared" si="19"/>
        <v>1041.8699999999999</v>
      </c>
    </row>
    <row r="168" spans="1:9" ht="13.2" x14ac:dyDescent="0.25">
      <c r="A168" s="5" t="s">
        <v>15</v>
      </c>
      <c r="B168" s="5" t="s">
        <v>181</v>
      </c>
      <c r="C168">
        <v>4770</v>
      </c>
      <c r="D168" s="18">
        <f t="shared" si="14"/>
        <v>4498.18</v>
      </c>
      <c r="E168" s="18">
        <f t="shared" si="15"/>
        <v>5346.21</v>
      </c>
      <c r="F168" s="18">
        <f t="shared" si="16"/>
        <v>3650.15</v>
      </c>
      <c r="G168" s="14">
        <f t="shared" si="17"/>
        <v>230</v>
      </c>
      <c r="H168" s="18">
        <f t="shared" si="18"/>
        <v>318.81</v>
      </c>
      <c r="I168" s="4">
        <f t="shared" si="19"/>
        <v>1041.8699999999999</v>
      </c>
    </row>
    <row r="169" spans="1:9" ht="13.2" x14ac:dyDescent="0.25">
      <c r="A169" s="5" t="s">
        <v>15</v>
      </c>
      <c r="B169" s="5" t="s">
        <v>182</v>
      </c>
      <c r="C169">
        <v>4570</v>
      </c>
      <c r="D169" s="18">
        <f t="shared" si="14"/>
        <v>4498.18</v>
      </c>
      <c r="E169" s="18">
        <f t="shared" si="15"/>
        <v>5346.21</v>
      </c>
      <c r="F169" s="18">
        <f t="shared" si="16"/>
        <v>3650.15</v>
      </c>
      <c r="G169" s="14">
        <f t="shared" si="17"/>
        <v>200</v>
      </c>
      <c r="H169" s="18">
        <f t="shared" si="18"/>
        <v>318.81</v>
      </c>
      <c r="I169" s="4">
        <f t="shared" si="19"/>
        <v>1041.8699999999999</v>
      </c>
    </row>
    <row r="170" spans="1:9" ht="13.2" x14ac:dyDescent="0.25">
      <c r="A170" s="5" t="s">
        <v>15</v>
      </c>
      <c r="B170" s="5" t="s">
        <v>183</v>
      </c>
      <c r="C170">
        <v>4925</v>
      </c>
      <c r="D170" s="18">
        <f t="shared" si="14"/>
        <v>4498.18</v>
      </c>
      <c r="E170" s="18">
        <f t="shared" si="15"/>
        <v>5346.21</v>
      </c>
      <c r="F170" s="18">
        <f t="shared" si="16"/>
        <v>3650.15</v>
      </c>
      <c r="G170" s="14">
        <f t="shared" si="17"/>
        <v>355</v>
      </c>
      <c r="H170" s="18">
        <f t="shared" si="18"/>
        <v>318.81</v>
      </c>
      <c r="I170" s="4">
        <f t="shared" si="19"/>
        <v>1041.8699999999999</v>
      </c>
    </row>
    <row r="171" spans="1:9" ht="13.2" x14ac:dyDescent="0.25">
      <c r="A171" s="5" t="s">
        <v>15</v>
      </c>
      <c r="B171" s="5" t="s">
        <v>184</v>
      </c>
      <c r="C171">
        <v>4775</v>
      </c>
      <c r="D171" s="18">
        <f t="shared" si="14"/>
        <v>4498.18</v>
      </c>
      <c r="E171" s="18">
        <f t="shared" si="15"/>
        <v>5346.21</v>
      </c>
      <c r="F171" s="18">
        <f t="shared" si="16"/>
        <v>3650.15</v>
      </c>
      <c r="G171" s="14">
        <f t="shared" si="17"/>
        <v>150</v>
      </c>
      <c r="H171" s="18">
        <f t="shared" si="18"/>
        <v>318.81</v>
      </c>
      <c r="I171" s="4">
        <f t="shared" si="19"/>
        <v>1041.8699999999999</v>
      </c>
    </row>
    <row r="172" spans="1:9" ht="13.2" x14ac:dyDescent="0.25">
      <c r="A172" s="5" t="s">
        <v>15</v>
      </c>
      <c r="B172" s="5" t="s">
        <v>185</v>
      </c>
      <c r="C172">
        <v>5075</v>
      </c>
      <c r="D172" s="18">
        <f t="shared" si="14"/>
        <v>4498.18</v>
      </c>
      <c r="E172" s="18">
        <f t="shared" si="15"/>
        <v>5346.21</v>
      </c>
      <c r="F172" s="18">
        <f t="shared" si="16"/>
        <v>3650.15</v>
      </c>
      <c r="G172" s="14">
        <f t="shared" si="17"/>
        <v>300</v>
      </c>
      <c r="H172" s="18">
        <f t="shared" si="18"/>
        <v>318.81</v>
      </c>
      <c r="I172" s="4">
        <f t="shared" si="19"/>
        <v>1041.8699999999999</v>
      </c>
    </row>
    <row r="173" spans="1:9" ht="13.2" x14ac:dyDescent="0.25">
      <c r="A173" s="5" t="s">
        <v>15</v>
      </c>
      <c r="B173" s="5" t="s">
        <v>186</v>
      </c>
      <c r="C173">
        <v>4925</v>
      </c>
      <c r="D173" s="18">
        <f t="shared" si="14"/>
        <v>4498.18</v>
      </c>
      <c r="E173" s="18">
        <f t="shared" si="15"/>
        <v>5346.21</v>
      </c>
      <c r="F173" s="18">
        <f t="shared" si="16"/>
        <v>3650.15</v>
      </c>
      <c r="G173" s="14">
        <f t="shared" si="17"/>
        <v>150</v>
      </c>
      <c r="H173" s="18">
        <f t="shared" si="18"/>
        <v>318.81</v>
      </c>
      <c r="I173" s="4">
        <f t="shared" si="19"/>
        <v>1041.8699999999999</v>
      </c>
    </row>
    <row r="174" spans="1:9" ht="13.2" x14ac:dyDescent="0.25">
      <c r="A174" s="5" t="s">
        <v>15</v>
      </c>
      <c r="B174" s="5" t="s">
        <v>187</v>
      </c>
      <c r="C174">
        <v>5075</v>
      </c>
      <c r="D174" s="18">
        <f t="shared" si="14"/>
        <v>4498.18</v>
      </c>
      <c r="E174" s="18">
        <f t="shared" si="15"/>
        <v>5346.21</v>
      </c>
      <c r="F174" s="18">
        <f t="shared" si="16"/>
        <v>3650.15</v>
      </c>
      <c r="G174" s="14">
        <f t="shared" si="17"/>
        <v>150</v>
      </c>
      <c r="H174" s="18">
        <f t="shared" si="18"/>
        <v>318.81</v>
      </c>
      <c r="I174" s="4">
        <f t="shared" si="19"/>
        <v>1041.8699999999999</v>
      </c>
    </row>
    <row r="175" spans="1:9" ht="13.2" x14ac:dyDescent="0.25">
      <c r="A175" s="5" t="s">
        <v>15</v>
      </c>
      <c r="B175" s="5" t="s">
        <v>188</v>
      </c>
      <c r="C175">
        <v>4925</v>
      </c>
      <c r="D175" s="18">
        <f t="shared" si="14"/>
        <v>4498.18</v>
      </c>
      <c r="E175" s="18">
        <f t="shared" si="15"/>
        <v>5346.21</v>
      </c>
      <c r="F175" s="18">
        <f t="shared" si="16"/>
        <v>3650.15</v>
      </c>
      <c r="G175" s="14">
        <f t="shared" si="17"/>
        <v>150</v>
      </c>
      <c r="H175" s="18">
        <f t="shared" si="18"/>
        <v>318.81</v>
      </c>
      <c r="I175" s="4">
        <f t="shared" si="19"/>
        <v>1041.8699999999999</v>
      </c>
    </row>
    <row r="176" spans="1:9" ht="13.2" x14ac:dyDescent="0.25">
      <c r="A176" s="5" t="s">
        <v>15</v>
      </c>
      <c r="B176" s="5" t="s">
        <v>189</v>
      </c>
      <c r="C176">
        <v>5250</v>
      </c>
      <c r="D176" s="18">
        <f t="shared" si="14"/>
        <v>4498.18</v>
      </c>
      <c r="E176" s="18">
        <f t="shared" si="15"/>
        <v>5346.21</v>
      </c>
      <c r="F176" s="18">
        <f t="shared" si="16"/>
        <v>3650.15</v>
      </c>
      <c r="G176" s="14">
        <f t="shared" si="17"/>
        <v>325</v>
      </c>
      <c r="H176" s="18">
        <f t="shared" si="18"/>
        <v>318.81</v>
      </c>
      <c r="I176" s="4">
        <f t="shared" si="19"/>
        <v>1041.8699999999999</v>
      </c>
    </row>
    <row r="177" spans="1:9" ht="13.2" x14ac:dyDescent="0.25">
      <c r="A177" s="5" t="s">
        <v>15</v>
      </c>
      <c r="B177" s="5" t="s">
        <v>190</v>
      </c>
      <c r="C177">
        <v>4915</v>
      </c>
      <c r="D177" s="18">
        <f t="shared" si="14"/>
        <v>4498.18</v>
      </c>
      <c r="E177" s="18">
        <f t="shared" si="15"/>
        <v>5346.21</v>
      </c>
      <c r="F177" s="18">
        <f t="shared" si="16"/>
        <v>3650.15</v>
      </c>
      <c r="G177" s="14">
        <f t="shared" si="17"/>
        <v>335</v>
      </c>
      <c r="H177" s="18">
        <f t="shared" si="18"/>
        <v>318.81</v>
      </c>
      <c r="I177" s="4">
        <f t="shared" si="19"/>
        <v>1041.8699999999999</v>
      </c>
    </row>
    <row r="178" spans="1:9" ht="13.2" x14ac:dyDescent="0.25">
      <c r="A178" s="5" t="s">
        <v>15</v>
      </c>
      <c r="B178" s="5" t="s">
        <v>191</v>
      </c>
      <c r="C178">
        <v>5600</v>
      </c>
      <c r="D178" s="18">
        <f t="shared" si="14"/>
        <v>4498.18</v>
      </c>
      <c r="E178" s="18">
        <f t="shared" si="15"/>
        <v>5346.21</v>
      </c>
      <c r="F178" s="18">
        <f t="shared" si="16"/>
        <v>3650.15</v>
      </c>
      <c r="G178" s="14">
        <f t="shared" si="17"/>
        <v>685</v>
      </c>
      <c r="H178" s="18">
        <f t="shared" si="18"/>
        <v>318.81</v>
      </c>
      <c r="I178" s="4">
        <f t="shared" si="19"/>
        <v>1041.8699999999999</v>
      </c>
    </row>
    <row r="179" spans="1:9" ht="13.2" x14ac:dyDescent="0.25">
      <c r="A179" s="5" t="s">
        <v>15</v>
      </c>
      <c r="B179" s="5" t="s">
        <v>192</v>
      </c>
      <c r="C179">
        <v>5075</v>
      </c>
      <c r="D179" s="18">
        <f t="shared" si="14"/>
        <v>4498.18</v>
      </c>
      <c r="E179" s="18">
        <f t="shared" si="15"/>
        <v>5346.21</v>
      </c>
      <c r="F179" s="18">
        <f t="shared" si="16"/>
        <v>3650.15</v>
      </c>
      <c r="G179" s="14">
        <f t="shared" si="17"/>
        <v>525</v>
      </c>
      <c r="H179" s="18">
        <f t="shared" si="18"/>
        <v>318.81</v>
      </c>
      <c r="I179" s="4">
        <f t="shared" si="19"/>
        <v>1041.8699999999999</v>
      </c>
    </row>
    <row r="180" spans="1:9" ht="13.2" x14ac:dyDescent="0.25">
      <c r="A180" s="5" t="s">
        <v>15</v>
      </c>
      <c r="B180" s="5" t="s">
        <v>193</v>
      </c>
      <c r="C180">
        <v>4450</v>
      </c>
      <c r="D180" s="18">
        <f t="shared" si="14"/>
        <v>4498.18</v>
      </c>
      <c r="E180" s="18">
        <f t="shared" si="15"/>
        <v>5346.21</v>
      </c>
      <c r="F180" s="18">
        <f t="shared" si="16"/>
        <v>3650.15</v>
      </c>
      <c r="G180" s="14">
        <f t="shared" si="17"/>
        <v>625</v>
      </c>
      <c r="H180" s="18">
        <f t="shared" si="18"/>
        <v>318.81</v>
      </c>
      <c r="I180" s="4">
        <f t="shared" si="19"/>
        <v>1041.8699999999999</v>
      </c>
    </row>
    <row r="181" spans="1:9" ht="13.2" x14ac:dyDescent="0.25">
      <c r="A181" s="5" t="s">
        <v>15</v>
      </c>
      <c r="B181" s="5" t="s">
        <v>194</v>
      </c>
      <c r="C181">
        <v>4215</v>
      </c>
      <c r="D181" s="18">
        <f t="shared" si="14"/>
        <v>4498.18</v>
      </c>
      <c r="E181" s="18">
        <f t="shared" si="15"/>
        <v>5346.21</v>
      </c>
      <c r="F181" s="18">
        <f t="shared" si="16"/>
        <v>3650.15</v>
      </c>
      <c r="G181" s="14">
        <f t="shared" si="17"/>
        <v>235</v>
      </c>
      <c r="H181" s="18">
        <f t="shared" si="18"/>
        <v>318.81</v>
      </c>
      <c r="I181" s="4">
        <f t="shared" si="19"/>
        <v>1041.8699999999999</v>
      </c>
    </row>
    <row r="182" spans="1:9" ht="13.2" x14ac:dyDescent="0.25">
      <c r="A182" s="5" t="s">
        <v>15</v>
      </c>
      <c r="B182" s="5" t="s">
        <v>195</v>
      </c>
      <c r="C182">
        <v>4325</v>
      </c>
      <c r="D182" s="18">
        <f t="shared" si="14"/>
        <v>4498.18</v>
      </c>
      <c r="E182" s="18">
        <f t="shared" si="15"/>
        <v>5346.21</v>
      </c>
      <c r="F182" s="18">
        <f t="shared" si="16"/>
        <v>3650.15</v>
      </c>
      <c r="G182" s="14">
        <f t="shared" si="17"/>
        <v>110</v>
      </c>
      <c r="H182" s="18">
        <f t="shared" si="18"/>
        <v>318.81</v>
      </c>
      <c r="I182" s="4">
        <f t="shared" si="19"/>
        <v>1041.8699999999999</v>
      </c>
    </row>
    <row r="183" spans="1:9" ht="13.2" x14ac:dyDescent="0.25">
      <c r="A183" s="5" t="s">
        <v>15</v>
      </c>
      <c r="B183" s="5" t="s">
        <v>196</v>
      </c>
      <c r="C183">
        <v>4665</v>
      </c>
      <c r="D183" s="18">
        <f t="shared" si="14"/>
        <v>4498.18</v>
      </c>
      <c r="E183" s="18">
        <f t="shared" si="15"/>
        <v>5346.21</v>
      </c>
      <c r="F183" s="18">
        <f t="shared" si="16"/>
        <v>3650.15</v>
      </c>
      <c r="G183" s="14">
        <f t="shared" si="17"/>
        <v>340</v>
      </c>
      <c r="H183" s="18">
        <f t="shared" si="18"/>
        <v>318.81</v>
      </c>
      <c r="I183" s="4">
        <f t="shared" si="19"/>
        <v>1041.8699999999999</v>
      </c>
    </row>
    <row r="184" spans="1:9" ht="13.2" x14ac:dyDescent="0.25">
      <c r="A184" s="5" t="s">
        <v>15</v>
      </c>
      <c r="B184" s="5" t="s">
        <v>197</v>
      </c>
      <c r="C184">
        <v>4615</v>
      </c>
      <c r="D184" s="18">
        <f t="shared" si="14"/>
        <v>4498.18</v>
      </c>
      <c r="E184" s="18">
        <f t="shared" si="15"/>
        <v>5346.21</v>
      </c>
      <c r="F184" s="18">
        <f t="shared" si="16"/>
        <v>3650.15</v>
      </c>
      <c r="G184" s="14">
        <f t="shared" si="17"/>
        <v>50</v>
      </c>
      <c r="H184" s="18">
        <f t="shared" si="18"/>
        <v>318.81</v>
      </c>
      <c r="I184" s="4">
        <f t="shared" si="19"/>
        <v>1041.8699999999999</v>
      </c>
    </row>
    <row r="185" spans="1:9" ht="13.2" x14ac:dyDescent="0.25">
      <c r="A185" s="5" t="s">
        <v>15</v>
      </c>
      <c r="B185" s="5" t="s">
        <v>198</v>
      </c>
      <c r="C185">
        <v>4615</v>
      </c>
      <c r="D185" s="18">
        <f t="shared" si="14"/>
        <v>4498.18</v>
      </c>
      <c r="E185" s="18">
        <f t="shared" si="15"/>
        <v>5346.21</v>
      </c>
      <c r="F185" s="18">
        <f t="shared" si="16"/>
        <v>3650.15</v>
      </c>
      <c r="G185" s="14">
        <f t="shared" si="17"/>
        <v>0</v>
      </c>
      <c r="H185" s="18">
        <f t="shared" si="18"/>
        <v>318.81</v>
      </c>
      <c r="I185" s="4">
        <f t="shared" si="19"/>
        <v>1041.8699999999999</v>
      </c>
    </row>
    <row r="186" spans="1:9" ht="13.2" x14ac:dyDescent="0.25">
      <c r="A186" s="5" t="s">
        <v>15</v>
      </c>
      <c r="B186" s="5" t="s">
        <v>199</v>
      </c>
      <c r="C186">
        <v>4500</v>
      </c>
      <c r="D186" s="18">
        <f t="shared" si="14"/>
        <v>4498.18</v>
      </c>
      <c r="E186" s="18">
        <f t="shared" si="15"/>
        <v>5346.21</v>
      </c>
      <c r="F186" s="18">
        <f t="shared" si="16"/>
        <v>3650.15</v>
      </c>
      <c r="G186" s="14">
        <f t="shared" si="17"/>
        <v>115</v>
      </c>
      <c r="H186" s="18">
        <f t="shared" si="18"/>
        <v>318.81</v>
      </c>
      <c r="I186" s="4">
        <f t="shared" si="19"/>
        <v>1041.8699999999999</v>
      </c>
    </row>
    <row r="187" spans="1:9" ht="13.2" x14ac:dyDescent="0.25">
      <c r="A187" s="5" t="s">
        <v>15</v>
      </c>
      <c r="B187" s="5" t="s">
        <v>200</v>
      </c>
      <c r="C187">
        <v>4765</v>
      </c>
      <c r="D187" s="18">
        <f t="shared" si="14"/>
        <v>4498.18</v>
      </c>
      <c r="E187" s="18">
        <f t="shared" si="15"/>
        <v>5346.21</v>
      </c>
      <c r="F187" s="18">
        <f t="shared" si="16"/>
        <v>3650.15</v>
      </c>
      <c r="G187" s="14">
        <f t="shared" si="17"/>
        <v>265</v>
      </c>
      <c r="H187" s="18">
        <f t="shared" si="18"/>
        <v>318.81</v>
      </c>
      <c r="I187" s="4">
        <f t="shared" si="19"/>
        <v>1041.8699999999999</v>
      </c>
    </row>
    <row r="188" spans="1:9" ht="13.2" x14ac:dyDescent="0.25">
      <c r="A188" s="5" t="s">
        <v>15</v>
      </c>
      <c r="B188" s="5" t="s">
        <v>201</v>
      </c>
      <c r="C188">
        <v>4500</v>
      </c>
      <c r="D188" s="18">
        <f t="shared" si="14"/>
        <v>4498.18</v>
      </c>
      <c r="E188" s="18">
        <f t="shared" si="15"/>
        <v>5346.21</v>
      </c>
      <c r="F188" s="18">
        <f t="shared" si="16"/>
        <v>3650.15</v>
      </c>
      <c r="G188" s="14">
        <f t="shared" si="17"/>
        <v>265</v>
      </c>
      <c r="H188" s="18">
        <f t="shared" si="18"/>
        <v>318.81</v>
      </c>
      <c r="I188" s="4">
        <f t="shared" si="19"/>
        <v>1041.8699999999999</v>
      </c>
    </row>
    <row r="189" spans="1:9" ht="13.2" x14ac:dyDescent="0.25">
      <c r="A189" s="5" t="s">
        <v>15</v>
      </c>
      <c r="B189" s="5" t="s">
        <v>202</v>
      </c>
      <c r="C189">
        <v>4500</v>
      </c>
      <c r="D189" s="18">
        <f t="shared" si="14"/>
        <v>4498.18</v>
      </c>
      <c r="E189" s="18">
        <f t="shared" si="15"/>
        <v>5346.21</v>
      </c>
      <c r="F189" s="18">
        <f t="shared" si="16"/>
        <v>3650.15</v>
      </c>
      <c r="G189" s="14">
        <f t="shared" si="17"/>
        <v>0</v>
      </c>
      <c r="H189" s="18">
        <f t="shared" si="18"/>
        <v>318.81</v>
      </c>
      <c r="I189" s="4">
        <f t="shared" si="19"/>
        <v>1041.8699999999999</v>
      </c>
    </row>
    <row r="190" spans="1:9" ht="13.2" x14ac:dyDescent="0.25">
      <c r="A190" s="5" t="s">
        <v>15</v>
      </c>
      <c r="B190" s="5" t="s">
        <v>203</v>
      </c>
      <c r="C190">
        <v>4850</v>
      </c>
      <c r="D190" s="18">
        <f t="shared" si="14"/>
        <v>4498.18</v>
      </c>
      <c r="E190" s="18">
        <f t="shared" si="15"/>
        <v>5346.21</v>
      </c>
      <c r="F190" s="18">
        <f t="shared" si="16"/>
        <v>3650.15</v>
      </c>
      <c r="G190" s="14">
        <f t="shared" si="17"/>
        <v>350</v>
      </c>
      <c r="H190" s="18">
        <f t="shared" si="18"/>
        <v>318.81</v>
      </c>
      <c r="I190" s="4">
        <f t="shared" si="19"/>
        <v>1041.8699999999999</v>
      </c>
    </row>
    <row r="191" spans="1:9" ht="13.2" x14ac:dyDescent="0.25">
      <c r="A191" s="5" t="s">
        <v>15</v>
      </c>
      <c r="B191" s="5" t="s">
        <v>204</v>
      </c>
      <c r="C191">
        <v>4930</v>
      </c>
      <c r="D191" s="18">
        <f t="shared" si="14"/>
        <v>4498.18</v>
      </c>
      <c r="E191" s="18">
        <f t="shared" si="15"/>
        <v>5346.21</v>
      </c>
      <c r="F191" s="18">
        <f t="shared" si="16"/>
        <v>3650.15</v>
      </c>
      <c r="G191" s="14">
        <f t="shared" si="17"/>
        <v>80</v>
      </c>
      <c r="H191" s="18">
        <f t="shared" si="18"/>
        <v>318.81</v>
      </c>
      <c r="I191" s="4">
        <f t="shared" si="19"/>
        <v>1041.8699999999999</v>
      </c>
    </row>
    <row r="192" spans="1:9" ht="13.2" x14ac:dyDescent="0.25">
      <c r="A192" s="5" t="s">
        <v>15</v>
      </c>
      <c r="B192" s="5" t="s">
        <v>205</v>
      </c>
      <c r="C192">
        <v>4700</v>
      </c>
      <c r="D192" s="18">
        <f t="shared" si="14"/>
        <v>4498.18</v>
      </c>
      <c r="E192" s="18">
        <f t="shared" si="15"/>
        <v>5346.21</v>
      </c>
      <c r="F192" s="18">
        <f t="shared" si="16"/>
        <v>3650.15</v>
      </c>
      <c r="G192" s="14">
        <f t="shared" si="17"/>
        <v>230</v>
      </c>
      <c r="H192" s="18">
        <f t="shared" si="18"/>
        <v>318.81</v>
      </c>
      <c r="I192" s="4">
        <f t="shared" si="19"/>
        <v>1041.8699999999999</v>
      </c>
    </row>
    <row r="193" spans="1:9" ht="13.2" x14ac:dyDescent="0.25">
      <c r="A193" s="5" t="s">
        <v>15</v>
      </c>
      <c r="B193" s="5" t="s">
        <v>206</v>
      </c>
      <c r="C193">
        <v>4890</v>
      </c>
      <c r="D193" s="18">
        <f t="shared" si="14"/>
        <v>4498.18</v>
      </c>
      <c r="E193" s="18">
        <f t="shared" si="15"/>
        <v>5346.21</v>
      </c>
      <c r="F193" s="18">
        <f t="shared" si="16"/>
        <v>3650.15</v>
      </c>
      <c r="G193" s="14">
        <f t="shared" si="17"/>
        <v>190</v>
      </c>
      <c r="H193" s="18">
        <f t="shared" si="18"/>
        <v>318.81</v>
      </c>
      <c r="I193" s="4">
        <f t="shared" si="19"/>
        <v>1041.8699999999999</v>
      </c>
    </row>
    <row r="194" spans="1:9" ht="13.2" x14ac:dyDescent="0.25">
      <c r="A194" s="5" t="s">
        <v>15</v>
      </c>
      <c r="B194" s="5" t="s">
        <v>207</v>
      </c>
      <c r="C194">
        <v>4625</v>
      </c>
      <c r="D194" s="18">
        <f t="shared" ref="D194:D205" si="20">ROUND(AVERAGE($C$2:$C$205),2)</f>
        <v>4498.18</v>
      </c>
      <c r="E194" s="18">
        <f t="shared" ref="E194:E205" si="21">ROUND(D194+(2.66*H194),2)</f>
        <v>5346.21</v>
      </c>
      <c r="F194" s="18">
        <f t="shared" ref="F194:F205" si="22">ROUND(D194-(2.66*H194),2)</f>
        <v>3650.15</v>
      </c>
      <c r="G194" s="14">
        <f t="shared" ref="G194:G205" si="23">ABS(C193-C194)</f>
        <v>265</v>
      </c>
      <c r="H194" s="18">
        <f t="shared" ref="H194:H205" si="24">ROUND(AVERAGE($G$3:$G$205),2)</f>
        <v>318.81</v>
      </c>
      <c r="I194" s="4">
        <f t="shared" ref="I194:I205" si="25">ROUND(3.268*H194,2)</f>
        <v>1041.8699999999999</v>
      </c>
    </row>
    <row r="195" spans="1:9" ht="13.2" x14ac:dyDescent="0.25">
      <c r="A195" s="5" t="s">
        <v>15</v>
      </c>
      <c r="B195" s="5" t="s">
        <v>208</v>
      </c>
      <c r="C195">
        <v>4425</v>
      </c>
      <c r="D195" s="18">
        <f t="shared" si="20"/>
        <v>4498.18</v>
      </c>
      <c r="E195" s="18">
        <f t="shared" si="21"/>
        <v>5346.21</v>
      </c>
      <c r="F195" s="18">
        <f t="shared" si="22"/>
        <v>3650.15</v>
      </c>
      <c r="G195" s="14">
        <f t="shared" si="23"/>
        <v>200</v>
      </c>
      <c r="H195" s="18">
        <f t="shared" si="24"/>
        <v>318.81</v>
      </c>
      <c r="I195" s="4">
        <f t="shared" si="25"/>
        <v>1041.8699999999999</v>
      </c>
    </row>
    <row r="196" spans="1:9" ht="13.2" x14ac:dyDescent="0.25">
      <c r="A196" s="5" t="s">
        <v>15</v>
      </c>
      <c r="B196" s="5" t="s">
        <v>209</v>
      </c>
      <c r="C196">
        <v>4135</v>
      </c>
      <c r="D196" s="18">
        <f t="shared" si="20"/>
        <v>4498.18</v>
      </c>
      <c r="E196" s="18">
        <f t="shared" si="21"/>
        <v>5346.21</v>
      </c>
      <c r="F196" s="18">
        <f t="shared" si="22"/>
        <v>3650.15</v>
      </c>
      <c r="G196" s="14">
        <f t="shared" si="23"/>
        <v>290</v>
      </c>
      <c r="H196" s="18">
        <f t="shared" si="24"/>
        <v>318.81</v>
      </c>
      <c r="I196" s="4">
        <f t="shared" si="25"/>
        <v>1041.8699999999999</v>
      </c>
    </row>
    <row r="197" spans="1:9" ht="13.2" x14ac:dyDescent="0.25">
      <c r="A197" s="5" t="s">
        <v>15</v>
      </c>
      <c r="B197" s="5" t="s">
        <v>210</v>
      </c>
      <c r="C197">
        <v>4190</v>
      </c>
      <c r="D197" s="18">
        <f t="shared" si="20"/>
        <v>4498.18</v>
      </c>
      <c r="E197" s="18">
        <f t="shared" si="21"/>
        <v>5346.21</v>
      </c>
      <c r="F197" s="18">
        <f t="shared" si="22"/>
        <v>3650.15</v>
      </c>
      <c r="G197" s="14">
        <f t="shared" si="23"/>
        <v>55</v>
      </c>
      <c r="H197" s="18">
        <f t="shared" si="24"/>
        <v>318.81</v>
      </c>
      <c r="I197" s="4">
        <f t="shared" si="25"/>
        <v>1041.8699999999999</v>
      </c>
    </row>
    <row r="198" spans="1:9" ht="13.2" x14ac:dyDescent="0.25">
      <c r="A198" s="5" t="s">
        <v>15</v>
      </c>
      <c r="B198" s="5" t="s">
        <v>211</v>
      </c>
      <c r="C198">
        <v>4080</v>
      </c>
      <c r="D198" s="18">
        <f t="shared" si="20"/>
        <v>4498.18</v>
      </c>
      <c r="E198" s="18">
        <f t="shared" si="21"/>
        <v>5346.21</v>
      </c>
      <c r="F198" s="18">
        <f t="shared" si="22"/>
        <v>3650.15</v>
      </c>
      <c r="G198" s="14">
        <f t="shared" si="23"/>
        <v>110</v>
      </c>
      <c r="H198" s="18">
        <f t="shared" si="24"/>
        <v>318.81</v>
      </c>
      <c r="I198" s="4">
        <f t="shared" si="25"/>
        <v>1041.8699999999999</v>
      </c>
    </row>
    <row r="199" spans="1:9" ht="13.2" x14ac:dyDescent="0.25">
      <c r="A199" s="5" t="s">
        <v>15</v>
      </c>
      <c r="B199" s="5" t="s">
        <v>212</v>
      </c>
      <c r="C199">
        <v>3690</v>
      </c>
      <c r="D199" s="18">
        <f t="shared" si="20"/>
        <v>4498.18</v>
      </c>
      <c r="E199" s="18">
        <f t="shared" si="21"/>
        <v>5346.21</v>
      </c>
      <c r="F199" s="18">
        <f t="shared" si="22"/>
        <v>3650.15</v>
      </c>
      <c r="G199" s="14">
        <f t="shared" si="23"/>
        <v>390</v>
      </c>
      <c r="H199" s="18">
        <f t="shared" si="24"/>
        <v>318.81</v>
      </c>
      <c r="I199" s="4">
        <f t="shared" si="25"/>
        <v>1041.8699999999999</v>
      </c>
    </row>
    <row r="200" spans="1:9" ht="13.2" x14ac:dyDescent="0.25">
      <c r="A200" s="5" t="s">
        <v>15</v>
      </c>
      <c r="B200" s="5" t="s">
        <v>213</v>
      </c>
      <c r="C200">
        <v>5050</v>
      </c>
      <c r="D200" s="18">
        <f t="shared" si="20"/>
        <v>4498.18</v>
      </c>
      <c r="E200" s="18">
        <f t="shared" si="21"/>
        <v>5346.21</v>
      </c>
      <c r="F200" s="18">
        <f t="shared" si="22"/>
        <v>3650.15</v>
      </c>
      <c r="G200" s="14">
        <f t="shared" si="23"/>
        <v>1360</v>
      </c>
      <c r="H200" s="18">
        <f t="shared" si="24"/>
        <v>318.81</v>
      </c>
      <c r="I200" s="4">
        <f t="shared" si="25"/>
        <v>1041.8699999999999</v>
      </c>
    </row>
    <row r="201" spans="1:9" ht="13.2" x14ac:dyDescent="0.25">
      <c r="A201" s="5" t="s">
        <v>15</v>
      </c>
      <c r="B201" s="5" t="s">
        <v>214</v>
      </c>
      <c r="C201">
        <v>4625</v>
      </c>
      <c r="D201" s="18">
        <f t="shared" si="20"/>
        <v>4498.18</v>
      </c>
      <c r="E201" s="18">
        <f t="shared" si="21"/>
        <v>5346.21</v>
      </c>
      <c r="F201" s="18">
        <f t="shared" si="22"/>
        <v>3650.15</v>
      </c>
      <c r="G201" s="14">
        <f t="shared" si="23"/>
        <v>425</v>
      </c>
      <c r="H201" s="18">
        <f t="shared" si="24"/>
        <v>318.81</v>
      </c>
      <c r="I201" s="4">
        <f t="shared" si="25"/>
        <v>1041.8699999999999</v>
      </c>
    </row>
    <row r="202" spans="1:9" ht="13.2" x14ac:dyDescent="0.25">
      <c r="A202" s="5" t="s">
        <v>15</v>
      </c>
      <c r="B202" s="5" t="s">
        <v>215</v>
      </c>
      <c r="C202">
        <v>5150</v>
      </c>
      <c r="D202" s="18">
        <f t="shared" si="20"/>
        <v>4498.18</v>
      </c>
      <c r="E202" s="18">
        <f t="shared" si="21"/>
        <v>5346.21</v>
      </c>
      <c r="F202" s="18">
        <f t="shared" si="22"/>
        <v>3650.15</v>
      </c>
      <c r="G202" s="14">
        <f t="shared" si="23"/>
        <v>525</v>
      </c>
      <c r="H202" s="18">
        <f t="shared" si="24"/>
        <v>318.81</v>
      </c>
      <c r="I202" s="4">
        <f t="shared" si="25"/>
        <v>1041.8699999999999</v>
      </c>
    </row>
    <row r="203" spans="1:9" ht="13.2" x14ac:dyDescent="0.25">
      <c r="A203" s="5" t="s">
        <v>15</v>
      </c>
      <c r="B203" s="5" t="s">
        <v>216</v>
      </c>
      <c r="C203">
        <v>5250</v>
      </c>
      <c r="D203" s="18">
        <f t="shared" si="20"/>
        <v>4498.18</v>
      </c>
      <c r="E203" s="18">
        <f t="shared" si="21"/>
        <v>5346.21</v>
      </c>
      <c r="F203" s="18">
        <f t="shared" si="22"/>
        <v>3650.15</v>
      </c>
      <c r="G203" s="14">
        <f t="shared" si="23"/>
        <v>100</v>
      </c>
      <c r="H203" s="18">
        <f t="shared" si="24"/>
        <v>318.81</v>
      </c>
      <c r="I203" s="4">
        <f t="shared" si="25"/>
        <v>1041.8699999999999</v>
      </c>
    </row>
    <row r="204" spans="1:9" ht="13.2" x14ac:dyDescent="0.25">
      <c r="A204" s="5" t="s">
        <v>15</v>
      </c>
      <c r="B204" s="5" t="s">
        <v>217</v>
      </c>
      <c r="C204">
        <v>5000</v>
      </c>
      <c r="D204" s="18">
        <f t="shared" si="20"/>
        <v>4498.18</v>
      </c>
      <c r="E204" s="18">
        <f t="shared" si="21"/>
        <v>5346.21</v>
      </c>
      <c r="F204" s="18">
        <f t="shared" si="22"/>
        <v>3650.15</v>
      </c>
      <c r="G204" s="14">
        <f t="shared" si="23"/>
        <v>250</v>
      </c>
      <c r="H204" s="18">
        <f t="shared" si="24"/>
        <v>318.81</v>
      </c>
      <c r="I204" s="4">
        <f t="shared" si="25"/>
        <v>1041.8699999999999</v>
      </c>
    </row>
    <row r="205" spans="1:9" ht="13.2" x14ac:dyDescent="0.25">
      <c r="A205" s="5" t="s">
        <v>15</v>
      </c>
      <c r="B205" s="5" t="s">
        <v>218</v>
      </c>
      <c r="C205">
        <v>5000</v>
      </c>
      <c r="D205" s="18">
        <f t="shared" si="20"/>
        <v>4498.18</v>
      </c>
      <c r="E205" s="18">
        <f t="shared" si="21"/>
        <v>5346.21</v>
      </c>
      <c r="F205" s="18">
        <f t="shared" si="22"/>
        <v>3650.15</v>
      </c>
      <c r="G205" s="14">
        <f t="shared" si="23"/>
        <v>0</v>
      </c>
      <c r="H205" s="18">
        <f t="shared" si="24"/>
        <v>318.81</v>
      </c>
      <c r="I205" s="4">
        <f t="shared" si="25"/>
        <v>1041.8699999999999</v>
      </c>
    </row>
    <row r="206" spans="1:9" ht="13.2" x14ac:dyDescent="0.25">
      <c r="A206" t="s">
        <v>7</v>
      </c>
      <c r="B206" t="s">
        <v>1</v>
      </c>
      <c r="C206" t="s">
        <v>8</v>
      </c>
      <c r="D206" s="15" t="s">
        <v>9</v>
      </c>
      <c r="E206" s="15" t="s">
        <v>10</v>
      </c>
      <c r="F206" s="15" t="s">
        <v>11</v>
      </c>
      <c r="G206" s="15" t="s">
        <v>12</v>
      </c>
      <c r="H206" s="16" t="s">
        <v>13</v>
      </c>
      <c r="I206" s="16" t="s">
        <v>14</v>
      </c>
    </row>
    <row r="207" spans="1:9" ht="13.2" x14ac:dyDescent="0.25">
      <c r="A207" s="5" t="s">
        <v>219</v>
      </c>
      <c r="B207" s="5" t="s">
        <v>6</v>
      </c>
      <c r="C207">
        <v>4400</v>
      </c>
      <c r="D207" s="18">
        <f t="shared" ref="D207:D238" si="26">ROUND(AVERAGE($C$207:$C$270),2)</f>
        <v>4417.8100000000004</v>
      </c>
      <c r="E207" s="18">
        <f t="shared" ref="E207:E270" si="27">ROUND(D207+(2.66*H207),2)</f>
        <v>4922.78</v>
      </c>
      <c r="F207" s="18">
        <f t="shared" ref="F207:F270" si="28">ROUND(D207-(2.66*H207),2)</f>
        <v>3912.84</v>
      </c>
      <c r="G207" s="14"/>
      <c r="H207" s="18">
        <f t="shared" ref="H207:H238" si="29">ROUND(AVERAGE($G$208:$G$270),2)</f>
        <v>189.84</v>
      </c>
      <c r="I207" s="4">
        <f t="shared" ref="I207:I208" si="30">ROUND(3.268*H207,2)</f>
        <v>620.4</v>
      </c>
    </row>
    <row r="208" spans="1:9" ht="13.2" x14ac:dyDescent="0.25">
      <c r="A208" s="5" t="s">
        <v>219</v>
      </c>
      <c r="B208" s="5" t="s">
        <v>16</v>
      </c>
      <c r="C208">
        <v>4565</v>
      </c>
      <c r="D208" s="18">
        <f t="shared" si="26"/>
        <v>4417.8100000000004</v>
      </c>
      <c r="E208" s="18">
        <f t="shared" si="27"/>
        <v>4922.78</v>
      </c>
      <c r="F208" s="18">
        <f t="shared" si="28"/>
        <v>3912.84</v>
      </c>
      <c r="G208" s="14">
        <f t="shared" ref="G208:G270" si="31">ABS(C207-C208)</f>
        <v>165</v>
      </c>
      <c r="H208" s="18">
        <f t="shared" si="29"/>
        <v>189.84</v>
      </c>
      <c r="I208" s="4">
        <f t="shared" si="30"/>
        <v>620.4</v>
      </c>
    </row>
    <row r="209" spans="1:9" ht="13.2" x14ac:dyDescent="0.25">
      <c r="A209" s="5" t="s">
        <v>219</v>
      </c>
      <c r="B209" s="5" t="s">
        <v>17</v>
      </c>
      <c r="C209">
        <v>4495</v>
      </c>
      <c r="D209" s="18">
        <f t="shared" si="26"/>
        <v>4417.8100000000004</v>
      </c>
      <c r="E209" s="18">
        <f t="shared" si="27"/>
        <v>4922.78</v>
      </c>
      <c r="F209" s="18">
        <f t="shared" si="28"/>
        <v>3912.84</v>
      </c>
      <c r="G209" s="14">
        <f t="shared" si="31"/>
        <v>70</v>
      </c>
      <c r="H209" s="18">
        <f t="shared" si="29"/>
        <v>189.84</v>
      </c>
      <c r="I209" s="4">
        <f t="shared" ref="I209:I238" si="32">ROUND(3.268*H209,2)</f>
        <v>620.4</v>
      </c>
    </row>
    <row r="210" spans="1:9" ht="13.2" x14ac:dyDescent="0.25">
      <c r="A210" s="5" t="s">
        <v>219</v>
      </c>
      <c r="B210" s="5" t="s">
        <v>18</v>
      </c>
      <c r="C210">
        <v>4325</v>
      </c>
      <c r="D210" s="18">
        <f t="shared" si="26"/>
        <v>4417.8100000000004</v>
      </c>
      <c r="E210" s="18">
        <f t="shared" si="27"/>
        <v>4922.78</v>
      </c>
      <c r="F210" s="18">
        <f t="shared" si="28"/>
        <v>3912.84</v>
      </c>
      <c r="G210" s="14">
        <f t="shared" si="31"/>
        <v>170</v>
      </c>
      <c r="H210" s="18">
        <f t="shared" si="29"/>
        <v>189.84</v>
      </c>
      <c r="I210" s="4">
        <f t="shared" si="32"/>
        <v>620.4</v>
      </c>
    </row>
    <row r="211" spans="1:9" ht="13.2" x14ac:dyDescent="0.25">
      <c r="A211" s="5" t="s">
        <v>219</v>
      </c>
      <c r="B211" s="5" t="s">
        <v>19</v>
      </c>
      <c r="C211">
        <v>4385</v>
      </c>
      <c r="D211" s="18">
        <f t="shared" si="26"/>
        <v>4417.8100000000004</v>
      </c>
      <c r="E211" s="18">
        <f t="shared" si="27"/>
        <v>4922.78</v>
      </c>
      <c r="F211" s="18">
        <f t="shared" si="28"/>
        <v>3912.84</v>
      </c>
      <c r="G211" s="14">
        <f t="shared" si="31"/>
        <v>60</v>
      </c>
      <c r="H211" s="18">
        <f t="shared" si="29"/>
        <v>189.84</v>
      </c>
      <c r="I211" s="4">
        <f t="shared" si="32"/>
        <v>620.4</v>
      </c>
    </row>
    <row r="212" spans="1:9" ht="13.2" x14ac:dyDescent="0.25">
      <c r="A212" s="5" t="s">
        <v>219</v>
      </c>
      <c r="B212" s="5" t="s">
        <v>20</v>
      </c>
      <c r="C212">
        <v>4545</v>
      </c>
      <c r="D212" s="18">
        <f t="shared" si="26"/>
        <v>4417.8100000000004</v>
      </c>
      <c r="E212" s="18">
        <f t="shared" si="27"/>
        <v>4922.78</v>
      </c>
      <c r="F212" s="18">
        <f t="shared" si="28"/>
        <v>3912.84</v>
      </c>
      <c r="G212" s="14">
        <f t="shared" si="31"/>
        <v>160</v>
      </c>
      <c r="H212" s="18">
        <f t="shared" si="29"/>
        <v>189.84</v>
      </c>
      <c r="I212" s="4">
        <f t="shared" si="32"/>
        <v>620.4</v>
      </c>
    </row>
    <row r="213" spans="1:9" ht="13.2" x14ac:dyDescent="0.25">
      <c r="A213" s="5" t="s">
        <v>219</v>
      </c>
      <c r="B213" s="5" t="s">
        <v>21</v>
      </c>
      <c r="C213">
        <v>4235</v>
      </c>
      <c r="D213" s="18">
        <f t="shared" si="26"/>
        <v>4417.8100000000004</v>
      </c>
      <c r="E213" s="18">
        <f t="shared" si="27"/>
        <v>4922.78</v>
      </c>
      <c r="F213" s="18">
        <f t="shared" si="28"/>
        <v>3912.84</v>
      </c>
      <c r="G213" s="14">
        <f t="shared" si="31"/>
        <v>310</v>
      </c>
      <c r="H213" s="18">
        <f t="shared" si="29"/>
        <v>189.84</v>
      </c>
      <c r="I213" s="4">
        <f t="shared" si="32"/>
        <v>620.4</v>
      </c>
    </row>
    <row r="214" spans="1:9" ht="13.2" x14ac:dyDescent="0.25">
      <c r="A214" s="5" t="s">
        <v>219</v>
      </c>
      <c r="B214" s="5" t="s">
        <v>22</v>
      </c>
      <c r="C214">
        <v>4370</v>
      </c>
      <c r="D214" s="18">
        <f t="shared" si="26"/>
        <v>4417.8100000000004</v>
      </c>
      <c r="E214" s="18">
        <f t="shared" si="27"/>
        <v>4922.78</v>
      </c>
      <c r="F214" s="18">
        <f t="shared" si="28"/>
        <v>3912.84</v>
      </c>
      <c r="G214" s="14">
        <f t="shared" si="31"/>
        <v>135</v>
      </c>
      <c r="H214" s="18">
        <f t="shared" si="29"/>
        <v>189.84</v>
      </c>
      <c r="I214" s="4">
        <f t="shared" si="32"/>
        <v>620.4</v>
      </c>
    </row>
    <row r="215" spans="1:9" ht="13.2" x14ac:dyDescent="0.25">
      <c r="A215" s="5" t="s">
        <v>219</v>
      </c>
      <c r="B215" s="5" t="s">
        <v>23</v>
      </c>
      <c r="C215">
        <v>4340</v>
      </c>
      <c r="D215" s="18">
        <f t="shared" si="26"/>
        <v>4417.8100000000004</v>
      </c>
      <c r="E215" s="18">
        <f t="shared" si="27"/>
        <v>4922.78</v>
      </c>
      <c r="F215" s="18">
        <f t="shared" si="28"/>
        <v>3912.84</v>
      </c>
      <c r="G215" s="14">
        <f t="shared" si="31"/>
        <v>30</v>
      </c>
      <c r="H215" s="18">
        <f t="shared" si="29"/>
        <v>189.84</v>
      </c>
      <c r="I215" s="4">
        <f t="shared" si="32"/>
        <v>620.4</v>
      </c>
    </row>
    <row r="216" spans="1:9" ht="13.2" x14ac:dyDescent="0.25">
      <c r="A216" s="5" t="s">
        <v>219</v>
      </c>
      <c r="B216" s="5" t="s">
        <v>24</v>
      </c>
      <c r="C216">
        <v>4500</v>
      </c>
      <c r="D216" s="18">
        <f t="shared" si="26"/>
        <v>4417.8100000000004</v>
      </c>
      <c r="E216" s="18">
        <f t="shared" si="27"/>
        <v>4922.78</v>
      </c>
      <c r="F216" s="18">
        <f t="shared" si="28"/>
        <v>3912.84</v>
      </c>
      <c r="G216" s="14">
        <f t="shared" si="31"/>
        <v>160</v>
      </c>
      <c r="H216" s="18">
        <f t="shared" si="29"/>
        <v>189.84</v>
      </c>
      <c r="I216" s="4">
        <f t="shared" si="32"/>
        <v>620.4</v>
      </c>
    </row>
    <row r="217" spans="1:9" ht="13.2" x14ac:dyDescent="0.25">
      <c r="A217" s="5" t="s">
        <v>219</v>
      </c>
      <c r="B217" s="5" t="s">
        <v>25</v>
      </c>
      <c r="C217">
        <v>4165</v>
      </c>
      <c r="D217" s="18">
        <f t="shared" si="26"/>
        <v>4417.8100000000004</v>
      </c>
      <c r="E217" s="18">
        <f t="shared" si="27"/>
        <v>4922.78</v>
      </c>
      <c r="F217" s="18">
        <f t="shared" si="28"/>
        <v>3912.84</v>
      </c>
      <c r="G217" s="14">
        <f t="shared" si="31"/>
        <v>335</v>
      </c>
      <c r="H217" s="18">
        <f t="shared" si="29"/>
        <v>189.84</v>
      </c>
      <c r="I217" s="4">
        <f t="shared" si="32"/>
        <v>620.4</v>
      </c>
    </row>
    <row r="218" spans="1:9" ht="13.2" x14ac:dyDescent="0.25">
      <c r="A218" s="5" t="s">
        <v>219</v>
      </c>
      <c r="B218" s="5" t="s">
        <v>26</v>
      </c>
      <c r="C218">
        <v>4000</v>
      </c>
      <c r="D218" s="18">
        <f t="shared" si="26"/>
        <v>4417.8100000000004</v>
      </c>
      <c r="E218" s="18">
        <f t="shared" si="27"/>
        <v>4922.78</v>
      </c>
      <c r="F218" s="18">
        <f t="shared" si="28"/>
        <v>3912.84</v>
      </c>
      <c r="G218" s="14">
        <f t="shared" si="31"/>
        <v>165</v>
      </c>
      <c r="H218" s="18">
        <f t="shared" si="29"/>
        <v>189.84</v>
      </c>
      <c r="I218" s="4">
        <f t="shared" si="32"/>
        <v>620.4</v>
      </c>
    </row>
    <row r="219" spans="1:9" ht="13.2" x14ac:dyDescent="0.25">
      <c r="A219" s="5" t="s">
        <v>219</v>
      </c>
      <c r="B219" s="5" t="s">
        <v>27</v>
      </c>
      <c r="C219">
        <v>4125</v>
      </c>
      <c r="D219" s="18">
        <f t="shared" si="26"/>
        <v>4417.8100000000004</v>
      </c>
      <c r="E219" s="18">
        <f t="shared" si="27"/>
        <v>4922.78</v>
      </c>
      <c r="F219" s="18">
        <f t="shared" si="28"/>
        <v>3912.84</v>
      </c>
      <c r="G219" s="14">
        <f t="shared" si="31"/>
        <v>125</v>
      </c>
      <c r="H219" s="18">
        <f t="shared" si="29"/>
        <v>189.84</v>
      </c>
      <c r="I219" s="4">
        <f t="shared" si="32"/>
        <v>620.4</v>
      </c>
    </row>
    <row r="220" spans="1:9" ht="13.2" x14ac:dyDescent="0.25">
      <c r="A220" s="5" t="s">
        <v>219</v>
      </c>
      <c r="B220" s="5" t="s">
        <v>28</v>
      </c>
      <c r="C220">
        <v>4445</v>
      </c>
      <c r="D220" s="18">
        <f t="shared" si="26"/>
        <v>4417.8100000000004</v>
      </c>
      <c r="E220" s="18">
        <f t="shared" si="27"/>
        <v>4922.78</v>
      </c>
      <c r="F220" s="18">
        <f t="shared" si="28"/>
        <v>3912.84</v>
      </c>
      <c r="G220" s="14">
        <f t="shared" si="31"/>
        <v>320</v>
      </c>
      <c r="H220" s="18">
        <f t="shared" si="29"/>
        <v>189.84</v>
      </c>
      <c r="I220" s="4">
        <f t="shared" si="32"/>
        <v>620.4</v>
      </c>
    </row>
    <row r="221" spans="1:9" ht="13.2" x14ac:dyDescent="0.25">
      <c r="A221" s="5" t="s">
        <v>219</v>
      </c>
      <c r="B221" s="5" t="s">
        <v>29</v>
      </c>
      <c r="C221">
        <v>4775</v>
      </c>
      <c r="D221" s="18">
        <f t="shared" si="26"/>
        <v>4417.8100000000004</v>
      </c>
      <c r="E221" s="18">
        <f t="shared" si="27"/>
        <v>4922.78</v>
      </c>
      <c r="F221" s="18">
        <f t="shared" si="28"/>
        <v>3912.84</v>
      </c>
      <c r="G221" s="14">
        <f t="shared" si="31"/>
        <v>330</v>
      </c>
      <c r="H221" s="18">
        <f t="shared" si="29"/>
        <v>189.84</v>
      </c>
      <c r="I221" s="4">
        <f t="shared" si="32"/>
        <v>620.4</v>
      </c>
    </row>
    <row r="222" spans="1:9" ht="13.2" x14ac:dyDescent="0.25">
      <c r="A222" s="5" t="s">
        <v>219</v>
      </c>
      <c r="B222" s="5" t="s">
        <v>30</v>
      </c>
      <c r="C222">
        <v>4615</v>
      </c>
      <c r="D222" s="18">
        <f t="shared" si="26"/>
        <v>4417.8100000000004</v>
      </c>
      <c r="E222" s="18">
        <f t="shared" si="27"/>
        <v>4922.78</v>
      </c>
      <c r="F222" s="18">
        <f t="shared" si="28"/>
        <v>3912.84</v>
      </c>
      <c r="G222" s="14">
        <f t="shared" si="31"/>
        <v>160</v>
      </c>
      <c r="H222" s="18">
        <f t="shared" si="29"/>
        <v>189.84</v>
      </c>
      <c r="I222" s="4">
        <f t="shared" si="32"/>
        <v>620.4</v>
      </c>
    </row>
    <row r="223" spans="1:9" ht="13.2" x14ac:dyDescent="0.25">
      <c r="A223" s="5" t="s">
        <v>219</v>
      </c>
      <c r="B223" s="5" t="s">
        <v>31</v>
      </c>
      <c r="C223">
        <v>4465</v>
      </c>
      <c r="D223" s="18">
        <f t="shared" si="26"/>
        <v>4417.8100000000004</v>
      </c>
      <c r="E223" s="18">
        <f t="shared" si="27"/>
        <v>4922.78</v>
      </c>
      <c r="F223" s="18">
        <f t="shared" si="28"/>
        <v>3912.84</v>
      </c>
      <c r="G223" s="14">
        <f t="shared" si="31"/>
        <v>150</v>
      </c>
      <c r="H223" s="18">
        <f t="shared" si="29"/>
        <v>189.84</v>
      </c>
      <c r="I223" s="4">
        <f t="shared" si="32"/>
        <v>620.4</v>
      </c>
    </row>
    <row r="224" spans="1:9" ht="13.2" x14ac:dyDescent="0.25">
      <c r="A224" s="5" t="s">
        <v>219</v>
      </c>
      <c r="B224" s="5" t="s">
        <v>32</v>
      </c>
      <c r="C224">
        <v>4375</v>
      </c>
      <c r="D224" s="18">
        <f t="shared" si="26"/>
        <v>4417.8100000000004</v>
      </c>
      <c r="E224" s="18">
        <f t="shared" si="27"/>
        <v>4922.78</v>
      </c>
      <c r="F224" s="18">
        <f t="shared" si="28"/>
        <v>3912.84</v>
      </c>
      <c r="G224" s="14">
        <f t="shared" si="31"/>
        <v>90</v>
      </c>
      <c r="H224" s="18">
        <f t="shared" si="29"/>
        <v>189.84</v>
      </c>
      <c r="I224" s="4">
        <f t="shared" si="32"/>
        <v>620.4</v>
      </c>
    </row>
    <row r="225" spans="1:9" ht="13.2" x14ac:dyDescent="0.25">
      <c r="A225" s="5" t="s">
        <v>219</v>
      </c>
      <c r="B225" s="5" t="s">
        <v>33</v>
      </c>
      <c r="C225">
        <v>4600</v>
      </c>
      <c r="D225" s="18">
        <f t="shared" si="26"/>
        <v>4417.8100000000004</v>
      </c>
      <c r="E225" s="18">
        <f t="shared" si="27"/>
        <v>4922.78</v>
      </c>
      <c r="F225" s="18">
        <f t="shared" si="28"/>
        <v>3912.84</v>
      </c>
      <c r="G225" s="14">
        <f t="shared" si="31"/>
        <v>225</v>
      </c>
      <c r="H225" s="18">
        <f t="shared" si="29"/>
        <v>189.84</v>
      </c>
      <c r="I225" s="4">
        <f t="shared" si="32"/>
        <v>620.4</v>
      </c>
    </row>
    <row r="226" spans="1:9" ht="13.2" x14ac:dyDescent="0.25">
      <c r="A226" s="5" t="s">
        <v>219</v>
      </c>
      <c r="B226" s="5" t="s">
        <v>34</v>
      </c>
      <c r="C226">
        <v>4260</v>
      </c>
      <c r="D226" s="18">
        <f t="shared" si="26"/>
        <v>4417.8100000000004</v>
      </c>
      <c r="E226" s="18">
        <f t="shared" si="27"/>
        <v>4922.78</v>
      </c>
      <c r="F226" s="18">
        <f t="shared" si="28"/>
        <v>3912.84</v>
      </c>
      <c r="G226" s="14">
        <f t="shared" si="31"/>
        <v>340</v>
      </c>
      <c r="H226" s="18">
        <f t="shared" si="29"/>
        <v>189.84</v>
      </c>
      <c r="I226" s="4">
        <f t="shared" si="32"/>
        <v>620.4</v>
      </c>
    </row>
    <row r="227" spans="1:9" ht="13.2" x14ac:dyDescent="0.25">
      <c r="A227" s="5" t="s">
        <v>219</v>
      </c>
      <c r="B227" s="5" t="s">
        <v>35</v>
      </c>
      <c r="C227">
        <v>4675</v>
      </c>
      <c r="D227" s="18">
        <f t="shared" si="26"/>
        <v>4417.8100000000004</v>
      </c>
      <c r="E227" s="18">
        <f t="shared" si="27"/>
        <v>4922.78</v>
      </c>
      <c r="F227" s="18">
        <f t="shared" si="28"/>
        <v>3912.84</v>
      </c>
      <c r="G227" s="14">
        <f t="shared" si="31"/>
        <v>415</v>
      </c>
      <c r="H227" s="18">
        <f t="shared" si="29"/>
        <v>189.84</v>
      </c>
      <c r="I227" s="4">
        <f t="shared" si="32"/>
        <v>620.4</v>
      </c>
    </row>
    <row r="228" spans="1:9" ht="13.2" x14ac:dyDescent="0.25">
      <c r="A228" s="5" t="s">
        <v>219</v>
      </c>
      <c r="B228" s="5" t="s">
        <v>36</v>
      </c>
      <c r="C228">
        <v>4800</v>
      </c>
      <c r="D228" s="18">
        <f t="shared" si="26"/>
        <v>4417.8100000000004</v>
      </c>
      <c r="E228" s="18">
        <f t="shared" si="27"/>
        <v>4922.78</v>
      </c>
      <c r="F228" s="18">
        <f t="shared" si="28"/>
        <v>3912.84</v>
      </c>
      <c r="G228" s="14">
        <f t="shared" si="31"/>
        <v>125</v>
      </c>
      <c r="H228" s="18">
        <f t="shared" si="29"/>
        <v>189.84</v>
      </c>
      <c r="I228" s="4">
        <f t="shared" si="32"/>
        <v>620.4</v>
      </c>
    </row>
    <row r="229" spans="1:9" ht="13.2" x14ac:dyDescent="0.25">
      <c r="A229" s="5" t="s">
        <v>219</v>
      </c>
      <c r="B229" s="5" t="s">
        <v>37</v>
      </c>
      <c r="C229">
        <v>4410</v>
      </c>
      <c r="D229" s="18">
        <f t="shared" si="26"/>
        <v>4417.8100000000004</v>
      </c>
      <c r="E229" s="18">
        <f t="shared" si="27"/>
        <v>4922.78</v>
      </c>
      <c r="F229" s="18">
        <f t="shared" si="28"/>
        <v>3912.84</v>
      </c>
      <c r="G229" s="14">
        <f t="shared" si="31"/>
        <v>390</v>
      </c>
      <c r="H229" s="18">
        <f t="shared" si="29"/>
        <v>189.84</v>
      </c>
      <c r="I229" s="4">
        <f t="shared" si="32"/>
        <v>620.4</v>
      </c>
    </row>
    <row r="230" spans="1:9" ht="13.2" x14ac:dyDescent="0.25">
      <c r="A230" s="5" t="s">
        <v>219</v>
      </c>
      <c r="B230" s="5" t="s">
        <v>38</v>
      </c>
      <c r="C230">
        <v>4675</v>
      </c>
      <c r="D230" s="18">
        <f t="shared" si="26"/>
        <v>4417.8100000000004</v>
      </c>
      <c r="E230" s="18">
        <f t="shared" si="27"/>
        <v>4922.78</v>
      </c>
      <c r="F230" s="18">
        <f t="shared" si="28"/>
        <v>3912.84</v>
      </c>
      <c r="G230" s="14">
        <f t="shared" si="31"/>
        <v>265</v>
      </c>
      <c r="H230" s="18">
        <f t="shared" si="29"/>
        <v>189.84</v>
      </c>
      <c r="I230" s="4">
        <f t="shared" si="32"/>
        <v>620.4</v>
      </c>
    </row>
    <row r="231" spans="1:9" ht="13.2" x14ac:dyDescent="0.25">
      <c r="A231" s="5" t="s">
        <v>219</v>
      </c>
      <c r="B231" s="5" t="s">
        <v>39</v>
      </c>
      <c r="C231">
        <v>4260</v>
      </c>
      <c r="D231" s="18">
        <f t="shared" si="26"/>
        <v>4417.8100000000004</v>
      </c>
      <c r="E231" s="18">
        <f t="shared" si="27"/>
        <v>4922.78</v>
      </c>
      <c r="F231" s="18">
        <f t="shared" si="28"/>
        <v>3912.84</v>
      </c>
      <c r="G231" s="14">
        <f t="shared" si="31"/>
        <v>415</v>
      </c>
      <c r="H231" s="18">
        <f t="shared" si="29"/>
        <v>189.84</v>
      </c>
      <c r="I231" s="4">
        <f t="shared" si="32"/>
        <v>620.4</v>
      </c>
    </row>
    <row r="232" spans="1:9" ht="13.2" x14ac:dyDescent="0.25">
      <c r="A232" s="5" t="s">
        <v>219</v>
      </c>
      <c r="B232" s="5" t="s">
        <v>40</v>
      </c>
      <c r="C232">
        <v>4000</v>
      </c>
      <c r="D232" s="18">
        <f t="shared" si="26"/>
        <v>4417.8100000000004</v>
      </c>
      <c r="E232" s="18">
        <f t="shared" si="27"/>
        <v>4922.78</v>
      </c>
      <c r="F232" s="18">
        <f t="shared" si="28"/>
        <v>3912.84</v>
      </c>
      <c r="G232" s="14">
        <f t="shared" si="31"/>
        <v>260</v>
      </c>
      <c r="H232" s="18">
        <f t="shared" si="29"/>
        <v>189.84</v>
      </c>
      <c r="I232" s="4">
        <f t="shared" si="32"/>
        <v>620.4</v>
      </c>
    </row>
    <row r="233" spans="1:9" ht="13.2" x14ac:dyDescent="0.25">
      <c r="A233" s="5" t="s">
        <v>219</v>
      </c>
      <c r="B233" s="5" t="s">
        <v>41</v>
      </c>
      <c r="C233">
        <v>4360</v>
      </c>
      <c r="D233" s="18">
        <f t="shared" si="26"/>
        <v>4417.8100000000004</v>
      </c>
      <c r="E233" s="18">
        <f t="shared" si="27"/>
        <v>4922.78</v>
      </c>
      <c r="F233" s="18">
        <f t="shared" si="28"/>
        <v>3912.84</v>
      </c>
      <c r="G233" s="14">
        <f t="shared" si="31"/>
        <v>360</v>
      </c>
      <c r="H233" s="18">
        <f t="shared" si="29"/>
        <v>189.84</v>
      </c>
      <c r="I233" s="4">
        <f t="shared" si="32"/>
        <v>620.4</v>
      </c>
    </row>
    <row r="234" spans="1:9" ht="13.2" x14ac:dyDescent="0.25">
      <c r="A234" s="5" t="s">
        <v>219</v>
      </c>
      <c r="B234" s="5" t="s">
        <v>42</v>
      </c>
      <c r="C234">
        <v>4500</v>
      </c>
      <c r="D234" s="18">
        <f t="shared" si="26"/>
        <v>4417.8100000000004</v>
      </c>
      <c r="E234" s="18">
        <f t="shared" si="27"/>
        <v>4922.78</v>
      </c>
      <c r="F234" s="18">
        <f t="shared" si="28"/>
        <v>3912.84</v>
      </c>
      <c r="G234" s="14">
        <f t="shared" si="31"/>
        <v>140</v>
      </c>
      <c r="H234" s="18">
        <f t="shared" si="29"/>
        <v>189.84</v>
      </c>
      <c r="I234" s="4">
        <f t="shared" si="32"/>
        <v>620.4</v>
      </c>
    </row>
    <row r="235" spans="1:9" ht="13.2" x14ac:dyDescent="0.25">
      <c r="A235" s="5" t="s">
        <v>219</v>
      </c>
      <c r="B235" s="5" t="s">
        <v>43</v>
      </c>
      <c r="C235">
        <v>4460</v>
      </c>
      <c r="D235" s="18">
        <f t="shared" si="26"/>
        <v>4417.8100000000004</v>
      </c>
      <c r="E235" s="18">
        <f t="shared" si="27"/>
        <v>4922.78</v>
      </c>
      <c r="F235" s="18">
        <f t="shared" si="28"/>
        <v>3912.84</v>
      </c>
      <c r="G235" s="14">
        <f t="shared" si="31"/>
        <v>40</v>
      </c>
      <c r="H235" s="18">
        <f t="shared" si="29"/>
        <v>189.84</v>
      </c>
      <c r="I235" s="4">
        <f t="shared" si="32"/>
        <v>620.4</v>
      </c>
    </row>
    <row r="236" spans="1:9" ht="13.2" x14ac:dyDescent="0.25">
      <c r="A236" s="5" t="s">
        <v>219</v>
      </c>
      <c r="B236" s="5" t="s">
        <v>44</v>
      </c>
      <c r="C236">
        <v>4360</v>
      </c>
      <c r="D236" s="18">
        <f t="shared" si="26"/>
        <v>4417.8100000000004</v>
      </c>
      <c r="E236" s="18">
        <f t="shared" si="27"/>
        <v>4922.78</v>
      </c>
      <c r="F236" s="18">
        <f t="shared" si="28"/>
        <v>3912.84</v>
      </c>
      <c r="G236" s="14">
        <f t="shared" si="31"/>
        <v>100</v>
      </c>
      <c r="H236" s="18">
        <f t="shared" si="29"/>
        <v>189.84</v>
      </c>
      <c r="I236" s="4">
        <f t="shared" si="32"/>
        <v>620.4</v>
      </c>
    </row>
    <row r="237" spans="1:9" ht="13.2" x14ac:dyDescent="0.25">
      <c r="A237" s="5" t="s">
        <v>219</v>
      </c>
      <c r="B237" s="5" t="s">
        <v>45</v>
      </c>
      <c r="C237">
        <v>4265</v>
      </c>
      <c r="D237" s="18">
        <f t="shared" si="26"/>
        <v>4417.8100000000004</v>
      </c>
      <c r="E237" s="18">
        <f t="shared" si="27"/>
        <v>4922.78</v>
      </c>
      <c r="F237" s="18">
        <f t="shared" si="28"/>
        <v>3912.84</v>
      </c>
      <c r="G237" s="14">
        <f t="shared" si="31"/>
        <v>95</v>
      </c>
      <c r="H237" s="18">
        <f t="shared" si="29"/>
        <v>189.84</v>
      </c>
      <c r="I237" s="4">
        <f t="shared" si="32"/>
        <v>620.4</v>
      </c>
    </row>
    <row r="238" spans="1:9" ht="13.2" x14ac:dyDescent="0.25">
      <c r="A238" s="5" t="s">
        <v>219</v>
      </c>
      <c r="B238" s="5" t="s">
        <v>46</v>
      </c>
      <c r="C238">
        <v>4635</v>
      </c>
      <c r="D238" s="18">
        <f t="shared" si="26"/>
        <v>4417.8100000000004</v>
      </c>
      <c r="E238" s="18">
        <f t="shared" si="27"/>
        <v>4922.78</v>
      </c>
      <c r="F238" s="18">
        <f t="shared" si="28"/>
        <v>3912.84</v>
      </c>
      <c r="G238" s="14">
        <f t="shared" si="31"/>
        <v>370</v>
      </c>
      <c r="H238" s="18">
        <f t="shared" si="29"/>
        <v>189.84</v>
      </c>
      <c r="I238" s="4">
        <f t="shared" si="32"/>
        <v>620.4</v>
      </c>
    </row>
    <row r="239" spans="1:9" ht="13.2" x14ac:dyDescent="0.25">
      <c r="A239" s="5" t="s">
        <v>219</v>
      </c>
      <c r="B239" s="5" t="s">
        <v>47</v>
      </c>
      <c r="C239">
        <v>4240</v>
      </c>
      <c r="D239" s="18">
        <f t="shared" ref="D239:D270" si="33">ROUND(AVERAGE($C$207:$C$270),2)</f>
        <v>4417.8100000000004</v>
      </c>
      <c r="E239" s="18">
        <f t="shared" si="27"/>
        <v>4922.78</v>
      </c>
      <c r="F239" s="18">
        <f t="shared" si="28"/>
        <v>3912.84</v>
      </c>
      <c r="G239" s="14">
        <f t="shared" si="31"/>
        <v>395</v>
      </c>
      <c r="H239" s="18">
        <f t="shared" ref="H239:H270" si="34">ROUND(AVERAGE($G$208:$G$270),2)</f>
        <v>189.84</v>
      </c>
      <c r="I239" s="4">
        <f t="shared" ref="I239:I270" si="35">ROUND(3.268*H239,2)</f>
        <v>620.4</v>
      </c>
    </row>
    <row r="240" spans="1:9" ht="13.2" x14ac:dyDescent="0.25">
      <c r="A240" s="5" t="s">
        <v>219</v>
      </c>
      <c r="B240" s="5" t="s">
        <v>48</v>
      </c>
      <c r="C240">
        <v>4350</v>
      </c>
      <c r="D240" s="18">
        <f t="shared" si="33"/>
        <v>4417.8100000000004</v>
      </c>
      <c r="E240" s="18">
        <f t="shared" si="27"/>
        <v>4922.78</v>
      </c>
      <c r="F240" s="18">
        <f t="shared" si="28"/>
        <v>3912.84</v>
      </c>
      <c r="G240" s="14">
        <f t="shared" si="31"/>
        <v>110</v>
      </c>
      <c r="H240" s="18">
        <f t="shared" si="34"/>
        <v>189.84</v>
      </c>
      <c r="I240" s="4">
        <f t="shared" si="35"/>
        <v>620.4</v>
      </c>
    </row>
    <row r="241" spans="1:9" ht="13.2" x14ac:dyDescent="0.25">
      <c r="A241" s="5" t="s">
        <v>219</v>
      </c>
      <c r="B241" s="5" t="s">
        <v>49</v>
      </c>
      <c r="C241">
        <v>4220</v>
      </c>
      <c r="D241" s="18">
        <f t="shared" si="33"/>
        <v>4417.8100000000004</v>
      </c>
      <c r="E241" s="18">
        <f t="shared" si="27"/>
        <v>4922.78</v>
      </c>
      <c r="F241" s="18">
        <f t="shared" si="28"/>
        <v>3912.84</v>
      </c>
      <c r="G241" s="14">
        <f t="shared" si="31"/>
        <v>130</v>
      </c>
      <c r="H241" s="18">
        <f t="shared" si="34"/>
        <v>189.84</v>
      </c>
      <c r="I241" s="4">
        <f t="shared" si="35"/>
        <v>620.4</v>
      </c>
    </row>
    <row r="242" spans="1:9" ht="13.2" x14ac:dyDescent="0.25">
      <c r="A242" s="5" t="s">
        <v>219</v>
      </c>
      <c r="B242" s="5" t="s">
        <v>50</v>
      </c>
      <c r="C242">
        <v>4150</v>
      </c>
      <c r="D242" s="18">
        <f t="shared" si="33"/>
        <v>4417.8100000000004</v>
      </c>
      <c r="E242" s="18">
        <f t="shared" si="27"/>
        <v>4922.78</v>
      </c>
      <c r="F242" s="18">
        <f t="shared" si="28"/>
        <v>3912.84</v>
      </c>
      <c r="G242" s="14">
        <f t="shared" si="31"/>
        <v>70</v>
      </c>
      <c r="H242" s="18">
        <f t="shared" si="34"/>
        <v>189.84</v>
      </c>
      <c r="I242" s="4">
        <f t="shared" si="35"/>
        <v>620.4</v>
      </c>
    </row>
    <row r="243" spans="1:9" ht="13.2" x14ac:dyDescent="0.25">
      <c r="A243" s="5" t="s">
        <v>219</v>
      </c>
      <c r="B243" s="5" t="s">
        <v>51</v>
      </c>
      <c r="C243">
        <v>4520</v>
      </c>
      <c r="D243" s="18">
        <f t="shared" si="33"/>
        <v>4417.8100000000004</v>
      </c>
      <c r="E243" s="18">
        <f t="shared" si="27"/>
        <v>4922.78</v>
      </c>
      <c r="F243" s="18">
        <f t="shared" si="28"/>
        <v>3912.84</v>
      </c>
      <c r="G243" s="14">
        <f t="shared" si="31"/>
        <v>370</v>
      </c>
      <c r="H243" s="18">
        <f t="shared" si="34"/>
        <v>189.84</v>
      </c>
      <c r="I243" s="4">
        <f t="shared" si="35"/>
        <v>620.4</v>
      </c>
    </row>
    <row r="244" spans="1:9" ht="13.2" x14ac:dyDescent="0.25">
      <c r="A244" s="5" t="s">
        <v>219</v>
      </c>
      <c r="B244" s="5" t="s">
        <v>52</v>
      </c>
      <c r="C244">
        <v>4545</v>
      </c>
      <c r="D244" s="18">
        <f t="shared" si="33"/>
        <v>4417.8100000000004</v>
      </c>
      <c r="E244" s="18">
        <f t="shared" si="27"/>
        <v>4922.78</v>
      </c>
      <c r="F244" s="18">
        <f t="shared" si="28"/>
        <v>3912.84</v>
      </c>
      <c r="G244" s="14">
        <f t="shared" si="31"/>
        <v>25</v>
      </c>
      <c r="H244" s="18">
        <f t="shared" si="34"/>
        <v>189.84</v>
      </c>
      <c r="I244" s="4">
        <f t="shared" si="35"/>
        <v>620.4</v>
      </c>
    </row>
    <row r="245" spans="1:9" ht="13.2" x14ac:dyDescent="0.25">
      <c r="A245" s="5" t="s">
        <v>219</v>
      </c>
      <c r="B245" s="5" t="s">
        <v>53</v>
      </c>
      <c r="C245">
        <v>4650</v>
      </c>
      <c r="D245" s="18">
        <f t="shared" si="33"/>
        <v>4417.8100000000004</v>
      </c>
      <c r="E245" s="18">
        <f t="shared" si="27"/>
        <v>4922.78</v>
      </c>
      <c r="F245" s="18">
        <f t="shared" si="28"/>
        <v>3912.84</v>
      </c>
      <c r="G245" s="14">
        <f t="shared" si="31"/>
        <v>105</v>
      </c>
      <c r="H245" s="18">
        <f t="shared" si="34"/>
        <v>189.84</v>
      </c>
      <c r="I245" s="4">
        <f t="shared" si="35"/>
        <v>620.4</v>
      </c>
    </row>
    <row r="246" spans="1:9" ht="13.2" x14ac:dyDescent="0.25">
      <c r="A246" s="5" t="s">
        <v>219</v>
      </c>
      <c r="B246" s="5" t="s">
        <v>54</v>
      </c>
      <c r="C246">
        <v>4230</v>
      </c>
      <c r="D246" s="18">
        <f t="shared" si="33"/>
        <v>4417.8100000000004</v>
      </c>
      <c r="E246" s="18">
        <f t="shared" si="27"/>
        <v>4922.78</v>
      </c>
      <c r="F246" s="18">
        <f t="shared" si="28"/>
        <v>3912.84</v>
      </c>
      <c r="G246" s="14">
        <f t="shared" si="31"/>
        <v>420</v>
      </c>
      <c r="H246" s="18">
        <f t="shared" si="34"/>
        <v>189.84</v>
      </c>
      <c r="I246" s="4">
        <f t="shared" si="35"/>
        <v>620.4</v>
      </c>
    </row>
    <row r="247" spans="1:9" ht="13.2" x14ac:dyDescent="0.25">
      <c r="A247" s="5" t="s">
        <v>219</v>
      </c>
      <c r="B247" s="5" t="s">
        <v>55</v>
      </c>
      <c r="C247">
        <v>4320</v>
      </c>
      <c r="D247" s="18">
        <f t="shared" si="33"/>
        <v>4417.8100000000004</v>
      </c>
      <c r="E247" s="18">
        <f t="shared" si="27"/>
        <v>4922.78</v>
      </c>
      <c r="F247" s="18">
        <f t="shared" si="28"/>
        <v>3912.84</v>
      </c>
      <c r="G247" s="14">
        <f t="shared" si="31"/>
        <v>90</v>
      </c>
      <c r="H247" s="18">
        <f t="shared" si="34"/>
        <v>189.84</v>
      </c>
      <c r="I247" s="4">
        <f t="shared" si="35"/>
        <v>620.4</v>
      </c>
    </row>
    <row r="248" spans="1:9" ht="13.2" x14ac:dyDescent="0.25">
      <c r="A248" s="5" t="s">
        <v>219</v>
      </c>
      <c r="B248" s="5" t="s">
        <v>56</v>
      </c>
      <c r="C248">
        <v>4570</v>
      </c>
      <c r="D248" s="18">
        <f t="shared" si="33"/>
        <v>4417.8100000000004</v>
      </c>
      <c r="E248" s="18">
        <f t="shared" si="27"/>
        <v>4922.78</v>
      </c>
      <c r="F248" s="18">
        <f t="shared" si="28"/>
        <v>3912.84</v>
      </c>
      <c r="G248" s="14">
        <f t="shared" si="31"/>
        <v>250</v>
      </c>
      <c r="H248" s="18">
        <f t="shared" si="34"/>
        <v>189.84</v>
      </c>
      <c r="I248" s="4">
        <f t="shared" si="35"/>
        <v>620.4</v>
      </c>
    </row>
    <row r="249" spans="1:9" ht="13.2" x14ac:dyDescent="0.25">
      <c r="A249" s="5" t="s">
        <v>219</v>
      </c>
      <c r="B249" s="5" t="s">
        <v>57</v>
      </c>
      <c r="C249">
        <v>4380</v>
      </c>
      <c r="D249" s="18">
        <f t="shared" si="33"/>
        <v>4417.8100000000004</v>
      </c>
      <c r="E249" s="18">
        <f t="shared" si="27"/>
        <v>4922.78</v>
      </c>
      <c r="F249" s="18">
        <f t="shared" si="28"/>
        <v>3912.84</v>
      </c>
      <c r="G249" s="14">
        <f t="shared" si="31"/>
        <v>190</v>
      </c>
      <c r="H249" s="18">
        <f t="shared" si="34"/>
        <v>189.84</v>
      </c>
      <c r="I249" s="4">
        <f t="shared" si="35"/>
        <v>620.4</v>
      </c>
    </row>
    <row r="250" spans="1:9" ht="13.2" x14ac:dyDescent="0.25">
      <c r="A250" s="5" t="s">
        <v>219</v>
      </c>
      <c r="B250" s="5" t="s">
        <v>58</v>
      </c>
      <c r="C250">
        <v>4450</v>
      </c>
      <c r="D250" s="18">
        <f t="shared" si="33"/>
        <v>4417.8100000000004</v>
      </c>
      <c r="E250" s="18">
        <f t="shared" si="27"/>
        <v>4922.78</v>
      </c>
      <c r="F250" s="18">
        <f t="shared" si="28"/>
        <v>3912.84</v>
      </c>
      <c r="G250" s="14">
        <f t="shared" si="31"/>
        <v>70</v>
      </c>
      <c r="H250" s="18">
        <f t="shared" si="34"/>
        <v>189.84</v>
      </c>
      <c r="I250" s="4">
        <f t="shared" si="35"/>
        <v>620.4</v>
      </c>
    </row>
    <row r="251" spans="1:9" ht="13.2" x14ac:dyDescent="0.25">
      <c r="A251" s="5" t="s">
        <v>219</v>
      </c>
      <c r="B251" s="5" t="s">
        <v>59</v>
      </c>
      <c r="C251">
        <v>4340</v>
      </c>
      <c r="D251" s="18">
        <f t="shared" si="33"/>
        <v>4417.8100000000004</v>
      </c>
      <c r="E251" s="18">
        <f t="shared" si="27"/>
        <v>4922.78</v>
      </c>
      <c r="F251" s="18">
        <f t="shared" si="28"/>
        <v>3912.84</v>
      </c>
      <c r="G251" s="14">
        <f t="shared" si="31"/>
        <v>110</v>
      </c>
      <c r="H251" s="18">
        <f t="shared" si="34"/>
        <v>189.84</v>
      </c>
      <c r="I251" s="4">
        <f t="shared" si="35"/>
        <v>620.4</v>
      </c>
    </row>
    <row r="252" spans="1:9" ht="13.2" x14ac:dyDescent="0.25">
      <c r="A252" s="5" t="s">
        <v>219</v>
      </c>
      <c r="B252" s="5" t="s">
        <v>60</v>
      </c>
      <c r="C252">
        <v>4350</v>
      </c>
      <c r="D252" s="18">
        <f t="shared" si="33"/>
        <v>4417.8100000000004</v>
      </c>
      <c r="E252" s="18">
        <f t="shared" si="27"/>
        <v>4922.78</v>
      </c>
      <c r="F252" s="18">
        <f t="shared" si="28"/>
        <v>3912.84</v>
      </c>
      <c r="G252" s="14">
        <f t="shared" si="31"/>
        <v>10</v>
      </c>
      <c r="H252" s="18">
        <f t="shared" si="34"/>
        <v>189.84</v>
      </c>
      <c r="I252" s="4">
        <f t="shared" si="35"/>
        <v>620.4</v>
      </c>
    </row>
    <row r="253" spans="1:9" ht="13.2" x14ac:dyDescent="0.25">
      <c r="A253" s="5" t="s">
        <v>219</v>
      </c>
      <c r="B253" s="5" t="s">
        <v>61</v>
      </c>
      <c r="C253">
        <v>4660</v>
      </c>
      <c r="D253" s="18">
        <f t="shared" si="33"/>
        <v>4417.8100000000004</v>
      </c>
      <c r="E253" s="18">
        <f t="shared" si="27"/>
        <v>4922.78</v>
      </c>
      <c r="F253" s="18">
        <f t="shared" si="28"/>
        <v>3912.84</v>
      </c>
      <c r="G253" s="14">
        <f t="shared" si="31"/>
        <v>310</v>
      </c>
      <c r="H253" s="18">
        <f t="shared" si="34"/>
        <v>189.84</v>
      </c>
      <c r="I253" s="4">
        <f t="shared" si="35"/>
        <v>620.4</v>
      </c>
    </row>
    <row r="254" spans="1:9" ht="13.2" x14ac:dyDescent="0.25">
      <c r="A254" s="5" t="s">
        <v>219</v>
      </c>
      <c r="B254" s="5" t="s">
        <v>62</v>
      </c>
      <c r="C254">
        <v>4220</v>
      </c>
      <c r="D254" s="18">
        <f t="shared" si="33"/>
        <v>4417.8100000000004</v>
      </c>
      <c r="E254" s="18">
        <f t="shared" si="27"/>
        <v>4922.78</v>
      </c>
      <c r="F254" s="18">
        <f t="shared" si="28"/>
        <v>3912.84</v>
      </c>
      <c r="G254" s="14">
        <f t="shared" si="31"/>
        <v>440</v>
      </c>
      <c r="H254" s="18">
        <f t="shared" si="34"/>
        <v>189.84</v>
      </c>
      <c r="I254" s="4">
        <f t="shared" si="35"/>
        <v>620.4</v>
      </c>
    </row>
    <row r="255" spans="1:9" ht="13.2" x14ac:dyDescent="0.25">
      <c r="A255" s="5" t="s">
        <v>219</v>
      </c>
      <c r="B255" s="5" t="s">
        <v>63</v>
      </c>
      <c r="C255">
        <v>4310</v>
      </c>
      <c r="D255" s="18">
        <f t="shared" si="33"/>
        <v>4417.8100000000004</v>
      </c>
      <c r="E255" s="18">
        <f t="shared" si="27"/>
        <v>4922.78</v>
      </c>
      <c r="F255" s="18">
        <f t="shared" si="28"/>
        <v>3912.84</v>
      </c>
      <c r="G255" s="14">
        <f t="shared" si="31"/>
        <v>90</v>
      </c>
      <c r="H255" s="18">
        <f t="shared" si="34"/>
        <v>189.84</v>
      </c>
      <c r="I255" s="4">
        <f t="shared" si="35"/>
        <v>620.4</v>
      </c>
    </row>
    <row r="256" spans="1:9" ht="13.2" x14ac:dyDescent="0.25">
      <c r="A256" s="5" t="s">
        <v>219</v>
      </c>
      <c r="B256" s="5" t="s">
        <v>64</v>
      </c>
      <c r="C256">
        <v>4250</v>
      </c>
      <c r="D256" s="18">
        <f t="shared" si="33"/>
        <v>4417.8100000000004</v>
      </c>
      <c r="E256" s="18">
        <f t="shared" si="27"/>
        <v>4922.78</v>
      </c>
      <c r="F256" s="18">
        <f t="shared" si="28"/>
        <v>3912.84</v>
      </c>
      <c r="G256" s="14">
        <f t="shared" si="31"/>
        <v>60</v>
      </c>
      <c r="H256" s="18">
        <f t="shared" si="34"/>
        <v>189.84</v>
      </c>
      <c r="I256" s="4">
        <f t="shared" si="35"/>
        <v>620.4</v>
      </c>
    </row>
    <row r="257" spans="1:9" ht="13.2" x14ac:dyDescent="0.25">
      <c r="A257" s="5" t="s">
        <v>219</v>
      </c>
      <c r="B257" s="5" t="s">
        <v>65</v>
      </c>
      <c r="C257">
        <v>4315</v>
      </c>
      <c r="D257" s="18">
        <f t="shared" si="33"/>
        <v>4417.8100000000004</v>
      </c>
      <c r="E257" s="18">
        <f t="shared" si="27"/>
        <v>4922.78</v>
      </c>
      <c r="F257" s="18">
        <f t="shared" si="28"/>
        <v>3912.84</v>
      </c>
      <c r="G257" s="14">
        <f t="shared" si="31"/>
        <v>65</v>
      </c>
      <c r="H257" s="18">
        <f t="shared" si="34"/>
        <v>189.84</v>
      </c>
      <c r="I257" s="4">
        <f t="shared" si="35"/>
        <v>620.4</v>
      </c>
    </row>
    <row r="258" spans="1:9" ht="13.2" x14ac:dyDescent="0.25">
      <c r="A258" s="5" t="s">
        <v>219</v>
      </c>
      <c r="B258" s="5" t="s">
        <v>66</v>
      </c>
      <c r="C258">
        <v>4380</v>
      </c>
      <c r="D258" s="18">
        <f t="shared" si="33"/>
        <v>4417.8100000000004</v>
      </c>
      <c r="E258" s="18">
        <f t="shared" si="27"/>
        <v>4922.78</v>
      </c>
      <c r="F258" s="18">
        <f t="shared" si="28"/>
        <v>3912.84</v>
      </c>
      <c r="G258" s="14">
        <f t="shared" si="31"/>
        <v>65</v>
      </c>
      <c r="H258" s="18">
        <f t="shared" si="34"/>
        <v>189.84</v>
      </c>
      <c r="I258" s="4">
        <f t="shared" si="35"/>
        <v>620.4</v>
      </c>
    </row>
    <row r="259" spans="1:9" ht="13.2" x14ac:dyDescent="0.25">
      <c r="A259" s="5" t="s">
        <v>219</v>
      </c>
      <c r="B259" s="5" t="s">
        <v>67</v>
      </c>
      <c r="C259">
        <v>4490</v>
      </c>
      <c r="D259" s="18">
        <f t="shared" si="33"/>
        <v>4417.8100000000004</v>
      </c>
      <c r="E259" s="18">
        <f t="shared" si="27"/>
        <v>4922.78</v>
      </c>
      <c r="F259" s="18">
        <f t="shared" si="28"/>
        <v>3912.84</v>
      </c>
      <c r="G259" s="14">
        <f t="shared" si="31"/>
        <v>110</v>
      </c>
      <c r="H259" s="18">
        <f t="shared" si="34"/>
        <v>189.84</v>
      </c>
      <c r="I259" s="4">
        <f t="shared" si="35"/>
        <v>620.4</v>
      </c>
    </row>
    <row r="260" spans="1:9" ht="13.2" x14ac:dyDescent="0.25">
      <c r="A260" s="5" t="s">
        <v>219</v>
      </c>
      <c r="B260" s="5" t="s">
        <v>68</v>
      </c>
      <c r="C260">
        <v>4240</v>
      </c>
      <c r="D260" s="18">
        <f t="shared" si="33"/>
        <v>4417.8100000000004</v>
      </c>
      <c r="E260" s="18">
        <f t="shared" si="27"/>
        <v>4922.78</v>
      </c>
      <c r="F260" s="18">
        <f t="shared" si="28"/>
        <v>3912.84</v>
      </c>
      <c r="G260" s="14">
        <f t="shared" si="31"/>
        <v>250</v>
      </c>
      <c r="H260" s="18">
        <f t="shared" si="34"/>
        <v>189.84</v>
      </c>
      <c r="I260" s="4">
        <f t="shared" si="35"/>
        <v>620.4</v>
      </c>
    </row>
    <row r="261" spans="1:9" ht="13.2" x14ac:dyDescent="0.25">
      <c r="A261" s="5" t="s">
        <v>219</v>
      </c>
      <c r="B261" s="5" t="s">
        <v>69</v>
      </c>
      <c r="C261">
        <v>4350</v>
      </c>
      <c r="D261" s="18">
        <f t="shared" si="33"/>
        <v>4417.8100000000004</v>
      </c>
      <c r="E261" s="18">
        <f t="shared" si="27"/>
        <v>4922.78</v>
      </c>
      <c r="F261" s="18">
        <f t="shared" si="28"/>
        <v>3912.84</v>
      </c>
      <c r="G261" s="14">
        <f t="shared" si="31"/>
        <v>110</v>
      </c>
      <c r="H261" s="18">
        <f t="shared" si="34"/>
        <v>189.84</v>
      </c>
      <c r="I261" s="4">
        <f t="shared" si="35"/>
        <v>620.4</v>
      </c>
    </row>
    <row r="262" spans="1:9" ht="13.2" x14ac:dyDescent="0.25">
      <c r="A262" s="5" t="s">
        <v>219</v>
      </c>
      <c r="B262" s="5" t="s">
        <v>70</v>
      </c>
      <c r="C262">
        <v>4320</v>
      </c>
      <c r="D262" s="18">
        <f t="shared" si="33"/>
        <v>4417.8100000000004</v>
      </c>
      <c r="E262" s="18">
        <f t="shared" si="27"/>
        <v>4922.78</v>
      </c>
      <c r="F262" s="18">
        <f t="shared" si="28"/>
        <v>3912.84</v>
      </c>
      <c r="G262" s="14">
        <f t="shared" si="31"/>
        <v>30</v>
      </c>
      <c r="H262" s="18">
        <f t="shared" si="34"/>
        <v>189.84</v>
      </c>
      <c r="I262" s="4">
        <f t="shared" si="35"/>
        <v>620.4</v>
      </c>
    </row>
    <row r="263" spans="1:9" ht="13.2" x14ac:dyDescent="0.25">
      <c r="A263" s="5" t="s">
        <v>219</v>
      </c>
      <c r="B263" s="5" t="s">
        <v>71</v>
      </c>
      <c r="C263">
        <v>4475</v>
      </c>
      <c r="D263" s="18">
        <f t="shared" si="33"/>
        <v>4417.8100000000004</v>
      </c>
      <c r="E263" s="18">
        <f t="shared" si="27"/>
        <v>4922.78</v>
      </c>
      <c r="F263" s="18">
        <f t="shared" si="28"/>
        <v>3912.84</v>
      </c>
      <c r="G263" s="14">
        <f t="shared" si="31"/>
        <v>155</v>
      </c>
      <c r="H263" s="18">
        <f t="shared" si="34"/>
        <v>189.84</v>
      </c>
      <c r="I263" s="4">
        <f t="shared" si="35"/>
        <v>620.4</v>
      </c>
    </row>
    <row r="264" spans="1:9" ht="13.2" x14ac:dyDescent="0.25">
      <c r="A264" s="5" t="s">
        <v>219</v>
      </c>
      <c r="B264" s="5" t="s">
        <v>72</v>
      </c>
      <c r="C264">
        <v>4725</v>
      </c>
      <c r="D264" s="18">
        <f t="shared" si="33"/>
        <v>4417.8100000000004</v>
      </c>
      <c r="E264" s="18">
        <f t="shared" si="27"/>
        <v>4922.78</v>
      </c>
      <c r="F264" s="18">
        <f t="shared" si="28"/>
        <v>3912.84</v>
      </c>
      <c r="G264" s="14">
        <f t="shared" si="31"/>
        <v>250</v>
      </c>
      <c r="H264" s="18">
        <f t="shared" si="34"/>
        <v>189.84</v>
      </c>
      <c r="I264" s="4">
        <f t="shared" si="35"/>
        <v>620.4</v>
      </c>
    </row>
    <row r="265" spans="1:9" ht="13.2" x14ac:dyDescent="0.25">
      <c r="A265" s="5" t="s">
        <v>219</v>
      </c>
      <c r="B265" s="5" t="s">
        <v>73</v>
      </c>
      <c r="C265">
        <v>4540</v>
      </c>
      <c r="D265" s="18">
        <f t="shared" si="33"/>
        <v>4417.8100000000004</v>
      </c>
      <c r="E265" s="18">
        <f t="shared" si="27"/>
        <v>4922.78</v>
      </c>
      <c r="F265" s="18">
        <f t="shared" si="28"/>
        <v>3912.84</v>
      </c>
      <c r="G265" s="14">
        <f t="shared" si="31"/>
        <v>185</v>
      </c>
      <c r="H265" s="18">
        <f t="shared" si="34"/>
        <v>189.84</v>
      </c>
      <c r="I265" s="4">
        <f t="shared" si="35"/>
        <v>620.4</v>
      </c>
    </row>
    <row r="266" spans="1:9" ht="13.2" x14ac:dyDescent="0.25">
      <c r="A266" s="5" t="s">
        <v>219</v>
      </c>
      <c r="B266" s="5" t="s">
        <v>74</v>
      </c>
      <c r="C266">
        <v>4565</v>
      </c>
      <c r="D266" s="18">
        <f t="shared" si="33"/>
        <v>4417.8100000000004</v>
      </c>
      <c r="E266" s="18">
        <f t="shared" si="27"/>
        <v>4922.78</v>
      </c>
      <c r="F266" s="18">
        <f t="shared" si="28"/>
        <v>3912.84</v>
      </c>
      <c r="G266" s="14">
        <f t="shared" si="31"/>
        <v>25</v>
      </c>
      <c r="H266" s="18">
        <f t="shared" si="34"/>
        <v>189.84</v>
      </c>
      <c r="I266" s="4">
        <f t="shared" si="35"/>
        <v>620.4</v>
      </c>
    </row>
    <row r="267" spans="1:9" ht="13.2" x14ac:dyDescent="0.25">
      <c r="A267" s="5" t="s">
        <v>219</v>
      </c>
      <c r="B267" s="5" t="s">
        <v>75</v>
      </c>
      <c r="C267">
        <v>4210</v>
      </c>
      <c r="D267" s="18">
        <f t="shared" si="33"/>
        <v>4417.8100000000004</v>
      </c>
      <c r="E267" s="18">
        <f t="shared" si="27"/>
        <v>4922.78</v>
      </c>
      <c r="F267" s="18">
        <f t="shared" si="28"/>
        <v>3912.84</v>
      </c>
      <c r="G267" s="14">
        <f t="shared" si="31"/>
        <v>355</v>
      </c>
      <c r="H267" s="18">
        <f t="shared" si="34"/>
        <v>189.84</v>
      </c>
      <c r="I267" s="4">
        <f t="shared" si="35"/>
        <v>620.4</v>
      </c>
    </row>
    <row r="268" spans="1:9" ht="13.2" x14ac:dyDescent="0.25">
      <c r="A268" s="5" t="s">
        <v>219</v>
      </c>
      <c r="B268" s="5" t="s">
        <v>76</v>
      </c>
      <c r="C268">
        <v>4540</v>
      </c>
      <c r="D268" s="18">
        <f t="shared" si="33"/>
        <v>4417.8100000000004</v>
      </c>
      <c r="E268" s="18">
        <f t="shared" si="27"/>
        <v>4922.78</v>
      </c>
      <c r="F268" s="18">
        <f t="shared" si="28"/>
        <v>3912.84</v>
      </c>
      <c r="G268" s="14">
        <f t="shared" si="31"/>
        <v>330</v>
      </c>
      <c r="H268" s="18">
        <f t="shared" si="34"/>
        <v>189.84</v>
      </c>
      <c r="I268" s="4">
        <f t="shared" si="35"/>
        <v>620.4</v>
      </c>
    </row>
    <row r="269" spans="1:9" ht="13.2" x14ac:dyDescent="0.25">
      <c r="A269" s="5" t="s">
        <v>219</v>
      </c>
      <c r="B269" s="5" t="s">
        <v>77</v>
      </c>
      <c r="C269">
        <v>4600</v>
      </c>
      <c r="D269" s="18">
        <f t="shared" si="33"/>
        <v>4417.8100000000004</v>
      </c>
      <c r="E269" s="18">
        <f t="shared" si="27"/>
        <v>4922.78</v>
      </c>
      <c r="F269" s="18">
        <f t="shared" si="28"/>
        <v>3912.84</v>
      </c>
      <c r="G269" s="14">
        <f t="shared" si="31"/>
        <v>60</v>
      </c>
      <c r="H269" s="18">
        <f t="shared" si="34"/>
        <v>189.84</v>
      </c>
      <c r="I269" s="4">
        <f t="shared" si="35"/>
        <v>620.4</v>
      </c>
    </row>
    <row r="270" spans="1:9" ht="13.2" x14ac:dyDescent="0.25">
      <c r="A270" s="5" t="s">
        <v>219</v>
      </c>
      <c r="B270" s="5" t="s">
        <v>78</v>
      </c>
      <c r="C270">
        <v>4850</v>
      </c>
      <c r="D270" s="18">
        <f t="shared" si="33"/>
        <v>4417.8100000000004</v>
      </c>
      <c r="E270" s="18">
        <f t="shared" si="27"/>
        <v>4922.78</v>
      </c>
      <c r="F270" s="18">
        <f t="shared" si="28"/>
        <v>3912.84</v>
      </c>
      <c r="G270" s="14">
        <f t="shared" si="31"/>
        <v>250</v>
      </c>
      <c r="H270" s="18">
        <f t="shared" si="34"/>
        <v>189.84</v>
      </c>
      <c r="I270" s="4">
        <f t="shared" si="35"/>
        <v>620.4</v>
      </c>
    </row>
    <row r="271" spans="1:9" ht="13.2" x14ac:dyDescent="0.25">
      <c r="A271" s="5"/>
      <c r="B271" s="5"/>
      <c r="C271" s="5"/>
      <c r="D271" s="5"/>
      <c r="E271" s="5"/>
      <c r="F271" s="5"/>
      <c r="G271" s="5"/>
    </row>
    <row r="272" spans="1:9" ht="13.2" x14ac:dyDescent="0.25">
      <c r="A272" s="5"/>
      <c r="B272" s="5"/>
      <c r="C272" s="5"/>
      <c r="D272" s="5"/>
      <c r="E272" s="5"/>
      <c r="F272" s="5"/>
      <c r="G272" s="5"/>
    </row>
    <row r="273" spans="1:7" ht="13.2" x14ac:dyDescent="0.25">
      <c r="A273" s="5"/>
      <c r="B273" s="5"/>
      <c r="C273" s="5"/>
      <c r="D273" s="5"/>
      <c r="E273" s="5"/>
      <c r="F273" s="5"/>
      <c r="G273" s="5"/>
    </row>
    <row r="274" spans="1:7" ht="13.2" x14ac:dyDescent="0.25">
      <c r="A274" s="5"/>
      <c r="B274" s="5"/>
      <c r="C274" s="5"/>
      <c r="D274" s="5"/>
      <c r="E274" s="5"/>
      <c r="F274" s="5"/>
      <c r="G274" s="5"/>
    </row>
    <row r="275" spans="1:7" ht="13.2" x14ac:dyDescent="0.25">
      <c r="A275" s="5"/>
      <c r="B275" s="5"/>
      <c r="C275" s="5"/>
      <c r="D275" s="5"/>
      <c r="E275" s="5"/>
      <c r="F275" s="5"/>
      <c r="G275" s="5"/>
    </row>
    <row r="276" spans="1:7" ht="13.2" x14ac:dyDescent="0.25">
      <c r="A276" s="5"/>
      <c r="B276" s="5"/>
      <c r="C276" s="5"/>
      <c r="D276" s="5"/>
      <c r="E276" s="5"/>
      <c r="F276" s="5"/>
      <c r="G276" s="5"/>
    </row>
    <row r="277" spans="1:7" ht="13.2" x14ac:dyDescent="0.25">
      <c r="A277" s="5"/>
      <c r="B277" s="5"/>
      <c r="C277" s="5"/>
      <c r="D277" s="5"/>
      <c r="E277" s="5"/>
      <c r="F277" s="5"/>
      <c r="G277" s="5"/>
    </row>
    <row r="278" spans="1:7" ht="13.2" x14ac:dyDescent="0.25">
      <c r="A278" s="5"/>
      <c r="B278" s="5"/>
      <c r="C278" s="5"/>
      <c r="D278" s="5"/>
      <c r="E278" s="5"/>
      <c r="F278" s="5"/>
      <c r="G278" s="5"/>
    </row>
    <row r="279" spans="1:7" ht="13.2" x14ac:dyDescent="0.25">
      <c r="A279" s="5"/>
      <c r="B279" s="5"/>
      <c r="C279" s="5"/>
      <c r="D279" s="5"/>
      <c r="E279" s="5"/>
      <c r="F279" s="5"/>
      <c r="G279" s="5"/>
    </row>
    <row r="280" spans="1:7" ht="13.2" x14ac:dyDescent="0.25">
      <c r="A280" s="5"/>
      <c r="B280" s="5"/>
      <c r="C280" s="5"/>
      <c r="D280" s="5"/>
      <c r="E280" s="5"/>
      <c r="F280" s="5"/>
      <c r="G280" s="5"/>
    </row>
    <row r="281" spans="1:7" ht="13.2" x14ac:dyDescent="0.25">
      <c r="A281" s="5"/>
      <c r="B281" s="5"/>
      <c r="C281" s="5"/>
      <c r="D281" s="5"/>
      <c r="E281" s="5"/>
      <c r="F281" s="5"/>
      <c r="G281" s="5"/>
    </row>
    <row r="282" spans="1:7" ht="13.2" x14ac:dyDescent="0.25">
      <c r="A282" s="5"/>
      <c r="B282" s="5"/>
      <c r="C282" s="5"/>
      <c r="D282" s="5"/>
      <c r="E282" s="5"/>
      <c r="F282" s="5"/>
      <c r="G282" s="5"/>
    </row>
    <row r="283" spans="1:7" ht="13.2" x14ac:dyDescent="0.25">
      <c r="A283" s="5"/>
      <c r="B283" s="5"/>
      <c r="C283" s="5"/>
      <c r="D283" s="5"/>
      <c r="E283" s="5"/>
      <c r="F283" s="5"/>
      <c r="G283" s="5"/>
    </row>
    <row r="284" spans="1:7" ht="13.2" x14ac:dyDescent="0.25">
      <c r="A284" s="5"/>
      <c r="B284" s="5"/>
      <c r="C284" s="5"/>
      <c r="D284" s="5"/>
      <c r="E284" s="5"/>
      <c r="F284" s="5"/>
      <c r="G284" s="5"/>
    </row>
    <row r="285" spans="1:7" ht="13.2" x14ac:dyDescent="0.25">
      <c r="A285" s="5"/>
      <c r="B285" s="5"/>
      <c r="C285" s="5"/>
      <c r="D285" s="5"/>
      <c r="E285" s="5"/>
      <c r="F285" s="5"/>
      <c r="G285" s="5"/>
    </row>
    <row r="286" spans="1:7" ht="13.2" x14ac:dyDescent="0.25">
      <c r="A286" s="5"/>
      <c r="B286" s="5"/>
      <c r="C286" s="5"/>
      <c r="D286" s="5"/>
      <c r="E286" s="5"/>
      <c r="F286" s="5"/>
      <c r="G286" s="5"/>
    </row>
    <row r="287" spans="1:7" ht="13.2" x14ac:dyDescent="0.25">
      <c r="A287" s="5"/>
      <c r="B287" s="5"/>
      <c r="C287" s="5"/>
      <c r="D287" s="5"/>
      <c r="E287" s="5"/>
      <c r="F287" s="5"/>
      <c r="G287" s="5"/>
    </row>
    <row r="288" spans="1:7" ht="13.2" x14ac:dyDescent="0.25">
      <c r="A288" s="5"/>
      <c r="B288" s="5"/>
      <c r="C288" s="5"/>
      <c r="D288" s="5"/>
      <c r="E288" s="5"/>
      <c r="F288" s="5"/>
      <c r="G288" s="5"/>
    </row>
    <row r="289" spans="1:7" ht="13.2" x14ac:dyDescent="0.25">
      <c r="A289" s="5"/>
      <c r="B289" s="5"/>
      <c r="C289" s="5"/>
      <c r="D289" s="5"/>
      <c r="E289" s="5"/>
      <c r="F289" s="5"/>
      <c r="G289" s="5"/>
    </row>
    <row r="290" spans="1:7" ht="13.2" x14ac:dyDescent="0.25">
      <c r="A290" s="5"/>
      <c r="B290" s="5"/>
      <c r="C290" s="5"/>
      <c r="D290" s="5"/>
      <c r="E290" s="5"/>
      <c r="F290" s="5"/>
      <c r="G290" s="5"/>
    </row>
    <row r="291" spans="1:7" ht="13.2" x14ac:dyDescent="0.25">
      <c r="A291" s="5"/>
      <c r="B291" s="5"/>
      <c r="C291" s="5"/>
      <c r="D291" s="5"/>
      <c r="E291" s="5"/>
      <c r="F291" s="5"/>
      <c r="G291" s="5"/>
    </row>
    <row r="292" spans="1:7" ht="13.2" x14ac:dyDescent="0.25">
      <c r="A292" s="5"/>
      <c r="B292" s="5"/>
      <c r="C292" s="5"/>
      <c r="D292" s="5"/>
      <c r="E292" s="5"/>
      <c r="F292" s="5"/>
      <c r="G292" s="5"/>
    </row>
    <row r="293" spans="1:7" ht="13.2" x14ac:dyDescent="0.25">
      <c r="A293" s="5"/>
      <c r="B293" s="5"/>
      <c r="C293" s="5"/>
      <c r="D293" s="5"/>
      <c r="E293" s="5"/>
      <c r="F293" s="5"/>
      <c r="G293" s="5"/>
    </row>
    <row r="294" spans="1:7" ht="13.2" x14ac:dyDescent="0.25">
      <c r="A294" s="5"/>
      <c r="B294" s="5"/>
      <c r="C294" s="5"/>
      <c r="D294" s="5"/>
      <c r="E294" s="5"/>
      <c r="F294" s="5"/>
      <c r="G294" s="5"/>
    </row>
    <row r="295" spans="1:7" ht="13.2" x14ac:dyDescent="0.25">
      <c r="A295" s="5"/>
      <c r="B295" s="5"/>
      <c r="C295" s="5"/>
      <c r="D295" s="5"/>
      <c r="E295" s="5"/>
      <c r="F295" s="5"/>
      <c r="G295" s="5"/>
    </row>
    <row r="296" spans="1:7" ht="13.2" x14ac:dyDescent="0.25">
      <c r="A296" s="5"/>
      <c r="B296" s="5"/>
      <c r="C296" s="5"/>
      <c r="D296" s="5"/>
      <c r="E296" s="5"/>
      <c r="F296" s="5"/>
      <c r="G296" s="5"/>
    </row>
    <row r="297" spans="1:7" ht="13.2" x14ac:dyDescent="0.25">
      <c r="A297" s="5"/>
      <c r="B297" s="5"/>
      <c r="C297" s="5"/>
      <c r="D297" s="5"/>
      <c r="E297" s="5"/>
      <c r="F297" s="5"/>
      <c r="G297" s="5"/>
    </row>
    <row r="298" spans="1:7" ht="13.2" x14ac:dyDescent="0.25">
      <c r="A298" s="5"/>
      <c r="B298" s="5"/>
      <c r="C298" s="5"/>
      <c r="D298" s="5"/>
      <c r="E298" s="5"/>
      <c r="F298" s="5"/>
      <c r="G298" s="5"/>
    </row>
    <row r="299" spans="1:7" ht="13.2" x14ac:dyDescent="0.25">
      <c r="A299" s="5"/>
      <c r="B299" s="5"/>
      <c r="C299" s="5"/>
      <c r="D299" s="5"/>
      <c r="E299" s="5"/>
      <c r="F299" s="5"/>
      <c r="G299" s="5"/>
    </row>
    <row r="300" spans="1:7" ht="13.2" x14ac:dyDescent="0.25">
      <c r="A300" s="5"/>
      <c r="B300" s="5"/>
      <c r="C300" s="5"/>
      <c r="D300" s="5"/>
      <c r="E300" s="5"/>
      <c r="F300" s="5"/>
      <c r="G300" s="5"/>
    </row>
    <row r="301" spans="1:7" ht="13.2" x14ac:dyDescent="0.25">
      <c r="A301" s="5"/>
      <c r="B301" s="5"/>
      <c r="C301" s="5"/>
      <c r="D301" s="5"/>
      <c r="E301" s="5"/>
      <c r="F301" s="5"/>
      <c r="G301" s="5"/>
    </row>
    <row r="302" spans="1:7" ht="13.2" x14ac:dyDescent="0.25">
      <c r="A302" s="5"/>
      <c r="B302" s="5"/>
      <c r="C302" s="5"/>
      <c r="D302" s="5"/>
      <c r="E302" s="5"/>
      <c r="F302" s="5"/>
      <c r="G302" s="5"/>
    </row>
    <row r="303" spans="1:7" ht="13.2" x14ac:dyDescent="0.25">
      <c r="A303" s="5"/>
      <c r="B303" s="5"/>
      <c r="C303" s="5"/>
      <c r="D303" s="5"/>
      <c r="E303" s="5"/>
      <c r="F303" s="5"/>
      <c r="G303" s="5"/>
    </row>
    <row r="304" spans="1:7" ht="13.2" x14ac:dyDescent="0.25">
      <c r="A304" s="5"/>
      <c r="B304" s="5"/>
      <c r="C304" s="5"/>
      <c r="D304" s="5"/>
      <c r="E304" s="5"/>
      <c r="F304" s="5"/>
      <c r="G304" s="5"/>
    </row>
    <row r="305" spans="1:7" ht="13.2" x14ac:dyDescent="0.25">
      <c r="A305" s="5"/>
      <c r="B305" s="5"/>
      <c r="C305" s="5"/>
      <c r="D305" s="5"/>
      <c r="E305" s="5"/>
      <c r="F305" s="5"/>
      <c r="G305" s="5"/>
    </row>
    <row r="306" spans="1:7" ht="13.2" x14ac:dyDescent="0.25">
      <c r="A306" s="5"/>
      <c r="B306" s="5"/>
      <c r="C306" s="5"/>
      <c r="D306" s="5"/>
      <c r="E306" s="5"/>
      <c r="F306" s="5"/>
      <c r="G306" s="5"/>
    </row>
    <row r="307" spans="1:7" ht="13.2" x14ac:dyDescent="0.25">
      <c r="A307" s="5"/>
      <c r="B307" s="5"/>
      <c r="C307" s="5"/>
      <c r="D307" s="5"/>
      <c r="E307" s="5"/>
      <c r="F307" s="5"/>
      <c r="G307" s="5"/>
    </row>
    <row r="308" spans="1:7" ht="13.2" x14ac:dyDescent="0.25">
      <c r="A308" s="5"/>
      <c r="B308" s="5"/>
      <c r="C308" s="5"/>
      <c r="D308" s="5"/>
      <c r="E308" s="5"/>
      <c r="F308" s="5"/>
      <c r="G308" s="5"/>
    </row>
    <row r="309" spans="1:7" ht="13.2" x14ac:dyDescent="0.25">
      <c r="A309" s="5"/>
      <c r="B309" s="5"/>
      <c r="C309" s="5"/>
      <c r="D309" s="5"/>
      <c r="E309" s="5"/>
      <c r="F309" s="5"/>
      <c r="G309" s="5"/>
    </row>
    <row r="310" spans="1:7" ht="13.2" x14ac:dyDescent="0.25">
      <c r="A310" s="5"/>
      <c r="B310" s="5"/>
      <c r="C310" s="5"/>
      <c r="D310" s="5"/>
      <c r="E310" s="5"/>
      <c r="F310" s="5"/>
      <c r="G310" s="5"/>
    </row>
    <row r="311" spans="1:7" ht="13.2" x14ac:dyDescent="0.25">
      <c r="A311" s="5"/>
      <c r="B311" s="5"/>
      <c r="C311" s="5"/>
      <c r="D311" s="5"/>
      <c r="E311" s="5"/>
      <c r="F311" s="5"/>
      <c r="G311" s="5"/>
    </row>
    <row r="312" spans="1:7" ht="13.2" x14ac:dyDescent="0.25">
      <c r="A312" s="5"/>
      <c r="B312" s="5"/>
      <c r="C312" s="5"/>
      <c r="D312" s="5"/>
      <c r="E312" s="5"/>
      <c r="F312" s="5"/>
      <c r="G312" s="5"/>
    </row>
    <row r="313" spans="1:7" ht="13.2" x14ac:dyDescent="0.25">
      <c r="A313" s="5"/>
      <c r="B313" s="5"/>
      <c r="C313" s="5"/>
      <c r="D313" s="5"/>
      <c r="E313" s="5"/>
      <c r="F313" s="5"/>
      <c r="G313" s="5"/>
    </row>
    <row r="314" spans="1:7" ht="13.2" x14ac:dyDescent="0.25">
      <c r="A314" s="5"/>
      <c r="B314" s="5"/>
      <c r="C314" s="5"/>
      <c r="D314" s="5"/>
      <c r="E314" s="5"/>
      <c r="F314" s="5"/>
      <c r="G314" s="5"/>
    </row>
    <row r="315" spans="1:7" ht="13.2" x14ac:dyDescent="0.25">
      <c r="A315" s="5"/>
      <c r="B315" s="5"/>
      <c r="C315" s="5"/>
      <c r="D315" s="5"/>
      <c r="E315" s="5"/>
      <c r="F315" s="5"/>
      <c r="G315" s="5"/>
    </row>
    <row r="316" spans="1:7" ht="13.2" x14ac:dyDescent="0.25">
      <c r="A316" s="5"/>
      <c r="B316" s="5"/>
      <c r="C316" s="5"/>
      <c r="D316" s="5"/>
      <c r="E316" s="5"/>
      <c r="F316" s="5"/>
      <c r="G316" s="5"/>
    </row>
    <row r="317" spans="1:7" ht="13.2" x14ac:dyDescent="0.25">
      <c r="A317" s="5"/>
      <c r="B317" s="5"/>
      <c r="C317" s="5"/>
      <c r="D317" s="5"/>
      <c r="E317" s="5"/>
      <c r="F317" s="5"/>
      <c r="G317" s="5"/>
    </row>
    <row r="318" spans="1:7" ht="13.2" x14ac:dyDescent="0.25">
      <c r="A318" s="5"/>
      <c r="B318" s="5"/>
      <c r="C318" s="5"/>
      <c r="D318" s="5"/>
      <c r="E318" s="5"/>
      <c r="F318" s="5"/>
      <c r="G318" s="5"/>
    </row>
    <row r="319" spans="1:7" ht="13.2" x14ac:dyDescent="0.25">
      <c r="A319" s="5"/>
      <c r="B319" s="5"/>
      <c r="C319" s="5"/>
      <c r="D319" s="5"/>
      <c r="E319" s="5"/>
      <c r="F319" s="5"/>
      <c r="G319" s="5"/>
    </row>
    <row r="320" spans="1:7" ht="13.2" x14ac:dyDescent="0.25">
      <c r="A320" s="5"/>
      <c r="B320" s="5"/>
      <c r="C320" s="5"/>
      <c r="D320" s="5"/>
      <c r="E320" s="5"/>
      <c r="F320" s="5"/>
      <c r="G320" s="5"/>
    </row>
    <row r="321" spans="1:7" ht="13.2" x14ac:dyDescent="0.25">
      <c r="A321" s="5"/>
      <c r="B321" s="5"/>
      <c r="C321" s="5"/>
      <c r="D321" s="5"/>
      <c r="E321" s="5"/>
      <c r="F321" s="5"/>
      <c r="G321" s="5"/>
    </row>
    <row r="322" spans="1:7" ht="13.2" x14ac:dyDescent="0.25">
      <c r="A322" s="5"/>
      <c r="B322" s="5"/>
      <c r="C322" s="5"/>
      <c r="D322" s="5"/>
      <c r="E322" s="5"/>
      <c r="F322" s="5"/>
      <c r="G322" s="5"/>
    </row>
    <row r="323" spans="1:7" ht="13.2" x14ac:dyDescent="0.25">
      <c r="A323" s="5"/>
      <c r="B323" s="5"/>
      <c r="C323" s="5"/>
      <c r="D323" s="5"/>
      <c r="E323" s="5"/>
      <c r="F323" s="5"/>
      <c r="G323" s="5"/>
    </row>
    <row r="324" spans="1:7" ht="13.2" x14ac:dyDescent="0.25">
      <c r="A324" s="5"/>
      <c r="B324" s="5"/>
      <c r="C324" s="5"/>
      <c r="D324" s="5"/>
      <c r="E324" s="5"/>
      <c r="F324" s="5"/>
      <c r="G324" s="5"/>
    </row>
    <row r="325" spans="1:7" ht="13.2" x14ac:dyDescent="0.25">
      <c r="A325" s="5"/>
      <c r="B325" s="5"/>
      <c r="C325" s="5"/>
      <c r="D325" s="5"/>
      <c r="E325" s="5"/>
      <c r="F325" s="5"/>
      <c r="G325" s="5"/>
    </row>
    <row r="326" spans="1:7" ht="13.2" x14ac:dyDescent="0.25">
      <c r="A326" s="5"/>
      <c r="B326" s="5"/>
      <c r="C326" s="5"/>
      <c r="D326" s="5"/>
      <c r="E326" s="5"/>
      <c r="F326" s="5"/>
      <c r="G326" s="5"/>
    </row>
    <row r="327" spans="1:7" ht="13.2" x14ac:dyDescent="0.25">
      <c r="A327" s="5"/>
      <c r="B327" s="5"/>
      <c r="C327" s="5"/>
      <c r="D327" s="5"/>
      <c r="E327" s="5"/>
      <c r="F327" s="5"/>
      <c r="G327" s="5"/>
    </row>
    <row r="328" spans="1:7" ht="13.2" x14ac:dyDescent="0.25">
      <c r="A328" s="5"/>
      <c r="B328" s="5"/>
      <c r="C328" s="5"/>
      <c r="D328" s="5"/>
      <c r="E328" s="5"/>
      <c r="F328" s="5"/>
      <c r="G328" s="5"/>
    </row>
    <row r="329" spans="1:7" ht="13.2" x14ac:dyDescent="0.25">
      <c r="A329" s="5"/>
      <c r="B329" s="5"/>
      <c r="C329" s="5"/>
      <c r="D329" s="5"/>
      <c r="E329" s="5"/>
      <c r="F329" s="5"/>
      <c r="G329" s="5"/>
    </row>
    <row r="330" spans="1:7" ht="13.2" x14ac:dyDescent="0.25">
      <c r="A330" s="5"/>
      <c r="B330" s="5"/>
      <c r="C330" s="5"/>
      <c r="D330" s="5"/>
      <c r="E330" s="5"/>
      <c r="F330" s="5"/>
      <c r="G330" s="5"/>
    </row>
    <row r="331" spans="1:7" ht="13.2" x14ac:dyDescent="0.25">
      <c r="A331" s="5"/>
      <c r="B331" s="5"/>
      <c r="C331" s="5"/>
      <c r="D331" s="5"/>
      <c r="E331" s="5"/>
      <c r="F331" s="5"/>
      <c r="G331" s="5"/>
    </row>
    <row r="332" spans="1:7" ht="13.2" x14ac:dyDescent="0.25">
      <c r="A332" s="5"/>
      <c r="B332" s="5"/>
      <c r="C332" s="5"/>
      <c r="D332" s="5"/>
      <c r="E332" s="5"/>
      <c r="F332" s="5"/>
      <c r="G332" s="5"/>
    </row>
    <row r="333" spans="1:7" ht="13.2" x14ac:dyDescent="0.25">
      <c r="A333" s="5"/>
      <c r="B333" s="5"/>
      <c r="C333" s="5"/>
      <c r="D333" s="5"/>
      <c r="E333" s="5"/>
      <c r="F333" s="5"/>
      <c r="G333" s="5"/>
    </row>
    <row r="334" spans="1:7" ht="13.2" x14ac:dyDescent="0.25">
      <c r="A334" s="5"/>
      <c r="B334" s="5"/>
      <c r="C334" s="5"/>
      <c r="D334" s="5"/>
      <c r="E334" s="5"/>
      <c r="F334" s="5"/>
      <c r="G334" s="5"/>
    </row>
    <row r="335" spans="1:7" ht="13.2" x14ac:dyDescent="0.25">
      <c r="A335" s="5"/>
      <c r="B335" s="5"/>
      <c r="C335" s="5"/>
      <c r="D335" s="5"/>
      <c r="E335" s="5"/>
      <c r="F335" s="5"/>
      <c r="G335" s="5"/>
    </row>
    <row r="336" spans="1:7" ht="13.2" x14ac:dyDescent="0.25">
      <c r="A336" s="5"/>
      <c r="B336" s="5"/>
      <c r="C336" s="5"/>
      <c r="D336" s="5"/>
      <c r="E336" s="5"/>
      <c r="F336" s="5"/>
      <c r="G336" s="5"/>
    </row>
    <row r="337" spans="1:7" ht="13.2" x14ac:dyDescent="0.25">
      <c r="A337" s="5"/>
      <c r="B337" s="5"/>
      <c r="C337" s="5"/>
      <c r="D337" s="5"/>
      <c r="E337" s="5"/>
      <c r="F337" s="5"/>
      <c r="G337" s="5"/>
    </row>
    <row r="338" spans="1:7" ht="13.2" x14ac:dyDescent="0.25">
      <c r="A338" s="5"/>
      <c r="B338" s="5"/>
      <c r="C338" s="5"/>
      <c r="D338" s="5"/>
      <c r="E338" s="5"/>
      <c r="F338" s="5"/>
      <c r="G338" s="5"/>
    </row>
    <row r="339" spans="1:7" ht="13.2" x14ac:dyDescent="0.25">
      <c r="A339" s="5"/>
      <c r="B339" s="5"/>
      <c r="C339" s="5"/>
      <c r="D339" s="5"/>
      <c r="E339" s="5"/>
      <c r="F339" s="5"/>
      <c r="G339" s="5"/>
    </row>
    <row r="340" spans="1:7" ht="13.2" x14ac:dyDescent="0.25">
      <c r="A340" s="5"/>
      <c r="B340" s="5"/>
      <c r="C340" s="5"/>
      <c r="D340" s="5"/>
      <c r="E340" s="5"/>
      <c r="F340" s="5"/>
      <c r="G340" s="5"/>
    </row>
    <row r="341" spans="1:7" ht="13.2" x14ac:dyDescent="0.25">
      <c r="A341" s="5"/>
      <c r="B341" s="5"/>
      <c r="C341" s="5"/>
      <c r="D341" s="5"/>
      <c r="E341" s="5"/>
      <c r="F341" s="5"/>
      <c r="G341" s="5"/>
    </row>
    <row r="342" spans="1:7" ht="13.2" x14ac:dyDescent="0.25">
      <c r="A342" s="5"/>
      <c r="B342" s="5"/>
      <c r="C342" s="5"/>
      <c r="D342" s="5"/>
      <c r="E342" s="5"/>
      <c r="F342" s="5"/>
      <c r="G342" s="5"/>
    </row>
    <row r="343" spans="1:7" ht="13.2" x14ac:dyDescent="0.25">
      <c r="A343" s="5"/>
      <c r="B343" s="5"/>
      <c r="C343" s="5"/>
      <c r="D343" s="5"/>
      <c r="E343" s="5"/>
      <c r="F343" s="5"/>
      <c r="G343" s="5"/>
    </row>
    <row r="344" spans="1:7" ht="13.2" x14ac:dyDescent="0.25">
      <c r="A344" s="5"/>
      <c r="B344" s="5"/>
      <c r="C344" s="5"/>
      <c r="D344" s="5"/>
      <c r="E344" s="5"/>
      <c r="F344" s="5"/>
      <c r="G344" s="5"/>
    </row>
    <row r="345" spans="1:7" ht="13.2" x14ac:dyDescent="0.25">
      <c r="A345" s="5"/>
      <c r="B345" s="5"/>
      <c r="C345" s="5"/>
      <c r="D345" s="5"/>
      <c r="E345" s="5"/>
      <c r="F345" s="5"/>
      <c r="G345" s="5"/>
    </row>
    <row r="346" spans="1:7" ht="13.2" x14ac:dyDescent="0.25">
      <c r="A346" s="5"/>
      <c r="B346" s="5"/>
      <c r="C346" s="5"/>
      <c r="D346" s="5"/>
      <c r="E346" s="5"/>
      <c r="F346" s="5"/>
      <c r="G346" s="5"/>
    </row>
    <row r="347" spans="1:7" ht="13.2" x14ac:dyDescent="0.25">
      <c r="A347" s="5"/>
      <c r="B347" s="5"/>
      <c r="C347" s="5"/>
      <c r="D347" s="5"/>
      <c r="E347" s="5"/>
      <c r="F347" s="5"/>
      <c r="G347" s="5"/>
    </row>
    <row r="348" spans="1:7" ht="13.2" x14ac:dyDescent="0.25">
      <c r="A348" s="5"/>
      <c r="B348" s="5"/>
      <c r="C348" s="5"/>
      <c r="D348" s="5"/>
      <c r="E348" s="5"/>
      <c r="F348" s="5"/>
      <c r="G348" s="5"/>
    </row>
    <row r="349" spans="1:7" ht="13.2" x14ac:dyDescent="0.25">
      <c r="A349" s="5"/>
      <c r="B349" s="5"/>
      <c r="C349" s="5"/>
      <c r="D349" s="5"/>
      <c r="E349" s="5"/>
      <c r="F349" s="5"/>
      <c r="G349" s="5"/>
    </row>
    <row r="350" spans="1:7" ht="13.2" x14ac:dyDescent="0.25">
      <c r="A350" s="5"/>
      <c r="B350" s="5"/>
      <c r="C350" s="5"/>
      <c r="D350" s="5"/>
      <c r="E350" s="5"/>
      <c r="F350" s="5"/>
      <c r="G350" s="5"/>
    </row>
    <row r="351" spans="1:7" ht="13.2" x14ac:dyDescent="0.25">
      <c r="A351" s="5"/>
      <c r="B351" s="5"/>
      <c r="C351" s="5"/>
      <c r="D351" s="5"/>
      <c r="E351" s="5"/>
      <c r="F351" s="5"/>
      <c r="G351" s="5"/>
    </row>
    <row r="352" spans="1:7" ht="13.2" x14ac:dyDescent="0.25">
      <c r="A352" s="5"/>
      <c r="B352" s="5"/>
      <c r="C352" s="5"/>
      <c r="D352" s="5"/>
      <c r="E352" s="5"/>
      <c r="F352" s="5"/>
      <c r="G352" s="5"/>
    </row>
    <row r="353" spans="1:7" ht="13.2" x14ac:dyDescent="0.25">
      <c r="A353" s="5"/>
      <c r="B353" s="5"/>
      <c r="C353" s="5"/>
      <c r="D353" s="5"/>
      <c r="E353" s="5"/>
      <c r="F353" s="5"/>
      <c r="G353" s="5"/>
    </row>
    <row r="354" spans="1:7" ht="13.2" x14ac:dyDescent="0.25">
      <c r="A354" s="5"/>
      <c r="B354" s="5"/>
      <c r="C354" s="5"/>
      <c r="D354" s="5"/>
      <c r="E354" s="5"/>
      <c r="F354" s="5"/>
      <c r="G354" s="5"/>
    </row>
    <row r="355" spans="1:7" ht="13.2" x14ac:dyDescent="0.25">
      <c r="A355" s="5"/>
      <c r="B355" s="5"/>
      <c r="C355" s="5"/>
      <c r="D355" s="5"/>
      <c r="E355" s="5"/>
      <c r="F355" s="5"/>
      <c r="G355" s="5"/>
    </row>
    <row r="356" spans="1:7" ht="13.2" x14ac:dyDescent="0.25">
      <c r="A356" s="5"/>
      <c r="B356" s="5"/>
      <c r="C356" s="5"/>
      <c r="D356" s="5"/>
      <c r="E356" s="5"/>
      <c r="F356" s="5"/>
      <c r="G356" s="5"/>
    </row>
    <row r="357" spans="1:7" ht="13.2" x14ac:dyDescent="0.25">
      <c r="A357" s="5"/>
      <c r="B357" s="5"/>
      <c r="C357" s="5"/>
      <c r="D357" s="5"/>
      <c r="E357" s="5"/>
      <c r="F357" s="5"/>
      <c r="G357" s="5"/>
    </row>
    <row r="358" spans="1:7" ht="13.2" x14ac:dyDescent="0.25">
      <c r="A358" s="5"/>
      <c r="B358" s="5"/>
      <c r="C358" s="5"/>
      <c r="D358" s="5"/>
      <c r="E358" s="5"/>
      <c r="F358" s="5"/>
      <c r="G358" s="5"/>
    </row>
    <row r="359" spans="1:7" ht="13.2" x14ac:dyDescent="0.25">
      <c r="A359" s="5"/>
      <c r="B359" s="5"/>
      <c r="C359" s="5"/>
      <c r="D359" s="5"/>
      <c r="E359" s="5"/>
      <c r="F359" s="5"/>
      <c r="G359" s="5"/>
    </row>
    <row r="360" spans="1:7" ht="13.2" x14ac:dyDescent="0.25">
      <c r="A360" s="5"/>
      <c r="B360" s="5"/>
      <c r="C360" s="5"/>
      <c r="D360" s="5"/>
      <c r="E360" s="5"/>
      <c r="F360" s="5"/>
      <c r="G360" s="5"/>
    </row>
    <row r="361" spans="1:7" ht="13.2" x14ac:dyDescent="0.25">
      <c r="A361" s="5"/>
      <c r="B361" s="5"/>
      <c r="C361" s="5"/>
      <c r="D361" s="5"/>
      <c r="E361" s="5"/>
      <c r="F361" s="5"/>
      <c r="G361" s="5"/>
    </row>
    <row r="362" spans="1:7" ht="13.2" x14ac:dyDescent="0.25">
      <c r="A362" s="5"/>
      <c r="B362" s="5"/>
      <c r="C362" s="5"/>
      <c r="D362" s="5"/>
      <c r="E362" s="5"/>
      <c r="F362" s="5"/>
      <c r="G362" s="5"/>
    </row>
    <row r="363" spans="1:7" ht="13.2" x14ac:dyDescent="0.25">
      <c r="A363" s="5"/>
      <c r="B363" s="5"/>
      <c r="C363" s="5"/>
      <c r="D363" s="5"/>
      <c r="E363" s="5"/>
      <c r="F363" s="5"/>
      <c r="G363" s="5"/>
    </row>
    <row r="364" spans="1:7" ht="13.2" x14ac:dyDescent="0.25">
      <c r="A364" s="5"/>
      <c r="B364" s="5"/>
      <c r="C364" s="5"/>
      <c r="D364" s="5"/>
      <c r="E364" s="5"/>
      <c r="F364" s="5"/>
      <c r="G364" s="5"/>
    </row>
    <row r="365" spans="1:7" ht="13.2" x14ac:dyDescent="0.25">
      <c r="A365" s="5"/>
      <c r="B365" s="5"/>
      <c r="C365" s="5"/>
      <c r="D365" s="5"/>
      <c r="E365" s="5"/>
      <c r="F365" s="5"/>
      <c r="G365" s="5"/>
    </row>
    <row r="366" spans="1:7" ht="13.2" x14ac:dyDescent="0.25">
      <c r="A366" s="5"/>
      <c r="B366" s="5"/>
      <c r="C366" s="5"/>
      <c r="D366" s="5"/>
      <c r="E366" s="5"/>
      <c r="F366" s="5"/>
      <c r="G366" s="5"/>
    </row>
    <row r="367" spans="1:7" ht="13.2" x14ac:dyDescent="0.25">
      <c r="A367" s="5"/>
      <c r="B367" s="5"/>
      <c r="C367" s="5"/>
      <c r="D367" s="5"/>
      <c r="E367" s="5"/>
      <c r="F367" s="5"/>
      <c r="G367" s="5"/>
    </row>
    <row r="368" spans="1:7" ht="13.2" x14ac:dyDescent="0.25">
      <c r="A368" s="5"/>
      <c r="B368" s="5"/>
      <c r="C368" s="5"/>
      <c r="D368" s="5"/>
      <c r="E368" s="5"/>
      <c r="F368" s="5"/>
      <c r="G368" s="5"/>
    </row>
    <row r="369" spans="1:7" ht="13.2" x14ac:dyDescent="0.25">
      <c r="A369" s="5"/>
      <c r="B369" s="5"/>
      <c r="C369" s="5"/>
      <c r="D369" s="5"/>
      <c r="E369" s="5"/>
      <c r="F369" s="5"/>
      <c r="G369" s="5"/>
    </row>
    <row r="370" spans="1:7" ht="13.2" x14ac:dyDescent="0.25">
      <c r="A370" s="5"/>
      <c r="B370" s="5"/>
      <c r="C370" s="5"/>
      <c r="D370" s="5"/>
      <c r="E370" s="5"/>
      <c r="F370" s="5"/>
      <c r="G370" s="5"/>
    </row>
    <row r="371" spans="1:7" ht="13.2" x14ac:dyDescent="0.25">
      <c r="A371" s="5"/>
      <c r="B371" s="5"/>
      <c r="C371" s="5"/>
      <c r="D371" s="5"/>
      <c r="E371" s="5"/>
      <c r="F371" s="5"/>
      <c r="G371" s="5"/>
    </row>
    <row r="372" spans="1:7" ht="13.2" x14ac:dyDescent="0.25">
      <c r="A372" s="5"/>
      <c r="B372" s="5"/>
      <c r="C372" s="5"/>
      <c r="D372" s="5"/>
      <c r="E372" s="5"/>
      <c r="F372" s="5"/>
      <c r="G372" s="5"/>
    </row>
    <row r="373" spans="1:7" ht="13.2" x14ac:dyDescent="0.25">
      <c r="A373" s="5"/>
      <c r="B373" s="5"/>
      <c r="C373" s="5"/>
      <c r="D373" s="5"/>
      <c r="E373" s="5"/>
      <c r="F373" s="5"/>
      <c r="G373" s="5"/>
    </row>
    <row r="374" spans="1:7" ht="13.2" x14ac:dyDescent="0.25">
      <c r="A374" s="5"/>
      <c r="B374" s="5"/>
      <c r="C374" s="5"/>
      <c r="D374" s="5"/>
      <c r="E374" s="5"/>
      <c r="F374" s="5"/>
      <c r="G374" s="5"/>
    </row>
    <row r="375" spans="1:7" ht="13.2" x14ac:dyDescent="0.25">
      <c r="A375" s="5"/>
      <c r="B375" s="5"/>
      <c r="C375" s="5"/>
      <c r="D375" s="5"/>
      <c r="E375" s="5"/>
      <c r="F375" s="5"/>
      <c r="G375" s="5"/>
    </row>
    <row r="376" spans="1:7" ht="13.2" x14ac:dyDescent="0.25">
      <c r="A376" s="5"/>
      <c r="B376" s="5"/>
      <c r="C376" s="5"/>
      <c r="D376" s="5"/>
      <c r="E376" s="5"/>
      <c r="F376" s="5"/>
      <c r="G376" s="5"/>
    </row>
    <row r="377" spans="1:7" ht="13.2" x14ac:dyDescent="0.25">
      <c r="A377" s="5"/>
      <c r="B377" s="5"/>
      <c r="C377" s="5"/>
      <c r="D377" s="5"/>
      <c r="E377" s="5"/>
      <c r="F377" s="5"/>
      <c r="G377" s="5"/>
    </row>
    <row r="378" spans="1:7" ht="13.2" x14ac:dyDescent="0.25">
      <c r="A378" s="5"/>
      <c r="B378" s="5"/>
      <c r="C378" s="5"/>
      <c r="D378" s="5"/>
      <c r="E378" s="5"/>
      <c r="F378" s="5"/>
      <c r="G378" s="5"/>
    </row>
    <row r="379" spans="1:7" ht="13.2" x14ac:dyDescent="0.25">
      <c r="A379" s="5"/>
      <c r="B379" s="5"/>
      <c r="C379" s="5"/>
      <c r="D379" s="5"/>
      <c r="E379" s="5"/>
      <c r="F379" s="5"/>
      <c r="G379" s="5"/>
    </row>
    <row r="380" spans="1:7" ht="13.2" x14ac:dyDescent="0.25">
      <c r="A380" s="5"/>
      <c r="B380" s="5"/>
      <c r="C380" s="5"/>
      <c r="D380" s="5"/>
      <c r="E380" s="5"/>
      <c r="F380" s="5"/>
      <c r="G380" s="5"/>
    </row>
    <row r="381" spans="1:7" ht="13.2" x14ac:dyDescent="0.25">
      <c r="A381" s="5"/>
      <c r="B381" s="5"/>
      <c r="C381" s="5"/>
      <c r="D381" s="5"/>
      <c r="E381" s="5"/>
      <c r="F381" s="5"/>
      <c r="G381" s="5"/>
    </row>
    <row r="382" spans="1:7" ht="13.2" x14ac:dyDescent="0.25">
      <c r="A382" s="5"/>
      <c r="B382" s="5"/>
      <c r="C382" s="5"/>
      <c r="D382" s="5"/>
      <c r="E382" s="5"/>
      <c r="F382" s="5"/>
      <c r="G382" s="5"/>
    </row>
    <row r="383" spans="1:7" ht="13.2" x14ac:dyDescent="0.25">
      <c r="A383" s="5"/>
      <c r="B383" s="5"/>
      <c r="C383" s="5"/>
      <c r="D383" s="5"/>
      <c r="E383" s="5"/>
      <c r="F383" s="5"/>
      <c r="G383" s="5"/>
    </row>
    <row r="384" spans="1:7" ht="13.2" x14ac:dyDescent="0.25">
      <c r="A384" s="5"/>
      <c r="B384" s="5"/>
      <c r="C384" s="5"/>
      <c r="D384" s="5"/>
      <c r="E384" s="5"/>
      <c r="F384" s="5"/>
      <c r="G384" s="5"/>
    </row>
    <row r="385" spans="1:7" ht="13.2" x14ac:dyDescent="0.25">
      <c r="A385" s="5"/>
      <c r="B385" s="5"/>
      <c r="C385" s="5"/>
      <c r="D385" s="5"/>
      <c r="E385" s="5"/>
      <c r="F385" s="5"/>
      <c r="G385" s="5"/>
    </row>
    <row r="386" spans="1:7" ht="13.2" x14ac:dyDescent="0.25">
      <c r="A386" s="5"/>
      <c r="B386" s="5"/>
      <c r="C386" s="5"/>
      <c r="D386" s="5"/>
      <c r="E386" s="5"/>
      <c r="F386" s="5"/>
      <c r="G386" s="5"/>
    </row>
    <row r="387" spans="1:7" ht="13.2" x14ac:dyDescent="0.25">
      <c r="A387" s="5"/>
      <c r="B387" s="5"/>
      <c r="C387" s="5"/>
      <c r="D387" s="5"/>
      <c r="E387" s="5"/>
      <c r="F387" s="5"/>
      <c r="G387" s="5"/>
    </row>
    <row r="388" spans="1:7" ht="13.2" x14ac:dyDescent="0.25">
      <c r="A388" s="5"/>
      <c r="B388" s="5"/>
      <c r="C388" s="5"/>
      <c r="D388" s="5"/>
      <c r="E388" s="5"/>
      <c r="F388" s="5"/>
      <c r="G388" s="5"/>
    </row>
    <row r="389" spans="1:7" ht="13.2" x14ac:dyDescent="0.25">
      <c r="A389" s="5"/>
      <c r="B389" s="5"/>
      <c r="C389" s="5"/>
      <c r="D389" s="5"/>
      <c r="E389" s="5"/>
      <c r="F389" s="5"/>
      <c r="G389" s="5"/>
    </row>
    <row r="390" spans="1:7" ht="13.2" x14ac:dyDescent="0.25">
      <c r="A390" s="5"/>
      <c r="B390" s="5"/>
      <c r="C390" s="5"/>
      <c r="D390" s="5"/>
      <c r="E390" s="5"/>
      <c r="F390" s="5"/>
      <c r="G390" s="5"/>
    </row>
    <row r="391" spans="1:7" ht="13.2" x14ac:dyDescent="0.25">
      <c r="A391" s="5"/>
      <c r="B391" s="5"/>
      <c r="C391" s="5"/>
      <c r="D391" s="5"/>
      <c r="E391" s="5"/>
      <c r="F391" s="5"/>
      <c r="G391" s="5"/>
    </row>
    <row r="392" spans="1:7" ht="13.2" x14ac:dyDescent="0.25">
      <c r="A392" s="5"/>
      <c r="B392" s="5"/>
      <c r="C392" s="5"/>
      <c r="D392" s="5"/>
      <c r="E392" s="5"/>
      <c r="F392" s="5"/>
      <c r="G392" s="5"/>
    </row>
    <row r="393" spans="1:7" ht="13.2" x14ac:dyDescent="0.25">
      <c r="A393" s="5"/>
      <c r="B393" s="5"/>
      <c r="C393" s="5"/>
      <c r="D393" s="5"/>
      <c r="E393" s="5"/>
      <c r="F393" s="5"/>
      <c r="G393" s="5"/>
    </row>
    <row r="394" spans="1:7" ht="13.2" x14ac:dyDescent="0.25">
      <c r="A394" s="5"/>
      <c r="B394" s="5"/>
      <c r="C394" s="5"/>
      <c r="D394" s="5"/>
      <c r="E394" s="5"/>
      <c r="F394" s="5"/>
      <c r="G394" s="5"/>
    </row>
    <row r="395" spans="1:7" ht="13.2" x14ac:dyDescent="0.25">
      <c r="A395" s="5"/>
      <c r="B395" s="5"/>
      <c r="C395" s="5"/>
      <c r="D395" s="5"/>
      <c r="E395" s="5"/>
      <c r="F395" s="5"/>
      <c r="G395" s="5"/>
    </row>
    <row r="396" spans="1:7" ht="13.2" x14ac:dyDescent="0.25">
      <c r="A396" s="5"/>
      <c r="B396" s="5"/>
      <c r="C396" s="5"/>
      <c r="D396" s="5"/>
      <c r="E396" s="5"/>
      <c r="F396" s="5"/>
      <c r="G396" s="5"/>
    </row>
    <row r="397" spans="1:7" ht="13.2" x14ac:dyDescent="0.25">
      <c r="A397" s="5"/>
      <c r="B397" s="5"/>
      <c r="C397" s="5"/>
      <c r="D397" s="5"/>
      <c r="E397" s="5"/>
      <c r="F397" s="5"/>
      <c r="G397" s="5"/>
    </row>
    <row r="398" spans="1:7" ht="13.2" x14ac:dyDescent="0.25">
      <c r="A398" s="5"/>
      <c r="B398" s="5"/>
      <c r="C398" s="5"/>
      <c r="D398" s="5"/>
      <c r="E398" s="5"/>
      <c r="F398" s="5"/>
      <c r="G398" s="5"/>
    </row>
    <row r="399" spans="1:7" ht="13.2" x14ac:dyDescent="0.25">
      <c r="A399" s="5"/>
      <c r="B399" s="5"/>
      <c r="C399" s="5"/>
      <c r="D399" s="5"/>
      <c r="E399" s="5"/>
      <c r="F399" s="5"/>
      <c r="G399" s="5"/>
    </row>
    <row r="400" spans="1:7" ht="13.2" x14ac:dyDescent="0.25">
      <c r="A400" s="5"/>
      <c r="B400" s="5"/>
      <c r="C400" s="5"/>
      <c r="D400" s="5"/>
      <c r="E400" s="5"/>
      <c r="F400" s="5"/>
      <c r="G400" s="5"/>
    </row>
    <row r="401" spans="1:7" ht="13.2" x14ac:dyDescent="0.25">
      <c r="A401" s="5"/>
      <c r="B401" s="5"/>
      <c r="C401" s="5"/>
      <c r="D401" s="5"/>
      <c r="E401" s="5"/>
      <c r="F401" s="5"/>
      <c r="G401" s="5"/>
    </row>
    <row r="402" spans="1:7" ht="13.2" x14ac:dyDescent="0.25">
      <c r="A402" s="5"/>
      <c r="B402" s="5"/>
      <c r="C402" s="5"/>
      <c r="D402" s="5"/>
      <c r="E402" s="5"/>
      <c r="F402" s="5"/>
      <c r="G402" s="5"/>
    </row>
    <row r="403" spans="1:7" ht="13.2" x14ac:dyDescent="0.25">
      <c r="A403" s="5"/>
      <c r="B403" s="5"/>
      <c r="C403" s="5"/>
      <c r="D403" s="5"/>
      <c r="E403" s="5"/>
      <c r="F403" s="5"/>
      <c r="G403" s="5"/>
    </row>
    <row r="404" spans="1:7" ht="13.2" x14ac:dyDescent="0.25">
      <c r="A404" s="5"/>
      <c r="B404" s="5"/>
      <c r="C404" s="5"/>
      <c r="D404" s="5"/>
      <c r="E404" s="5"/>
      <c r="F404" s="5"/>
      <c r="G404" s="5"/>
    </row>
    <row r="405" spans="1:7" ht="13.2" x14ac:dyDescent="0.25">
      <c r="A405" s="5"/>
      <c r="B405" s="5"/>
      <c r="C405" s="5"/>
      <c r="D405" s="5"/>
      <c r="E405" s="5"/>
      <c r="F405" s="5"/>
      <c r="G405" s="5"/>
    </row>
    <row r="406" spans="1:7" ht="13.2" x14ac:dyDescent="0.25">
      <c r="A406" s="5"/>
      <c r="B406" s="5"/>
      <c r="C406" s="5"/>
      <c r="D406" s="5"/>
      <c r="E406" s="5"/>
      <c r="F406" s="5"/>
      <c r="G406" s="5"/>
    </row>
    <row r="407" spans="1:7" ht="13.2" x14ac:dyDescent="0.25">
      <c r="A407" s="5"/>
      <c r="B407" s="5"/>
      <c r="C407" s="5"/>
      <c r="D407" s="5"/>
      <c r="E407" s="5"/>
      <c r="F407" s="5"/>
      <c r="G407" s="5"/>
    </row>
    <row r="408" spans="1:7" ht="13.2" x14ac:dyDescent="0.25">
      <c r="A408" s="5"/>
      <c r="B408" s="5"/>
      <c r="C408" s="5"/>
      <c r="D408" s="5"/>
      <c r="E408" s="5"/>
      <c r="F408" s="5"/>
      <c r="G408" s="5"/>
    </row>
    <row r="409" spans="1:7" ht="13.2" x14ac:dyDescent="0.25">
      <c r="A409" s="5"/>
      <c r="B409" s="5"/>
      <c r="C409" s="5"/>
      <c r="D409" s="5"/>
      <c r="E409" s="5"/>
      <c r="F409" s="5"/>
      <c r="G409" s="5"/>
    </row>
    <row r="410" spans="1:7" ht="13.2" x14ac:dyDescent="0.25">
      <c r="A410" s="5"/>
      <c r="B410" s="5"/>
      <c r="C410" s="5"/>
      <c r="D410" s="5"/>
      <c r="E410" s="5"/>
      <c r="F410" s="5"/>
      <c r="G410" s="5"/>
    </row>
    <row r="411" spans="1:7" ht="13.2" x14ac:dyDescent="0.25">
      <c r="A411" s="5"/>
      <c r="B411" s="5"/>
      <c r="C411" s="5"/>
      <c r="D411" s="5"/>
      <c r="E411" s="5"/>
      <c r="F411" s="5"/>
      <c r="G411" s="5"/>
    </row>
    <row r="412" spans="1:7" ht="13.2" x14ac:dyDescent="0.25">
      <c r="A412" s="5"/>
      <c r="B412" s="5"/>
      <c r="C412" s="5"/>
      <c r="D412" s="5"/>
      <c r="E412" s="5"/>
      <c r="F412" s="5"/>
      <c r="G412" s="5"/>
    </row>
    <row r="413" spans="1:7" ht="13.2" x14ac:dyDescent="0.25">
      <c r="A413" s="5"/>
      <c r="B413" s="5"/>
      <c r="C413" s="5"/>
      <c r="D413" s="5"/>
      <c r="E413" s="5"/>
      <c r="F413" s="5"/>
      <c r="G413" s="5"/>
    </row>
    <row r="414" spans="1:7" ht="13.2" x14ac:dyDescent="0.25">
      <c r="A414" s="5"/>
      <c r="B414" s="5"/>
      <c r="C414" s="5"/>
      <c r="D414" s="5"/>
      <c r="E414" s="5"/>
      <c r="F414" s="5"/>
      <c r="G414" s="5"/>
    </row>
    <row r="415" spans="1:7" ht="13.2" x14ac:dyDescent="0.25">
      <c r="A415" s="5"/>
      <c r="B415" s="5"/>
      <c r="C415" s="5"/>
      <c r="D415" s="5"/>
      <c r="E415" s="5"/>
      <c r="F415" s="5"/>
      <c r="G415" s="5"/>
    </row>
    <row r="416" spans="1:7" ht="13.2" x14ac:dyDescent="0.25">
      <c r="A416" s="5"/>
      <c r="B416" s="5"/>
      <c r="C416" s="5"/>
      <c r="D416" s="5"/>
      <c r="E416" s="5"/>
      <c r="F416" s="5"/>
      <c r="G416" s="5"/>
    </row>
    <row r="417" spans="1:7" ht="13.2" x14ac:dyDescent="0.25">
      <c r="A417" s="5"/>
      <c r="B417" s="5"/>
      <c r="C417" s="5"/>
      <c r="D417" s="5"/>
      <c r="E417" s="5"/>
      <c r="F417" s="5"/>
      <c r="G417" s="5"/>
    </row>
    <row r="418" spans="1:7" ht="13.2" x14ac:dyDescent="0.25">
      <c r="A418" s="5"/>
      <c r="B418" s="5"/>
      <c r="C418" s="5"/>
      <c r="D418" s="5"/>
      <c r="E418" s="5"/>
      <c r="F418" s="5"/>
      <c r="G418" s="5"/>
    </row>
    <row r="419" spans="1:7" ht="13.2" x14ac:dyDescent="0.25">
      <c r="A419" s="5"/>
      <c r="B419" s="5"/>
      <c r="C419" s="5"/>
      <c r="D419" s="5"/>
      <c r="E419" s="5"/>
      <c r="F419" s="5"/>
      <c r="G419" s="5"/>
    </row>
    <row r="420" spans="1:7" ht="13.2" x14ac:dyDescent="0.25">
      <c r="A420" s="5"/>
      <c r="B420" s="5"/>
      <c r="C420" s="5"/>
      <c r="D420" s="5"/>
      <c r="E420" s="5"/>
      <c r="F420" s="5"/>
      <c r="G420" s="5"/>
    </row>
    <row r="421" spans="1:7" ht="13.2" x14ac:dyDescent="0.25">
      <c r="A421" s="5"/>
      <c r="B421" s="5"/>
      <c r="C421" s="5"/>
      <c r="D421" s="5"/>
      <c r="E421" s="5"/>
      <c r="F421" s="5"/>
      <c r="G421" s="5"/>
    </row>
    <row r="422" spans="1:7" ht="13.2" x14ac:dyDescent="0.25">
      <c r="A422" s="5"/>
      <c r="B422" s="5"/>
      <c r="C422" s="5"/>
      <c r="D422" s="5"/>
      <c r="E422" s="5"/>
      <c r="F422" s="5"/>
      <c r="G422" s="5"/>
    </row>
    <row r="423" spans="1:7" ht="13.2" x14ac:dyDescent="0.25">
      <c r="A423" s="5"/>
      <c r="B423" s="5"/>
      <c r="C423" s="5"/>
      <c r="D423" s="5"/>
      <c r="E423" s="5"/>
      <c r="F423" s="5"/>
      <c r="G423" s="5"/>
    </row>
    <row r="424" spans="1:7" ht="13.2" x14ac:dyDescent="0.25">
      <c r="A424" s="5"/>
      <c r="B424" s="5"/>
      <c r="C424" s="5"/>
      <c r="D424" s="5"/>
      <c r="E424" s="5"/>
      <c r="F424" s="5"/>
      <c r="G424" s="5"/>
    </row>
    <row r="425" spans="1:7" ht="13.2" x14ac:dyDescent="0.25">
      <c r="A425" s="5"/>
      <c r="B425" s="5"/>
      <c r="C425" s="5"/>
      <c r="D425" s="5"/>
      <c r="E425" s="5"/>
      <c r="F425" s="5"/>
      <c r="G425" s="5"/>
    </row>
    <row r="426" spans="1:7" ht="13.2" x14ac:dyDescent="0.25">
      <c r="A426" s="5"/>
      <c r="B426" s="5"/>
      <c r="C426" s="5"/>
      <c r="D426" s="5"/>
      <c r="E426" s="5"/>
      <c r="F426" s="5"/>
      <c r="G426" s="5"/>
    </row>
    <row r="427" spans="1:7" ht="13.2" x14ac:dyDescent="0.25">
      <c r="A427" s="5"/>
      <c r="B427" s="5"/>
      <c r="C427" s="5"/>
      <c r="D427" s="5"/>
      <c r="E427" s="5"/>
      <c r="F427" s="5"/>
      <c r="G427" s="5"/>
    </row>
    <row r="428" spans="1:7" ht="13.2" x14ac:dyDescent="0.25">
      <c r="A428" s="5"/>
      <c r="B428" s="5"/>
      <c r="C428" s="5"/>
      <c r="D428" s="5"/>
      <c r="E428" s="5"/>
      <c r="F428" s="5"/>
      <c r="G428" s="5"/>
    </row>
    <row r="429" spans="1:7" ht="13.2" x14ac:dyDescent="0.25">
      <c r="A429" s="5"/>
      <c r="B429" s="5"/>
      <c r="C429" s="5"/>
      <c r="D429" s="5"/>
      <c r="E429" s="5"/>
      <c r="F429" s="5"/>
      <c r="G429" s="5"/>
    </row>
    <row r="430" spans="1:7" ht="13.2" x14ac:dyDescent="0.25">
      <c r="A430" s="5"/>
      <c r="B430" s="5"/>
      <c r="C430" s="5"/>
      <c r="D430" s="5"/>
      <c r="E430" s="5"/>
      <c r="F430" s="5"/>
      <c r="G430" s="5"/>
    </row>
    <row r="431" spans="1:7" ht="13.2" x14ac:dyDescent="0.25">
      <c r="A431" s="5"/>
      <c r="B431" s="5"/>
      <c r="C431" s="5"/>
      <c r="D431" s="5"/>
      <c r="E431" s="5"/>
      <c r="F431" s="5"/>
      <c r="G431" s="5"/>
    </row>
    <row r="432" spans="1:7" ht="13.2" x14ac:dyDescent="0.25">
      <c r="A432" s="5"/>
      <c r="B432" s="5"/>
      <c r="C432" s="5"/>
      <c r="D432" s="5"/>
      <c r="E432" s="5"/>
      <c r="F432" s="5"/>
      <c r="G432" s="5"/>
    </row>
    <row r="433" spans="1:7" ht="13.2" x14ac:dyDescent="0.25">
      <c r="A433" s="5"/>
      <c r="B433" s="5"/>
      <c r="C433" s="5"/>
      <c r="D433" s="5"/>
      <c r="E433" s="5"/>
      <c r="F433" s="5"/>
      <c r="G433" s="5"/>
    </row>
    <row r="434" spans="1:7" ht="13.2" x14ac:dyDescent="0.25">
      <c r="A434" s="5"/>
      <c r="B434" s="5"/>
      <c r="C434" s="5"/>
      <c r="D434" s="5"/>
      <c r="E434" s="5"/>
      <c r="F434" s="5"/>
      <c r="G434" s="5"/>
    </row>
    <row r="435" spans="1:7" ht="13.2" x14ac:dyDescent="0.25">
      <c r="A435" s="5"/>
      <c r="B435" s="5"/>
      <c r="C435" s="5"/>
      <c r="D435" s="5"/>
      <c r="E435" s="5"/>
      <c r="F435" s="5"/>
      <c r="G435" s="5"/>
    </row>
    <row r="436" spans="1:7" ht="13.2" x14ac:dyDescent="0.25">
      <c r="A436" s="5"/>
      <c r="B436" s="5"/>
      <c r="C436" s="5"/>
      <c r="D436" s="5"/>
      <c r="E436" s="5"/>
      <c r="F436" s="5"/>
      <c r="G436" s="5"/>
    </row>
    <row r="437" spans="1:7" ht="13.2" x14ac:dyDescent="0.25">
      <c r="A437" s="5"/>
      <c r="B437" s="5"/>
      <c r="C437" s="5"/>
      <c r="D437" s="5"/>
      <c r="E437" s="5"/>
      <c r="F437" s="5"/>
      <c r="G437" s="5"/>
    </row>
    <row r="438" spans="1:7" ht="13.2" x14ac:dyDescent="0.25">
      <c r="A438" s="5"/>
      <c r="B438" s="5"/>
      <c r="C438" s="5"/>
      <c r="D438" s="5"/>
      <c r="E438" s="5"/>
      <c r="F438" s="5"/>
      <c r="G438" s="5"/>
    </row>
    <row r="439" spans="1:7" ht="13.2" x14ac:dyDescent="0.25">
      <c r="A439" s="5"/>
      <c r="B439" s="5"/>
      <c r="C439" s="5"/>
      <c r="D439" s="5"/>
      <c r="E439" s="5"/>
      <c r="F439" s="5"/>
      <c r="G439" s="5"/>
    </row>
    <row r="440" spans="1:7" ht="13.2" x14ac:dyDescent="0.25">
      <c r="A440" s="5"/>
      <c r="B440" s="5"/>
      <c r="C440" s="5"/>
      <c r="D440" s="5"/>
      <c r="E440" s="5"/>
      <c r="F440" s="5"/>
      <c r="G440" s="5"/>
    </row>
    <row r="441" spans="1:7" ht="13.2" x14ac:dyDescent="0.25">
      <c r="A441" s="5"/>
      <c r="B441" s="5"/>
      <c r="C441" s="5"/>
      <c r="D441" s="5"/>
      <c r="E441" s="5"/>
      <c r="F441" s="5"/>
      <c r="G441" s="5"/>
    </row>
    <row r="442" spans="1:7" ht="13.2" x14ac:dyDescent="0.25">
      <c r="A442" s="5"/>
      <c r="B442" s="5"/>
      <c r="C442" s="5"/>
      <c r="D442" s="5"/>
      <c r="E442" s="5"/>
      <c r="F442" s="5"/>
      <c r="G442" s="5"/>
    </row>
    <row r="443" spans="1:7" ht="13.2" x14ac:dyDescent="0.25">
      <c r="A443" s="5"/>
      <c r="B443" s="5"/>
      <c r="C443" s="5"/>
      <c r="D443" s="5"/>
      <c r="E443" s="5"/>
      <c r="F443" s="5"/>
      <c r="G443" s="5"/>
    </row>
    <row r="444" spans="1:7" ht="13.2" x14ac:dyDescent="0.25">
      <c r="A444" s="5"/>
      <c r="B444" s="5"/>
      <c r="C444" s="5"/>
      <c r="D444" s="5"/>
      <c r="E444" s="5"/>
      <c r="F444" s="5"/>
      <c r="G444" s="5"/>
    </row>
    <row r="445" spans="1:7" ht="13.2" x14ac:dyDescent="0.25">
      <c r="A445" s="5"/>
      <c r="B445" s="5"/>
      <c r="C445" s="5"/>
      <c r="D445" s="5"/>
      <c r="E445" s="5"/>
      <c r="F445" s="5"/>
      <c r="G445" s="5"/>
    </row>
    <row r="446" spans="1:7" ht="13.2" x14ac:dyDescent="0.25">
      <c r="A446" s="5"/>
      <c r="B446" s="5"/>
      <c r="C446" s="5"/>
      <c r="D446" s="5"/>
      <c r="E446" s="5"/>
      <c r="F446" s="5"/>
      <c r="G446" s="5"/>
    </row>
    <row r="447" spans="1:7" ht="13.2" x14ac:dyDescent="0.25">
      <c r="A447" s="5"/>
      <c r="B447" s="5"/>
      <c r="C447" s="5"/>
      <c r="D447" s="5"/>
      <c r="E447" s="5"/>
      <c r="F447" s="5"/>
      <c r="G447" s="5"/>
    </row>
    <row r="448" spans="1:7" ht="13.2" x14ac:dyDescent="0.25">
      <c r="A448" s="5"/>
      <c r="B448" s="5"/>
      <c r="C448" s="5"/>
      <c r="D448" s="5"/>
      <c r="E448" s="5"/>
      <c r="F448" s="5"/>
      <c r="G448" s="5"/>
    </row>
    <row r="449" spans="1:7" ht="13.2" x14ac:dyDescent="0.25">
      <c r="A449" s="5"/>
      <c r="B449" s="5"/>
      <c r="C449" s="5"/>
      <c r="D449" s="5"/>
      <c r="E449" s="5"/>
      <c r="F449" s="5"/>
      <c r="G449" s="5"/>
    </row>
    <row r="450" spans="1:7" ht="13.2" x14ac:dyDescent="0.25">
      <c r="A450" s="5"/>
      <c r="B450" s="5"/>
      <c r="C450" s="5"/>
      <c r="D450" s="5"/>
      <c r="E450" s="5"/>
      <c r="F450" s="5"/>
      <c r="G450" s="5"/>
    </row>
    <row r="451" spans="1:7" ht="13.2" x14ac:dyDescent="0.25">
      <c r="A451" s="5"/>
      <c r="B451" s="5"/>
      <c r="C451" s="5"/>
      <c r="D451" s="5"/>
      <c r="E451" s="5"/>
      <c r="F451" s="5"/>
      <c r="G451" s="5"/>
    </row>
    <row r="452" spans="1:7" ht="13.2" x14ac:dyDescent="0.25">
      <c r="A452" s="5"/>
      <c r="B452" s="5"/>
      <c r="C452" s="5"/>
      <c r="D452" s="5"/>
      <c r="E452" s="5"/>
      <c r="F452" s="5"/>
      <c r="G452" s="5"/>
    </row>
    <row r="453" spans="1:7" ht="13.2" x14ac:dyDescent="0.25">
      <c r="A453" s="5"/>
      <c r="B453" s="5"/>
      <c r="C453" s="5"/>
      <c r="D453" s="5"/>
      <c r="E453" s="5"/>
      <c r="F453" s="5"/>
      <c r="G453" s="5"/>
    </row>
    <row r="454" spans="1:7" ht="13.2" x14ac:dyDescent="0.25">
      <c r="A454" s="5"/>
      <c r="B454" s="5"/>
      <c r="C454" s="5"/>
      <c r="D454" s="5"/>
      <c r="E454" s="5"/>
      <c r="F454" s="5"/>
      <c r="G454" s="5"/>
    </row>
    <row r="455" spans="1:7" ht="13.2" x14ac:dyDescent="0.25">
      <c r="A455" s="5"/>
      <c r="B455" s="5"/>
      <c r="C455" s="5"/>
      <c r="D455" s="5"/>
      <c r="E455" s="5"/>
      <c r="F455" s="5"/>
      <c r="G455" s="5"/>
    </row>
    <row r="456" spans="1:7" ht="13.2" x14ac:dyDescent="0.25">
      <c r="A456" s="5"/>
      <c r="B456" s="5"/>
      <c r="C456" s="5"/>
      <c r="D456" s="5"/>
      <c r="E456" s="5"/>
      <c r="F456" s="5"/>
      <c r="G456" s="5"/>
    </row>
    <row r="457" spans="1:7" ht="13.2" x14ac:dyDescent="0.25">
      <c r="A457" s="5"/>
      <c r="B457" s="5"/>
      <c r="C457" s="5"/>
      <c r="D457" s="5"/>
      <c r="E457" s="5"/>
      <c r="F457" s="5"/>
      <c r="G457" s="5"/>
    </row>
    <row r="458" spans="1:7" ht="13.2" x14ac:dyDescent="0.25">
      <c r="A458" s="5"/>
      <c r="B458" s="5"/>
      <c r="C458" s="5"/>
      <c r="D458" s="5"/>
      <c r="E458" s="5"/>
      <c r="F458" s="5"/>
      <c r="G458" s="5"/>
    </row>
    <row r="459" spans="1:7" ht="13.2" x14ac:dyDescent="0.25">
      <c r="A459" s="5"/>
      <c r="B459" s="5"/>
      <c r="C459" s="5"/>
      <c r="D459" s="5"/>
      <c r="E459" s="5"/>
      <c r="F459" s="5"/>
      <c r="G459" s="5"/>
    </row>
    <row r="460" spans="1:7" ht="13.2" x14ac:dyDescent="0.25">
      <c r="A460" s="5"/>
      <c r="B460" s="5"/>
      <c r="C460" s="5"/>
      <c r="D460" s="5"/>
      <c r="E460" s="5"/>
      <c r="F460" s="5"/>
      <c r="G460" s="5"/>
    </row>
    <row r="461" spans="1:7" ht="13.2" x14ac:dyDescent="0.25">
      <c r="A461" s="5"/>
      <c r="B461" s="5"/>
      <c r="C461" s="5"/>
      <c r="D461" s="5"/>
      <c r="E461" s="5"/>
      <c r="F461" s="5"/>
      <c r="G461" s="5"/>
    </row>
    <row r="462" spans="1:7" ht="13.2" x14ac:dyDescent="0.25">
      <c r="A462" s="5"/>
      <c r="B462" s="5"/>
      <c r="C462" s="5"/>
      <c r="D462" s="5"/>
      <c r="E462" s="5"/>
      <c r="F462" s="5"/>
      <c r="G462" s="5"/>
    </row>
    <row r="463" spans="1:7" ht="13.2" x14ac:dyDescent="0.25">
      <c r="A463" s="5"/>
      <c r="B463" s="5"/>
      <c r="C463" s="5"/>
      <c r="D463" s="5"/>
      <c r="E463" s="5"/>
      <c r="F463" s="5"/>
      <c r="G463" s="5"/>
    </row>
    <row r="464" spans="1:7" ht="13.2" x14ac:dyDescent="0.25">
      <c r="A464" s="5"/>
      <c r="B464" s="5"/>
      <c r="C464" s="5"/>
      <c r="D464" s="5"/>
      <c r="E464" s="5"/>
      <c r="F464" s="5"/>
      <c r="G464" s="5"/>
    </row>
    <row r="465" spans="1:7" ht="13.2" x14ac:dyDescent="0.25">
      <c r="A465" s="5"/>
      <c r="B465" s="5"/>
      <c r="C465" s="5"/>
      <c r="D465" s="5"/>
      <c r="E465" s="5"/>
      <c r="F465" s="5"/>
      <c r="G465" s="5"/>
    </row>
    <row r="466" spans="1:7" ht="13.2" x14ac:dyDescent="0.25">
      <c r="A466" s="5"/>
      <c r="B466" s="5"/>
      <c r="C466" s="5"/>
      <c r="D466" s="5"/>
      <c r="E466" s="5"/>
      <c r="F466" s="5"/>
      <c r="G466" s="5"/>
    </row>
    <row r="467" spans="1:7" ht="13.2" x14ac:dyDescent="0.25">
      <c r="A467" s="5"/>
      <c r="B467" s="5"/>
      <c r="C467" s="5"/>
      <c r="D467" s="5"/>
      <c r="E467" s="5"/>
      <c r="F467" s="5"/>
      <c r="G467" s="5"/>
    </row>
    <row r="468" spans="1:7" ht="13.2" x14ac:dyDescent="0.25">
      <c r="A468" s="5"/>
      <c r="B468" s="5"/>
      <c r="C468" s="5"/>
      <c r="D468" s="5"/>
      <c r="E468" s="5"/>
      <c r="F468" s="5"/>
      <c r="G468" s="5"/>
    </row>
    <row r="469" spans="1:7" ht="13.2" x14ac:dyDescent="0.25">
      <c r="A469" s="5"/>
      <c r="B469" s="5"/>
      <c r="C469" s="5"/>
      <c r="D469" s="5"/>
      <c r="E469" s="5"/>
      <c r="F469" s="5"/>
      <c r="G469" s="5"/>
    </row>
    <row r="470" spans="1:7" ht="13.2" x14ac:dyDescent="0.25">
      <c r="A470" s="5"/>
      <c r="B470" s="5"/>
      <c r="C470" s="5"/>
      <c r="D470" s="5"/>
      <c r="E470" s="5"/>
      <c r="F470" s="5"/>
      <c r="G470" s="5"/>
    </row>
    <row r="471" spans="1:7" ht="13.2" x14ac:dyDescent="0.25">
      <c r="A471" s="5"/>
      <c r="B471" s="5"/>
      <c r="C471" s="5"/>
      <c r="D471" s="5"/>
      <c r="E471" s="5"/>
      <c r="F471" s="5"/>
      <c r="G471" s="5"/>
    </row>
    <row r="472" spans="1:7" ht="13.2" x14ac:dyDescent="0.25">
      <c r="A472" s="5"/>
      <c r="B472" s="5"/>
      <c r="C472" s="5"/>
      <c r="D472" s="5"/>
      <c r="E472" s="5"/>
      <c r="F472" s="5"/>
      <c r="G472" s="5"/>
    </row>
    <row r="473" spans="1:7" ht="13.2" x14ac:dyDescent="0.25">
      <c r="A473" s="5"/>
      <c r="B473" s="5"/>
      <c r="C473" s="5"/>
      <c r="D473" s="5"/>
      <c r="E473" s="5"/>
      <c r="F473" s="5"/>
      <c r="G473" s="5"/>
    </row>
    <row r="474" spans="1:7" ht="13.2" x14ac:dyDescent="0.25">
      <c r="A474" s="5"/>
      <c r="B474" s="5"/>
      <c r="C474" s="5"/>
      <c r="D474" s="5"/>
      <c r="E474" s="5"/>
      <c r="F474" s="5"/>
      <c r="G474" s="5"/>
    </row>
    <row r="475" spans="1:7" ht="13.2" x14ac:dyDescent="0.25">
      <c r="A475" s="5"/>
      <c r="B475" s="5"/>
      <c r="C475" s="5"/>
      <c r="D475" s="5"/>
      <c r="E475" s="5"/>
      <c r="F475" s="5"/>
      <c r="G475" s="5"/>
    </row>
    <row r="476" spans="1:7" ht="13.2" x14ac:dyDescent="0.25">
      <c r="A476" s="5"/>
      <c r="B476" s="5"/>
      <c r="C476" s="5"/>
      <c r="D476" s="5"/>
      <c r="E476" s="5"/>
      <c r="F476" s="5"/>
      <c r="G476" s="5"/>
    </row>
    <row r="477" spans="1:7" ht="13.2" x14ac:dyDescent="0.25">
      <c r="A477" s="5"/>
      <c r="B477" s="5"/>
      <c r="C477" s="5"/>
      <c r="D477" s="5"/>
      <c r="E477" s="5"/>
      <c r="F477" s="5"/>
      <c r="G477" s="5"/>
    </row>
    <row r="478" spans="1:7" ht="13.2" x14ac:dyDescent="0.25">
      <c r="A478" s="5"/>
      <c r="B478" s="5"/>
      <c r="C478" s="5"/>
      <c r="D478" s="5"/>
      <c r="E478" s="5"/>
      <c r="F478" s="5"/>
      <c r="G478" s="5"/>
    </row>
    <row r="479" spans="1:7" ht="13.2" x14ac:dyDescent="0.25">
      <c r="A479" s="5"/>
      <c r="B479" s="5"/>
      <c r="C479" s="5"/>
      <c r="D479" s="5"/>
      <c r="E479" s="5"/>
      <c r="F479" s="5"/>
      <c r="G479" s="5"/>
    </row>
    <row r="480" spans="1:7" ht="13.2" x14ac:dyDescent="0.25">
      <c r="A480" s="5"/>
      <c r="B480" s="5"/>
      <c r="C480" s="5"/>
      <c r="D480" s="5"/>
      <c r="E480" s="5"/>
      <c r="F480" s="5"/>
      <c r="G480" s="5"/>
    </row>
    <row r="481" spans="1:7" ht="13.2" x14ac:dyDescent="0.25">
      <c r="A481" s="5"/>
      <c r="B481" s="5"/>
      <c r="C481" s="5"/>
      <c r="D481" s="5"/>
      <c r="E481" s="5"/>
      <c r="F481" s="5"/>
      <c r="G481" s="5"/>
    </row>
    <row r="482" spans="1:7" ht="13.2" x14ac:dyDescent="0.25">
      <c r="A482" s="5"/>
      <c r="B482" s="5"/>
      <c r="C482" s="5"/>
      <c r="D482" s="5"/>
      <c r="E482" s="5"/>
      <c r="F482" s="5"/>
      <c r="G482" s="5"/>
    </row>
    <row r="483" spans="1:7" ht="13.2" x14ac:dyDescent="0.25">
      <c r="A483" s="5"/>
      <c r="B483" s="5"/>
      <c r="C483" s="5"/>
      <c r="D483" s="5"/>
      <c r="E483" s="5"/>
      <c r="F483" s="5"/>
      <c r="G483" s="5"/>
    </row>
    <row r="484" spans="1:7" ht="13.2" x14ac:dyDescent="0.25">
      <c r="A484" s="5"/>
      <c r="B484" s="5"/>
      <c r="C484" s="5"/>
      <c r="D484" s="5"/>
      <c r="E484" s="5"/>
      <c r="F484" s="5"/>
      <c r="G484" s="5"/>
    </row>
    <row r="485" spans="1:7" ht="13.2" x14ac:dyDescent="0.25">
      <c r="A485" s="5"/>
      <c r="B485" s="5"/>
      <c r="C485" s="5"/>
      <c r="D485" s="5"/>
      <c r="E485" s="5"/>
      <c r="F485" s="5"/>
      <c r="G485" s="5"/>
    </row>
    <row r="486" spans="1:7" ht="13.2" x14ac:dyDescent="0.25">
      <c r="A486" s="5"/>
      <c r="B486" s="5"/>
      <c r="C486" s="5"/>
      <c r="D486" s="5"/>
      <c r="E486" s="5"/>
      <c r="F486" s="5"/>
      <c r="G486" s="5"/>
    </row>
    <row r="487" spans="1:7" ht="13.2" x14ac:dyDescent="0.25">
      <c r="A487" s="5"/>
      <c r="B487" s="5"/>
      <c r="C487" s="5"/>
      <c r="D487" s="5"/>
      <c r="E487" s="5"/>
      <c r="F487" s="5"/>
      <c r="G487" s="5"/>
    </row>
    <row r="488" spans="1:7" ht="13.2" x14ac:dyDescent="0.25">
      <c r="A488" s="5"/>
      <c r="B488" s="5"/>
      <c r="C488" s="5"/>
      <c r="D488" s="5"/>
      <c r="E488" s="5"/>
      <c r="F488" s="5"/>
      <c r="G488" s="5"/>
    </row>
    <row r="489" spans="1:7" ht="13.2" x14ac:dyDescent="0.25">
      <c r="A489" s="5"/>
      <c r="B489" s="5"/>
      <c r="C489" s="5"/>
      <c r="D489" s="5"/>
      <c r="E489" s="5"/>
      <c r="F489" s="5"/>
      <c r="G489" s="5"/>
    </row>
    <row r="490" spans="1:7" ht="13.2" x14ac:dyDescent="0.25">
      <c r="A490" s="5"/>
      <c r="B490" s="5"/>
      <c r="C490" s="5"/>
      <c r="D490" s="5"/>
      <c r="E490" s="5"/>
      <c r="F490" s="5"/>
      <c r="G490" s="5"/>
    </row>
    <row r="491" spans="1:7" ht="13.2" x14ac:dyDescent="0.25">
      <c r="A491" s="5"/>
      <c r="B491" s="5"/>
      <c r="C491" s="5"/>
      <c r="D491" s="5"/>
      <c r="E491" s="5"/>
      <c r="F491" s="5"/>
      <c r="G491" s="5"/>
    </row>
    <row r="492" spans="1:7" ht="13.2" x14ac:dyDescent="0.25">
      <c r="A492" s="5"/>
      <c r="B492" s="5"/>
      <c r="C492" s="5"/>
      <c r="D492" s="5"/>
      <c r="E492" s="5"/>
      <c r="F492" s="5"/>
      <c r="G492" s="5"/>
    </row>
    <row r="493" spans="1:7" ht="13.2" x14ac:dyDescent="0.25">
      <c r="A493" s="5"/>
      <c r="B493" s="5"/>
      <c r="C493" s="5"/>
      <c r="D493" s="5"/>
      <c r="E493" s="5"/>
      <c r="F493" s="5"/>
      <c r="G493" s="5"/>
    </row>
    <row r="494" spans="1:7" ht="13.2" x14ac:dyDescent="0.25">
      <c r="A494" s="5"/>
      <c r="B494" s="5"/>
      <c r="C494" s="5"/>
      <c r="D494" s="5"/>
      <c r="E494" s="5"/>
      <c r="F494" s="5"/>
      <c r="G494" s="5"/>
    </row>
    <row r="495" spans="1:7" ht="13.2" x14ac:dyDescent="0.25">
      <c r="A495" s="5"/>
      <c r="B495" s="5"/>
      <c r="C495" s="5"/>
      <c r="D495" s="5"/>
      <c r="E495" s="5"/>
      <c r="F495" s="5"/>
      <c r="G495" s="5"/>
    </row>
    <row r="496" spans="1:7" ht="13.2" x14ac:dyDescent="0.25">
      <c r="A496" s="5"/>
      <c r="B496" s="5"/>
      <c r="C496" s="5"/>
      <c r="D496" s="5"/>
      <c r="E496" s="5"/>
      <c r="F496" s="5"/>
      <c r="G496" s="5"/>
    </row>
    <row r="497" spans="1:7" ht="13.2" x14ac:dyDescent="0.25">
      <c r="A497" s="5"/>
      <c r="B497" s="5"/>
      <c r="C497" s="5"/>
      <c r="D497" s="5"/>
      <c r="E497" s="5"/>
      <c r="F497" s="5"/>
      <c r="G497" s="5"/>
    </row>
    <row r="498" spans="1:7" ht="13.2" x14ac:dyDescent="0.25">
      <c r="A498" s="5"/>
      <c r="B498" s="5"/>
      <c r="C498" s="5"/>
      <c r="D498" s="5"/>
      <c r="E498" s="5"/>
      <c r="F498" s="5"/>
      <c r="G498" s="5"/>
    </row>
    <row r="499" spans="1:7" ht="13.2" x14ac:dyDescent="0.25">
      <c r="A499" s="5"/>
      <c r="B499" s="5"/>
      <c r="C499" s="5"/>
      <c r="D499" s="5"/>
      <c r="E499" s="5"/>
      <c r="F499" s="5"/>
      <c r="G499" s="5"/>
    </row>
    <row r="500" spans="1:7" ht="13.2" x14ac:dyDescent="0.25">
      <c r="A500" s="5"/>
      <c r="B500" s="5"/>
      <c r="C500" s="5"/>
      <c r="D500" s="5"/>
      <c r="E500" s="5"/>
      <c r="F500" s="5"/>
      <c r="G500" s="5"/>
    </row>
    <row r="501" spans="1:7" ht="13.2" x14ac:dyDescent="0.25">
      <c r="A501" s="5"/>
      <c r="B501" s="5"/>
      <c r="C501" s="5"/>
      <c r="D501" s="5"/>
      <c r="E501" s="5"/>
      <c r="F501" s="5"/>
      <c r="G501" s="5"/>
    </row>
    <row r="502" spans="1:7" ht="13.2" x14ac:dyDescent="0.25">
      <c r="A502" s="5"/>
      <c r="B502" s="5"/>
      <c r="C502" s="5"/>
      <c r="D502" s="5"/>
      <c r="E502" s="5"/>
      <c r="F502" s="5"/>
      <c r="G502" s="5"/>
    </row>
    <row r="503" spans="1:7" ht="13.2" x14ac:dyDescent="0.25">
      <c r="A503" s="5"/>
      <c r="B503" s="5"/>
      <c r="C503" s="5"/>
      <c r="D503" s="5"/>
      <c r="E503" s="5"/>
      <c r="F503" s="5"/>
      <c r="G503" s="5"/>
    </row>
    <row r="504" spans="1:7" ht="13.2" x14ac:dyDescent="0.25">
      <c r="A504" s="5"/>
      <c r="B504" s="5"/>
      <c r="C504" s="5"/>
      <c r="D504" s="5"/>
      <c r="E504" s="5"/>
      <c r="F504" s="5"/>
      <c r="G504" s="5"/>
    </row>
    <row r="505" spans="1:7" ht="13.2" x14ac:dyDescent="0.25">
      <c r="A505" s="5"/>
      <c r="B505" s="5"/>
      <c r="C505" s="5"/>
      <c r="D505" s="5"/>
      <c r="E505" s="5"/>
      <c r="F505" s="5"/>
      <c r="G505" s="5"/>
    </row>
    <row r="506" spans="1:7" ht="13.2" x14ac:dyDescent="0.25">
      <c r="A506" s="5"/>
      <c r="B506" s="5"/>
      <c r="C506" s="5"/>
      <c r="D506" s="5"/>
      <c r="E506" s="5"/>
      <c r="F506" s="5"/>
      <c r="G506" s="5"/>
    </row>
    <row r="507" spans="1:7" ht="13.2" x14ac:dyDescent="0.25">
      <c r="A507" s="5"/>
      <c r="B507" s="5"/>
      <c r="C507" s="5"/>
      <c r="D507" s="5"/>
      <c r="E507" s="5"/>
      <c r="F507" s="5"/>
      <c r="G507" s="5"/>
    </row>
    <row r="508" spans="1:7" ht="13.2" x14ac:dyDescent="0.25">
      <c r="A508" s="5"/>
      <c r="B508" s="5"/>
      <c r="C508" s="5"/>
      <c r="D508" s="5"/>
      <c r="E508" s="5"/>
      <c r="F508" s="5"/>
      <c r="G508" s="5"/>
    </row>
    <row r="509" spans="1:7" ht="13.2" x14ac:dyDescent="0.25">
      <c r="A509" s="5"/>
      <c r="B509" s="5"/>
      <c r="C509" s="5"/>
      <c r="D509" s="5"/>
      <c r="E509" s="5"/>
      <c r="F509" s="5"/>
      <c r="G509" s="5"/>
    </row>
    <row r="510" spans="1:7" ht="13.2" x14ac:dyDescent="0.25">
      <c r="A510" s="5"/>
      <c r="B510" s="5"/>
      <c r="C510" s="5"/>
      <c r="D510" s="5"/>
      <c r="E510" s="5"/>
      <c r="F510" s="5"/>
      <c r="G510" s="5"/>
    </row>
    <row r="511" spans="1:7" ht="13.2" x14ac:dyDescent="0.25">
      <c r="A511" s="5"/>
      <c r="B511" s="5"/>
      <c r="C511" s="5"/>
      <c r="D511" s="5"/>
      <c r="E511" s="5"/>
      <c r="F511" s="5"/>
      <c r="G511" s="5"/>
    </row>
    <row r="512" spans="1:7" ht="13.2" x14ac:dyDescent="0.25">
      <c r="A512" s="5"/>
      <c r="B512" s="5"/>
      <c r="C512" s="5"/>
      <c r="D512" s="5"/>
      <c r="E512" s="5"/>
      <c r="F512" s="5"/>
      <c r="G512" s="5"/>
    </row>
    <row r="513" spans="1:7" ht="13.2" x14ac:dyDescent="0.25">
      <c r="A513" s="5"/>
      <c r="B513" s="5"/>
      <c r="C513" s="5"/>
      <c r="D513" s="5"/>
      <c r="E513" s="5"/>
      <c r="F513" s="5"/>
      <c r="G513" s="5"/>
    </row>
    <row r="514" spans="1:7" ht="13.2" x14ac:dyDescent="0.25">
      <c r="A514" s="5"/>
      <c r="B514" s="5"/>
      <c r="C514" s="5"/>
      <c r="D514" s="5"/>
      <c r="E514" s="5"/>
      <c r="F514" s="5"/>
      <c r="G514" s="5"/>
    </row>
    <row r="515" spans="1:7" ht="13.2" x14ac:dyDescent="0.25">
      <c r="A515" s="5"/>
      <c r="B515" s="5"/>
      <c r="C515" s="5"/>
      <c r="D515" s="5"/>
      <c r="E515" s="5"/>
      <c r="F515" s="5"/>
      <c r="G515" s="5"/>
    </row>
    <row r="516" spans="1:7" ht="13.2" x14ac:dyDescent="0.25">
      <c r="A516" s="5"/>
      <c r="B516" s="5"/>
      <c r="C516" s="5"/>
      <c r="D516" s="5"/>
      <c r="E516" s="5"/>
      <c r="F516" s="5"/>
      <c r="G516" s="5"/>
    </row>
    <row r="517" spans="1:7" ht="13.2" x14ac:dyDescent="0.25">
      <c r="A517" s="5"/>
      <c r="B517" s="5"/>
      <c r="C517" s="5"/>
      <c r="D517" s="5"/>
      <c r="E517" s="5"/>
      <c r="F517" s="5"/>
      <c r="G517" s="5"/>
    </row>
    <row r="518" spans="1:7" ht="13.2" x14ac:dyDescent="0.25">
      <c r="A518" s="5"/>
      <c r="B518" s="5"/>
      <c r="C518" s="5"/>
      <c r="D518" s="5"/>
      <c r="E518" s="5"/>
      <c r="F518" s="5"/>
      <c r="G518" s="5"/>
    </row>
    <row r="519" spans="1:7" ht="13.2" x14ac:dyDescent="0.25">
      <c r="A519" s="5"/>
      <c r="B519" s="5"/>
      <c r="C519" s="5"/>
      <c r="D519" s="5"/>
      <c r="E519" s="5"/>
      <c r="F519" s="5"/>
      <c r="G519" s="5"/>
    </row>
    <row r="520" spans="1:7" ht="13.2" x14ac:dyDescent="0.25">
      <c r="A520" s="5"/>
      <c r="B520" s="5"/>
      <c r="C520" s="5"/>
      <c r="D520" s="5"/>
      <c r="E520" s="5"/>
      <c r="F520" s="5"/>
      <c r="G520" s="5"/>
    </row>
    <row r="521" spans="1:7" ht="13.2" x14ac:dyDescent="0.25">
      <c r="A521" s="5"/>
      <c r="B521" s="5"/>
      <c r="C521" s="5"/>
      <c r="D521" s="5"/>
      <c r="E521" s="5"/>
      <c r="F521" s="5"/>
      <c r="G521" s="5"/>
    </row>
    <row r="522" spans="1:7" ht="13.2" x14ac:dyDescent="0.25">
      <c r="A522" s="5"/>
      <c r="B522" s="5"/>
      <c r="C522" s="5"/>
      <c r="D522" s="5"/>
      <c r="E522" s="5"/>
      <c r="F522" s="5"/>
      <c r="G522" s="5"/>
    </row>
    <row r="523" spans="1:7" ht="13.2" x14ac:dyDescent="0.25">
      <c r="A523" s="5"/>
      <c r="B523" s="5"/>
      <c r="C523" s="5"/>
      <c r="D523" s="5"/>
      <c r="E523" s="5"/>
      <c r="F523" s="5"/>
      <c r="G523" s="5"/>
    </row>
    <row r="524" spans="1:7" ht="13.2" x14ac:dyDescent="0.25">
      <c r="A524" s="5"/>
      <c r="B524" s="5"/>
      <c r="C524" s="5"/>
      <c r="D524" s="5"/>
      <c r="E524" s="5"/>
      <c r="F524" s="5"/>
      <c r="G524" s="5"/>
    </row>
    <row r="525" spans="1:7" ht="13.2" x14ac:dyDescent="0.25">
      <c r="A525" s="5"/>
      <c r="B525" s="5"/>
      <c r="C525" s="5"/>
      <c r="D525" s="5"/>
      <c r="E525" s="5"/>
      <c r="F525" s="5"/>
      <c r="G525" s="5"/>
    </row>
    <row r="526" spans="1:7" ht="13.2" x14ac:dyDescent="0.25">
      <c r="A526" s="5"/>
      <c r="B526" s="5"/>
      <c r="C526" s="5"/>
      <c r="D526" s="5"/>
      <c r="E526" s="5"/>
      <c r="F526" s="5"/>
      <c r="G526" s="5"/>
    </row>
    <row r="527" spans="1:7" ht="13.2" x14ac:dyDescent="0.25">
      <c r="A527" s="5"/>
      <c r="B527" s="5"/>
      <c r="C527" s="5"/>
      <c r="D527" s="5"/>
      <c r="E527" s="5"/>
      <c r="F527" s="5"/>
      <c r="G527" s="5"/>
    </row>
    <row r="528" spans="1:7" ht="13.2" x14ac:dyDescent="0.25">
      <c r="A528" s="5"/>
      <c r="B528" s="5"/>
      <c r="C528" s="5"/>
      <c r="D528" s="5"/>
      <c r="E528" s="5"/>
      <c r="F528" s="5"/>
      <c r="G528" s="5"/>
    </row>
    <row r="529" spans="1:7" ht="13.2" x14ac:dyDescent="0.25">
      <c r="A529" s="5"/>
      <c r="B529" s="5"/>
      <c r="C529" s="5"/>
      <c r="D529" s="5"/>
      <c r="E529" s="5"/>
      <c r="F529" s="5"/>
      <c r="G529" s="5"/>
    </row>
    <row r="530" spans="1:7" ht="13.2" x14ac:dyDescent="0.25">
      <c r="A530" s="5"/>
      <c r="B530" s="5"/>
      <c r="C530" s="5"/>
      <c r="D530" s="5"/>
      <c r="E530" s="5"/>
      <c r="F530" s="5"/>
      <c r="G530" s="5"/>
    </row>
    <row r="531" spans="1:7" ht="13.2" x14ac:dyDescent="0.25">
      <c r="A531" s="5"/>
      <c r="B531" s="5"/>
      <c r="C531" s="5"/>
      <c r="D531" s="5"/>
      <c r="E531" s="5"/>
      <c r="F531" s="5"/>
      <c r="G531" s="5"/>
    </row>
    <row r="532" spans="1:7" ht="13.2" x14ac:dyDescent="0.25">
      <c r="A532" s="5"/>
      <c r="B532" s="5"/>
      <c r="C532" s="5"/>
      <c r="D532" s="5"/>
      <c r="E532" s="5"/>
      <c r="F532" s="5"/>
      <c r="G532" s="5"/>
    </row>
    <row r="533" spans="1:7" ht="13.2" x14ac:dyDescent="0.25">
      <c r="A533" s="5"/>
      <c r="B533" s="5"/>
      <c r="C533" s="5"/>
      <c r="D533" s="5"/>
      <c r="E533" s="5"/>
      <c r="F533" s="5"/>
      <c r="G533" s="5"/>
    </row>
    <row r="534" spans="1:7" ht="13.2" x14ac:dyDescent="0.25">
      <c r="A534" s="5"/>
      <c r="B534" s="5"/>
      <c r="C534" s="5"/>
      <c r="D534" s="5"/>
      <c r="E534" s="5"/>
      <c r="F534" s="5"/>
      <c r="G534" s="5"/>
    </row>
    <row r="535" spans="1:7" ht="13.2" x14ac:dyDescent="0.25">
      <c r="A535" s="5"/>
      <c r="B535" s="5"/>
      <c r="C535" s="5"/>
      <c r="D535" s="5"/>
      <c r="E535" s="5"/>
      <c r="F535" s="5"/>
      <c r="G535" s="5"/>
    </row>
    <row r="536" spans="1:7" ht="13.2" x14ac:dyDescent="0.25">
      <c r="A536" s="5"/>
      <c r="B536" s="5"/>
      <c r="C536" s="5"/>
      <c r="D536" s="5"/>
      <c r="E536" s="5"/>
      <c r="F536" s="5"/>
      <c r="G536" s="5"/>
    </row>
    <row r="537" spans="1:7" ht="13.2" x14ac:dyDescent="0.25">
      <c r="A537" s="5"/>
      <c r="B537" s="5"/>
      <c r="C537" s="5"/>
      <c r="D537" s="5"/>
      <c r="E537" s="5"/>
      <c r="F537" s="5"/>
      <c r="G537" s="5"/>
    </row>
    <row r="538" spans="1:7" ht="13.2" x14ac:dyDescent="0.25">
      <c r="A538" s="5"/>
      <c r="B538" s="5"/>
      <c r="C538" s="5"/>
      <c r="D538" s="5"/>
      <c r="E538" s="5"/>
      <c r="F538" s="5"/>
      <c r="G538" s="5"/>
    </row>
    <row r="539" spans="1:7" ht="13.2" x14ac:dyDescent="0.25">
      <c r="A539" s="5"/>
      <c r="B539" s="5"/>
      <c r="C539" s="5"/>
      <c r="D539" s="5"/>
      <c r="E539" s="5"/>
      <c r="F539" s="5"/>
      <c r="G539" s="5"/>
    </row>
    <row r="540" spans="1:7" ht="13.2" x14ac:dyDescent="0.25">
      <c r="A540" s="5"/>
      <c r="B540" s="5"/>
      <c r="C540" s="5"/>
      <c r="D540" s="5"/>
      <c r="E540" s="5"/>
      <c r="F540" s="5"/>
      <c r="G540" s="5"/>
    </row>
    <row r="541" spans="1:7" ht="13.2" x14ac:dyDescent="0.25">
      <c r="A541" s="5"/>
      <c r="B541" s="5"/>
      <c r="C541" s="5"/>
      <c r="D541" s="5"/>
      <c r="E541" s="5"/>
      <c r="F541" s="5"/>
      <c r="G541" s="5"/>
    </row>
    <row r="542" spans="1:7" ht="13.2" x14ac:dyDescent="0.25">
      <c r="A542" s="5"/>
      <c r="B542" s="5"/>
      <c r="C542" s="5"/>
      <c r="D542" s="5"/>
      <c r="E542" s="5"/>
      <c r="F542" s="5"/>
      <c r="G542" s="5"/>
    </row>
    <row r="543" spans="1:7" ht="13.2" x14ac:dyDescent="0.25">
      <c r="A543" s="5"/>
      <c r="B543" s="5"/>
      <c r="C543" s="5"/>
      <c r="D543" s="5"/>
      <c r="E543" s="5"/>
      <c r="F543" s="5"/>
      <c r="G543" s="5"/>
    </row>
    <row r="544" spans="1:7" ht="13.2" x14ac:dyDescent="0.25">
      <c r="A544" s="5"/>
      <c r="B544" s="5"/>
      <c r="C544" s="5"/>
      <c r="D544" s="5"/>
      <c r="E544" s="5"/>
      <c r="F544" s="5"/>
      <c r="G544" s="5"/>
    </row>
    <row r="545" spans="1:7" ht="13.2" x14ac:dyDescent="0.25">
      <c r="A545" s="5"/>
      <c r="B545" s="5"/>
      <c r="C545" s="5"/>
      <c r="D545" s="5"/>
      <c r="E545" s="5"/>
      <c r="F545" s="5"/>
      <c r="G545" s="5"/>
    </row>
    <row r="546" spans="1:7" ht="13.2" x14ac:dyDescent="0.25">
      <c r="A546" s="5"/>
      <c r="B546" s="5"/>
      <c r="C546" s="5"/>
      <c r="D546" s="5"/>
      <c r="E546" s="5"/>
      <c r="F546" s="5"/>
      <c r="G546" s="5"/>
    </row>
    <row r="547" spans="1:7" ht="13.2" x14ac:dyDescent="0.25">
      <c r="A547" s="5"/>
      <c r="B547" s="5"/>
      <c r="C547" s="5"/>
      <c r="D547" s="5"/>
      <c r="E547" s="5"/>
      <c r="F547" s="5"/>
      <c r="G547" s="5"/>
    </row>
    <row r="548" spans="1:7" ht="13.2" x14ac:dyDescent="0.25">
      <c r="A548" s="5"/>
      <c r="B548" s="5"/>
      <c r="C548" s="5"/>
      <c r="D548" s="5"/>
      <c r="E548" s="5"/>
      <c r="F548" s="5"/>
      <c r="G548" s="5"/>
    </row>
    <row r="549" spans="1:7" ht="13.2" x14ac:dyDescent="0.25">
      <c r="A549" s="5"/>
      <c r="B549" s="5"/>
      <c r="C549" s="5"/>
      <c r="D549" s="5"/>
      <c r="E549" s="5"/>
      <c r="F549" s="5"/>
      <c r="G549" s="5"/>
    </row>
    <row r="550" spans="1:7" ht="13.2" x14ac:dyDescent="0.25">
      <c r="A550" s="5"/>
      <c r="B550" s="5"/>
      <c r="C550" s="5"/>
      <c r="D550" s="5"/>
      <c r="E550" s="5"/>
      <c r="F550" s="5"/>
      <c r="G550" s="5"/>
    </row>
    <row r="551" spans="1:7" ht="13.2" x14ac:dyDescent="0.25">
      <c r="A551" s="5"/>
      <c r="B551" s="5"/>
      <c r="C551" s="5"/>
      <c r="D551" s="5"/>
      <c r="E551" s="5"/>
      <c r="F551" s="5"/>
      <c r="G551" s="5"/>
    </row>
    <row r="552" spans="1:7" ht="13.2" x14ac:dyDescent="0.25">
      <c r="A552" s="5"/>
      <c r="B552" s="5"/>
      <c r="C552" s="5"/>
      <c r="D552" s="5"/>
      <c r="E552" s="5"/>
      <c r="F552" s="5"/>
      <c r="G552" s="5"/>
    </row>
    <row r="553" spans="1:7" ht="13.2" x14ac:dyDescent="0.25">
      <c r="A553" s="5"/>
      <c r="B553" s="5"/>
      <c r="C553" s="5"/>
      <c r="D553" s="5"/>
      <c r="E553" s="5"/>
      <c r="F553" s="5"/>
      <c r="G553" s="5"/>
    </row>
    <row r="554" spans="1:7" ht="13.2" x14ac:dyDescent="0.25">
      <c r="A554" s="5"/>
      <c r="B554" s="5"/>
      <c r="C554" s="5"/>
      <c r="D554" s="5"/>
      <c r="E554" s="5"/>
      <c r="F554" s="5"/>
      <c r="G554" s="5"/>
    </row>
    <row r="555" spans="1:7" ht="13.2" x14ac:dyDescent="0.25">
      <c r="A555" s="5"/>
      <c r="B555" s="5"/>
      <c r="C555" s="5"/>
      <c r="D555" s="5"/>
      <c r="E555" s="5"/>
      <c r="F555" s="5"/>
      <c r="G555" s="5"/>
    </row>
    <row r="556" spans="1:7" ht="13.2" x14ac:dyDescent="0.25">
      <c r="A556" s="5"/>
      <c r="B556" s="5"/>
      <c r="C556" s="5"/>
      <c r="D556" s="5"/>
      <c r="E556" s="5"/>
      <c r="F556" s="5"/>
      <c r="G556" s="5"/>
    </row>
    <row r="557" spans="1:7" ht="13.2" x14ac:dyDescent="0.25">
      <c r="A557" s="5"/>
      <c r="B557" s="5"/>
      <c r="C557" s="5"/>
      <c r="D557" s="5"/>
      <c r="E557" s="5"/>
      <c r="F557" s="5"/>
      <c r="G557" s="5"/>
    </row>
    <row r="558" spans="1:7" ht="13.2" x14ac:dyDescent="0.25">
      <c r="A558" s="5"/>
      <c r="B558" s="5"/>
      <c r="C558" s="5"/>
      <c r="D558" s="5"/>
      <c r="E558" s="5"/>
      <c r="F558" s="5"/>
      <c r="G558" s="5"/>
    </row>
    <row r="559" spans="1:7" ht="13.2" x14ac:dyDescent="0.25">
      <c r="A559" s="5"/>
      <c r="B559" s="5"/>
      <c r="C559" s="5"/>
      <c r="D559" s="5"/>
      <c r="E559" s="5"/>
      <c r="F559" s="5"/>
      <c r="G559" s="5"/>
    </row>
    <row r="560" spans="1:7" ht="13.2" x14ac:dyDescent="0.25">
      <c r="A560" s="5"/>
      <c r="B560" s="5"/>
      <c r="C560" s="5"/>
      <c r="D560" s="5"/>
      <c r="E560" s="5"/>
      <c r="F560" s="5"/>
      <c r="G560" s="5"/>
    </row>
    <row r="561" spans="1:7" ht="13.2" x14ac:dyDescent="0.25">
      <c r="A561" s="5"/>
      <c r="B561" s="5"/>
      <c r="C561" s="5"/>
      <c r="D561" s="5"/>
      <c r="E561" s="5"/>
      <c r="F561" s="5"/>
      <c r="G561" s="5"/>
    </row>
    <row r="562" spans="1:7" ht="13.2" x14ac:dyDescent="0.25">
      <c r="A562" s="5"/>
      <c r="B562" s="5"/>
      <c r="C562" s="5"/>
      <c r="D562" s="5"/>
      <c r="E562" s="5"/>
      <c r="F562" s="5"/>
      <c r="G562" s="5"/>
    </row>
    <row r="563" spans="1:7" ht="13.2" x14ac:dyDescent="0.25">
      <c r="A563" s="5"/>
      <c r="B563" s="5"/>
      <c r="C563" s="5"/>
      <c r="D563" s="5"/>
      <c r="E563" s="5"/>
      <c r="F563" s="5"/>
      <c r="G563" s="5"/>
    </row>
    <row r="564" spans="1:7" ht="13.2" x14ac:dyDescent="0.25">
      <c r="A564" s="5"/>
      <c r="B564" s="5"/>
      <c r="C564" s="5"/>
      <c r="D564" s="5"/>
      <c r="E564" s="5"/>
      <c r="F564" s="5"/>
      <c r="G564" s="5"/>
    </row>
    <row r="565" spans="1:7" ht="13.2" x14ac:dyDescent="0.25">
      <c r="A565" s="5"/>
      <c r="B565" s="5"/>
      <c r="C565" s="5"/>
      <c r="D565" s="5"/>
      <c r="E565" s="5"/>
      <c r="F565" s="5"/>
      <c r="G565" s="5"/>
    </row>
    <row r="566" spans="1:7" ht="13.2" x14ac:dyDescent="0.25">
      <c r="A566" s="5"/>
      <c r="B566" s="5"/>
      <c r="C566" s="5"/>
      <c r="D566" s="5"/>
      <c r="E566" s="5"/>
      <c r="F566" s="5"/>
      <c r="G566" s="5"/>
    </row>
    <row r="567" spans="1:7" ht="13.2" x14ac:dyDescent="0.25">
      <c r="A567" s="5"/>
      <c r="B567" s="5"/>
      <c r="C567" s="5"/>
      <c r="D567" s="5"/>
      <c r="E567" s="5"/>
      <c r="F567" s="5"/>
      <c r="G567" s="5"/>
    </row>
    <row r="568" spans="1:7" ht="13.2" x14ac:dyDescent="0.25">
      <c r="A568" s="5"/>
      <c r="B568" s="5"/>
      <c r="C568" s="5"/>
      <c r="D568" s="5"/>
      <c r="E568" s="5"/>
      <c r="F568" s="5"/>
      <c r="G568" s="5"/>
    </row>
    <row r="569" spans="1:7" ht="13.2" x14ac:dyDescent="0.25">
      <c r="A569" s="5"/>
      <c r="B569" s="5"/>
      <c r="C569" s="5"/>
      <c r="D569" s="5"/>
      <c r="E569" s="5"/>
      <c r="F569" s="5"/>
      <c r="G569" s="5"/>
    </row>
    <row r="570" spans="1:7" ht="13.2" x14ac:dyDescent="0.25">
      <c r="A570" s="5"/>
      <c r="B570" s="5"/>
      <c r="C570" s="5"/>
      <c r="D570" s="5"/>
      <c r="E570" s="5"/>
      <c r="F570" s="5"/>
      <c r="G570" s="5"/>
    </row>
    <row r="571" spans="1:7" ht="13.2" x14ac:dyDescent="0.25">
      <c r="A571" s="5"/>
      <c r="B571" s="5"/>
      <c r="C571" s="5"/>
      <c r="D571" s="5"/>
      <c r="E571" s="5"/>
      <c r="F571" s="5"/>
      <c r="G571" s="5"/>
    </row>
    <row r="572" spans="1:7" ht="13.2" x14ac:dyDescent="0.25">
      <c r="A572" s="5"/>
      <c r="B572" s="5"/>
      <c r="C572" s="5"/>
      <c r="D572" s="5"/>
      <c r="E572" s="5"/>
      <c r="F572" s="5"/>
      <c r="G572" s="5"/>
    </row>
    <row r="573" spans="1:7" ht="13.2" x14ac:dyDescent="0.25">
      <c r="A573" s="5"/>
      <c r="B573" s="5"/>
      <c r="C573" s="5"/>
      <c r="D573" s="5"/>
      <c r="E573" s="5"/>
      <c r="F573" s="5"/>
      <c r="G573" s="5"/>
    </row>
    <row r="574" spans="1:7" ht="13.2" x14ac:dyDescent="0.25">
      <c r="A574" s="5"/>
      <c r="B574" s="5"/>
      <c r="C574" s="5"/>
      <c r="D574" s="5"/>
      <c r="E574" s="5"/>
      <c r="F574" s="5"/>
      <c r="G574" s="5"/>
    </row>
    <row r="575" spans="1:7" ht="13.2" x14ac:dyDescent="0.25">
      <c r="A575" s="5"/>
      <c r="B575" s="5"/>
      <c r="C575" s="5"/>
      <c r="D575" s="5"/>
      <c r="E575" s="5"/>
      <c r="F575" s="5"/>
      <c r="G575" s="5"/>
    </row>
    <row r="576" spans="1:7" ht="13.2" x14ac:dyDescent="0.25">
      <c r="A576" s="5"/>
      <c r="B576" s="5"/>
      <c r="C576" s="5"/>
      <c r="D576" s="5"/>
      <c r="E576" s="5"/>
      <c r="F576" s="5"/>
      <c r="G576" s="5"/>
    </row>
    <row r="577" spans="1:7" ht="13.2" x14ac:dyDescent="0.25">
      <c r="A577" s="5"/>
      <c r="B577" s="5"/>
      <c r="C577" s="5"/>
      <c r="D577" s="5"/>
      <c r="E577" s="5"/>
      <c r="F577" s="5"/>
      <c r="G577" s="5"/>
    </row>
    <row r="578" spans="1:7" ht="13.2" x14ac:dyDescent="0.25">
      <c r="A578" s="5"/>
      <c r="B578" s="5"/>
      <c r="C578" s="5"/>
      <c r="D578" s="5"/>
      <c r="E578" s="5"/>
      <c r="F578" s="5"/>
      <c r="G578" s="5"/>
    </row>
    <row r="579" spans="1:7" ht="13.2" x14ac:dyDescent="0.25">
      <c r="A579" s="5"/>
      <c r="B579" s="5"/>
      <c r="C579" s="5"/>
      <c r="D579" s="5"/>
      <c r="E579" s="5"/>
      <c r="F579" s="5"/>
      <c r="G579" s="5"/>
    </row>
    <row r="580" spans="1:7" ht="13.2" x14ac:dyDescent="0.25">
      <c r="A580" s="5"/>
      <c r="B580" s="5"/>
      <c r="C580" s="5"/>
      <c r="D580" s="5"/>
      <c r="E580" s="5"/>
      <c r="F580" s="5"/>
      <c r="G580" s="5"/>
    </row>
    <row r="581" spans="1:7" ht="13.2" x14ac:dyDescent="0.25">
      <c r="A581" s="5"/>
      <c r="B581" s="5"/>
      <c r="C581" s="5"/>
      <c r="D581" s="5"/>
      <c r="E581" s="5"/>
      <c r="F581" s="5"/>
      <c r="G581" s="5"/>
    </row>
    <row r="582" spans="1:7" ht="13.2" x14ac:dyDescent="0.25">
      <c r="A582" s="5"/>
      <c r="B582" s="5"/>
      <c r="C582" s="5"/>
      <c r="D582" s="5"/>
      <c r="E582" s="5"/>
      <c r="F582" s="5"/>
      <c r="G582" s="5"/>
    </row>
    <row r="583" spans="1:7" ht="13.2" x14ac:dyDescent="0.25">
      <c r="A583" s="5"/>
      <c r="B583" s="5"/>
      <c r="C583" s="5"/>
      <c r="D583" s="5"/>
      <c r="E583" s="5"/>
      <c r="F583" s="5"/>
      <c r="G583" s="5"/>
    </row>
    <row r="584" spans="1:7" ht="13.2" x14ac:dyDescent="0.25">
      <c r="A584" s="5"/>
      <c r="B584" s="5"/>
      <c r="C584" s="5"/>
      <c r="D584" s="5"/>
      <c r="E584" s="5"/>
      <c r="F584" s="5"/>
      <c r="G584" s="5"/>
    </row>
    <row r="585" spans="1:7" ht="13.2" x14ac:dyDescent="0.25">
      <c r="A585" s="5"/>
      <c r="B585" s="5"/>
      <c r="C585" s="5"/>
      <c r="D585" s="5"/>
      <c r="E585" s="5"/>
      <c r="F585" s="5"/>
      <c r="G585" s="5"/>
    </row>
    <row r="586" spans="1:7" ht="13.2" x14ac:dyDescent="0.25">
      <c r="A586" s="5"/>
      <c r="B586" s="5"/>
      <c r="C586" s="5"/>
      <c r="D586" s="5"/>
      <c r="E586" s="5"/>
      <c r="F586" s="5"/>
      <c r="G586" s="5"/>
    </row>
    <row r="587" spans="1:7" ht="13.2" x14ac:dyDescent="0.25">
      <c r="A587" s="5"/>
      <c r="B587" s="5"/>
      <c r="C587" s="5"/>
      <c r="D587" s="5"/>
      <c r="E587" s="5"/>
      <c r="F587" s="5"/>
      <c r="G587" s="5"/>
    </row>
    <row r="588" spans="1:7" ht="13.2" x14ac:dyDescent="0.25">
      <c r="A588" s="5"/>
      <c r="B588" s="5"/>
      <c r="C588" s="5"/>
      <c r="D588" s="5"/>
      <c r="E588" s="5"/>
      <c r="F588" s="5"/>
      <c r="G588" s="5"/>
    </row>
    <row r="589" spans="1:7" ht="13.2" x14ac:dyDescent="0.25">
      <c r="A589" s="5"/>
      <c r="B589" s="5"/>
      <c r="C589" s="5"/>
      <c r="D589" s="5"/>
      <c r="E589" s="5"/>
      <c r="F589" s="5"/>
      <c r="G589" s="5"/>
    </row>
    <row r="590" spans="1:7" ht="13.2" x14ac:dyDescent="0.25">
      <c r="A590" s="5"/>
      <c r="B590" s="5"/>
      <c r="C590" s="5"/>
      <c r="D590" s="5"/>
      <c r="E590" s="5"/>
      <c r="F590" s="5"/>
      <c r="G590" s="5"/>
    </row>
    <row r="591" spans="1:7" ht="13.2" x14ac:dyDescent="0.25">
      <c r="A591" s="5"/>
      <c r="B591" s="5"/>
      <c r="C591" s="5"/>
      <c r="D591" s="5"/>
      <c r="E591" s="5"/>
      <c r="F591" s="5"/>
      <c r="G591" s="5"/>
    </row>
    <row r="592" spans="1:7" ht="13.2" x14ac:dyDescent="0.25">
      <c r="A592" s="5"/>
      <c r="B592" s="5"/>
      <c r="C592" s="5"/>
      <c r="D592" s="5"/>
      <c r="E592" s="5"/>
      <c r="F592" s="5"/>
      <c r="G592" s="5"/>
    </row>
    <row r="593" spans="1:7" ht="13.2" x14ac:dyDescent="0.25">
      <c r="A593" s="5"/>
      <c r="B593" s="5"/>
      <c r="C593" s="5"/>
      <c r="D593" s="5"/>
      <c r="E593" s="5"/>
      <c r="F593" s="5"/>
      <c r="G593" s="5"/>
    </row>
    <row r="594" spans="1:7" ht="13.2" x14ac:dyDescent="0.25">
      <c r="A594" s="5"/>
      <c r="B594" s="5"/>
      <c r="C594" s="5"/>
      <c r="D594" s="5"/>
      <c r="E594" s="5"/>
      <c r="F594" s="5"/>
      <c r="G594" s="5"/>
    </row>
    <row r="595" spans="1:7" ht="13.2" x14ac:dyDescent="0.25">
      <c r="A595" s="5"/>
      <c r="B595" s="5"/>
      <c r="C595" s="5"/>
      <c r="D595" s="5"/>
      <c r="E595" s="5"/>
      <c r="F595" s="5"/>
      <c r="G595" s="5"/>
    </row>
    <row r="596" spans="1:7" ht="13.2" x14ac:dyDescent="0.25">
      <c r="A596" s="5"/>
      <c r="B596" s="5"/>
      <c r="C596" s="5"/>
      <c r="D596" s="5"/>
      <c r="E596" s="5"/>
      <c r="F596" s="5"/>
      <c r="G596" s="5"/>
    </row>
    <row r="597" spans="1:7" ht="13.2" x14ac:dyDescent="0.25">
      <c r="A597" s="5"/>
      <c r="B597" s="5"/>
      <c r="C597" s="5"/>
      <c r="D597" s="5"/>
      <c r="E597" s="5"/>
      <c r="F597" s="5"/>
      <c r="G597" s="5"/>
    </row>
    <row r="598" spans="1:7" ht="13.2" x14ac:dyDescent="0.25">
      <c r="A598" s="5"/>
      <c r="B598" s="5"/>
      <c r="C598" s="5"/>
      <c r="D598" s="5"/>
      <c r="E598" s="5"/>
      <c r="F598" s="5"/>
      <c r="G598" s="5"/>
    </row>
    <row r="599" spans="1:7" ht="13.2" x14ac:dyDescent="0.25">
      <c r="A599" s="5"/>
      <c r="B599" s="5"/>
      <c r="C599" s="5"/>
      <c r="D599" s="5"/>
      <c r="E599" s="5"/>
      <c r="F599" s="5"/>
      <c r="G599" s="5"/>
    </row>
    <row r="600" spans="1:7" ht="13.2" x14ac:dyDescent="0.25">
      <c r="A600" s="5"/>
      <c r="B600" s="5"/>
      <c r="C600" s="5"/>
      <c r="D600" s="5"/>
      <c r="E600" s="5"/>
      <c r="F600" s="5"/>
      <c r="G600" s="5"/>
    </row>
    <row r="601" spans="1:7" ht="13.2" x14ac:dyDescent="0.25">
      <c r="A601" s="5"/>
      <c r="B601" s="5"/>
      <c r="C601" s="5"/>
      <c r="D601" s="5"/>
      <c r="E601" s="5"/>
      <c r="F601" s="5"/>
      <c r="G601" s="5"/>
    </row>
    <row r="602" spans="1:7" ht="13.2" x14ac:dyDescent="0.25">
      <c r="A602" s="5"/>
      <c r="B602" s="5"/>
      <c r="C602" s="5"/>
      <c r="D602" s="5"/>
      <c r="E602" s="5"/>
      <c r="F602" s="5"/>
      <c r="G602" s="5"/>
    </row>
    <row r="603" spans="1:7" ht="13.2" x14ac:dyDescent="0.25">
      <c r="A603" s="5"/>
      <c r="B603" s="5"/>
      <c r="C603" s="5"/>
      <c r="D603" s="5"/>
      <c r="E603" s="5"/>
      <c r="F603" s="5"/>
      <c r="G603" s="5"/>
    </row>
    <row r="604" spans="1:7" ht="13.2" x14ac:dyDescent="0.25">
      <c r="A604" s="5"/>
      <c r="B604" s="5"/>
      <c r="C604" s="5"/>
      <c r="D604" s="5"/>
      <c r="E604" s="5"/>
      <c r="F604" s="5"/>
      <c r="G604" s="5"/>
    </row>
    <row r="605" spans="1:7" ht="13.2" x14ac:dyDescent="0.25">
      <c r="A605" s="5"/>
      <c r="B605" s="5"/>
      <c r="C605" s="5"/>
      <c r="D605" s="5"/>
      <c r="E605" s="5"/>
      <c r="F605" s="5"/>
      <c r="G605" s="5"/>
    </row>
    <row r="606" spans="1:7" ht="13.2" x14ac:dyDescent="0.25">
      <c r="A606" s="5"/>
      <c r="B606" s="5"/>
      <c r="C606" s="5"/>
      <c r="D606" s="5"/>
      <c r="E606" s="5"/>
      <c r="F606" s="5"/>
      <c r="G606" s="5"/>
    </row>
    <row r="607" spans="1:7" ht="13.2" x14ac:dyDescent="0.25">
      <c r="A607" s="5"/>
      <c r="B607" s="5"/>
      <c r="C607" s="5"/>
      <c r="D607" s="5"/>
      <c r="E607" s="5"/>
      <c r="F607" s="5"/>
      <c r="G607" s="5"/>
    </row>
    <row r="608" spans="1:7" ht="13.2" x14ac:dyDescent="0.25">
      <c r="A608" s="5"/>
      <c r="B608" s="5"/>
      <c r="C608" s="5"/>
      <c r="D608" s="5"/>
      <c r="E608" s="5"/>
      <c r="F608" s="5"/>
      <c r="G608" s="5"/>
    </row>
    <row r="609" spans="1:7" ht="13.2" x14ac:dyDescent="0.25">
      <c r="A609" s="5"/>
      <c r="B609" s="5"/>
      <c r="C609" s="5"/>
      <c r="D609" s="5"/>
      <c r="E609" s="5"/>
      <c r="F609" s="5"/>
      <c r="G609" s="5"/>
    </row>
    <row r="610" spans="1:7" ht="13.2" x14ac:dyDescent="0.25">
      <c r="A610" s="5"/>
      <c r="B610" s="5"/>
      <c r="C610" s="5"/>
      <c r="D610" s="5"/>
      <c r="E610" s="5"/>
      <c r="F610" s="5"/>
      <c r="G610" s="5"/>
    </row>
    <row r="611" spans="1:7" ht="13.2" x14ac:dyDescent="0.25">
      <c r="A611" s="5"/>
      <c r="B611" s="5"/>
      <c r="C611" s="5"/>
      <c r="D611" s="5"/>
      <c r="E611" s="5"/>
      <c r="F611" s="5"/>
      <c r="G611" s="5"/>
    </row>
    <row r="612" spans="1:7" ht="13.2" x14ac:dyDescent="0.25">
      <c r="A612" s="5"/>
      <c r="B612" s="5"/>
      <c r="C612" s="5"/>
      <c r="D612" s="5"/>
      <c r="E612" s="5"/>
      <c r="F612" s="5"/>
      <c r="G612" s="5"/>
    </row>
    <row r="613" spans="1:7" ht="13.2" x14ac:dyDescent="0.25">
      <c r="A613" s="5"/>
      <c r="B613" s="5"/>
      <c r="C613" s="5"/>
      <c r="D613" s="5"/>
      <c r="E613" s="5"/>
      <c r="F613" s="5"/>
      <c r="G613" s="5"/>
    </row>
    <row r="614" spans="1:7" ht="13.2" x14ac:dyDescent="0.25">
      <c r="A614" s="5"/>
      <c r="B614" s="5"/>
      <c r="C614" s="5"/>
      <c r="D614" s="5"/>
      <c r="E614" s="5"/>
      <c r="F614" s="5"/>
      <c r="G614" s="5"/>
    </row>
    <row r="615" spans="1:7" ht="13.2" x14ac:dyDescent="0.25">
      <c r="A615" s="5"/>
      <c r="B615" s="5"/>
      <c r="C615" s="5"/>
      <c r="D615" s="5"/>
      <c r="E615" s="5"/>
      <c r="F615" s="5"/>
      <c r="G615" s="5"/>
    </row>
    <row r="616" spans="1:7" ht="13.2" x14ac:dyDescent="0.25">
      <c r="A616" s="5"/>
      <c r="B616" s="5"/>
      <c r="C616" s="5"/>
      <c r="D616" s="5"/>
      <c r="E616" s="5"/>
      <c r="F616" s="5"/>
      <c r="G616" s="5"/>
    </row>
    <row r="617" spans="1:7" ht="13.2" x14ac:dyDescent="0.25">
      <c r="A617" s="5"/>
      <c r="B617" s="5"/>
      <c r="C617" s="5"/>
      <c r="D617" s="5"/>
      <c r="E617" s="5"/>
      <c r="F617" s="5"/>
      <c r="G617" s="5"/>
    </row>
    <row r="618" spans="1:7" ht="13.2" x14ac:dyDescent="0.25">
      <c r="A618" s="5"/>
      <c r="B618" s="5"/>
      <c r="C618" s="5"/>
      <c r="D618" s="5"/>
      <c r="E618" s="5"/>
      <c r="F618" s="5"/>
      <c r="G618" s="5"/>
    </row>
    <row r="619" spans="1:7" ht="13.2" x14ac:dyDescent="0.25">
      <c r="A619" s="5"/>
      <c r="B619" s="5"/>
      <c r="C619" s="5"/>
      <c r="D619" s="5"/>
      <c r="E619" s="5"/>
      <c r="F619" s="5"/>
      <c r="G619" s="5"/>
    </row>
    <row r="620" spans="1:7" ht="13.2" x14ac:dyDescent="0.25">
      <c r="A620" s="5"/>
      <c r="B620" s="5"/>
      <c r="C620" s="5"/>
      <c r="D620" s="5"/>
      <c r="E620" s="5"/>
      <c r="F620" s="5"/>
      <c r="G620" s="5"/>
    </row>
    <row r="621" spans="1:7" ht="13.2" x14ac:dyDescent="0.25">
      <c r="A621" s="5"/>
      <c r="B621" s="5"/>
      <c r="C621" s="5"/>
      <c r="D621" s="5"/>
      <c r="E621" s="5"/>
      <c r="F621" s="5"/>
      <c r="G621" s="5"/>
    </row>
    <row r="622" spans="1:7" ht="13.2" x14ac:dyDescent="0.25">
      <c r="A622" s="5"/>
      <c r="B622" s="5"/>
      <c r="C622" s="5"/>
      <c r="D622" s="5"/>
      <c r="E622" s="5"/>
      <c r="F622" s="5"/>
      <c r="G622" s="5"/>
    </row>
    <row r="623" spans="1:7" ht="13.2" x14ac:dyDescent="0.25">
      <c r="A623" s="5"/>
      <c r="B623" s="5"/>
      <c r="C623" s="5"/>
      <c r="D623" s="5"/>
      <c r="E623" s="5"/>
      <c r="F623" s="5"/>
      <c r="G623" s="5"/>
    </row>
    <row r="624" spans="1:7" ht="13.2" x14ac:dyDescent="0.25">
      <c r="A624" s="5"/>
      <c r="B624" s="5"/>
      <c r="C624" s="5"/>
      <c r="D624" s="5"/>
      <c r="E624" s="5"/>
      <c r="F624" s="5"/>
      <c r="G624" s="5"/>
    </row>
    <row r="625" spans="1:7" ht="13.2" x14ac:dyDescent="0.25">
      <c r="A625" s="5"/>
      <c r="B625" s="5"/>
      <c r="C625" s="5"/>
      <c r="D625" s="5"/>
      <c r="E625" s="5"/>
      <c r="F625" s="5"/>
      <c r="G625" s="5"/>
    </row>
    <row r="626" spans="1:7" ht="13.2" x14ac:dyDescent="0.25">
      <c r="A626" s="5"/>
      <c r="B626" s="5"/>
      <c r="C626" s="5"/>
      <c r="D626" s="5"/>
      <c r="E626" s="5"/>
      <c r="F626" s="5"/>
      <c r="G626" s="5"/>
    </row>
    <row r="627" spans="1:7" ht="13.2" x14ac:dyDescent="0.25">
      <c r="A627" s="5"/>
      <c r="B627" s="5"/>
      <c r="C627" s="5"/>
      <c r="D627" s="5"/>
      <c r="E627" s="5"/>
      <c r="F627" s="5"/>
      <c r="G627" s="5"/>
    </row>
    <row r="628" spans="1:7" ht="13.2" x14ac:dyDescent="0.25">
      <c r="A628" s="5"/>
      <c r="B628" s="5"/>
      <c r="C628" s="5"/>
      <c r="D628" s="5"/>
      <c r="E628" s="5"/>
      <c r="F628" s="5"/>
      <c r="G628" s="5"/>
    </row>
    <row r="629" spans="1:7" ht="13.2" x14ac:dyDescent="0.25">
      <c r="A629" s="5"/>
      <c r="B629" s="5"/>
      <c r="C629" s="5"/>
      <c r="D629" s="5"/>
      <c r="E629" s="5"/>
      <c r="F629" s="5"/>
      <c r="G629" s="5"/>
    </row>
    <row r="630" spans="1:7" ht="13.2" x14ac:dyDescent="0.25">
      <c r="A630" s="5"/>
      <c r="B630" s="5"/>
      <c r="C630" s="5"/>
      <c r="D630" s="5"/>
      <c r="E630" s="5"/>
      <c r="F630" s="5"/>
      <c r="G630" s="5"/>
    </row>
    <row r="631" spans="1:7" ht="13.2" x14ac:dyDescent="0.25">
      <c r="A631" s="5"/>
      <c r="B631" s="5"/>
      <c r="C631" s="5"/>
      <c r="D631" s="5"/>
      <c r="E631" s="5"/>
      <c r="F631" s="5"/>
      <c r="G631" s="5"/>
    </row>
    <row r="632" spans="1:7" ht="13.2" x14ac:dyDescent="0.25">
      <c r="A632" s="5"/>
      <c r="B632" s="5"/>
      <c r="C632" s="5"/>
      <c r="D632" s="5"/>
      <c r="E632" s="5"/>
      <c r="F632" s="5"/>
      <c r="G632" s="5"/>
    </row>
    <row r="633" spans="1:7" ht="13.2" x14ac:dyDescent="0.25">
      <c r="A633" s="5"/>
      <c r="B633" s="5"/>
      <c r="C633" s="5"/>
      <c r="D633" s="5"/>
      <c r="E633" s="5"/>
      <c r="F633" s="5"/>
      <c r="G633" s="5"/>
    </row>
    <row r="634" spans="1:7" ht="13.2" x14ac:dyDescent="0.25">
      <c r="A634" s="5"/>
      <c r="B634" s="5"/>
      <c r="C634" s="5"/>
      <c r="D634" s="5"/>
      <c r="E634" s="5"/>
      <c r="F634" s="5"/>
      <c r="G634" s="5"/>
    </row>
    <row r="635" spans="1:7" ht="13.2" x14ac:dyDescent="0.25">
      <c r="A635" s="5"/>
      <c r="B635" s="5"/>
      <c r="C635" s="5"/>
      <c r="D635" s="5"/>
      <c r="E635" s="5"/>
      <c r="F635" s="5"/>
      <c r="G635" s="5"/>
    </row>
    <row r="636" spans="1:7" ht="13.2" x14ac:dyDescent="0.25">
      <c r="A636" s="5"/>
      <c r="B636" s="5"/>
      <c r="C636" s="5"/>
      <c r="D636" s="5"/>
      <c r="E636" s="5"/>
      <c r="F636" s="5"/>
      <c r="G636" s="5"/>
    </row>
    <row r="637" spans="1:7" ht="13.2" x14ac:dyDescent="0.25">
      <c r="A637" s="5"/>
      <c r="B637" s="5"/>
      <c r="C637" s="5"/>
      <c r="D637" s="5"/>
      <c r="E637" s="5"/>
      <c r="F637" s="5"/>
      <c r="G637" s="5"/>
    </row>
    <row r="638" spans="1:7" ht="13.2" x14ac:dyDescent="0.25">
      <c r="A638" s="5"/>
      <c r="B638" s="5"/>
      <c r="C638" s="5"/>
      <c r="D638" s="5"/>
      <c r="E638" s="5"/>
      <c r="F638" s="5"/>
      <c r="G638" s="5"/>
    </row>
    <row r="639" spans="1:7" ht="13.2" x14ac:dyDescent="0.25">
      <c r="A639" s="5"/>
      <c r="B639" s="5"/>
      <c r="C639" s="5"/>
      <c r="D639" s="5"/>
      <c r="E639" s="5"/>
      <c r="F639" s="5"/>
      <c r="G639" s="5"/>
    </row>
    <row r="640" spans="1:7" ht="13.2" x14ac:dyDescent="0.25">
      <c r="A640" s="5"/>
      <c r="B640" s="5"/>
      <c r="C640" s="5"/>
      <c r="D640" s="5"/>
      <c r="E640" s="5"/>
      <c r="F640" s="5"/>
      <c r="G640" s="5"/>
    </row>
    <row r="641" spans="1:7" ht="13.2" x14ac:dyDescent="0.25">
      <c r="A641" s="5"/>
      <c r="B641" s="5"/>
      <c r="C641" s="5"/>
      <c r="D641" s="5"/>
      <c r="E641" s="5"/>
      <c r="F641" s="5"/>
      <c r="G641" s="5"/>
    </row>
    <row r="642" spans="1:7" ht="13.2" x14ac:dyDescent="0.25">
      <c r="A642" s="5"/>
      <c r="B642" s="5"/>
      <c r="C642" s="5"/>
      <c r="D642" s="5"/>
      <c r="E642" s="5"/>
      <c r="F642" s="5"/>
      <c r="G642" s="5"/>
    </row>
    <row r="643" spans="1:7" ht="13.2" x14ac:dyDescent="0.25">
      <c r="A643" s="5"/>
      <c r="B643" s="5"/>
      <c r="C643" s="5"/>
      <c r="D643" s="5"/>
      <c r="E643" s="5"/>
      <c r="F643" s="5"/>
      <c r="G643" s="5"/>
    </row>
    <row r="644" spans="1:7" ht="13.2" x14ac:dyDescent="0.25">
      <c r="A644" s="5"/>
      <c r="B644" s="5"/>
      <c r="C644" s="5"/>
      <c r="D644" s="5"/>
      <c r="E644" s="5"/>
      <c r="F644" s="5"/>
      <c r="G644" s="5"/>
    </row>
    <row r="645" spans="1:7" ht="13.2" x14ac:dyDescent="0.25">
      <c r="A645" s="5"/>
      <c r="B645" s="5"/>
      <c r="C645" s="5"/>
      <c r="D645" s="5"/>
      <c r="E645" s="5"/>
      <c r="F645" s="5"/>
      <c r="G645" s="5"/>
    </row>
    <row r="646" spans="1:7" ht="13.2" x14ac:dyDescent="0.25">
      <c r="A646" s="5"/>
      <c r="B646" s="5"/>
      <c r="C646" s="5"/>
      <c r="D646" s="5"/>
      <c r="E646" s="5"/>
      <c r="F646" s="5"/>
      <c r="G646" s="5"/>
    </row>
    <row r="647" spans="1:7" ht="13.2" x14ac:dyDescent="0.25">
      <c r="A647" s="5"/>
      <c r="B647" s="5"/>
      <c r="C647" s="5"/>
      <c r="D647" s="5"/>
      <c r="E647" s="5"/>
      <c r="F647" s="5"/>
      <c r="G647" s="5"/>
    </row>
    <row r="648" spans="1:7" ht="13.2" x14ac:dyDescent="0.25">
      <c r="A648" s="5"/>
      <c r="B648" s="5"/>
      <c r="C648" s="5"/>
      <c r="D648" s="5"/>
      <c r="E648" s="5"/>
      <c r="F648" s="5"/>
      <c r="G648" s="5"/>
    </row>
    <row r="649" spans="1:7" ht="13.2" x14ac:dyDescent="0.25">
      <c r="A649" s="5"/>
      <c r="B649" s="5"/>
      <c r="C649" s="5"/>
      <c r="D649" s="5"/>
      <c r="E649" s="5"/>
      <c r="F649" s="5"/>
      <c r="G649" s="5"/>
    </row>
    <row r="650" spans="1:7" ht="13.2" x14ac:dyDescent="0.25">
      <c r="A650" s="5"/>
      <c r="B650" s="5"/>
      <c r="C650" s="5"/>
      <c r="D650" s="5"/>
      <c r="E650" s="5"/>
      <c r="F650" s="5"/>
      <c r="G650" s="5"/>
    </row>
    <row r="651" spans="1:7" ht="13.2" x14ac:dyDescent="0.25">
      <c r="A651" s="5"/>
      <c r="B651" s="5"/>
      <c r="C651" s="5"/>
      <c r="D651" s="5"/>
      <c r="E651" s="5"/>
      <c r="F651" s="5"/>
      <c r="G651" s="5"/>
    </row>
    <row r="652" spans="1:7" ht="13.2" x14ac:dyDescent="0.25">
      <c r="A652" s="5"/>
      <c r="B652" s="5"/>
      <c r="C652" s="5"/>
      <c r="D652" s="5"/>
      <c r="E652" s="5"/>
      <c r="F652" s="5"/>
      <c r="G652" s="5"/>
    </row>
    <row r="653" spans="1:7" ht="13.2" x14ac:dyDescent="0.25">
      <c r="A653" s="5"/>
      <c r="B653" s="5"/>
      <c r="C653" s="5"/>
      <c r="D653" s="5"/>
      <c r="E653" s="5"/>
      <c r="F653" s="5"/>
      <c r="G653" s="5"/>
    </row>
    <row r="654" spans="1:7" ht="13.2" x14ac:dyDescent="0.25">
      <c r="A654" s="5"/>
      <c r="B654" s="5"/>
      <c r="C654" s="5"/>
      <c r="D654" s="5"/>
      <c r="E654" s="5"/>
      <c r="F654" s="5"/>
      <c r="G654" s="5"/>
    </row>
    <row r="655" spans="1:7" ht="13.2" x14ac:dyDescent="0.25">
      <c r="A655" s="5"/>
      <c r="B655" s="5"/>
      <c r="C655" s="5"/>
      <c r="D655" s="5"/>
      <c r="E655" s="5"/>
      <c r="F655" s="5"/>
      <c r="G655" s="5"/>
    </row>
    <row r="656" spans="1:7" ht="13.2" x14ac:dyDescent="0.25">
      <c r="A656" s="5"/>
      <c r="B656" s="5"/>
      <c r="C656" s="5"/>
      <c r="D656" s="5"/>
      <c r="E656" s="5"/>
      <c r="F656" s="5"/>
      <c r="G656" s="5"/>
    </row>
    <row r="657" spans="1:7" ht="13.2" x14ac:dyDescent="0.25">
      <c r="A657" s="5"/>
      <c r="B657" s="5"/>
      <c r="C657" s="5"/>
      <c r="D657" s="5"/>
      <c r="E657" s="5"/>
      <c r="F657" s="5"/>
      <c r="G657" s="5"/>
    </row>
    <row r="658" spans="1:7" ht="13.2" x14ac:dyDescent="0.25">
      <c r="A658" s="5"/>
      <c r="B658" s="5"/>
      <c r="C658" s="5"/>
      <c r="D658" s="5"/>
      <c r="E658" s="5"/>
      <c r="F658" s="5"/>
      <c r="G658" s="5"/>
    </row>
    <row r="659" spans="1:7" ht="13.2" x14ac:dyDescent="0.25">
      <c r="A659" s="5"/>
      <c r="B659" s="5"/>
      <c r="C659" s="5"/>
      <c r="D659" s="5"/>
      <c r="E659" s="5"/>
      <c r="F659" s="5"/>
      <c r="G659" s="5"/>
    </row>
    <row r="660" spans="1:7" ht="13.2" x14ac:dyDescent="0.25">
      <c r="A660" s="5"/>
      <c r="B660" s="5"/>
      <c r="C660" s="5"/>
      <c r="D660" s="5"/>
      <c r="E660" s="5"/>
      <c r="F660" s="5"/>
      <c r="G660" s="5"/>
    </row>
    <row r="661" spans="1:7" ht="13.2" x14ac:dyDescent="0.25">
      <c r="A661" s="5"/>
      <c r="B661" s="5"/>
      <c r="C661" s="5"/>
      <c r="D661" s="5"/>
      <c r="E661" s="5"/>
      <c r="F661" s="5"/>
      <c r="G661" s="5"/>
    </row>
    <row r="662" spans="1:7" ht="13.2" x14ac:dyDescent="0.25">
      <c r="A662" s="5"/>
      <c r="B662" s="5"/>
      <c r="C662" s="5"/>
      <c r="D662" s="5"/>
      <c r="E662" s="5"/>
      <c r="F662" s="5"/>
      <c r="G662" s="5"/>
    </row>
    <row r="663" spans="1:7" ht="13.2" x14ac:dyDescent="0.25">
      <c r="A663" s="5"/>
      <c r="B663" s="5"/>
      <c r="C663" s="5"/>
      <c r="D663" s="5"/>
      <c r="E663" s="5"/>
      <c r="F663" s="5"/>
      <c r="G663" s="5"/>
    </row>
    <row r="664" spans="1:7" ht="13.2" x14ac:dyDescent="0.25">
      <c r="A664" s="5"/>
      <c r="B664" s="5"/>
      <c r="C664" s="5"/>
      <c r="D664" s="5"/>
      <c r="E664" s="5"/>
      <c r="F664" s="5"/>
      <c r="G664" s="5"/>
    </row>
    <row r="665" spans="1:7" ht="13.2" x14ac:dyDescent="0.25">
      <c r="A665" s="5"/>
      <c r="B665" s="5"/>
      <c r="C665" s="5"/>
      <c r="D665" s="5"/>
      <c r="E665" s="5"/>
      <c r="F665" s="5"/>
      <c r="G665" s="5"/>
    </row>
    <row r="666" spans="1:7" ht="13.2" x14ac:dyDescent="0.25">
      <c r="A666" s="5"/>
      <c r="B666" s="5"/>
      <c r="C666" s="5"/>
      <c r="D666" s="5"/>
      <c r="E666" s="5"/>
      <c r="F666" s="5"/>
      <c r="G666" s="5"/>
    </row>
    <row r="667" spans="1:7" ht="13.2" x14ac:dyDescent="0.25">
      <c r="A667" s="5"/>
      <c r="B667" s="5"/>
      <c r="C667" s="5"/>
      <c r="D667" s="5"/>
      <c r="E667" s="5"/>
      <c r="F667" s="5"/>
      <c r="G667" s="5"/>
    </row>
    <row r="668" spans="1:7" ht="13.2" x14ac:dyDescent="0.25">
      <c r="A668" s="5"/>
      <c r="B668" s="5"/>
      <c r="C668" s="5"/>
      <c r="D668" s="5"/>
      <c r="E668" s="5"/>
      <c r="F668" s="5"/>
      <c r="G668" s="5"/>
    </row>
    <row r="669" spans="1:7" ht="13.2" x14ac:dyDescent="0.25">
      <c r="A669" s="5"/>
      <c r="B669" s="5"/>
      <c r="C669" s="5"/>
      <c r="D669" s="5"/>
      <c r="E669" s="5"/>
      <c r="F669" s="5"/>
      <c r="G669" s="5"/>
    </row>
    <row r="670" spans="1:7" ht="13.2" x14ac:dyDescent="0.25">
      <c r="A670" s="5"/>
      <c r="B670" s="5"/>
      <c r="C670" s="5"/>
      <c r="D670" s="5"/>
      <c r="E670" s="5"/>
      <c r="F670" s="5"/>
      <c r="G670" s="5"/>
    </row>
    <row r="671" spans="1:7" ht="13.2" x14ac:dyDescent="0.25">
      <c r="A671" s="5"/>
      <c r="B671" s="5"/>
      <c r="C671" s="5"/>
      <c r="D671" s="5"/>
      <c r="E671" s="5"/>
      <c r="F671" s="5"/>
      <c r="G671" s="5"/>
    </row>
    <row r="672" spans="1:7" ht="13.2" x14ac:dyDescent="0.25">
      <c r="A672" s="5"/>
      <c r="B672" s="5"/>
      <c r="C672" s="5"/>
      <c r="D672" s="5"/>
      <c r="E672" s="5"/>
      <c r="F672" s="5"/>
      <c r="G672" s="5"/>
    </row>
    <row r="673" spans="1:7" ht="13.2" x14ac:dyDescent="0.25">
      <c r="A673" s="5"/>
      <c r="B673" s="5"/>
      <c r="C673" s="5"/>
      <c r="D673" s="5"/>
      <c r="E673" s="5"/>
      <c r="F673" s="5"/>
      <c r="G673" s="5"/>
    </row>
    <row r="674" spans="1:7" ht="13.2" x14ac:dyDescent="0.25">
      <c r="A674" s="5"/>
      <c r="B674" s="5"/>
      <c r="C674" s="5"/>
      <c r="D674" s="5"/>
      <c r="E674" s="5"/>
      <c r="F674" s="5"/>
      <c r="G674" s="5"/>
    </row>
    <row r="675" spans="1:7" ht="13.2" x14ac:dyDescent="0.25">
      <c r="A675" s="5"/>
      <c r="B675" s="5"/>
      <c r="C675" s="5"/>
      <c r="D675" s="5"/>
      <c r="E675" s="5"/>
      <c r="F675" s="5"/>
      <c r="G675" s="5"/>
    </row>
    <row r="676" spans="1:7" ht="13.2" x14ac:dyDescent="0.25">
      <c r="A676" s="5"/>
      <c r="B676" s="5"/>
      <c r="C676" s="5"/>
      <c r="D676" s="5"/>
      <c r="E676" s="5"/>
      <c r="F676" s="5"/>
      <c r="G676" s="5"/>
    </row>
    <row r="677" spans="1:7" ht="13.2" x14ac:dyDescent="0.25">
      <c r="A677" s="5"/>
      <c r="B677" s="5"/>
      <c r="C677" s="5"/>
      <c r="D677" s="5"/>
      <c r="E677" s="5"/>
      <c r="F677" s="5"/>
      <c r="G677" s="5"/>
    </row>
    <row r="678" spans="1:7" ht="13.2" x14ac:dyDescent="0.25">
      <c r="A678" s="5"/>
      <c r="B678" s="5"/>
      <c r="C678" s="5"/>
      <c r="D678" s="5"/>
      <c r="E678" s="5"/>
      <c r="F678" s="5"/>
      <c r="G678" s="5"/>
    </row>
    <row r="679" spans="1:7" ht="13.2" x14ac:dyDescent="0.25">
      <c r="A679" s="5"/>
      <c r="B679" s="5"/>
      <c r="C679" s="5"/>
      <c r="D679" s="5"/>
      <c r="E679" s="5"/>
      <c r="F679" s="5"/>
      <c r="G679" s="5"/>
    </row>
    <row r="680" spans="1:7" ht="13.2" x14ac:dyDescent="0.25">
      <c r="A680" s="5"/>
      <c r="B680" s="5"/>
      <c r="C680" s="5"/>
      <c r="D680" s="5"/>
      <c r="E680" s="5"/>
      <c r="F680" s="5"/>
      <c r="G680" s="5"/>
    </row>
    <row r="681" spans="1:7" ht="13.2" x14ac:dyDescent="0.25">
      <c r="A681" s="5"/>
      <c r="B681" s="5"/>
      <c r="C681" s="5"/>
      <c r="D681" s="5"/>
      <c r="E681" s="5"/>
      <c r="F681" s="5"/>
      <c r="G681" s="5"/>
    </row>
    <row r="682" spans="1:7" ht="13.2" x14ac:dyDescent="0.25">
      <c r="A682" s="5"/>
      <c r="B682" s="5"/>
      <c r="C682" s="5"/>
      <c r="D682" s="5"/>
      <c r="E682" s="5"/>
      <c r="F682" s="5"/>
      <c r="G682" s="5"/>
    </row>
    <row r="683" spans="1:7" ht="13.2" x14ac:dyDescent="0.25">
      <c r="A683" s="5"/>
      <c r="B683" s="5"/>
      <c r="C683" s="5"/>
      <c r="D683" s="5"/>
      <c r="E683" s="5"/>
      <c r="F683" s="5"/>
      <c r="G683" s="5"/>
    </row>
    <row r="684" spans="1:7" ht="13.2" x14ac:dyDescent="0.25">
      <c r="A684" s="5"/>
      <c r="B684" s="5"/>
      <c r="C684" s="5"/>
      <c r="D684" s="5"/>
      <c r="E684" s="5"/>
      <c r="F684" s="5"/>
      <c r="G684" s="5"/>
    </row>
    <row r="685" spans="1:7" ht="13.2" x14ac:dyDescent="0.25">
      <c r="A685" s="5"/>
      <c r="B685" s="5"/>
      <c r="C685" s="5"/>
      <c r="D685" s="5"/>
      <c r="E685" s="5"/>
      <c r="F685" s="5"/>
      <c r="G685" s="5"/>
    </row>
    <row r="686" spans="1:7" ht="13.2" x14ac:dyDescent="0.25">
      <c r="A686" s="5"/>
      <c r="B686" s="5"/>
      <c r="C686" s="5"/>
      <c r="D686" s="5"/>
      <c r="E686" s="5"/>
      <c r="F686" s="5"/>
      <c r="G686" s="5"/>
    </row>
    <row r="687" spans="1:7" ht="13.2" x14ac:dyDescent="0.25">
      <c r="A687" s="5"/>
      <c r="B687" s="5"/>
      <c r="C687" s="5"/>
      <c r="D687" s="5"/>
      <c r="E687" s="5"/>
      <c r="F687" s="5"/>
      <c r="G687" s="5"/>
    </row>
    <row r="688" spans="1:7" ht="13.2" x14ac:dyDescent="0.25">
      <c r="A688" s="5"/>
      <c r="B688" s="5"/>
      <c r="C688" s="5"/>
      <c r="D688" s="5"/>
      <c r="E688" s="5"/>
      <c r="F688" s="5"/>
      <c r="G688" s="5"/>
    </row>
    <row r="689" spans="1:7" ht="13.2" x14ac:dyDescent="0.25">
      <c r="A689" s="5"/>
      <c r="B689" s="5"/>
      <c r="C689" s="5"/>
      <c r="D689" s="5"/>
      <c r="E689" s="5"/>
      <c r="F689" s="5"/>
      <c r="G689" s="5"/>
    </row>
    <row r="690" spans="1:7" ht="13.2" x14ac:dyDescent="0.25">
      <c r="A690" s="5"/>
      <c r="B690" s="5"/>
      <c r="C690" s="5"/>
      <c r="D690" s="5"/>
      <c r="E690" s="5"/>
      <c r="F690" s="5"/>
      <c r="G690" s="5"/>
    </row>
    <row r="691" spans="1:7" ht="13.2" x14ac:dyDescent="0.25">
      <c r="A691" s="5"/>
      <c r="B691" s="5"/>
      <c r="C691" s="5"/>
      <c r="D691" s="5"/>
      <c r="E691" s="5"/>
      <c r="F691" s="5"/>
      <c r="G691" s="5"/>
    </row>
    <row r="692" spans="1:7" ht="13.2" x14ac:dyDescent="0.25">
      <c r="A692" s="5"/>
      <c r="B692" s="5"/>
      <c r="C692" s="5"/>
      <c r="D692" s="5"/>
      <c r="E692" s="5"/>
      <c r="F692" s="5"/>
      <c r="G692" s="5"/>
    </row>
    <row r="693" spans="1:7" ht="13.2" x14ac:dyDescent="0.25">
      <c r="A693" s="5"/>
      <c r="B693" s="5"/>
      <c r="C693" s="5"/>
      <c r="D693" s="5"/>
      <c r="E693" s="5"/>
      <c r="F693" s="5"/>
      <c r="G693" s="5"/>
    </row>
    <row r="694" spans="1:7" ht="13.2" x14ac:dyDescent="0.25">
      <c r="A694" s="5"/>
      <c r="B694" s="5"/>
      <c r="C694" s="5"/>
      <c r="D694" s="5"/>
      <c r="E694" s="5"/>
      <c r="F694" s="5"/>
      <c r="G694" s="5"/>
    </row>
    <row r="695" spans="1:7" ht="13.2" x14ac:dyDescent="0.25">
      <c r="A695" s="5"/>
      <c r="B695" s="5"/>
      <c r="C695" s="5"/>
      <c r="D695" s="5"/>
      <c r="E695" s="5"/>
      <c r="F695" s="5"/>
      <c r="G695" s="5"/>
    </row>
    <row r="696" spans="1:7" ht="13.2" x14ac:dyDescent="0.25">
      <c r="A696" s="5"/>
      <c r="B696" s="5"/>
      <c r="C696" s="5"/>
      <c r="D696" s="5"/>
      <c r="E696" s="5"/>
      <c r="F696" s="5"/>
      <c r="G696" s="5"/>
    </row>
    <row r="697" spans="1:7" ht="13.2" x14ac:dyDescent="0.25">
      <c r="A697" s="5"/>
      <c r="B697" s="5"/>
      <c r="C697" s="5"/>
      <c r="D697" s="5"/>
      <c r="E697" s="5"/>
      <c r="F697" s="5"/>
      <c r="G697" s="5"/>
    </row>
    <row r="698" spans="1:7" ht="13.2" x14ac:dyDescent="0.25">
      <c r="A698" s="5"/>
      <c r="B698" s="5"/>
      <c r="C698" s="5"/>
      <c r="D698" s="5"/>
      <c r="E698" s="5"/>
      <c r="F698" s="5"/>
      <c r="G698" s="5"/>
    </row>
    <row r="699" spans="1:7" ht="13.2" x14ac:dyDescent="0.25">
      <c r="A699" s="5"/>
      <c r="B699" s="5"/>
      <c r="C699" s="5"/>
      <c r="D699" s="5"/>
      <c r="E699" s="5"/>
      <c r="F699" s="5"/>
      <c r="G699" s="5"/>
    </row>
    <row r="700" spans="1:7" ht="13.2" x14ac:dyDescent="0.25">
      <c r="A700" s="5"/>
      <c r="B700" s="5"/>
      <c r="C700" s="5"/>
      <c r="D700" s="5"/>
      <c r="E700" s="5"/>
      <c r="F700" s="5"/>
      <c r="G700" s="5"/>
    </row>
    <row r="701" spans="1:7" ht="13.2" x14ac:dyDescent="0.25">
      <c r="A701" s="5"/>
      <c r="B701" s="5"/>
      <c r="C701" s="5"/>
      <c r="D701" s="5"/>
      <c r="E701" s="5"/>
      <c r="F701" s="5"/>
      <c r="G701" s="5"/>
    </row>
    <row r="702" spans="1:7" ht="13.2" x14ac:dyDescent="0.25">
      <c r="A702" s="5"/>
      <c r="B702" s="5"/>
      <c r="C702" s="5"/>
      <c r="D702" s="5"/>
      <c r="E702" s="5"/>
      <c r="F702" s="5"/>
      <c r="G702" s="5"/>
    </row>
    <row r="703" spans="1:7" ht="13.2" x14ac:dyDescent="0.25">
      <c r="A703" s="5"/>
      <c r="B703" s="5"/>
      <c r="C703" s="5"/>
      <c r="D703" s="5"/>
      <c r="E703" s="5"/>
      <c r="F703" s="5"/>
      <c r="G703" s="5"/>
    </row>
    <row r="704" spans="1:7" ht="13.2" x14ac:dyDescent="0.25">
      <c r="A704" s="5"/>
      <c r="B704" s="5"/>
      <c r="C704" s="5"/>
      <c r="D704" s="5"/>
      <c r="E704" s="5"/>
      <c r="F704" s="5"/>
      <c r="G704" s="5"/>
    </row>
    <row r="705" spans="1:7" ht="13.2" x14ac:dyDescent="0.25">
      <c r="A705" s="5"/>
      <c r="B705" s="5"/>
      <c r="C705" s="5"/>
      <c r="D705" s="5"/>
      <c r="E705" s="5"/>
      <c r="F705" s="5"/>
      <c r="G705" s="5"/>
    </row>
    <row r="706" spans="1:7" ht="13.2" x14ac:dyDescent="0.25">
      <c r="A706" s="5"/>
      <c r="B706" s="5"/>
      <c r="C706" s="5"/>
      <c r="D706" s="5"/>
      <c r="E706" s="5"/>
      <c r="F706" s="5"/>
      <c r="G706" s="5"/>
    </row>
    <row r="707" spans="1:7" ht="13.2" x14ac:dyDescent="0.25">
      <c r="A707" s="5"/>
      <c r="B707" s="5"/>
      <c r="C707" s="5"/>
      <c r="D707" s="5"/>
      <c r="E707" s="5"/>
      <c r="F707" s="5"/>
      <c r="G707" s="5"/>
    </row>
    <row r="708" spans="1:7" ht="13.2" x14ac:dyDescent="0.25">
      <c r="A708" s="5"/>
      <c r="B708" s="5"/>
      <c r="C708" s="5"/>
      <c r="D708" s="5"/>
      <c r="E708" s="5"/>
      <c r="F708" s="5"/>
      <c r="G708" s="5"/>
    </row>
    <row r="709" spans="1:7" ht="13.2" x14ac:dyDescent="0.25">
      <c r="A709" s="5"/>
      <c r="B709" s="5"/>
      <c r="C709" s="5"/>
      <c r="D709" s="5"/>
      <c r="E709" s="5"/>
      <c r="F709" s="5"/>
      <c r="G709" s="5"/>
    </row>
    <row r="710" spans="1:7" ht="13.2" x14ac:dyDescent="0.25">
      <c r="A710" s="5"/>
      <c r="B710" s="5"/>
      <c r="C710" s="5"/>
      <c r="D710" s="5"/>
      <c r="E710" s="5"/>
      <c r="F710" s="5"/>
      <c r="G710" s="5"/>
    </row>
    <row r="711" spans="1:7" ht="13.2" x14ac:dyDescent="0.25">
      <c r="A711" s="5"/>
      <c r="B711" s="5"/>
      <c r="C711" s="5"/>
      <c r="D711" s="5"/>
      <c r="E711" s="5"/>
      <c r="F711" s="5"/>
      <c r="G711" s="5"/>
    </row>
    <row r="712" spans="1:7" ht="13.2" x14ac:dyDescent="0.25">
      <c r="A712" s="5"/>
      <c r="B712" s="5"/>
      <c r="C712" s="5"/>
      <c r="D712" s="5"/>
      <c r="E712" s="5"/>
      <c r="F712" s="5"/>
      <c r="G712" s="5"/>
    </row>
    <row r="713" spans="1:7" ht="13.2" x14ac:dyDescent="0.25">
      <c r="A713" s="5"/>
      <c r="B713" s="5"/>
      <c r="C713" s="5"/>
      <c r="D713" s="5"/>
      <c r="E713" s="5"/>
      <c r="F713" s="5"/>
      <c r="G713" s="5"/>
    </row>
    <row r="714" spans="1:7" ht="13.2" x14ac:dyDescent="0.25">
      <c r="A714" s="5"/>
      <c r="B714" s="5"/>
      <c r="C714" s="5"/>
      <c r="D714" s="5"/>
      <c r="E714" s="5"/>
      <c r="F714" s="5"/>
      <c r="G714" s="5"/>
    </row>
    <row r="715" spans="1:7" ht="13.2" x14ac:dyDescent="0.25">
      <c r="A715" s="5"/>
      <c r="B715" s="5"/>
      <c r="C715" s="5"/>
      <c r="D715" s="5"/>
      <c r="E715" s="5"/>
      <c r="F715" s="5"/>
      <c r="G715" s="5"/>
    </row>
    <row r="716" spans="1:7" ht="13.2" x14ac:dyDescent="0.25">
      <c r="A716" s="5"/>
      <c r="B716" s="5"/>
      <c r="C716" s="5"/>
      <c r="D716" s="5"/>
      <c r="E716" s="5"/>
      <c r="F716" s="5"/>
      <c r="G716" s="5"/>
    </row>
    <row r="717" spans="1:7" ht="13.2" x14ac:dyDescent="0.25">
      <c r="A717" s="5"/>
      <c r="B717" s="5"/>
      <c r="C717" s="5"/>
      <c r="D717" s="5"/>
      <c r="E717" s="5"/>
      <c r="F717" s="5"/>
      <c r="G717" s="5"/>
    </row>
    <row r="718" spans="1:7" ht="13.2" x14ac:dyDescent="0.25">
      <c r="A718" s="5"/>
      <c r="B718" s="5"/>
      <c r="C718" s="5"/>
      <c r="D718" s="5"/>
      <c r="E718" s="5"/>
      <c r="F718" s="5"/>
      <c r="G718" s="5"/>
    </row>
    <row r="719" spans="1:7" ht="13.2" x14ac:dyDescent="0.25">
      <c r="A719" s="5"/>
      <c r="B719" s="5"/>
      <c r="C719" s="5"/>
      <c r="D719" s="5"/>
      <c r="E719" s="5"/>
      <c r="F719" s="5"/>
      <c r="G719" s="5"/>
    </row>
    <row r="720" spans="1:7" ht="13.2" x14ac:dyDescent="0.25">
      <c r="A720" s="5"/>
      <c r="B720" s="5"/>
      <c r="C720" s="5"/>
      <c r="D720" s="5"/>
      <c r="E720" s="5"/>
      <c r="F720" s="5"/>
      <c r="G720" s="5"/>
    </row>
    <row r="721" spans="1:7" ht="13.2" x14ac:dyDescent="0.25">
      <c r="A721" s="5"/>
      <c r="B721" s="5"/>
      <c r="C721" s="5"/>
      <c r="D721" s="5"/>
      <c r="E721" s="5"/>
      <c r="F721" s="5"/>
      <c r="G721" s="5"/>
    </row>
    <row r="722" spans="1:7" ht="13.2" x14ac:dyDescent="0.25">
      <c r="A722" s="5"/>
      <c r="B722" s="5"/>
      <c r="C722" s="5"/>
      <c r="D722" s="5"/>
      <c r="E722" s="5"/>
      <c r="F722" s="5"/>
      <c r="G722" s="5"/>
    </row>
    <row r="723" spans="1:7" ht="13.2" x14ac:dyDescent="0.25">
      <c r="A723" s="5"/>
      <c r="B723" s="5"/>
      <c r="C723" s="5"/>
      <c r="D723" s="5"/>
      <c r="E723" s="5"/>
      <c r="F723" s="5"/>
      <c r="G723" s="5"/>
    </row>
    <row r="724" spans="1:7" ht="13.2" x14ac:dyDescent="0.25">
      <c r="A724" s="5"/>
      <c r="B724" s="5"/>
      <c r="C724" s="5"/>
      <c r="D724" s="5"/>
      <c r="E724" s="5"/>
      <c r="F724" s="5"/>
      <c r="G724" s="5"/>
    </row>
    <row r="725" spans="1:7" ht="13.2" x14ac:dyDescent="0.25">
      <c r="A725" s="5"/>
      <c r="B725" s="5"/>
      <c r="C725" s="5"/>
      <c r="D725" s="5"/>
      <c r="E725" s="5"/>
      <c r="F725" s="5"/>
      <c r="G725" s="5"/>
    </row>
    <row r="726" spans="1:7" ht="13.2" x14ac:dyDescent="0.25">
      <c r="A726" s="5"/>
      <c r="B726" s="5"/>
      <c r="C726" s="5"/>
      <c r="D726" s="5"/>
      <c r="E726" s="5"/>
      <c r="F726" s="5"/>
      <c r="G726" s="5"/>
    </row>
    <row r="727" spans="1:7" ht="13.2" x14ac:dyDescent="0.25">
      <c r="A727" s="5"/>
      <c r="B727" s="5"/>
      <c r="C727" s="5"/>
      <c r="D727" s="5"/>
      <c r="E727" s="5"/>
      <c r="F727" s="5"/>
      <c r="G727" s="5"/>
    </row>
    <row r="728" spans="1:7" ht="13.2" x14ac:dyDescent="0.25">
      <c r="A728" s="5"/>
      <c r="B728" s="5"/>
      <c r="C728" s="5"/>
      <c r="D728" s="5"/>
      <c r="E728" s="5"/>
      <c r="F728" s="5"/>
      <c r="G728" s="5"/>
    </row>
    <row r="729" spans="1:7" ht="13.2" x14ac:dyDescent="0.25">
      <c r="A729" s="5"/>
      <c r="B729" s="5"/>
      <c r="C729" s="5"/>
      <c r="D729" s="5"/>
      <c r="E729" s="5"/>
      <c r="F729" s="5"/>
      <c r="G729" s="5"/>
    </row>
    <row r="730" spans="1:7" ht="13.2" x14ac:dyDescent="0.25">
      <c r="A730" s="5"/>
      <c r="B730" s="5"/>
      <c r="C730" s="5"/>
      <c r="D730" s="5"/>
      <c r="E730" s="5"/>
      <c r="F730" s="5"/>
      <c r="G730" s="5"/>
    </row>
    <row r="731" spans="1:7" ht="13.2" x14ac:dyDescent="0.25">
      <c r="A731" s="5"/>
      <c r="B731" s="5"/>
      <c r="C731" s="5"/>
      <c r="D731" s="5"/>
      <c r="E731" s="5"/>
      <c r="F731" s="5"/>
      <c r="G731" s="5"/>
    </row>
    <row r="732" spans="1:7" ht="13.2" x14ac:dyDescent="0.25">
      <c r="A732" s="5"/>
      <c r="B732" s="5"/>
      <c r="C732" s="5"/>
      <c r="D732" s="5"/>
      <c r="E732" s="5"/>
      <c r="F732" s="5"/>
      <c r="G732" s="5"/>
    </row>
    <row r="733" spans="1:7" ht="13.2" x14ac:dyDescent="0.25">
      <c r="A733" s="5"/>
      <c r="B733" s="5"/>
      <c r="C733" s="5"/>
      <c r="D733" s="5"/>
      <c r="E733" s="5"/>
      <c r="F733" s="5"/>
      <c r="G733" s="5"/>
    </row>
    <row r="734" spans="1:7" ht="13.2" x14ac:dyDescent="0.25">
      <c r="A734" s="5"/>
      <c r="B734" s="5"/>
      <c r="C734" s="5"/>
      <c r="D734" s="5"/>
      <c r="E734" s="5"/>
      <c r="F734" s="5"/>
      <c r="G734" s="5"/>
    </row>
    <row r="735" spans="1:7" ht="13.2" x14ac:dyDescent="0.25">
      <c r="A735" s="5"/>
      <c r="B735" s="5"/>
      <c r="C735" s="5"/>
      <c r="D735" s="5"/>
      <c r="E735" s="5"/>
      <c r="F735" s="5"/>
      <c r="G735" s="5"/>
    </row>
    <row r="736" spans="1:7" ht="13.2" x14ac:dyDescent="0.25">
      <c r="A736" s="5"/>
      <c r="B736" s="5"/>
      <c r="C736" s="5"/>
      <c r="D736" s="5"/>
      <c r="E736" s="5"/>
      <c r="F736" s="5"/>
      <c r="G736" s="5"/>
    </row>
    <row r="737" spans="1:7" ht="13.2" x14ac:dyDescent="0.25">
      <c r="A737" s="5"/>
      <c r="B737" s="5"/>
      <c r="C737" s="5"/>
      <c r="D737" s="5"/>
      <c r="E737" s="5"/>
      <c r="F737" s="5"/>
      <c r="G737" s="5"/>
    </row>
    <row r="738" spans="1:7" ht="13.2" x14ac:dyDescent="0.25">
      <c r="A738" s="5"/>
      <c r="B738" s="5"/>
      <c r="C738" s="5"/>
      <c r="D738" s="5"/>
      <c r="E738" s="5"/>
      <c r="F738" s="5"/>
      <c r="G738" s="5"/>
    </row>
    <row r="739" spans="1:7" ht="13.2" x14ac:dyDescent="0.25">
      <c r="A739" s="5"/>
      <c r="B739" s="5"/>
      <c r="C739" s="5"/>
      <c r="D739" s="5"/>
      <c r="E739" s="5"/>
      <c r="F739" s="5"/>
      <c r="G739" s="5"/>
    </row>
    <row r="740" spans="1:7" ht="13.2" x14ac:dyDescent="0.25">
      <c r="A740" s="5"/>
      <c r="B740" s="5"/>
      <c r="C740" s="5"/>
      <c r="D740" s="5"/>
      <c r="E740" s="5"/>
      <c r="F740" s="5"/>
      <c r="G740" s="5"/>
    </row>
    <row r="741" spans="1:7" ht="13.2" x14ac:dyDescent="0.25">
      <c r="A741" s="5"/>
      <c r="B741" s="5"/>
      <c r="C741" s="5"/>
      <c r="D741" s="5"/>
      <c r="E741" s="5"/>
      <c r="F741" s="5"/>
      <c r="G741" s="5"/>
    </row>
    <row r="742" spans="1:7" ht="13.2" x14ac:dyDescent="0.25">
      <c r="A742" s="5"/>
      <c r="B742" s="5"/>
      <c r="C742" s="5"/>
      <c r="D742" s="5"/>
      <c r="E742" s="5"/>
      <c r="F742" s="5"/>
      <c r="G742" s="5"/>
    </row>
    <row r="743" spans="1:7" ht="13.2" x14ac:dyDescent="0.25">
      <c r="A743" s="5"/>
      <c r="B743" s="5"/>
      <c r="C743" s="5"/>
      <c r="D743" s="5"/>
      <c r="E743" s="5"/>
      <c r="F743" s="5"/>
      <c r="G743" s="5"/>
    </row>
    <row r="744" spans="1:7" ht="13.2" x14ac:dyDescent="0.25">
      <c r="A744" s="5"/>
      <c r="B744" s="5"/>
      <c r="C744" s="5"/>
      <c r="D744" s="5"/>
      <c r="E744" s="5"/>
      <c r="F744" s="5"/>
      <c r="G744" s="5"/>
    </row>
    <row r="745" spans="1:7" ht="13.2" x14ac:dyDescent="0.25">
      <c r="A745" s="5"/>
      <c r="B745" s="5"/>
      <c r="C745" s="5"/>
      <c r="D745" s="5"/>
      <c r="E745" s="5"/>
      <c r="F745" s="5"/>
      <c r="G745" s="5"/>
    </row>
    <row r="746" spans="1:7" ht="13.2" x14ac:dyDescent="0.25">
      <c r="A746" s="5"/>
      <c r="B746" s="5"/>
      <c r="C746" s="5"/>
      <c r="D746" s="5"/>
      <c r="E746" s="5"/>
      <c r="F746" s="5"/>
      <c r="G746" s="5"/>
    </row>
    <row r="747" spans="1:7" ht="13.2" x14ac:dyDescent="0.25">
      <c r="A747" s="5"/>
      <c r="B747" s="5"/>
      <c r="C747" s="5"/>
      <c r="D747" s="5"/>
      <c r="E747" s="5"/>
      <c r="F747" s="5"/>
      <c r="G747" s="5"/>
    </row>
    <row r="748" spans="1:7" ht="13.2" x14ac:dyDescent="0.25">
      <c r="A748" s="5"/>
      <c r="B748" s="5"/>
      <c r="C748" s="5"/>
      <c r="D748" s="5"/>
      <c r="E748" s="5"/>
      <c r="F748" s="5"/>
      <c r="G748" s="5"/>
    </row>
    <row r="749" spans="1:7" ht="13.2" x14ac:dyDescent="0.25">
      <c r="A749" s="5"/>
      <c r="B749" s="5"/>
      <c r="C749" s="5"/>
      <c r="D749" s="5"/>
      <c r="E749" s="5"/>
      <c r="F749" s="5"/>
      <c r="G749" s="5"/>
    </row>
    <row r="750" spans="1:7" ht="13.2" x14ac:dyDescent="0.25">
      <c r="A750" s="5"/>
      <c r="B750" s="5"/>
      <c r="C750" s="5"/>
      <c r="D750" s="5"/>
      <c r="E750" s="5"/>
      <c r="F750" s="5"/>
      <c r="G750" s="5"/>
    </row>
    <row r="751" spans="1:7" ht="13.2" x14ac:dyDescent="0.25">
      <c r="A751" s="5"/>
      <c r="B751" s="5"/>
      <c r="C751" s="5"/>
      <c r="D751" s="5"/>
      <c r="E751" s="5"/>
      <c r="F751" s="5"/>
      <c r="G751" s="5"/>
    </row>
    <row r="752" spans="1:7" ht="13.2" x14ac:dyDescent="0.25">
      <c r="A752" s="5"/>
      <c r="B752" s="5"/>
      <c r="C752" s="5"/>
      <c r="D752" s="5"/>
      <c r="E752" s="5"/>
      <c r="F752" s="5"/>
      <c r="G752" s="5"/>
    </row>
    <row r="753" spans="1:7" ht="13.2" x14ac:dyDescent="0.25">
      <c r="A753" s="5"/>
      <c r="B753" s="5"/>
      <c r="C753" s="5"/>
      <c r="D753" s="5"/>
      <c r="E753" s="5"/>
      <c r="F753" s="5"/>
      <c r="G753" s="5"/>
    </row>
    <row r="754" spans="1:7" ht="13.2" x14ac:dyDescent="0.25">
      <c r="A754" s="5"/>
      <c r="B754" s="5"/>
      <c r="C754" s="5"/>
      <c r="D754" s="5"/>
      <c r="E754" s="5"/>
      <c r="F754" s="5"/>
      <c r="G754" s="5"/>
    </row>
    <row r="755" spans="1:7" ht="13.2" x14ac:dyDescent="0.25">
      <c r="A755" s="5"/>
      <c r="B755" s="5"/>
      <c r="C755" s="5"/>
      <c r="D755" s="5"/>
      <c r="E755" s="5"/>
      <c r="F755" s="5"/>
      <c r="G755" s="5"/>
    </row>
    <row r="756" spans="1:7" ht="13.2" x14ac:dyDescent="0.25">
      <c r="A756" s="5"/>
      <c r="B756" s="5"/>
      <c r="C756" s="5"/>
      <c r="D756" s="5"/>
      <c r="E756" s="5"/>
      <c r="F756" s="5"/>
      <c r="G756" s="5"/>
    </row>
    <row r="757" spans="1:7" ht="13.2" x14ac:dyDescent="0.25">
      <c r="A757" s="5"/>
      <c r="B757" s="5"/>
      <c r="C757" s="5"/>
      <c r="D757" s="5"/>
      <c r="E757" s="5"/>
      <c r="F757" s="5"/>
      <c r="G757" s="5"/>
    </row>
    <row r="758" spans="1:7" ht="13.2" x14ac:dyDescent="0.25">
      <c r="A758" s="5"/>
      <c r="B758" s="5"/>
      <c r="C758" s="5"/>
      <c r="D758" s="5"/>
      <c r="E758" s="5"/>
      <c r="F758" s="5"/>
      <c r="G758" s="5"/>
    </row>
    <row r="759" spans="1:7" ht="13.2" x14ac:dyDescent="0.25">
      <c r="A759" s="5"/>
      <c r="B759" s="5"/>
      <c r="C759" s="5"/>
      <c r="D759" s="5"/>
      <c r="E759" s="5"/>
      <c r="F759" s="5"/>
      <c r="G759" s="5"/>
    </row>
    <row r="760" spans="1:7" ht="13.2" x14ac:dyDescent="0.25">
      <c r="A760" s="5"/>
      <c r="B760" s="5"/>
      <c r="C760" s="5"/>
      <c r="D760" s="5"/>
      <c r="E760" s="5"/>
      <c r="F760" s="5"/>
      <c r="G760" s="5"/>
    </row>
    <row r="761" spans="1:7" ht="13.2" x14ac:dyDescent="0.25">
      <c r="A761" s="5"/>
      <c r="B761" s="5"/>
      <c r="C761" s="5"/>
      <c r="D761" s="5"/>
      <c r="E761" s="5"/>
      <c r="F761" s="5"/>
      <c r="G761" s="5"/>
    </row>
    <row r="762" spans="1:7" ht="13.2" x14ac:dyDescent="0.25">
      <c r="A762" s="5"/>
      <c r="B762" s="5"/>
      <c r="C762" s="5"/>
      <c r="D762" s="5"/>
      <c r="E762" s="5"/>
      <c r="F762" s="5"/>
      <c r="G762" s="5"/>
    </row>
    <row r="763" spans="1:7" ht="13.2" x14ac:dyDescent="0.25">
      <c r="A763" s="5"/>
      <c r="B763" s="5"/>
      <c r="C763" s="5"/>
      <c r="D763" s="5"/>
      <c r="E763" s="5"/>
      <c r="F763" s="5"/>
      <c r="G763" s="5"/>
    </row>
    <row r="764" spans="1:7" ht="13.2" x14ac:dyDescent="0.25">
      <c r="A764" s="5"/>
      <c r="B764" s="5"/>
      <c r="C764" s="5"/>
      <c r="D764" s="5"/>
      <c r="E764" s="5"/>
      <c r="F764" s="5"/>
      <c r="G764" s="5"/>
    </row>
    <row r="765" spans="1:7" ht="13.2" x14ac:dyDescent="0.25">
      <c r="A765" s="5"/>
      <c r="B765" s="5"/>
      <c r="C765" s="5"/>
      <c r="D765" s="5"/>
      <c r="E765" s="5"/>
      <c r="F765" s="5"/>
      <c r="G765" s="5"/>
    </row>
    <row r="766" spans="1:7" ht="13.2" x14ac:dyDescent="0.25">
      <c r="A766" s="5"/>
      <c r="B766" s="5"/>
      <c r="C766" s="5"/>
      <c r="D766" s="5"/>
      <c r="E766" s="5"/>
      <c r="F766" s="5"/>
      <c r="G766" s="5"/>
    </row>
    <row r="767" spans="1:7" ht="13.2" x14ac:dyDescent="0.25">
      <c r="A767" s="5"/>
      <c r="B767" s="5"/>
      <c r="C767" s="5"/>
      <c r="D767" s="5"/>
      <c r="E767" s="5"/>
      <c r="F767" s="5"/>
      <c r="G767" s="5"/>
    </row>
    <row r="768" spans="1:7" ht="13.2" x14ac:dyDescent="0.25">
      <c r="A768" s="5"/>
      <c r="B768" s="5"/>
      <c r="C768" s="5"/>
      <c r="D768" s="5"/>
      <c r="E768" s="5"/>
      <c r="F768" s="5"/>
      <c r="G768" s="5"/>
    </row>
    <row r="769" spans="1:7" ht="13.2" x14ac:dyDescent="0.25">
      <c r="A769" s="5"/>
      <c r="B769" s="5"/>
      <c r="C769" s="5"/>
      <c r="D769" s="5"/>
      <c r="E769" s="5"/>
      <c r="F769" s="5"/>
      <c r="G769" s="5"/>
    </row>
    <row r="770" spans="1:7" ht="13.2" x14ac:dyDescent="0.25">
      <c r="A770" s="5"/>
      <c r="B770" s="5"/>
      <c r="C770" s="5"/>
      <c r="D770" s="5"/>
      <c r="E770" s="5"/>
      <c r="F770" s="5"/>
      <c r="G770" s="5"/>
    </row>
    <row r="771" spans="1:7" ht="13.2" x14ac:dyDescent="0.25">
      <c r="A771" s="5"/>
      <c r="B771" s="5"/>
      <c r="C771" s="5"/>
      <c r="D771" s="5"/>
      <c r="E771" s="5"/>
      <c r="F771" s="5"/>
      <c r="G771" s="5"/>
    </row>
    <row r="772" spans="1:7" ht="13.2" x14ac:dyDescent="0.25">
      <c r="A772" s="5"/>
      <c r="B772" s="5"/>
      <c r="C772" s="5"/>
      <c r="D772" s="5"/>
      <c r="E772" s="5"/>
      <c r="F772" s="5"/>
      <c r="G772" s="5"/>
    </row>
    <row r="773" spans="1:7" ht="13.2" x14ac:dyDescent="0.25">
      <c r="A773" s="5"/>
      <c r="B773" s="5"/>
      <c r="C773" s="5"/>
      <c r="D773" s="5"/>
      <c r="E773" s="5"/>
      <c r="F773" s="5"/>
      <c r="G773" s="5"/>
    </row>
    <row r="774" spans="1:7" ht="13.2" x14ac:dyDescent="0.25">
      <c r="A774" s="5"/>
      <c r="B774" s="5"/>
      <c r="C774" s="5"/>
      <c r="D774" s="5"/>
      <c r="E774" s="5"/>
      <c r="F774" s="5"/>
      <c r="G774" s="5"/>
    </row>
    <row r="775" spans="1:7" ht="13.2" x14ac:dyDescent="0.25">
      <c r="A775" s="5"/>
      <c r="B775" s="5"/>
      <c r="C775" s="5"/>
      <c r="D775" s="5"/>
      <c r="E775" s="5"/>
      <c r="F775" s="5"/>
      <c r="G775" s="5"/>
    </row>
    <row r="776" spans="1:7" ht="13.2" x14ac:dyDescent="0.25">
      <c r="A776" s="5"/>
      <c r="B776" s="5"/>
      <c r="C776" s="5"/>
      <c r="D776" s="5"/>
      <c r="E776" s="5"/>
      <c r="F776" s="5"/>
      <c r="G776" s="5"/>
    </row>
    <row r="777" spans="1:7" ht="13.2" x14ac:dyDescent="0.25">
      <c r="A777" s="5"/>
      <c r="B777" s="5"/>
      <c r="C777" s="5"/>
      <c r="D777" s="5"/>
      <c r="E777" s="5"/>
      <c r="F777" s="5"/>
      <c r="G777" s="5"/>
    </row>
    <row r="778" spans="1:7" ht="13.2" x14ac:dyDescent="0.25">
      <c r="A778" s="5"/>
      <c r="B778" s="5"/>
      <c r="C778" s="5"/>
      <c r="D778" s="5"/>
      <c r="E778" s="5"/>
      <c r="F778" s="5"/>
      <c r="G778" s="5"/>
    </row>
    <row r="779" spans="1:7" ht="13.2" x14ac:dyDescent="0.25">
      <c r="A779" s="5"/>
      <c r="B779" s="5"/>
      <c r="C779" s="5"/>
      <c r="D779" s="5"/>
      <c r="E779" s="5"/>
      <c r="F779" s="5"/>
      <c r="G779" s="5"/>
    </row>
    <row r="780" spans="1:7" ht="13.2" x14ac:dyDescent="0.25">
      <c r="A780" s="5"/>
      <c r="B780" s="5"/>
      <c r="C780" s="5"/>
      <c r="D780" s="5"/>
      <c r="E780" s="5"/>
      <c r="F780" s="5"/>
      <c r="G780" s="5"/>
    </row>
    <row r="781" spans="1:7" ht="13.2" x14ac:dyDescent="0.25">
      <c r="A781" s="5"/>
      <c r="B781" s="5"/>
      <c r="C781" s="5"/>
      <c r="D781" s="5"/>
      <c r="E781" s="5"/>
      <c r="F781" s="5"/>
      <c r="G781" s="5"/>
    </row>
    <row r="782" spans="1:7" ht="13.2" x14ac:dyDescent="0.25">
      <c r="A782" s="5"/>
      <c r="B782" s="5"/>
      <c r="C782" s="5"/>
      <c r="D782" s="5"/>
      <c r="E782" s="5"/>
      <c r="F782" s="5"/>
      <c r="G782" s="5"/>
    </row>
    <row r="783" spans="1:7" ht="13.2" x14ac:dyDescent="0.25">
      <c r="A783" s="5"/>
      <c r="B783" s="5"/>
      <c r="C783" s="5"/>
      <c r="D783" s="5"/>
      <c r="E783" s="5"/>
      <c r="F783" s="5"/>
      <c r="G783" s="5"/>
    </row>
    <row r="784" spans="1:7" ht="13.2" x14ac:dyDescent="0.25">
      <c r="A784" s="5"/>
      <c r="B784" s="5"/>
      <c r="C784" s="5"/>
      <c r="D784" s="5"/>
      <c r="E784" s="5"/>
      <c r="F784" s="5"/>
      <c r="G784" s="5"/>
    </row>
    <row r="785" spans="1:7" ht="13.2" x14ac:dyDescent="0.25">
      <c r="A785" s="5"/>
      <c r="B785" s="5"/>
      <c r="C785" s="5"/>
      <c r="D785" s="5"/>
      <c r="E785" s="5"/>
      <c r="F785" s="5"/>
      <c r="G785" s="5"/>
    </row>
    <row r="786" spans="1:7" ht="13.2" x14ac:dyDescent="0.25">
      <c r="A786" s="5"/>
      <c r="B786" s="5"/>
      <c r="C786" s="5"/>
      <c r="D786" s="5"/>
      <c r="E786" s="5"/>
      <c r="F786" s="5"/>
      <c r="G786" s="5"/>
    </row>
    <row r="787" spans="1:7" ht="13.2" x14ac:dyDescent="0.25">
      <c r="A787" s="5"/>
      <c r="B787" s="5"/>
      <c r="C787" s="5"/>
      <c r="D787" s="5"/>
      <c r="E787" s="5"/>
      <c r="F787" s="5"/>
      <c r="G787" s="5"/>
    </row>
    <row r="788" spans="1:7" ht="13.2" x14ac:dyDescent="0.25">
      <c r="A788" s="5"/>
      <c r="B788" s="5"/>
      <c r="C788" s="5"/>
      <c r="D788" s="5"/>
      <c r="E788" s="5"/>
      <c r="F788" s="5"/>
      <c r="G788" s="5"/>
    </row>
    <row r="789" spans="1:7" ht="13.2" x14ac:dyDescent="0.25">
      <c r="A789" s="5"/>
      <c r="B789" s="5"/>
      <c r="C789" s="5"/>
      <c r="D789" s="5"/>
      <c r="E789" s="5"/>
      <c r="F789" s="5"/>
      <c r="G789" s="5"/>
    </row>
    <row r="790" spans="1:7" ht="13.2" x14ac:dyDescent="0.25">
      <c r="A790" s="5"/>
      <c r="B790" s="5"/>
      <c r="C790" s="5"/>
      <c r="D790" s="5"/>
      <c r="E790" s="5"/>
      <c r="F790" s="5"/>
      <c r="G790" s="5"/>
    </row>
    <row r="791" spans="1:7" ht="13.2" x14ac:dyDescent="0.25">
      <c r="A791" s="5"/>
      <c r="B791" s="5"/>
      <c r="C791" s="5"/>
      <c r="D791" s="5"/>
      <c r="E791" s="5"/>
      <c r="F791" s="5"/>
      <c r="G791" s="5"/>
    </row>
    <row r="792" spans="1:7" ht="13.2" x14ac:dyDescent="0.25">
      <c r="A792" s="5"/>
      <c r="B792" s="5"/>
      <c r="C792" s="5"/>
      <c r="D792" s="5"/>
      <c r="E792" s="5"/>
      <c r="F792" s="5"/>
      <c r="G792" s="5"/>
    </row>
    <row r="793" spans="1:7" ht="13.2" x14ac:dyDescent="0.25">
      <c r="A793" s="5"/>
      <c r="B793" s="5"/>
      <c r="C793" s="5"/>
      <c r="D793" s="5"/>
      <c r="E793" s="5"/>
      <c r="F793" s="5"/>
      <c r="G793" s="5"/>
    </row>
    <row r="794" spans="1:7" ht="13.2" x14ac:dyDescent="0.25">
      <c r="A794" s="5"/>
      <c r="B794" s="5"/>
      <c r="C794" s="5"/>
      <c r="D794" s="5"/>
      <c r="E794" s="5"/>
      <c r="F794" s="5"/>
      <c r="G794" s="5"/>
    </row>
    <row r="795" spans="1:7" ht="13.2" x14ac:dyDescent="0.25">
      <c r="A795" s="5"/>
      <c r="B795" s="5"/>
      <c r="C795" s="5"/>
      <c r="D795" s="5"/>
      <c r="E795" s="5"/>
      <c r="F795" s="5"/>
      <c r="G795" s="5"/>
    </row>
    <row r="796" spans="1:7" ht="13.2" x14ac:dyDescent="0.25">
      <c r="A796" s="5"/>
      <c r="B796" s="5"/>
      <c r="C796" s="5"/>
      <c r="D796" s="5"/>
      <c r="E796" s="5"/>
      <c r="F796" s="5"/>
      <c r="G796" s="5"/>
    </row>
    <row r="797" spans="1:7" ht="13.2" x14ac:dyDescent="0.25">
      <c r="A797" s="5"/>
      <c r="B797" s="5"/>
      <c r="C797" s="5"/>
      <c r="D797" s="5"/>
      <c r="E797" s="5"/>
      <c r="F797" s="5"/>
      <c r="G797" s="5"/>
    </row>
    <row r="798" spans="1:7" ht="13.2" x14ac:dyDescent="0.25">
      <c r="A798" s="5"/>
      <c r="B798" s="5"/>
      <c r="C798" s="5"/>
      <c r="D798" s="5"/>
      <c r="E798" s="5"/>
      <c r="F798" s="5"/>
      <c r="G798" s="5"/>
    </row>
    <row r="799" spans="1:7" ht="13.2" x14ac:dyDescent="0.25">
      <c r="A799" s="5"/>
      <c r="B799" s="5"/>
      <c r="C799" s="5"/>
      <c r="D799" s="5"/>
      <c r="E799" s="5"/>
      <c r="F799" s="5"/>
      <c r="G799" s="5"/>
    </row>
    <row r="800" spans="1:7" ht="13.2" x14ac:dyDescent="0.25">
      <c r="A800" s="5"/>
      <c r="B800" s="5"/>
      <c r="C800" s="5"/>
      <c r="D800" s="5"/>
      <c r="E800" s="5"/>
      <c r="F800" s="5"/>
      <c r="G800" s="5"/>
    </row>
    <row r="801" spans="1:7" ht="13.2" x14ac:dyDescent="0.25">
      <c r="A801" s="5"/>
      <c r="B801" s="5"/>
      <c r="C801" s="5"/>
      <c r="D801" s="5"/>
      <c r="E801" s="5"/>
      <c r="F801" s="5"/>
      <c r="G801" s="5"/>
    </row>
    <row r="802" spans="1:7" ht="13.2" x14ac:dyDescent="0.25">
      <c r="A802" s="5"/>
      <c r="B802" s="5"/>
      <c r="C802" s="5"/>
      <c r="D802" s="5"/>
      <c r="E802" s="5"/>
      <c r="F802" s="5"/>
      <c r="G802" s="5"/>
    </row>
    <row r="803" spans="1:7" ht="13.2" x14ac:dyDescent="0.25">
      <c r="A803" s="5"/>
      <c r="B803" s="5"/>
      <c r="C803" s="5"/>
      <c r="D803" s="5"/>
      <c r="E803" s="5"/>
      <c r="F803" s="5"/>
      <c r="G803" s="5"/>
    </row>
    <row r="804" spans="1:7" ht="13.2" x14ac:dyDescent="0.25">
      <c r="A804" s="5"/>
      <c r="B804" s="5"/>
      <c r="C804" s="5"/>
      <c r="D804" s="5"/>
      <c r="E804" s="5"/>
      <c r="F804" s="5"/>
      <c r="G804" s="5"/>
    </row>
    <row r="805" spans="1:7" ht="13.2" x14ac:dyDescent="0.25">
      <c r="A805" s="5"/>
      <c r="B805" s="5"/>
      <c r="C805" s="5"/>
      <c r="D805" s="5"/>
      <c r="E805" s="5"/>
      <c r="F805" s="5"/>
      <c r="G805" s="5"/>
    </row>
    <row r="806" spans="1:7" ht="13.2" x14ac:dyDescent="0.25">
      <c r="A806" s="5"/>
      <c r="B806" s="5"/>
      <c r="C806" s="5"/>
      <c r="D806" s="5"/>
      <c r="E806" s="5"/>
      <c r="F806" s="5"/>
      <c r="G806" s="5"/>
    </row>
    <row r="807" spans="1:7" ht="13.2" x14ac:dyDescent="0.25">
      <c r="A807" s="5"/>
      <c r="B807" s="5"/>
      <c r="C807" s="5"/>
      <c r="D807" s="5"/>
      <c r="E807" s="5"/>
      <c r="F807" s="5"/>
      <c r="G807" s="5"/>
    </row>
    <row r="808" spans="1:7" ht="13.2" x14ac:dyDescent="0.25">
      <c r="A808" s="5"/>
      <c r="B808" s="5"/>
      <c r="C808" s="5"/>
      <c r="D808" s="5"/>
      <c r="E808" s="5"/>
      <c r="F808" s="5"/>
      <c r="G808" s="5"/>
    </row>
    <row r="809" spans="1:7" ht="13.2" x14ac:dyDescent="0.25">
      <c r="A809" s="5"/>
      <c r="B809" s="5"/>
      <c r="C809" s="5"/>
      <c r="D809" s="5"/>
      <c r="E809" s="5"/>
      <c r="F809" s="5"/>
      <c r="G809" s="5"/>
    </row>
    <row r="810" spans="1:7" ht="13.2" x14ac:dyDescent="0.25">
      <c r="A810" s="5"/>
      <c r="B810" s="5"/>
      <c r="C810" s="5"/>
      <c r="D810" s="5"/>
      <c r="E810" s="5"/>
      <c r="F810" s="5"/>
      <c r="G810" s="5"/>
    </row>
    <row r="811" spans="1:7" ht="13.2" x14ac:dyDescent="0.25">
      <c r="A811" s="5"/>
      <c r="B811" s="5"/>
      <c r="C811" s="5"/>
      <c r="D811" s="5"/>
      <c r="E811" s="5"/>
      <c r="F811" s="5"/>
      <c r="G811" s="5"/>
    </row>
    <row r="812" spans="1:7" ht="13.2" x14ac:dyDescent="0.25">
      <c r="A812" s="5"/>
      <c r="B812" s="5"/>
      <c r="C812" s="5"/>
      <c r="D812" s="5"/>
      <c r="E812" s="5"/>
      <c r="F812" s="5"/>
      <c r="G812" s="5"/>
    </row>
    <row r="813" spans="1:7" ht="13.2" x14ac:dyDescent="0.25">
      <c r="A813" s="5"/>
      <c r="B813" s="5"/>
      <c r="C813" s="5"/>
      <c r="D813" s="5"/>
      <c r="E813" s="5"/>
      <c r="F813" s="5"/>
      <c r="G813" s="5"/>
    </row>
    <row r="814" spans="1:7" ht="13.2" x14ac:dyDescent="0.25">
      <c r="A814" s="5"/>
      <c r="B814" s="5"/>
      <c r="C814" s="5"/>
      <c r="D814" s="5"/>
      <c r="E814" s="5"/>
      <c r="F814" s="5"/>
      <c r="G814" s="5"/>
    </row>
    <row r="815" spans="1:7" ht="13.2" x14ac:dyDescent="0.25">
      <c r="A815" s="5"/>
      <c r="B815" s="5"/>
      <c r="C815" s="5"/>
      <c r="D815" s="5"/>
      <c r="E815" s="5"/>
      <c r="F815" s="5"/>
      <c r="G815" s="5"/>
    </row>
    <row r="816" spans="1:7" ht="13.2" x14ac:dyDescent="0.25">
      <c r="A816" s="5"/>
      <c r="B816" s="5"/>
      <c r="C816" s="5"/>
      <c r="D816" s="5"/>
      <c r="E816" s="5"/>
      <c r="F816" s="5"/>
      <c r="G816" s="5"/>
    </row>
    <row r="817" spans="1:7" ht="13.2" x14ac:dyDescent="0.25">
      <c r="A817" s="5"/>
      <c r="B817" s="5"/>
      <c r="C817" s="5"/>
      <c r="D817" s="5"/>
      <c r="E817" s="5"/>
      <c r="F817" s="5"/>
      <c r="G817" s="5"/>
    </row>
    <row r="818" spans="1:7" ht="13.2" x14ac:dyDescent="0.25">
      <c r="A818" s="5"/>
      <c r="B818" s="5"/>
      <c r="C818" s="5"/>
      <c r="D818" s="5"/>
      <c r="E818" s="5"/>
      <c r="F818" s="5"/>
      <c r="G818" s="5"/>
    </row>
    <row r="819" spans="1:7" ht="13.2" x14ac:dyDescent="0.25">
      <c r="A819" s="5"/>
      <c r="B819" s="5"/>
      <c r="C819" s="5"/>
      <c r="D819" s="5"/>
      <c r="E819" s="5"/>
      <c r="F819" s="5"/>
      <c r="G819" s="5"/>
    </row>
    <row r="820" spans="1:7" ht="13.2" x14ac:dyDescent="0.25">
      <c r="A820" s="5"/>
      <c r="B820" s="5"/>
      <c r="C820" s="5"/>
      <c r="D820" s="5"/>
      <c r="E820" s="5"/>
      <c r="F820" s="5"/>
      <c r="G820" s="5"/>
    </row>
    <row r="821" spans="1:7" ht="13.2" x14ac:dyDescent="0.25">
      <c r="A821" s="5"/>
      <c r="B821" s="5"/>
      <c r="C821" s="5"/>
      <c r="D821" s="5"/>
      <c r="E821" s="5"/>
      <c r="F821" s="5"/>
      <c r="G821" s="5"/>
    </row>
    <row r="822" spans="1:7" ht="13.2" x14ac:dyDescent="0.25">
      <c r="A822" s="5"/>
      <c r="B822" s="5"/>
      <c r="C822" s="5"/>
      <c r="D822" s="5"/>
      <c r="E822" s="5"/>
      <c r="F822" s="5"/>
      <c r="G822" s="5"/>
    </row>
    <row r="823" spans="1:7" ht="13.2" x14ac:dyDescent="0.25">
      <c r="A823" s="5"/>
      <c r="B823" s="5"/>
      <c r="C823" s="5"/>
      <c r="D823" s="5"/>
      <c r="E823" s="5"/>
      <c r="F823" s="5"/>
      <c r="G823" s="5"/>
    </row>
    <row r="824" spans="1:7" ht="13.2" x14ac:dyDescent="0.25">
      <c r="A824" s="5"/>
      <c r="B824" s="5"/>
      <c r="C824" s="5"/>
      <c r="D824" s="5"/>
      <c r="E824" s="5"/>
      <c r="F824" s="5"/>
      <c r="G824" s="5"/>
    </row>
    <row r="825" spans="1:7" ht="13.2" x14ac:dyDescent="0.25">
      <c r="A825" s="5"/>
      <c r="B825" s="5"/>
      <c r="C825" s="5"/>
      <c r="D825" s="5"/>
      <c r="E825" s="5"/>
      <c r="F825" s="5"/>
      <c r="G825" s="5"/>
    </row>
    <row r="826" spans="1:7" ht="13.2" x14ac:dyDescent="0.25">
      <c r="A826" s="5"/>
      <c r="B826" s="5"/>
      <c r="C826" s="5"/>
      <c r="D826" s="5"/>
      <c r="E826" s="5"/>
      <c r="F826" s="5"/>
      <c r="G826" s="5"/>
    </row>
    <row r="827" spans="1:7" ht="13.2" x14ac:dyDescent="0.25">
      <c r="A827" s="5"/>
      <c r="B827" s="5"/>
      <c r="C827" s="5"/>
      <c r="D827" s="5"/>
      <c r="E827" s="5"/>
      <c r="F827" s="5"/>
      <c r="G827" s="5"/>
    </row>
    <row r="828" spans="1:7" ht="13.2" x14ac:dyDescent="0.25">
      <c r="A828" s="5"/>
      <c r="B828" s="5"/>
      <c r="C828" s="5"/>
      <c r="D828" s="5"/>
      <c r="E828" s="5"/>
      <c r="F828" s="5"/>
      <c r="G828" s="5"/>
    </row>
    <row r="829" spans="1:7" ht="13.2" x14ac:dyDescent="0.25">
      <c r="A829" s="5"/>
      <c r="B829" s="5"/>
      <c r="C829" s="5"/>
      <c r="D829" s="5"/>
      <c r="E829" s="5"/>
      <c r="F829" s="5"/>
      <c r="G829" s="5"/>
    </row>
    <row r="830" spans="1:7" ht="13.2" x14ac:dyDescent="0.25">
      <c r="A830" s="5"/>
      <c r="B830" s="5"/>
      <c r="C830" s="5"/>
      <c r="D830" s="5"/>
      <c r="E830" s="5"/>
      <c r="F830" s="5"/>
      <c r="G830" s="5"/>
    </row>
    <row r="831" spans="1:7" ht="13.2" x14ac:dyDescent="0.25">
      <c r="A831" s="5"/>
      <c r="B831" s="5"/>
      <c r="C831" s="5"/>
      <c r="D831" s="5"/>
      <c r="E831" s="5"/>
      <c r="F831" s="5"/>
      <c r="G831" s="5"/>
    </row>
    <row r="832" spans="1:7" ht="13.2" x14ac:dyDescent="0.25">
      <c r="A832" s="5"/>
      <c r="B832" s="5"/>
      <c r="C832" s="5"/>
      <c r="D832" s="5"/>
      <c r="E832" s="5"/>
      <c r="F832" s="5"/>
      <c r="G832" s="5"/>
    </row>
    <row r="833" spans="1:7" ht="13.2" x14ac:dyDescent="0.25">
      <c r="A833" s="5"/>
      <c r="B833" s="5"/>
      <c r="C833" s="5"/>
      <c r="D833" s="5"/>
      <c r="E833" s="5"/>
      <c r="F833" s="5"/>
      <c r="G833" s="5"/>
    </row>
    <row r="834" spans="1:7" ht="13.2" x14ac:dyDescent="0.25">
      <c r="A834" s="5"/>
      <c r="B834" s="5"/>
      <c r="C834" s="5"/>
      <c r="D834" s="5"/>
      <c r="E834" s="5"/>
      <c r="F834" s="5"/>
      <c r="G834" s="5"/>
    </row>
    <row r="835" spans="1:7" ht="13.2" x14ac:dyDescent="0.25">
      <c r="A835" s="5"/>
      <c r="B835" s="5"/>
      <c r="C835" s="5"/>
      <c r="D835" s="5"/>
      <c r="E835" s="5"/>
      <c r="F835" s="5"/>
      <c r="G835" s="5"/>
    </row>
    <row r="836" spans="1:7" ht="13.2" x14ac:dyDescent="0.25">
      <c r="A836" s="5"/>
      <c r="B836" s="5"/>
      <c r="C836" s="5"/>
      <c r="D836" s="5"/>
      <c r="E836" s="5"/>
      <c r="F836" s="5"/>
      <c r="G836" s="5"/>
    </row>
    <row r="837" spans="1:7" ht="13.2" x14ac:dyDescent="0.25">
      <c r="A837" s="5"/>
      <c r="B837" s="5"/>
      <c r="C837" s="5"/>
      <c r="D837" s="5"/>
      <c r="E837" s="5"/>
      <c r="F837" s="5"/>
      <c r="G837" s="5"/>
    </row>
    <row r="838" spans="1:7" ht="13.2" x14ac:dyDescent="0.25">
      <c r="A838" s="5"/>
      <c r="B838" s="5"/>
      <c r="C838" s="5"/>
      <c r="D838" s="5"/>
      <c r="E838" s="5"/>
      <c r="F838" s="5"/>
      <c r="G838" s="5"/>
    </row>
    <row r="839" spans="1:7" ht="13.2" x14ac:dyDescent="0.25">
      <c r="A839" s="5"/>
      <c r="B839" s="5"/>
      <c r="C839" s="5"/>
      <c r="D839" s="5"/>
      <c r="E839" s="5"/>
      <c r="F839" s="5"/>
      <c r="G839" s="5"/>
    </row>
    <row r="840" spans="1:7" ht="13.2" x14ac:dyDescent="0.25">
      <c r="A840" s="5"/>
      <c r="B840" s="5"/>
      <c r="C840" s="5"/>
      <c r="D840" s="5"/>
      <c r="E840" s="5"/>
      <c r="F840" s="5"/>
      <c r="G840" s="5"/>
    </row>
    <row r="841" spans="1:7" ht="13.2" x14ac:dyDescent="0.25">
      <c r="A841" s="5"/>
      <c r="B841" s="5"/>
      <c r="C841" s="5"/>
      <c r="D841" s="5"/>
      <c r="E841" s="5"/>
      <c r="F841" s="5"/>
      <c r="G841" s="5"/>
    </row>
    <row r="842" spans="1:7" ht="13.2" x14ac:dyDescent="0.25">
      <c r="A842" s="5"/>
      <c r="B842" s="5"/>
      <c r="C842" s="5"/>
      <c r="D842" s="5"/>
      <c r="E842" s="5"/>
      <c r="F842" s="5"/>
      <c r="G842" s="5"/>
    </row>
    <row r="843" spans="1:7" ht="13.2" x14ac:dyDescent="0.25">
      <c r="A843" s="5"/>
      <c r="B843" s="5"/>
      <c r="C843" s="5"/>
      <c r="D843" s="5"/>
      <c r="E843" s="5"/>
      <c r="F843" s="5"/>
      <c r="G843" s="5"/>
    </row>
    <row r="844" spans="1:7" ht="13.2" x14ac:dyDescent="0.25">
      <c r="A844" s="5"/>
      <c r="B844" s="5"/>
      <c r="C844" s="5"/>
      <c r="D844" s="5"/>
      <c r="E844" s="5"/>
      <c r="F844" s="5"/>
      <c r="G844" s="5"/>
    </row>
    <row r="845" spans="1:7" ht="13.2" x14ac:dyDescent="0.25">
      <c r="A845" s="5"/>
      <c r="B845" s="5"/>
      <c r="C845" s="5"/>
      <c r="D845" s="5"/>
      <c r="E845" s="5"/>
      <c r="F845" s="5"/>
      <c r="G845" s="5"/>
    </row>
    <row r="846" spans="1:7" ht="13.2" x14ac:dyDescent="0.25">
      <c r="A846" s="5"/>
      <c r="B846" s="5"/>
      <c r="C846" s="5"/>
      <c r="D846" s="5"/>
      <c r="E846" s="5"/>
      <c r="F846" s="5"/>
      <c r="G846" s="5"/>
    </row>
    <row r="847" spans="1:7" ht="13.2" x14ac:dyDescent="0.25">
      <c r="A847" s="5"/>
      <c r="B847" s="5"/>
      <c r="C847" s="5"/>
      <c r="D847" s="5"/>
      <c r="E847" s="5"/>
      <c r="F847" s="5"/>
      <c r="G847" s="5"/>
    </row>
    <row r="848" spans="1:7" ht="13.2" x14ac:dyDescent="0.25">
      <c r="A848" s="5"/>
      <c r="B848" s="5"/>
      <c r="C848" s="5"/>
      <c r="D848" s="5"/>
      <c r="E848" s="5"/>
      <c r="F848" s="5"/>
      <c r="G848" s="5"/>
    </row>
    <row r="849" spans="1:7" ht="13.2" x14ac:dyDescent="0.25">
      <c r="A849" s="5"/>
      <c r="B849" s="5"/>
      <c r="C849" s="5"/>
      <c r="D849" s="5"/>
      <c r="E849" s="5"/>
      <c r="F849" s="5"/>
      <c r="G849" s="5"/>
    </row>
    <row r="850" spans="1:7" ht="13.2" x14ac:dyDescent="0.25">
      <c r="A850" s="5"/>
      <c r="B850" s="5"/>
      <c r="C850" s="5"/>
      <c r="D850" s="5"/>
      <c r="E850" s="5"/>
      <c r="F850" s="5"/>
      <c r="G850" s="5"/>
    </row>
    <row r="851" spans="1:7" ht="13.2" x14ac:dyDescent="0.25">
      <c r="A851" s="5"/>
      <c r="B851" s="5"/>
      <c r="C851" s="5"/>
      <c r="D851" s="5"/>
      <c r="E851" s="5"/>
      <c r="F851" s="5"/>
      <c r="G851" s="5"/>
    </row>
    <row r="852" spans="1:7" ht="13.2" x14ac:dyDescent="0.25">
      <c r="A852" s="5"/>
      <c r="B852" s="5"/>
      <c r="C852" s="5"/>
      <c r="D852" s="5"/>
      <c r="E852" s="5"/>
      <c r="F852" s="5"/>
      <c r="G852" s="5"/>
    </row>
    <row r="853" spans="1:7" ht="13.2" x14ac:dyDescent="0.25">
      <c r="A853" s="5"/>
      <c r="B853" s="5"/>
      <c r="C853" s="5"/>
      <c r="D853" s="5"/>
      <c r="E853" s="5"/>
      <c r="F853" s="5"/>
      <c r="G853" s="5"/>
    </row>
    <row r="854" spans="1:7" ht="13.2" x14ac:dyDescent="0.25">
      <c r="A854" s="5"/>
      <c r="B854" s="5"/>
      <c r="C854" s="5"/>
      <c r="D854" s="5"/>
      <c r="E854" s="5"/>
      <c r="F854" s="5"/>
      <c r="G854" s="5"/>
    </row>
    <row r="855" spans="1:7" ht="13.2" x14ac:dyDescent="0.25">
      <c r="A855" s="5"/>
      <c r="B855" s="5"/>
      <c r="C855" s="5"/>
      <c r="D855" s="5"/>
      <c r="E855" s="5"/>
      <c r="F855" s="5"/>
      <c r="G855" s="5"/>
    </row>
    <row r="856" spans="1:7" ht="13.2" x14ac:dyDescent="0.25">
      <c r="A856" s="5"/>
      <c r="B856" s="5"/>
      <c r="C856" s="5"/>
      <c r="D856" s="5"/>
      <c r="E856" s="5"/>
      <c r="F856" s="5"/>
      <c r="G856" s="5"/>
    </row>
    <row r="857" spans="1:7" ht="13.2" x14ac:dyDescent="0.25">
      <c r="A857" s="5"/>
      <c r="B857" s="5"/>
      <c r="C857" s="5"/>
      <c r="D857" s="5"/>
      <c r="E857" s="5"/>
      <c r="F857" s="5"/>
      <c r="G857" s="5"/>
    </row>
    <row r="858" spans="1:7" ht="13.2" x14ac:dyDescent="0.25">
      <c r="A858" s="5"/>
      <c r="B858" s="5"/>
      <c r="C858" s="5"/>
      <c r="D858" s="5"/>
      <c r="E858" s="5"/>
      <c r="F858" s="5"/>
      <c r="G858" s="5"/>
    </row>
    <row r="859" spans="1:7" ht="13.2" x14ac:dyDescent="0.25">
      <c r="A859" s="5"/>
      <c r="B859" s="5"/>
      <c r="C859" s="5"/>
      <c r="D859" s="5"/>
      <c r="E859" s="5"/>
      <c r="F859" s="5"/>
      <c r="G859" s="5"/>
    </row>
    <row r="860" spans="1:7" ht="13.2" x14ac:dyDescent="0.25">
      <c r="A860" s="5"/>
      <c r="B860" s="5"/>
      <c r="C860" s="5"/>
      <c r="D860" s="5"/>
      <c r="E860" s="5"/>
      <c r="F860" s="5"/>
      <c r="G860" s="5"/>
    </row>
    <row r="861" spans="1:7" ht="13.2" x14ac:dyDescent="0.25">
      <c r="A861" s="5"/>
      <c r="B861" s="5"/>
      <c r="C861" s="5"/>
      <c r="D861" s="5"/>
      <c r="E861" s="5"/>
      <c r="F861" s="5"/>
      <c r="G861" s="5"/>
    </row>
    <row r="862" spans="1:7" ht="13.2" x14ac:dyDescent="0.25">
      <c r="A862" s="5"/>
      <c r="B862" s="5"/>
      <c r="C862" s="5"/>
      <c r="D862" s="5"/>
      <c r="E862" s="5"/>
      <c r="F862" s="5"/>
      <c r="G862" s="5"/>
    </row>
    <row r="863" spans="1:7" ht="13.2" x14ac:dyDescent="0.25">
      <c r="A863" s="5"/>
      <c r="B863" s="5"/>
      <c r="C863" s="5"/>
      <c r="D863" s="5"/>
      <c r="E863" s="5"/>
      <c r="F863" s="5"/>
      <c r="G863" s="5"/>
    </row>
    <row r="864" spans="1:7" ht="13.2" x14ac:dyDescent="0.25">
      <c r="A864" s="5"/>
      <c r="B864" s="5"/>
      <c r="C864" s="5"/>
      <c r="D864" s="5"/>
      <c r="E864" s="5"/>
      <c r="F864" s="5"/>
      <c r="G864" s="5"/>
    </row>
    <row r="865" spans="1:7" ht="13.2" x14ac:dyDescent="0.25">
      <c r="A865" s="5"/>
      <c r="B865" s="5"/>
      <c r="C865" s="5"/>
      <c r="D865" s="5"/>
      <c r="E865" s="5"/>
      <c r="F865" s="5"/>
      <c r="G865" s="5"/>
    </row>
    <row r="866" spans="1:7" ht="13.2" x14ac:dyDescent="0.25">
      <c r="A866" s="5"/>
      <c r="B866" s="5"/>
      <c r="C866" s="5"/>
      <c r="D866" s="5"/>
      <c r="E866" s="5"/>
      <c r="F866" s="5"/>
      <c r="G866" s="5"/>
    </row>
    <row r="867" spans="1:7" ht="13.2" x14ac:dyDescent="0.25">
      <c r="A867" s="5"/>
      <c r="B867" s="5"/>
      <c r="C867" s="5"/>
      <c r="D867" s="5"/>
      <c r="E867" s="5"/>
      <c r="F867" s="5"/>
      <c r="G867" s="5"/>
    </row>
    <row r="868" spans="1:7" ht="13.2" x14ac:dyDescent="0.25">
      <c r="A868" s="5"/>
      <c r="B868" s="5"/>
      <c r="C868" s="5"/>
      <c r="D868" s="5"/>
      <c r="E868" s="5"/>
      <c r="F868" s="5"/>
      <c r="G868" s="5"/>
    </row>
    <row r="869" spans="1:7" ht="13.2" x14ac:dyDescent="0.25">
      <c r="A869" s="5"/>
      <c r="B869" s="5"/>
      <c r="C869" s="5"/>
      <c r="D869" s="5"/>
      <c r="E869" s="5"/>
      <c r="F869" s="5"/>
      <c r="G869" s="5"/>
    </row>
    <row r="870" spans="1:7" ht="13.2" x14ac:dyDescent="0.25">
      <c r="A870" s="5"/>
      <c r="B870" s="5"/>
      <c r="C870" s="5"/>
      <c r="D870" s="5"/>
      <c r="E870" s="5"/>
      <c r="F870" s="5"/>
      <c r="G870" s="5"/>
    </row>
    <row r="871" spans="1:7" ht="13.2" x14ac:dyDescent="0.25">
      <c r="A871" s="5"/>
      <c r="B871" s="5"/>
      <c r="C871" s="5"/>
      <c r="D871" s="5"/>
      <c r="E871" s="5"/>
      <c r="F871" s="5"/>
      <c r="G871" s="5"/>
    </row>
    <row r="872" spans="1:7" ht="13.2" x14ac:dyDescent="0.25">
      <c r="A872" s="5"/>
      <c r="B872" s="5"/>
      <c r="C872" s="5"/>
      <c r="D872" s="5"/>
      <c r="E872" s="5"/>
      <c r="F872" s="5"/>
      <c r="G872" s="5"/>
    </row>
    <row r="873" spans="1:7" ht="13.2" x14ac:dyDescent="0.25">
      <c r="A873" s="5"/>
      <c r="B873" s="5"/>
      <c r="C873" s="5"/>
      <c r="D873" s="5"/>
      <c r="E873" s="5"/>
      <c r="F873" s="5"/>
      <c r="G873" s="5"/>
    </row>
    <row r="874" spans="1:7" ht="13.2" x14ac:dyDescent="0.25">
      <c r="A874" s="5"/>
      <c r="B874" s="5"/>
      <c r="C874" s="5"/>
      <c r="D874" s="5"/>
      <c r="E874" s="5"/>
      <c r="F874" s="5"/>
      <c r="G874" s="5"/>
    </row>
    <row r="875" spans="1:7" ht="13.2" x14ac:dyDescent="0.25">
      <c r="A875" s="5"/>
      <c r="B875" s="5"/>
      <c r="C875" s="5"/>
      <c r="D875" s="5"/>
      <c r="E875" s="5"/>
      <c r="F875" s="5"/>
      <c r="G875" s="5"/>
    </row>
    <row r="876" spans="1:7" ht="13.2" x14ac:dyDescent="0.25">
      <c r="A876" s="5"/>
      <c r="B876" s="5"/>
      <c r="C876" s="5"/>
      <c r="D876" s="5"/>
      <c r="E876" s="5"/>
      <c r="F876" s="5"/>
      <c r="G876" s="5"/>
    </row>
    <row r="877" spans="1:7" ht="13.2" x14ac:dyDescent="0.25">
      <c r="A877" s="5"/>
      <c r="B877" s="5"/>
      <c r="C877" s="5"/>
      <c r="D877" s="5"/>
      <c r="E877" s="5"/>
      <c r="F877" s="5"/>
      <c r="G877" s="5"/>
    </row>
    <row r="878" spans="1:7" ht="13.2" x14ac:dyDescent="0.25">
      <c r="A878" s="5"/>
      <c r="B878" s="5"/>
      <c r="C878" s="5"/>
      <c r="D878" s="5"/>
      <c r="E878" s="5"/>
      <c r="F878" s="5"/>
      <c r="G878" s="5"/>
    </row>
    <row r="879" spans="1:7" ht="13.2" x14ac:dyDescent="0.25">
      <c r="A879" s="5"/>
      <c r="B879" s="5"/>
      <c r="C879" s="5"/>
      <c r="D879" s="5"/>
      <c r="E879" s="5"/>
      <c r="F879" s="5"/>
      <c r="G879" s="5"/>
    </row>
    <row r="880" spans="1:7" ht="13.2" x14ac:dyDescent="0.25">
      <c r="A880" s="5"/>
      <c r="B880" s="5"/>
      <c r="C880" s="5"/>
      <c r="D880" s="5"/>
      <c r="E880" s="5"/>
      <c r="F880" s="5"/>
      <c r="G880" s="5"/>
    </row>
    <row r="881" spans="1:7" ht="13.2" x14ac:dyDescent="0.25">
      <c r="A881" s="5"/>
      <c r="B881" s="5"/>
      <c r="C881" s="5"/>
      <c r="D881" s="5"/>
      <c r="E881" s="5"/>
      <c r="F881" s="5"/>
      <c r="G881" s="5"/>
    </row>
    <row r="882" spans="1:7" ht="13.2" x14ac:dyDescent="0.25">
      <c r="A882" s="5"/>
      <c r="B882" s="5"/>
      <c r="C882" s="5"/>
      <c r="D882" s="5"/>
      <c r="E882" s="5"/>
      <c r="F882" s="5"/>
      <c r="G882" s="5"/>
    </row>
    <row r="883" spans="1:7" ht="13.2" x14ac:dyDescent="0.25">
      <c r="A883" s="5"/>
      <c r="B883" s="5"/>
      <c r="C883" s="5"/>
      <c r="D883" s="5"/>
      <c r="E883" s="5"/>
      <c r="F883" s="5"/>
      <c r="G883" s="5"/>
    </row>
    <row r="884" spans="1:7" ht="13.2" x14ac:dyDescent="0.25">
      <c r="A884" s="5"/>
      <c r="B884" s="5"/>
      <c r="C884" s="5"/>
      <c r="D884" s="5"/>
      <c r="E884" s="5"/>
      <c r="F884" s="5"/>
      <c r="G884" s="5"/>
    </row>
    <row r="885" spans="1:7" ht="13.2" x14ac:dyDescent="0.25">
      <c r="A885" s="5"/>
      <c r="B885" s="5"/>
      <c r="C885" s="5"/>
      <c r="D885" s="5"/>
      <c r="E885" s="5"/>
      <c r="F885" s="5"/>
      <c r="G885" s="5"/>
    </row>
    <row r="886" spans="1:7" ht="13.2" x14ac:dyDescent="0.25">
      <c r="A886" s="5"/>
      <c r="B886" s="5"/>
      <c r="C886" s="5"/>
      <c r="D886" s="5"/>
      <c r="E886" s="5"/>
      <c r="F886" s="5"/>
      <c r="G886" s="5"/>
    </row>
    <row r="887" spans="1:7" ht="13.2" x14ac:dyDescent="0.25">
      <c r="A887" s="5"/>
      <c r="B887" s="5"/>
      <c r="C887" s="5"/>
      <c r="D887" s="5"/>
      <c r="E887" s="5"/>
      <c r="F887" s="5"/>
      <c r="G887" s="5"/>
    </row>
    <row r="888" spans="1:7" ht="13.2" x14ac:dyDescent="0.25">
      <c r="A888" s="5"/>
      <c r="B888" s="5"/>
      <c r="C888" s="5"/>
      <c r="D888" s="5"/>
      <c r="E888" s="5"/>
      <c r="F888" s="5"/>
      <c r="G888" s="5"/>
    </row>
    <row r="889" spans="1:7" ht="13.2" x14ac:dyDescent="0.25">
      <c r="A889" s="5"/>
      <c r="B889" s="5"/>
      <c r="C889" s="5"/>
      <c r="D889" s="5"/>
      <c r="E889" s="5"/>
      <c r="F889" s="5"/>
      <c r="G889" s="5"/>
    </row>
    <row r="890" spans="1:7" ht="13.2" x14ac:dyDescent="0.25">
      <c r="A890" s="5"/>
      <c r="B890" s="5"/>
      <c r="C890" s="5"/>
      <c r="D890" s="5"/>
      <c r="E890" s="5"/>
      <c r="F890" s="5"/>
      <c r="G890" s="5"/>
    </row>
    <row r="891" spans="1:7" ht="13.2" x14ac:dyDescent="0.25">
      <c r="A891" s="5"/>
      <c r="B891" s="5"/>
      <c r="C891" s="5"/>
      <c r="D891" s="5"/>
      <c r="E891" s="5"/>
      <c r="F891" s="5"/>
      <c r="G891" s="5"/>
    </row>
    <row r="892" spans="1:7" ht="13.2" x14ac:dyDescent="0.25">
      <c r="A892" s="5"/>
      <c r="B892" s="5"/>
      <c r="C892" s="5"/>
      <c r="D892" s="5"/>
      <c r="E892" s="5"/>
      <c r="F892" s="5"/>
      <c r="G892" s="5"/>
    </row>
    <row r="893" spans="1:7" ht="13.2" x14ac:dyDescent="0.25">
      <c r="A893" s="5"/>
      <c r="B893" s="5"/>
      <c r="C893" s="5"/>
      <c r="D893" s="5"/>
      <c r="E893" s="5"/>
      <c r="F893" s="5"/>
      <c r="G893" s="5"/>
    </row>
    <row r="894" spans="1:7" ht="13.2" x14ac:dyDescent="0.25">
      <c r="A894" s="5"/>
      <c r="B894" s="5"/>
      <c r="C894" s="5"/>
      <c r="D894" s="5"/>
      <c r="E894" s="5"/>
      <c r="F894" s="5"/>
      <c r="G894" s="5"/>
    </row>
    <row r="895" spans="1:7" ht="13.2" x14ac:dyDescent="0.25">
      <c r="A895" s="5"/>
      <c r="B895" s="5"/>
      <c r="C895" s="5"/>
      <c r="D895" s="5"/>
      <c r="E895" s="5"/>
      <c r="F895" s="5"/>
      <c r="G895" s="5"/>
    </row>
    <row r="896" spans="1:7" ht="13.2" x14ac:dyDescent="0.25">
      <c r="A896" s="5"/>
      <c r="B896" s="5"/>
      <c r="C896" s="5"/>
      <c r="D896" s="5"/>
      <c r="E896" s="5"/>
      <c r="F896" s="5"/>
      <c r="G896" s="5"/>
    </row>
    <row r="897" spans="1:7" ht="13.2" x14ac:dyDescent="0.25">
      <c r="A897" s="5"/>
      <c r="B897" s="5"/>
      <c r="C897" s="5"/>
      <c r="D897" s="5"/>
      <c r="E897" s="5"/>
      <c r="F897" s="5"/>
      <c r="G897" s="5"/>
    </row>
    <row r="898" spans="1:7" ht="13.2" x14ac:dyDescent="0.25">
      <c r="A898" s="5"/>
      <c r="B898" s="5"/>
      <c r="C898" s="5"/>
      <c r="D898" s="5"/>
      <c r="E898" s="5"/>
      <c r="F898" s="5"/>
      <c r="G898" s="5"/>
    </row>
    <row r="899" spans="1:7" ht="13.2" x14ac:dyDescent="0.25">
      <c r="A899" s="5"/>
      <c r="B899" s="5"/>
      <c r="C899" s="5"/>
      <c r="D899" s="5"/>
      <c r="E899" s="5"/>
      <c r="F899" s="5"/>
      <c r="G899" s="5"/>
    </row>
    <row r="900" spans="1:7" ht="13.2" x14ac:dyDescent="0.25">
      <c r="A900" s="5"/>
      <c r="B900" s="5"/>
      <c r="C900" s="5"/>
      <c r="D900" s="5"/>
      <c r="E900" s="5"/>
      <c r="F900" s="5"/>
      <c r="G900" s="5"/>
    </row>
    <row r="901" spans="1:7" ht="13.2" x14ac:dyDescent="0.25">
      <c r="A901" s="5"/>
      <c r="B901" s="5"/>
      <c r="C901" s="5"/>
      <c r="D901" s="5"/>
      <c r="E901" s="5"/>
      <c r="F901" s="5"/>
      <c r="G901" s="5"/>
    </row>
    <row r="902" spans="1:7" ht="13.2" x14ac:dyDescent="0.25">
      <c r="A902" s="5"/>
      <c r="B902" s="5"/>
      <c r="C902" s="5"/>
      <c r="D902" s="5"/>
      <c r="E902" s="5"/>
      <c r="F902" s="5"/>
      <c r="G902" s="5"/>
    </row>
    <row r="903" spans="1:7" ht="13.2" x14ac:dyDescent="0.25">
      <c r="A903" s="5"/>
      <c r="B903" s="5"/>
      <c r="C903" s="5"/>
      <c r="D903" s="5"/>
      <c r="E903" s="5"/>
      <c r="F903" s="5"/>
      <c r="G903" s="5"/>
    </row>
    <row r="904" spans="1:7" ht="13.2" x14ac:dyDescent="0.25">
      <c r="A904" s="5"/>
      <c r="B904" s="5"/>
      <c r="C904" s="5"/>
      <c r="D904" s="5"/>
      <c r="E904" s="5"/>
      <c r="F904" s="5"/>
      <c r="G904" s="5"/>
    </row>
    <row r="905" spans="1:7" ht="13.2" x14ac:dyDescent="0.25">
      <c r="A905" s="5"/>
      <c r="B905" s="5"/>
      <c r="C905" s="5"/>
      <c r="D905" s="5"/>
      <c r="E905" s="5"/>
      <c r="F905" s="5"/>
      <c r="G905" s="5"/>
    </row>
    <row r="906" spans="1:7" ht="13.2" x14ac:dyDescent="0.25">
      <c r="A906" s="5"/>
      <c r="B906" s="5"/>
      <c r="C906" s="5"/>
      <c r="D906" s="5"/>
      <c r="E906" s="5"/>
      <c r="F906" s="5"/>
      <c r="G906" s="5"/>
    </row>
    <row r="907" spans="1:7" ht="13.2" x14ac:dyDescent="0.25">
      <c r="A907" s="5"/>
      <c r="B907" s="5"/>
      <c r="C907" s="5"/>
      <c r="D907" s="5"/>
      <c r="E907" s="5"/>
      <c r="F907" s="5"/>
      <c r="G907" s="5"/>
    </row>
    <row r="908" spans="1:7" ht="13.2" x14ac:dyDescent="0.25">
      <c r="A908" s="5"/>
      <c r="B908" s="5"/>
      <c r="C908" s="5"/>
      <c r="D908" s="5"/>
      <c r="E908" s="5"/>
      <c r="F908" s="5"/>
      <c r="G908" s="5"/>
    </row>
    <row r="909" spans="1:7" ht="13.2" x14ac:dyDescent="0.25">
      <c r="A909" s="5"/>
      <c r="B909" s="5"/>
      <c r="C909" s="5"/>
      <c r="D909" s="5"/>
      <c r="E909" s="5"/>
      <c r="F909" s="5"/>
      <c r="G909" s="5"/>
    </row>
    <row r="910" spans="1:7" ht="13.2" x14ac:dyDescent="0.25">
      <c r="A910" s="5"/>
      <c r="B910" s="5"/>
      <c r="C910" s="5"/>
      <c r="D910" s="5"/>
      <c r="E910" s="5"/>
      <c r="F910" s="5"/>
      <c r="G910" s="5"/>
    </row>
    <row r="911" spans="1:7" ht="13.2" x14ac:dyDescent="0.25">
      <c r="A911" s="5"/>
      <c r="B911" s="5"/>
      <c r="C911" s="5"/>
      <c r="D911" s="5"/>
      <c r="E911" s="5"/>
      <c r="F911" s="5"/>
      <c r="G911" s="5"/>
    </row>
    <row r="912" spans="1:7" ht="13.2" x14ac:dyDescent="0.25">
      <c r="A912" s="5"/>
      <c r="B912" s="5"/>
      <c r="C912" s="5"/>
      <c r="D912" s="5"/>
      <c r="E912" s="5"/>
      <c r="F912" s="5"/>
      <c r="G912" s="5"/>
    </row>
    <row r="913" spans="1:7" ht="13.2" x14ac:dyDescent="0.25">
      <c r="A913" s="5"/>
      <c r="B913" s="5"/>
      <c r="C913" s="5"/>
      <c r="D913" s="5"/>
      <c r="E913" s="5"/>
      <c r="F913" s="5"/>
      <c r="G913" s="5"/>
    </row>
    <row r="914" spans="1:7" ht="13.2" x14ac:dyDescent="0.25">
      <c r="A914" s="5"/>
      <c r="B914" s="5"/>
      <c r="C914" s="5"/>
      <c r="D914" s="5"/>
      <c r="E914" s="5"/>
      <c r="F914" s="5"/>
      <c r="G914" s="5"/>
    </row>
    <row r="915" spans="1:7" ht="13.2" x14ac:dyDescent="0.25">
      <c r="A915" s="5"/>
      <c r="B915" s="5"/>
      <c r="C915" s="5"/>
      <c r="D915" s="5"/>
      <c r="E915" s="5"/>
      <c r="F915" s="5"/>
      <c r="G915" s="5"/>
    </row>
    <row r="916" spans="1:7" ht="13.2" x14ac:dyDescent="0.25">
      <c r="A916" s="5"/>
      <c r="B916" s="5"/>
      <c r="C916" s="5"/>
      <c r="D916" s="5"/>
      <c r="E916" s="5"/>
      <c r="F916" s="5"/>
      <c r="G916" s="5"/>
    </row>
    <row r="917" spans="1:7" ht="13.2" x14ac:dyDescent="0.25">
      <c r="A917" s="5"/>
      <c r="B917" s="5"/>
      <c r="C917" s="5"/>
      <c r="D917" s="5"/>
      <c r="E917" s="5"/>
      <c r="F917" s="5"/>
      <c r="G917" s="5"/>
    </row>
    <row r="918" spans="1:7" ht="13.2" x14ac:dyDescent="0.25">
      <c r="A918" s="5"/>
      <c r="B918" s="5"/>
      <c r="C918" s="5"/>
      <c r="D918" s="5"/>
      <c r="E918" s="5"/>
      <c r="F918" s="5"/>
      <c r="G918" s="5"/>
    </row>
    <row r="919" spans="1:7" ht="13.2" x14ac:dyDescent="0.25">
      <c r="A919" s="5"/>
      <c r="B919" s="5"/>
      <c r="C919" s="5"/>
      <c r="D919" s="5"/>
      <c r="E919" s="5"/>
      <c r="F919" s="5"/>
      <c r="G919" s="5"/>
    </row>
    <row r="920" spans="1:7" ht="13.2" x14ac:dyDescent="0.25">
      <c r="A920" s="5"/>
      <c r="B920" s="5"/>
      <c r="C920" s="5"/>
      <c r="D920" s="5"/>
      <c r="E920" s="5"/>
      <c r="F920" s="5"/>
      <c r="G920" s="5"/>
    </row>
    <row r="921" spans="1:7" ht="13.2" x14ac:dyDescent="0.25">
      <c r="A921" s="5"/>
      <c r="B921" s="5"/>
      <c r="C921" s="5"/>
      <c r="D921" s="5"/>
      <c r="E921" s="5"/>
      <c r="F921" s="5"/>
      <c r="G921" s="5"/>
    </row>
    <row r="922" spans="1:7" ht="13.2" x14ac:dyDescent="0.25">
      <c r="A922" s="5"/>
      <c r="B922" s="5"/>
      <c r="C922" s="5"/>
      <c r="D922" s="5"/>
      <c r="E922" s="5"/>
      <c r="F922" s="5"/>
      <c r="G922" s="5"/>
    </row>
    <row r="923" spans="1:7" ht="13.2" x14ac:dyDescent="0.25">
      <c r="A923" s="5"/>
      <c r="B923" s="5"/>
      <c r="C923" s="5"/>
      <c r="D923" s="5"/>
      <c r="E923" s="5"/>
      <c r="F923" s="5"/>
      <c r="G923" s="5"/>
    </row>
    <row r="924" spans="1:7" ht="13.2" x14ac:dyDescent="0.25">
      <c r="A924" s="5"/>
      <c r="B924" s="5"/>
      <c r="C924" s="5"/>
      <c r="D924" s="5"/>
      <c r="E924" s="5"/>
      <c r="F924" s="5"/>
      <c r="G924" s="5"/>
    </row>
    <row r="925" spans="1:7" ht="13.2" x14ac:dyDescent="0.25">
      <c r="A925" s="5"/>
      <c r="B925" s="5"/>
      <c r="C925" s="5"/>
      <c r="D925" s="5"/>
      <c r="E925" s="5"/>
      <c r="F925" s="5"/>
      <c r="G925" s="5"/>
    </row>
    <row r="926" spans="1:7" ht="13.2" x14ac:dyDescent="0.25">
      <c r="A926" s="5"/>
      <c r="B926" s="5"/>
      <c r="C926" s="5"/>
      <c r="D926" s="5"/>
      <c r="E926" s="5"/>
      <c r="F926" s="5"/>
      <c r="G926" s="5"/>
    </row>
    <row r="927" spans="1:7" ht="13.2" x14ac:dyDescent="0.25">
      <c r="A927" s="5"/>
      <c r="B927" s="5"/>
      <c r="C927" s="5"/>
      <c r="D927" s="5"/>
      <c r="E927" s="5"/>
      <c r="F927" s="5"/>
      <c r="G927" s="5"/>
    </row>
    <row r="928" spans="1:7" ht="13.2" x14ac:dyDescent="0.25">
      <c r="A928" s="5"/>
      <c r="B928" s="5"/>
      <c r="C928" s="5"/>
      <c r="D928" s="5"/>
      <c r="E928" s="5"/>
      <c r="F928" s="5"/>
      <c r="G928" s="5"/>
    </row>
    <row r="929" spans="1:7" ht="13.2" x14ac:dyDescent="0.25">
      <c r="A929" s="5"/>
      <c r="B929" s="5"/>
      <c r="C929" s="5"/>
      <c r="D929" s="5"/>
      <c r="E929" s="5"/>
      <c r="F929" s="5"/>
      <c r="G929" s="5"/>
    </row>
    <row r="930" spans="1:7" ht="13.2" x14ac:dyDescent="0.25">
      <c r="A930" s="5"/>
      <c r="B930" s="5"/>
      <c r="C930" s="5"/>
      <c r="D930" s="5"/>
      <c r="E930" s="5"/>
      <c r="F930" s="5"/>
      <c r="G930" s="5"/>
    </row>
    <row r="931" spans="1:7" ht="13.2" x14ac:dyDescent="0.25">
      <c r="A931" s="5"/>
      <c r="B931" s="5"/>
      <c r="C931" s="5"/>
      <c r="D931" s="5"/>
      <c r="E931" s="5"/>
      <c r="F931" s="5"/>
      <c r="G931" s="5"/>
    </row>
    <row r="932" spans="1:7" ht="13.2" x14ac:dyDescent="0.25">
      <c r="A932" s="5"/>
      <c r="B932" s="5"/>
      <c r="C932" s="5"/>
      <c r="D932" s="5"/>
      <c r="E932" s="5"/>
      <c r="F932" s="5"/>
      <c r="G932" s="5"/>
    </row>
    <row r="933" spans="1:7" ht="13.2" x14ac:dyDescent="0.25">
      <c r="A933" s="5"/>
      <c r="B933" s="5"/>
      <c r="C933" s="5"/>
      <c r="D933" s="5"/>
      <c r="E933" s="5"/>
      <c r="F933" s="5"/>
      <c r="G933" s="5"/>
    </row>
    <row r="934" spans="1:7" ht="13.2" x14ac:dyDescent="0.25">
      <c r="A934" s="5"/>
      <c r="B934" s="5"/>
      <c r="C934" s="5"/>
      <c r="D934" s="5"/>
      <c r="E934" s="5"/>
      <c r="F934" s="5"/>
      <c r="G934" s="5"/>
    </row>
    <row r="935" spans="1:7" ht="13.2" x14ac:dyDescent="0.25">
      <c r="A935" s="5"/>
      <c r="B935" s="5"/>
      <c r="C935" s="5"/>
      <c r="D935" s="5"/>
      <c r="E935" s="5"/>
      <c r="F935" s="5"/>
      <c r="G935" s="5"/>
    </row>
    <row r="936" spans="1:7" ht="13.2" x14ac:dyDescent="0.25">
      <c r="A936" s="5"/>
      <c r="B936" s="5"/>
      <c r="C936" s="5"/>
      <c r="D936" s="5"/>
      <c r="E936" s="5"/>
      <c r="F936" s="5"/>
      <c r="G936" s="5"/>
    </row>
    <row r="937" spans="1:7" ht="13.2" x14ac:dyDescent="0.25">
      <c r="A937" s="5"/>
      <c r="B937" s="5"/>
      <c r="C937" s="5"/>
      <c r="D937" s="5"/>
      <c r="E937" s="5"/>
      <c r="F937" s="5"/>
      <c r="G937" s="5"/>
    </row>
    <row r="938" spans="1:7" ht="13.2" x14ac:dyDescent="0.25">
      <c r="A938" s="5"/>
      <c r="B938" s="5"/>
      <c r="C938" s="5"/>
      <c r="D938" s="5"/>
      <c r="E938" s="5"/>
      <c r="F938" s="5"/>
      <c r="G938" s="5"/>
    </row>
    <row r="939" spans="1:7" ht="13.2" x14ac:dyDescent="0.25">
      <c r="A939" s="5"/>
      <c r="B939" s="5"/>
      <c r="C939" s="5"/>
      <c r="D939" s="5"/>
      <c r="E939" s="5"/>
      <c r="F939" s="5"/>
      <c r="G939" s="5"/>
    </row>
    <row r="940" spans="1:7" ht="13.2" x14ac:dyDescent="0.25">
      <c r="A940" s="5"/>
      <c r="B940" s="5"/>
      <c r="C940" s="5"/>
      <c r="D940" s="5"/>
      <c r="E940" s="5"/>
      <c r="F940" s="5"/>
      <c r="G940" s="5"/>
    </row>
    <row r="941" spans="1:7" ht="13.2" x14ac:dyDescent="0.25">
      <c r="A941" s="5"/>
      <c r="B941" s="5"/>
      <c r="C941" s="5"/>
      <c r="D941" s="5"/>
      <c r="E941" s="5"/>
      <c r="F941" s="5"/>
      <c r="G941" s="5"/>
    </row>
    <row r="942" spans="1:7" ht="13.2" x14ac:dyDescent="0.25">
      <c r="A942" s="5"/>
      <c r="B942" s="5"/>
      <c r="C942" s="5"/>
      <c r="D942" s="5"/>
      <c r="E942" s="5"/>
      <c r="F942" s="5"/>
      <c r="G942" s="5"/>
    </row>
    <row r="943" spans="1:7" ht="13.2" x14ac:dyDescent="0.25">
      <c r="A943" s="5"/>
      <c r="B943" s="5"/>
      <c r="C943" s="5"/>
      <c r="D943" s="5"/>
      <c r="E943" s="5"/>
      <c r="F943" s="5"/>
      <c r="G943" s="5"/>
    </row>
    <row r="944" spans="1:7" ht="13.2" x14ac:dyDescent="0.25">
      <c r="A944" s="5"/>
      <c r="B944" s="5"/>
      <c r="C944" s="5"/>
      <c r="D944" s="5"/>
      <c r="E944" s="5"/>
      <c r="F944" s="5"/>
      <c r="G944" s="5"/>
    </row>
    <row r="945" spans="1:7" ht="13.2" x14ac:dyDescent="0.25">
      <c r="A945" s="5"/>
      <c r="B945" s="5"/>
      <c r="C945" s="5"/>
      <c r="D945" s="5"/>
      <c r="E945" s="5"/>
      <c r="F945" s="5"/>
      <c r="G945" s="5"/>
    </row>
    <row r="946" spans="1:7" ht="13.2" x14ac:dyDescent="0.25">
      <c r="A946" s="5"/>
      <c r="B946" s="5"/>
      <c r="C946" s="5"/>
      <c r="D946" s="5"/>
      <c r="E946" s="5"/>
      <c r="F946" s="5"/>
      <c r="G946" s="5"/>
    </row>
    <row r="947" spans="1:7" ht="13.2" x14ac:dyDescent="0.25">
      <c r="A947" s="5"/>
      <c r="B947" s="5"/>
      <c r="C947" s="5"/>
      <c r="D947" s="5"/>
      <c r="E947" s="5"/>
      <c r="F947" s="5"/>
      <c r="G947" s="5"/>
    </row>
    <row r="948" spans="1:7" ht="13.2" x14ac:dyDescent="0.25">
      <c r="A948" s="5"/>
      <c r="B948" s="5"/>
      <c r="C948" s="5"/>
      <c r="D948" s="5"/>
      <c r="E948" s="5"/>
      <c r="F948" s="5"/>
      <c r="G948" s="5"/>
    </row>
    <row r="949" spans="1:7" ht="13.2" x14ac:dyDescent="0.25">
      <c r="A949" s="5"/>
      <c r="B949" s="5"/>
      <c r="C949" s="5"/>
      <c r="D949" s="5"/>
      <c r="E949" s="5"/>
      <c r="F949" s="5"/>
      <c r="G949" s="5"/>
    </row>
    <row r="950" spans="1:7" ht="13.2" x14ac:dyDescent="0.25">
      <c r="A950" s="5"/>
      <c r="B950" s="5"/>
      <c r="C950" s="5"/>
      <c r="D950" s="5"/>
      <c r="E950" s="5"/>
      <c r="F950" s="5"/>
      <c r="G950" s="5"/>
    </row>
    <row r="951" spans="1:7" ht="13.2" x14ac:dyDescent="0.25">
      <c r="A951" s="5"/>
      <c r="B951" s="5"/>
      <c r="C951" s="5"/>
      <c r="D951" s="5"/>
      <c r="E951" s="5"/>
      <c r="F951" s="5"/>
      <c r="G951" s="5"/>
    </row>
    <row r="952" spans="1:7" ht="13.2" x14ac:dyDescent="0.25">
      <c r="A952" s="5"/>
      <c r="B952" s="5"/>
      <c r="C952" s="5"/>
      <c r="D952" s="5"/>
      <c r="E952" s="5"/>
      <c r="F952" s="5"/>
      <c r="G952" s="5"/>
    </row>
    <row r="953" spans="1:7" ht="13.2" x14ac:dyDescent="0.25">
      <c r="A953" s="5"/>
      <c r="B953" s="5"/>
      <c r="C953" s="5"/>
      <c r="D953" s="5"/>
      <c r="E953" s="5"/>
      <c r="F953" s="5"/>
      <c r="G953" s="5"/>
    </row>
    <row r="954" spans="1:7" ht="13.2" x14ac:dyDescent="0.25">
      <c r="A954" s="5"/>
      <c r="B954" s="5"/>
      <c r="C954" s="5"/>
      <c r="D954" s="5"/>
      <c r="E954" s="5"/>
      <c r="F954" s="5"/>
      <c r="G954" s="5"/>
    </row>
    <row r="955" spans="1:7" ht="13.2" x14ac:dyDescent="0.25">
      <c r="A955" s="5"/>
      <c r="B955" s="5"/>
      <c r="C955" s="5"/>
      <c r="D955" s="5"/>
      <c r="E955" s="5"/>
      <c r="F955" s="5"/>
      <c r="G955" s="5"/>
    </row>
    <row r="956" spans="1:7" ht="13.2" x14ac:dyDescent="0.25">
      <c r="A956" s="5"/>
      <c r="B956" s="5"/>
      <c r="C956" s="5"/>
      <c r="D956" s="5"/>
      <c r="E956" s="5"/>
      <c r="F956" s="5"/>
      <c r="G956" s="5"/>
    </row>
    <row r="957" spans="1:7" ht="13.2" x14ac:dyDescent="0.25">
      <c r="A957" s="5"/>
      <c r="B957" s="5"/>
      <c r="C957" s="5"/>
      <c r="D957" s="5"/>
      <c r="E957" s="5"/>
      <c r="F957" s="5"/>
      <c r="G957" s="5"/>
    </row>
    <row r="958" spans="1:7" ht="13.2" x14ac:dyDescent="0.25">
      <c r="A958" s="5"/>
      <c r="B958" s="5"/>
      <c r="C958" s="5"/>
      <c r="D958" s="5"/>
      <c r="E958" s="5"/>
      <c r="F958" s="5"/>
      <c r="G958" s="5"/>
    </row>
    <row r="959" spans="1:7" ht="13.2" x14ac:dyDescent="0.25">
      <c r="A959" s="5"/>
      <c r="B959" s="5"/>
      <c r="C959" s="5"/>
      <c r="D959" s="5"/>
      <c r="E959" s="5"/>
      <c r="F959" s="5"/>
      <c r="G959" s="5"/>
    </row>
    <row r="960" spans="1:7" ht="13.2" x14ac:dyDescent="0.25">
      <c r="A960" s="5"/>
      <c r="B960" s="5"/>
      <c r="C960" s="5"/>
      <c r="D960" s="5"/>
      <c r="E960" s="5"/>
      <c r="F960" s="5"/>
      <c r="G960" s="5"/>
    </row>
    <row r="961" spans="1:7" ht="13.2" x14ac:dyDescent="0.25">
      <c r="A961" s="5"/>
      <c r="B961" s="5"/>
      <c r="C961" s="5"/>
      <c r="D961" s="5"/>
      <c r="E961" s="5"/>
      <c r="F961" s="5"/>
      <c r="G961" s="5"/>
    </row>
    <row r="962" spans="1:7" ht="13.2" x14ac:dyDescent="0.25">
      <c r="A962" s="5"/>
      <c r="B962" s="5"/>
      <c r="C962" s="5"/>
      <c r="D962" s="5"/>
      <c r="E962" s="5"/>
      <c r="F962" s="5"/>
      <c r="G962" s="5"/>
    </row>
    <row r="963" spans="1:7" ht="13.2" x14ac:dyDescent="0.25">
      <c r="A963" s="5"/>
      <c r="B963" s="5"/>
      <c r="C963" s="5"/>
      <c r="D963" s="5"/>
      <c r="E963" s="5"/>
      <c r="F963" s="5"/>
      <c r="G963" s="5"/>
    </row>
    <row r="964" spans="1:7" ht="13.2" x14ac:dyDescent="0.25">
      <c r="A964" s="5"/>
      <c r="B964" s="5"/>
      <c r="C964" s="5"/>
      <c r="D964" s="5"/>
      <c r="E964" s="5"/>
      <c r="F964" s="5"/>
      <c r="G964" s="5"/>
    </row>
    <row r="965" spans="1:7" ht="13.2" x14ac:dyDescent="0.25">
      <c r="A965" s="5"/>
      <c r="B965" s="5"/>
      <c r="C965" s="5"/>
      <c r="D965" s="5"/>
      <c r="E965" s="5"/>
      <c r="F965" s="5"/>
      <c r="G965" s="5"/>
    </row>
    <row r="966" spans="1:7" ht="13.2" x14ac:dyDescent="0.25">
      <c r="A966" s="5"/>
      <c r="B966" s="5"/>
      <c r="C966" s="5"/>
      <c r="D966" s="5"/>
      <c r="E966" s="5"/>
      <c r="F966" s="5"/>
      <c r="G966" s="5"/>
    </row>
    <row r="967" spans="1:7" ht="13.2" x14ac:dyDescent="0.25">
      <c r="A967" s="5"/>
      <c r="B967" s="5"/>
      <c r="C967" s="5"/>
      <c r="D967" s="5"/>
      <c r="E967" s="5"/>
      <c r="F967" s="5"/>
      <c r="G967" s="5"/>
    </row>
    <row r="968" spans="1:7" ht="13.2" x14ac:dyDescent="0.25">
      <c r="A968" s="5"/>
      <c r="B968" s="5"/>
      <c r="C968" s="5"/>
      <c r="D968" s="5"/>
      <c r="E968" s="5"/>
      <c r="F968" s="5"/>
      <c r="G968" s="5"/>
    </row>
    <row r="969" spans="1:7" ht="13.2" x14ac:dyDescent="0.25">
      <c r="A969" s="5"/>
      <c r="B969" s="5"/>
      <c r="C969" s="5"/>
      <c r="D969" s="5"/>
      <c r="E969" s="5"/>
      <c r="F969" s="5"/>
      <c r="G969" s="5"/>
    </row>
    <row r="970" spans="1:7" ht="13.2" x14ac:dyDescent="0.25">
      <c r="A970" s="5"/>
      <c r="B970" s="5"/>
      <c r="C970" s="5"/>
      <c r="D970" s="5"/>
      <c r="E970" s="5"/>
      <c r="F970" s="5"/>
      <c r="G970" s="5"/>
    </row>
    <row r="971" spans="1:7" ht="13.2" x14ac:dyDescent="0.25">
      <c r="A971" s="5"/>
      <c r="B971" s="5"/>
      <c r="C971" s="5"/>
      <c r="D971" s="5"/>
      <c r="E971" s="5"/>
      <c r="F971" s="5"/>
      <c r="G971" s="5"/>
    </row>
    <row r="972" spans="1:7" ht="13.2" x14ac:dyDescent="0.25">
      <c r="A972" s="5"/>
      <c r="B972" s="5"/>
      <c r="C972" s="5"/>
      <c r="D972" s="5"/>
      <c r="E972" s="5"/>
      <c r="F972" s="5"/>
      <c r="G972" s="5"/>
    </row>
    <row r="973" spans="1:7" ht="13.2" x14ac:dyDescent="0.25">
      <c r="A973" s="5"/>
      <c r="B973" s="5"/>
      <c r="C973" s="5"/>
      <c r="D973" s="5"/>
      <c r="E973" s="5"/>
      <c r="F973" s="5"/>
      <c r="G973" s="5"/>
    </row>
    <row r="974" spans="1:7" ht="13.2" x14ac:dyDescent="0.25">
      <c r="A974" s="5"/>
      <c r="B974" s="5"/>
      <c r="C974" s="5"/>
      <c r="D974" s="5"/>
      <c r="E974" s="5"/>
      <c r="F974" s="5"/>
      <c r="G974" s="5"/>
    </row>
    <row r="975" spans="1:7" ht="13.2" x14ac:dyDescent="0.25">
      <c r="A975" s="5"/>
      <c r="B975" s="5"/>
      <c r="C975" s="5"/>
      <c r="D975" s="5"/>
      <c r="E975" s="5"/>
      <c r="F975" s="5"/>
      <c r="G975" s="5"/>
    </row>
    <row r="976" spans="1:7" ht="13.2" x14ac:dyDescent="0.25">
      <c r="A976" s="5"/>
      <c r="B976" s="5"/>
      <c r="C976" s="5"/>
      <c r="D976" s="5"/>
      <c r="E976" s="5"/>
      <c r="F976" s="5"/>
      <c r="G976" s="5"/>
    </row>
    <row r="977" spans="1:7" ht="13.2" x14ac:dyDescent="0.25">
      <c r="A977" s="5"/>
      <c r="B977" s="5"/>
      <c r="C977" s="5"/>
      <c r="D977" s="5"/>
      <c r="E977" s="5"/>
      <c r="F977" s="5"/>
      <c r="G977" s="5"/>
    </row>
    <row r="978" spans="1:7" ht="13.2" x14ac:dyDescent="0.25">
      <c r="A978" s="5"/>
      <c r="B978" s="5"/>
      <c r="C978" s="5"/>
      <c r="D978" s="5"/>
      <c r="E978" s="5"/>
      <c r="F978" s="5"/>
      <c r="G978" s="5"/>
    </row>
    <row r="979" spans="1:7" ht="13.2" x14ac:dyDescent="0.25">
      <c r="A979" s="5"/>
      <c r="B979" s="5"/>
      <c r="C979" s="5"/>
      <c r="D979" s="5"/>
      <c r="E979" s="5"/>
      <c r="F979" s="5"/>
      <c r="G979" s="5"/>
    </row>
    <row r="980" spans="1:7" ht="13.2" x14ac:dyDescent="0.25">
      <c r="A980" s="5"/>
      <c r="B980" s="5"/>
      <c r="C980" s="5"/>
      <c r="D980" s="5"/>
      <c r="E980" s="5"/>
      <c r="F980" s="5"/>
      <c r="G980" s="5"/>
    </row>
    <row r="981" spans="1:7" ht="13.2" x14ac:dyDescent="0.25">
      <c r="A981" s="5"/>
      <c r="B981" s="5"/>
      <c r="C981" s="5"/>
      <c r="D981" s="5"/>
      <c r="E981" s="5"/>
      <c r="F981" s="5"/>
      <c r="G981" s="5"/>
    </row>
    <row r="982" spans="1:7" ht="13.2" x14ac:dyDescent="0.25">
      <c r="A982" s="5"/>
      <c r="B982" s="5"/>
      <c r="C982" s="5"/>
      <c r="D982" s="5"/>
      <c r="E982" s="5"/>
      <c r="F982" s="5"/>
      <c r="G982" s="5"/>
    </row>
    <row r="983" spans="1:7" ht="13.2" x14ac:dyDescent="0.25">
      <c r="A983" s="5"/>
      <c r="B983" s="5"/>
      <c r="C983" s="5"/>
      <c r="D983" s="5"/>
      <c r="E983" s="5"/>
      <c r="F983" s="5"/>
      <c r="G983" s="5"/>
    </row>
    <row r="984" spans="1:7" ht="13.2" x14ac:dyDescent="0.25">
      <c r="A984" s="5"/>
      <c r="B984" s="5"/>
      <c r="C984" s="5"/>
      <c r="D984" s="5"/>
      <c r="E984" s="5"/>
      <c r="F984" s="5"/>
      <c r="G984" s="5"/>
    </row>
    <row r="985" spans="1:7" ht="13.2" x14ac:dyDescent="0.25">
      <c r="A985" s="5"/>
      <c r="B985" s="5"/>
      <c r="C985" s="5"/>
      <c r="D985" s="5"/>
      <c r="E985" s="5"/>
      <c r="F985" s="5"/>
      <c r="G985" s="5"/>
    </row>
    <row r="986" spans="1:7" ht="13.2" x14ac:dyDescent="0.25">
      <c r="A986" s="5"/>
      <c r="B986" s="5"/>
      <c r="C986" s="5"/>
      <c r="D986" s="5"/>
      <c r="E986" s="5"/>
      <c r="F986" s="5"/>
      <c r="G986" s="5"/>
    </row>
    <row r="987" spans="1:7" ht="13.2" x14ac:dyDescent="0.25">
      <c r="A987" s="5"/>
      <c r="B987" s="5"/>
      <c r="C987" s="5"/>
      <c r="D987" s="5"/>
      <c r="E987" s="5"/>
      <c r="F987" s="5"/>
      <c r="G987" s="5"/>
    </row>
    <row r="988" spans="1:7" ht="13.2" x14ac:dyDescent="0.25">
      <c r="A988" s="5"/>
      <c r="B988" s="5"/>
      <c r="C988" s="5"/>
      <c r="D988" s="5"/>
      <c r="E988" s="5"/>
      <c r="F988" s="5"/>
      <c r="G988" s="5"/>
    </row>
    <row r="989" spans="1:7" ht="13.2" x14ac:dyDescent="0.25">
      <c r="A989" s="5"/>
      <c r="B989" s="5"/>
      <c r="C989" s="5"/>
      <c r="D989" s="5"/>
      <c r="E989" s="5"/>
      <c r="F989" s="5"/>
      <c r="G989" s="5"/>
    </row>
    <row r="990" spans="1:7" ht="13.2" x14ac:dyDescent="0.25">
      <c r="A990" s="5"/>
      <c r="B990" s="5"/>
      <c r="C990" s="5"/>
      <c r="D990" s="5"/>
      <c r="E990" s="5"/>
      <c r="F990" s="5"/>
      <c r="G990" s="5"/>
    </row>
    <row r="991" spans="1:7" ht="13.2" x14ac:dyDescent="0.25">
      <c r="A991" s="5"/>
      <c r="B991" s="5"/>
      <c r="C991" s="5"/>
      <c r="D991" s="5"/>
      <c r="E991" s="5"/>
      <c r="F991" s="5"/>
      <c r="G991" s="5"/>
    </row>
    <row r="992" spans="1:7" ht="13.2" x14ac:dyDescent="0.25">
      <c r="A992" s="5"/>
      <c r="B992" s="5"/>
      <c r="C992" s="5"/>
      <c r="D992" s="5"/>
      <c r="E992" s="5"/>
      <c r="F992" s="5"/>
      <c r="G992" s="5"/>
    </row>
    <row r="993" spans="1:7" ht="13.2" x14ac:dyDescent="0.25">
      <c r="A993" s="5"/>
      <c r="B993" s="5"/>
      <c r="C993" s="5"/>
      <c r="D993" s="5"/>
      <c r="E993" s="5"/>
      <c r="F993" s="5"/>
      <c r="G993" s="5"/>
    </row>
    <row r="994" spans="1:7" ht="13.2" x14ac:dyDescent="0.25">
      <c r="A994" s="5"/>
      <c r="B994" s="5"/>
      <c r="C994" s="5"/>
      <c r="D994" s="5"/>
      <c r="E994" s="5"/>
      <c r="F994" s="5"/>
      <c r="G994" s="5"/>
    </row>
    <row r="995" spans="1:7" ht="13.2" x14ac:dyDescent="0.25">
      <c r="A995" s="5"/>
      <c r="B995" s="5"/>
      <c r="C995" s="5"/>
      <c r="D995" s="5"/>
      <c r="E995" s="5"/>
      <c r="F995" s="5"/>
      <c r="G995" s="5"/>
    </row>
    <row r="996" spans="1:7" ht="13.2" x14ac:dyDescent="0.25">
      <c r="A996" s="5"/>
      <c r="B996" s="5"/>
      <c r="C996" s="5"/>
      <c r="D996" s="5"/>
      <c r="E996" s="5"/>
      <c r="F996" s="5"/>
      <c r="G996" s="5"/>
    </row>
    <row r="997" spans="1:7" ht="13.2" x14ac:dyDescent="0.25">
      <c r="A997" s="5"/>
      <c r="B997" s="5"/>
      <c r="C997" s="5"/>
      <c r="D997" s="5"/>
      <c r="E997" s="5"/>
      <c r="F997" s="5"/>
      <c r="G997" s="5"/>
    </row>
    <row r="998" spans="1:7" ht="13.2" x14ac:dyDescent="0.25">
      <c r="A998" s="5"/>
      <c r="B998" s="5"/>
      <c r="C998" s="5"/>
      <c r="D998" s="5"/>
      <c r="E998" s="5"/>
      <c r="F998" s="5"/>
      <c r="G998" s="5"/>
    </row>
    <row r="999" spans="1:7" ht="13.2" x14ac:dyDescent="0.25">
      <c r="A999" s="5"/>
      <c r="B999" s="5"/>
      <c r="C999" s="5"/>
      <c r="D999" s="5"/>
      <c r="E999" s="5"/>
      <c r="F999" s="5"/>
      <c r="G999" s="5"/>
    </row>
    <row r="1000" spans="1:7" ht="13.2" x14ac:dyDescent="0.25">
      <c r="A1000" s="5"/>
      <c r="B1000" s="5"/>
      <c r="C1000" s="5"/>
      <c r="D1000" s="5"/>
      <c r="E1000" s="5"/>
      <c r="F1000" s="5"/>
      <c r="G1000" s="5"/>
    </row>
    <row r="1001" spans="1:7" ht="13.2" x14ac:dyDescent="0.25">
      <c r="A1001" s="5"/>
      <c r="B1001" s="5"/>
      <c r="C1001" s="5"/>
      <c r="D1001" s="5"/>
      <c r="E1001" s="5"/>
      <c r="F1001" s="5"/>
      <c r="G1001" s="5"/>
    </row>
    <row r="1002" spans="1:7" ht="13.2" x14ac:dyDescent="0.25">
      <c r="A1002" s="5"/>
      <c r="B1002" s="5"/>
      <c r="C1002" s="5"/>
      <c r="D1002" s="5"/>
      <c r="E1002" s="5"/>
      <c r="F1002" s="5"/>
      <c r="G1002" s="5"/>
    </row>
    <row r="1003" spans="1:7" ht="13.2" x14ac:dyDescent="0.25">
      <c r="A1003" s="5"/>
      <c r="B1003" s="5"/>
      <c r="C1003" s="5"/>
      <c r="D1003" s="5"/>
      <c r="E1003" s="5"/>
      <c r="F1003" s="5"/>
      <c r="G1003" s="5"/>
    </row>
    <row r="1004" spans="1:7" ht="13.2" x14ac:dyDescent="0.25">
      <c r="A1004" s="5"/>
      <c r="B1004" s="5"/>
      <c r="C1004" s="5"/>
      <c r="D1004" s="5"/>
      <c r="E1004" s="5"/>
      <c r="F1004" s="5"/>
      <c r="G1004" s="5"/>
    </row>
    <row r="1005" spans="1:7" ht="13.2" x14ac:dyDescent="0.25">
      <c r="A1005" s="5"/>
      <c r="B1005" s="5"/>
      <c r="C1005" s="5"/>
      <c r="D1005" s="5"/>
      <c r="E1005" s="5"/>
      <c r="F1005" s="5"/>
      <c r="G1005" s="5"/>
    </row>
    <row r="1006" spans="1:7" ht="13.2" x14ac:dyDescent="0.25">
      <c r="A1006" s="5"/>
      <c r="B1006" s="5"/>
      <c r="C1006" s="5"/>
      <c r="D1006" s="5"/>
      <c r="E1006" s="5"/>
      <c r="F1006" s="5"/>
      <c r="G1006" s="5"/>
    </row>
    <row r="1007" spans="1:7" ht="13.2" x14ac:dyDescent="0.25">
      <c r="A1007" s="5"/>
      <c r="B1007" s="5"/>
      <c r="C1007" s="5"/>
      <c r="D1007" s="5"/>
      <c r="E1007" s="5"/>
      <c r="F1007" s="5"/>
      <c r="G1007" s="5"/>
    </row>
    <row r="1008" spans="1:7" ht="13.2" x14ac:dyDescent="0.25">
      <c r="A1008" s="5"/>
      <c r="B1008" s="5"/>
      <c r="C1008" s="5"/>
      <c r="D1008" s="5"/>
      <c r="E1008" s="5"/>
      <c r="F1008" s="5"/>
      <c r="G1008" s="5"/>
    </row>
    <row r="1009" spans="1:7" ht="13.2" x14ac:dyDescent="0.25">
      <c r="A1009" s="5"/>
      <c r="B1009" s="5"/>
      <c r="C1009" s="5"/>
      <c r="D1009" s="5"/>
      <c r="E1009" s="5"/>
      <c r="F1009" s="5"/>
      <c r="G1009" s="5"/>
    </row>
    <row r="1010" spans="1:7" ht="13.2" x14ac:dyDescent="0.25">
      <c r="A1010" s="5"/>
      <c r="B1010" s="5"/>
      <c r="C1010" s="5"/>
      <c r="D1010" s="5"/>
      <c r="E1010" s="5"/>
      <c r="F1010" s="5"/>
      <c r="G1010" s="5"/>
    </row>
    <row r="1011" spans="1:7" ht="13.2" x14ac:dyDescent="0.25">
      <c r="A1011" s="5"/>
      <c r="B1011" s="5"/>
      <c r="C1011" s="5"/>
      <c r="D1011" s="5"/>
      <c r="E1011" s="5"/>
      <c r="F1011" s="5"/>
      <c r="G1011" s="5"/>
    </row>
    <row r="1012" spans="1:7" ht="13.2" x14ac:dyDescent="0.25">
      <c r="A1012" s="5"/>
      <c r="B1012" s="5"/>
      <c r="C1012" s="5"/>
      <c r="D1012" s="5"/>
      <c r="E1012" s="5"/>
      <c r="F1012" s="5"/>
      <c r="G1012" s="5"/>
    </row>
    <row r="1013" spans="1:7" ht="13.2" x14ac:dyDescent="0.25">
      <c r="A1013" s="5"/>
      <c r="B1013" s="5"/>
      <c r="C1013" s="5"/>
      <c r="D1013" s="5"/>
      <c r="E1013" s="5"/>
      <c r="F1013" s="5"/>
      <c r="G1013" s="5"/>
    </row>
    <row r="1014" spans="1:7" ht="13.2" x14ac:dyDescent="0.25">
      <c r="A1014" s="5"/>
      <c r="B1014" s="5"/>
      <c r="C1014" s="5"/>
      <c r="D1014" s="5"/>
      <c r="E1014" s="5"/>
      <c r="F1014" s="5"/>
      <c r="G1014" s="5"/>
    </row>
    <row r="1015" spans="1:7" ht="13.2" x14ac:dyDescent="0.25">
      <c r="A1015" s="5"/>
      <c r="B1015" s="5"/>
      <c r="C1015" s="5"/>
      <c r="D1015" s="5"/>
      <c r="E1015" s="5"/>
      <c r="F1015" s="5"/>
      <c r="G1015" s="5"/>
    </row>
    <row r="1016" spans="1:7" ht="13.2" x14ac:dyDescent="0.25">
      <c r="A1016" s="5"/>
      <c r="B1016" s="5"/>
      <c r="C1016" s="5"/>
      <c r="D1016" s="5"/>
      <c r="E1016" s="5"/>
      <c r="F1016" s="5"/>
      <c r="G1016" s="5"/>
    </row>
    <row r="1017" spans="1:7" ht="13.2" x14ac:dyDescent="0.25">
      <c r="A1017" s="5"/>
      <c r="B1017" s="5"/>
      <c r="C1017" s="5"/>
      <c r="D1017" s="5"/>
      <c r="E1017" s="5"/>
      <c r="F1017" s="5"/>
      <c r="G1017" s="5"/>
    </row>
    <row r="1018" spans="1:7" ht="13.2" x14ac:dyDescent="0.25">
      <c r="A1018" s="5"/>
      <c r="B1018" s="5"/>
      <c r="C1018" s="5"/>
      <c r="D1018" s="5"/>
      <c r="E1018" s="5"/>
      <c r="F1018" s="5"/>
      <c r="G1018" s="5"/>
    </row>
    <row r="1019" spans="1:7" ht="13.2" x14ac:dyDescent="0.25">
      <c r="A1019" s="5"/>
      <c r="B1019" s="5"/>
      <c r="C1019" s="5"/>
      <c r="D1019" s="5"/>
      <c r="E1019" s="5"/>
      <c r="F1019" s="5"/>
      <c r="G1019" s="5"/>
    </row>
    <row r="1020" spans="1:7" ht="13.2" x14ac:dyDescent="0.25">
      <c r="A1020" s="5"/>
      <c r="B1020" s="5"/>
      <c r="C1020" s="5"/>
      <c r="D1020" s="5"/>
      <c r="E1020" s="5"/>
      <c r="F1020" s="5"/>
      <c r="G1020" s="5"/>
    </row>
    <row r="1021" spans="1:7" ht="13.2" x14ac:dyDescent="0.25">
      <c r="A1021" s="5"/>
      <c r="B1021" s="5"/>
      <c r="C1021" s="5"/>
      <c r="D1021" s="5"/>
      <c r="E1021" s="5"/>
      <c r="F1021" s="5"/>
      <c r="G1021" s="5"/>
    </row>
    <row r="1022" spans="1:7" ht="13.2" x14ac:dyDescent="0.25">
      <c r="A1022" s="5"/>
      <c r="B1022" s="5"/>
      <c r="C1022" s="5"/>
      <c r="D1022" s="5"/>
      <c r="E1022" s="5"/>
      <c r="F1022" s="5"/>
      <c r="G1022" s="5"/>
    </row>
    <row r="1023" spans="1:7" ht="13.2" x14ac:dyDescent="0.25">
      <c r="A1023" s="5"/>
      <c r="B1023" s="5"/>
      <c r="C1023" s="5"/>
      <c r="D1023" s="5"/>
      <c r="E1023" s="5"/>
      <c r="F1023" s="5"/>
      <c r="G1023" s="5"/>
    </row>
    <row r="1024" spans="1:7" ht="13.2" x14ac:dyDescent="0.25">
      <c r="A1024" s="5"/>
      <c r="B1024" s="5"/>
      <c r="C1024" s="5"/>
      <c r="D1024" s="5"/>
      <c r="E1024" s="5"/>
      <c r="F1024" s="5"/>
      <c r="G1024" s="5"/>
    </row>
    <row r="1025" spans="1:7" ht="13.2" x14ac:dyDescent="0.25">
      <c r="A1025" s="5"/>
      <c r="B1025" s="5"/>
      <c r="C1025" s="5"/>
      <c r="D1025" s="5"/>
      <c r="E1025" s="5"/>
      <c r="F1025" s="5"/>
      <c r="G1025" s="5"/>
    </row>
    <row r="1026" spans="1:7" ht="13.2" x14ac:dyDescent="0.25">
      <c r="A1026" s="5"/>
      <c r="B1026" s="5"/>
      <c r="C1026" s="5"/>
      <c r="D1026" s="5"/>
      <c r="E1026" s="5"/>
      <c r="F1026" s="5"/>
      <c r="G1026" s="5"/>
    </row>
    <row r="1027" spans="1:7" ht="13.2" x14ac:dyDescent="0.25">
      <c r="A1027" s="5"/>
      <c r="B1027" s="5"/>
      <c r="C1027" s="5"/>
      <c r="D1027" s="5"/>
      <c r="E1027" s="5"/>
      <c r="F1027" s="5"/>
      <c r="G1027" s="5"/>
    </row>
    <row r="1028" spans="1:7" ht="13.2" x14ac:dyDescent="0.25">
      <c r="A1028" s="5"/>
      <c r="B1028" s="5"/>
      <c r="C1028" s="5"/>
      <c r="D1028" s="5"/>
      <c r="E1028" s="5"/>
      <c r="F1028" s="5"/>
      <c r="G1028" s="5"/>
    </row>
    <row r="1029" spans="1:7" ht="13.2" x14ac:dyDescent="0.25">
      <c r="A1029" s="5"/>
      <c r="B1029" s="5"/>
      <c r="C1029" s="5"/>
      <c r="D1029" s="5"/>
      <c r="E1029" s="5"/>
      <c r="F1029" s="5"/>
      <c r="G1029" s="5"/>
    </row>
    <row r="1030" spans="1:7" ht="13.2" x14ac:dyDescent="0.25">
      <c r="A1030" s="5"/>
      <c r="B1030" s="5"/>
      <c r="C1030" s="5"/>
      <c r="D1030" s="5"/>
      <c r="E1030" s="5"/>
      <c r="F1030" s="5"/>
      <c r="G1030" s="5"/>
    </row>
    <row r="1031" spans="1:7" ht="13.2" x14ac:dyDescent="0.25">
      <c r="A1031" s="5"/>
      <c r="B1031" s="5"/>
      <c r="C1031" s="5"/>
      <c r="D1031" s="5"/>
      <c r="E1031" s="5"/>
      <c r="F1031" s="5"/>
      <c r="G1031" s="5"/>
    </row>
    <row r="1032" spans="1:7" ht="13.2" x14ac:dyDescent="0.25">
      <c r="A1032" s="5"/>
      <c r="B1032" s="5"/>
      <c r="C1032" s="5"/>
      <c r="D1032" s="5"/>
      <c r="E1032" s="5"/>
      <c r="F1032" s="5"/>
      <c r="G1032" s="5"/>
    </row>
    <row r="1033" spans="1:7" ht="13.2" x14ac:dyDescent="0.25">
      <c r="A1033" s="5"/>
      <c r="B1033" s="5"/>
      <c r="C1033" s="5"/>
      <c r="D1033" s="5"/>
      <c r="E1033" s="5"/>
      <c r="F1033" s="5"/>
      <c r="G1033" s="5"/>
    </row>
    <row r="1034" spans="1:7" ht="13.2" x14ac:dyDescent="0.25">
      <c r="A1034" s="5"/>
      <c r="B1034" s="5"/>
      <c r="C1034" s="5"/>
      <c r="D1034" s="5"/>
      <c r="E1034" s="5"/>
      <c r="F1034" s="5"/>
      <c r="G1034" s="5"/>
    </row>
    <row r="1035" spans="1:7" ht="13.2" x14ac:dyDescent="0.25">
      <c r="A1035" s="5"/>
      <c r="B1035" s="5"/>
      <c r="C1035" s="5"/>
      <c r="D1035" s="5"/>
      <c r="E1035" s="5"/>
      <c r="F1035" s="5"/>
      <c r="G1035" s="5"/>
    </row>
    <row r="1036" spans="1:7" ht="13.2" x14ac:dyDescent="0.25">
      <c r="A1036" s="5"/>
      <c r="B1036" s="5"/>
      <c r="C1036" s="5"/>
      <c r="D1036" s="5"/>
      <c r="E1036" s="5"/>
      <c r="F1036" s="5"/>
      <c r="G1036" s="5"/>
    </row>
    <row r="1037" spans="1:7" ht="13.2" x14ac:dyDescent="0.25">
      <c r="A1037" s="5"/>
      <c r="B1037" s="5"/>
      <c r="C1037" s="5"/>
      <c r="D1037" s="5"/>
      <c r="E1037" s="5"/>
      <c r="F1037" s="5"/>
      <c r="G1037" s="5"/>
    </row>
    <row r="1038" spans="1:7" ht="13.2" x14ac:dyDescent="0.25">
      <c r="A1038" s="5"/>
      <c r="B1038" s="5"/>
      <c r="C1038" s="5"/>
      <c r="D1038" s="5"/>
      <c r="E1038" s="5"/>
      <c r="F1038" s="5"/>
      <c r="G1038" s="5"/>
    </row>
    <row r="1039" spans="1:7" ht="13.2" x14ac:dyDescent="0.25">
      <c r="A1039" s="5"/>
      <c r="B1039" s="5"/>
      <c r="C1039" s="5"/>
      <c r="D1039" s="5"/>
      <c r="E1039" s="5"/>
      <c r="F1039" s="5"/>
      <c r="G1039" s="5"/>
    </row>
    <row r="1040" spans="1:7" ht="13.2" x14ac:dyDescent="0.25">
      <c r="A1040" s="5"/>
      <c r="B1040" s="5"/>
      <c r="C1040" s="5"/>
      <c r="D1040" s="5"/>
      <c r="E1040" s="5"/>
      <c r="F1040" s="5"/>
      <c r="G1040" s="5"/>
    </row>
    <row r="1041" spans="1:7" ht="13.2" x14ac:dyDescent="0.25">
      <c r="A1041" s="5"/>
      <c r="B1041" s="5"/>
      <c r="C1041" s="5"/>
      <c r="D1041" s="5"/>
      <c r="E1041" s="5"/>
      <c r="F1041" s="5"/>
      <c r="G1041" s="5"/>
    </row>
    <row r="1042" spans="1:7" ht="13.2" x14ac:dyDescent="0.25">
      <c r="A1042" s="5"/>
      <c r="B1042" s="5"/>
      <c r="C1042" s="5"/>
      <c r="D1042" s="5"/>
      <c r="E1042" s="5"/>
      <c r="F1042" s="5"/>
      <c r="G1042" s="5"/>
    </row>
    <row r="1043" spans="1:7" ht="13.2" x14ac:dyDescent="0.25">
      <c r="A1043" s="5"/>
      <c r="B1043" s="5"/>
      <c r="C1043" s="5"/>
      <c r="D1043" s="5"/>
      <c r="E1043" s="5"/>
      <c r="F1043" s="5"/>
      <c r="G1043" s="5"/>
    </row>
    <row r="1044" spans="1:7" ht="13.2" x14ac:dyDescent="0.25">
      <c r="A1044" s="5"/>
      <c r="B1044" s="5"/>
      <c r="C1044" s="5"/>
      <c r="D1044" s="5"/>
      <c r="E1044" s="5"/>
      <c r="F1044" s="5"/>
      <c r="G1044" s="5"/>
    </row>
    <row r="1045" spans="1:7" ht="13.2" x14ac:dyDescent="0.25">
      <c r="A1045" s="5"/>
      <c r="B1045" s="5"/>
      <c r="C1045" s="5"/>
      <c r="D1045" s="5"/>
      <c r="E1045" s="5"/>
      <c r="F1045" s="5"/>
      <c r="G1045" s="5"/>
    </row>
    <row r="1046" spans="1:7" ht="13.2" x14ac:dyDescent="0.25">
      <c r="A1046" s="5"/>
      <c r="B1046" s="5"/>
      <c r="C1046" s="5"/>
      <c r="D1046" s="5"/>
      <c r="E1046" s="5"/>
      <c r="F1046" s="5"/>
      <c r="G1046" s="5"/>
    </row>
    <row r="1047" spans="1:7" ht="13.2" x14ac:dyDescent="0.25">
      <c r="A1047" s="5"/>
      <c r="B1047" s="5"/>
      <c r="C1047" s="5"/>
      <c r="D1047" s="5"/>
      <c r="E1047" s="5"/>
      <c r="F1047" s="5"/>
      <c r="G1047" s="5"/>
    </row>
    <row r="1048" spans="1:7" ht="13.2" x14ac:dyDescent="0.25">
      <c r="A1048" s="5"/>
      <c r="B1048" s="5"/>
      <c r="C1048" s="5"/>
      <c r="D1048" s="5"/>
      <c r="E1048" s="5"/>
      <c r="F1048" s="5"/>
      <c r="G1048" s="5"/>
    </row>
    <row r="1049" spans="1:7" ht="13.2" x14ac:dyDescent="0.25">
      <c r="A1049" s="5"/>
      <c r="B1049" s="5"/>
      <c r="C1049" s="5"/>
      <c r="D1049" s="5"/>
      <c r="E1049" s="5"/>
      <c r="F1049" s="5"/>
      <c r="G1049" s="5"/>
    </row>
    <row r="1050" spans="1:7" ht="13.2" x14ac:dyDescent="0.25">
      <c r="A1050" s="5"/>
      <c r="B1050" s="5"/>
      <c r="C1050" s="5"/>
      <c r="D1050" s="5"/>
      <c r="E1050" s="5"/>
      <c r="F1050" s="5"/>
      <c r="G1050" s="5"/>
    </row>
    <row r="1051" spans="1:7" ht="13.2" x14ac:dyDescent="0.25">
      <c r="A1051" s="5"/>
      <c r="B1051" s="5"/>
      <c r="C1051" s="5"/>
      <c r="D1051" s="5"/>
      <c r="E1051" s="5"/>
      <c r="F1051" s="5"/>
      <c r="G1051" s="5"/>
    </row>
    <row r="1052" spans="1:7" ht="13.2" x14ac:dyDescent="0.25">
      <c r="A1052" s="5"/>
      <c r="B1052" s="5"/>
      <c r="C1052" s="5"/>
      <c r="D1052" s="5"/>
      <c r="E1052" s="5"/>
      <c r="F1052" s="5"/>
      <c r="G1052" s="5"/>
    </row>
    <row r="1053" spans="1:7" ht="13.2" x14ac:dyDescent="0.25">
      <c r="A1053" s="5"/>
      <c r="B1053" s="5"/>
      <c r="C1053" s="5"/>
      <c r="D1053" s="5"/>
      <c r="E1053" s="5"/>
      <c r="F1053" s="5"/>
      <c r="G1053" s="5"/>
    </row>
    <row r="1054" spans="1:7" ht="13.2" x14ac:dyDescent="0.25">
      <c r="A1054" s="5"/>
      <c r="B1054" s="5"/>
      <c r="C1054" s="5"/>
      <c r="D1054" s="5"/>
      <c r="E1054" s="5"/>
      <c r="F1054" s="5"/>
      <c r="G1054" s="5"/>
    </row>
    <row r="1055" spans="1:7" ht="13.2" x14ac:dyDescent="0.25">
      <c r="A1055" s="5"/>
      <c r="B1055" s="5"/>
      <c r="C1055" s="5"/>
      <c r="D1055" s="5"/>
      <c r="E1055" s="5"/>
      <c r="F1055" s="5"/>
      <c r="G1055" s="5"/>
    </row>
    <row r="1056" spans="1:7" ht="13.2" x14ac:dyDescent="0.25">
      <c r="A1056" s="5"/>
      <c r="B1056" s="5"/>
      <c r="C1056" s="5"/>
      <c r="D1056" s="5"/>
      <c r="E1056" s="5"/>
      <c r="F1056" s="5"/>
      <c r="G1056" s="5"/>
    </row>
    <row r="1057" spans="1:7" ht="13.2" x14ac:dyDescent="0.25">
      <c r="A1057" s="5"/>
      <c r="B1057" s="5"/>
      <c r="C1057" s="5"/>
      <c r="D1057" s="5"/>
      <c r="E1057" s="5"/>
      <c r="F1057" s="5"/>
      <c r="G1057" s="5"/>
    </row>
    <row r="1058" spans="1:7" ht="13.2" x14ac:dyDescent="0.25">
      <c r="A1058" s="5"/>
      <c r="B1058" s="5"/>
      <c r="C1058" s="5"/>
      <c r="D1058" s="5"/>
      <c r="E1058" s="5"/>
      <c r="F1058" s="5"/>
      <c r="G1058" s="5"/>
    </row>
    <row r="1059" spans="1:7" ht="13.2" x14ac:dyDescent="0.25">
      <c r="A1059" s="5"/>
      <c r="B1059" s="5"/>
      <c r="C1059" s="5"/>
      <c r="D1059" s="5"/>
      <c r="E1059" s="5"/>
      <c r="F1059" s="5"/>
      <c r="G1059" s="5"/>
    </row>
    <row r="1060" spans="1:7" ht="13.2" x14ac:dyDescent="0.25">
      <c r="A1060" s="5"/>
      <c r="B1060" s="5"/>
      <c r="C1060" s="5"/>
      <c r="D1060" s="5"/>
      <c r="E1060" s="5"/>
      <c r="F1060" s="5"/>
      <c r="G1060" s="5"/>
    </row>
    <row r="1061" spans="1:7" ht="13.2" x14ac:dyDescent="0.25">
      <c r="A1061" s="5"/>
      <c r="B1061" s="5"/>
      <c r="C1061" s="5"/>
      <c r="D1061" s="5"/>
      <c r="E1061" s="5"/>
      <c r="F1061" s="5"/>
      <c r="G1061" s="5"/>
    </row>
    <row r="1062" spans="1:7" ht="13.2" x14ac:dyDescent="0.25">
      <c r="A1062" s="5"/>
      <c r="B1062" s="5"/>
      <c r="C1062" s="5"/>
      <c r="D1062" s="5"/>
      <c r="E1062" s="5"/>
      <c r="F1062" s="5"/>
      <c r="G1062" s="5"/>
    </row>
    <row r="1063" spans="1:7" ht="13.2" x14ac:dyDescent="0.25">
      <c r="A1063" s="5"/>
      <c r="B1063" s="5"/>
      <c r="C1063" s="5"/>
      <c r="D1063" s="5"/>
      <c r="E1063" s="5"/>
      <c r="F1063" s="5"/>
      <c r="G1063" s="5"/>
    </row>
    <row r="1064" spans="1:7" ht="13.2" x14ac:dyDescent="0.25">
      <c r="A1064" s="5"/>
      <c r="B1064" s="5"/>
      <c r="C1064" s="5"/>
      <c r="D1064" s="5"/>
      <c r="E1064" s="5"/>
      <c r="F1064" s="5"/>
      <c r="G1064" s="5"/>
    </row>
    <row r="1065" spans="1:7" ht="13.2" x14ac:dyDescent="0.25">
      <c r="A1065" s="5"/>
      <c r="B1065" s="5"/>
      <c r="C1065" s="5"/>
      <c r="D1065" s="5"/>
      <c r="E1065" s="5"/>
      <c r="F1065" s="5"/>
      <c r="G1065" s="5"/>
    </row>
    <row r="1066" spans="1:7" ht="13.2" x14ac:dyDescent="0.25">
      <c r="A1066" s="5"/>
      <c r="B1066" s="5"/>
      <c r="C1066" s="5"/>
      <c r="D1066" s="5"/>
      <c r="E1066" s="5"/>
      <c r="F1066" s="5"/>
      <c r="G1066" s="5"/>
    </row>
    <row r="1067" spans="1:7" ht="13.2" x14ac:dyDescent="0.25">
      <c r="A1067" s="5"/>
      <c r="B1067" s="5"/>
      <c r="C1067" s="5"/>
      <c r="D1067" s="5"/>
      <c r="E1067" s="5"/>
      <c r="F1067" s="5"/>
      <c r="G1067" s="5"/>
    </row>
    <row r="1068" spans="1:7" ht="13.2" x14ac:dyDescent="0.25">
      <c r="A1068" s="5"/>
      <c r="B1068" s="5"/>
      <c r="C1068" s="5"/>
      <c r="D1068" s="5"/>
      <c r="E1068" s="5"/>
      <c r="F1068" s="5"/>
      <c r="G1068" s="5"/>
    </row>
    <row r="1069" spans="1:7" ht="13.2" x14ac:dyDescent="0.25">
      <c r="A1069" s="5"/>
      <c r="B1069" s="5"/>
      <c r="C1069" s="5"/>
      <c r="D1069" s="5"/>
      <c r="E1069" s="5"/>
      <c r="F1069" s="5"/>
      <c r="G1069" s="5"/>
    </row>
    <row r="1070" spans="1:7" ht="13.2" x14ac:dyDescent="0.25">
      <c r="A1070" s="5"/>
      <c r="B1070" s="5"/>
      <c r="C1070" s="5"/>
      <c r="D1070" s="5"/>
      <c r="E1070" s="5"/>
      <c r="F1070" s="5"/>
      <c r="G1070" s="5"/>
    </row>
    <row r="1071" spans="1:7" ht="13.2" x14ac:dyDescent="0.25">
      <c r="A1071" s="5"/>
      <c r="B1071" s="5"/>
      <c r="C1071" s="5"/>
      <c r="D1071" s="5"/>
      <c r="E1071" s="5"/>
      <c r="F1071" s="5"/>
      <c r="G1071" s="5"/>
    </row>
    <row r="1072" spans="1:7" ht="13.2" x14ac:dyDescent="0.25">
      <c r="A1072" s="5"/>
      <c r="B1072" s="5"/>
      <c r="C1072" s="5"/>
      <c r="D1072" s="5"/>
      <c r="E1072" s="5"/>
      <c r="F1072" s="5"/>
      <c r="G1072" s="5"/>
    </row>
    <row r="1073" spans="1:7" ht="13.2" x14ac:dyDescent="0.25">
      <c r="A1073" s="5"/>
      <c r="B1073" s="5"/>
      <c r="C1073" s="5"/>
      <c r="D1073" s="5"/>
      <c r="E1073" s="5"/>
      <c r="F1073" s="5"/>
      <c r="G1073" s="5"/>
    </row>
    <row r="1074" spans="1:7" ht="13.2" x14ac:dyDescent="0.25">
      <c r="A1074" s="5"/>
      <c r="B1074" s="5"/>
      <c r="C1074" s="5"/>
      <c r="D1074" s="5"/>
      <c r="E1074" s="5"/>
      <c r="F1074" s="5"/>
      <c r="G1074" s="5"/>
    </row>
    <row r="1075" spans="1:7" ht="13.2" x14ac:dyDescent="0.25">
      <c r="A1075" s="5"/>
      <c r="B1075" s="5"/>
      <c r="C1075" s="5"/>
      <c r="D1075" s="5"/>
      <c r="E1075" s="5"/>
      <c r="F1075" s="5"/>
      <c r="G1075" s="5"/>
    </row>
    <row r="1076" spans="1:7" ht="13.2" x14ac:dyDescent="0.25">
      <c r="A1076" s="5"/>
      <c r="B1076" s="5"/>
      <c r="C1076" s="5"/>
      <c r="D1076" s="5"/>
      <c r="E1076" s="5"/>
      <c r="F1076" s="5"/>
      <c r="G1076" s="5"/>
    </row>
    <row r="1077" spans="1:7" ht="13.2" x14ac:dyDescent="0.25">
      <c r="A1077" s="5"/>
      <c r="B1077" s="5"/>
      <c r="C1077" s="5"/>
      <c r="D1077" s="5"/>
      <c r="E1077" s="5"/>
      <c r="F1077" s="5"/>
      <c r="G1077" s="5"/>
    </row>
    <row r="1078" spans="1:7" ht="13.2" x14ac:dyDescent="0.25">
      <c r="A1078" s="5"/>
      <c r="B1078" s="5"/>
      <c r="C1078" s="5"/>
      <c r="D1078" s="5"/>
      <c r="E1078" s="5"/>
      <c r="F1078" s="5"/>
      <c r="G1078" s="5"/>
    </row>
    <row r="1079" spans="1:7" ht="13.2" x14ac:dyDescent="0.25">
      <c r="A1079" s="5"/>
      <c r="B1079" s="5"/>
      <c r="C1079" s="5"/>
      <c r="D1079" s="5"/>
      <c r="E1079" s="5"/>
      <c r="F1079" s="5"/>
      <c r="G1079" s="5"/>
    </row>
    <row r="1080" spans="1:7" ht="13.2" x14ac:dyDescent="0.25">
      <c r="A1080" s="5"/>
      <c r="B1080" s="5"/>
      <c r="C1080" s="5"/>
      <c r="D1080" s="5"/>
      <c r="E1080" s="5"/>
      <c r="F1080" s="5"/>
      <c r="G1080" s="5"/>
    </row>
    <row r="1081" spans="1:7" ht="13.2" x14ac:dyDescent="0.25">
      <c r="A1081" s="5"/>
      <c r="B1081" s="5"/>
      <c r="C1081" s="5"/>
      <c r="D1081" s="5"/>
      <c r="E1081" s="5"/>
      <c r="F1081" s="5"/>
      <c r="G1081" s="5"/>
    </row>
    <row r="1082" spans="1:7" ht="13.2" x14ac:dyDescent="0.25">
      <c r="A1082" s="5"/>
      <c r="B1082" s="5"/>
      <c r="C1082" s="5"/>
      <c r="D1082" s="5"/>
      <c r="E1082" s="5"/>
      <c r="F1082" s="5"/>
      <c r="G1082" s="5"/>
    </row>
    <row r="1083" spans="1:7" ht="13.2" x14ac:dyDescent="0.25">
      <c r="A1083" s="5"/>
      <c r="B1083" s="5"/>
      <c r="C1083" s="5"/>
      <c r="D1083" s="5"/>
      <c r="E1083" s="5"/>
      <c r="F1083" s="5"/>
      <c r="G1083" s="5"/>
    </row>
    <row r="1084" spans="1:7" ht="13.2" x14ac:dyDescent="0.25">
      <c r="A1084" s="5"/>
      <c r="B1084" s="5"/>
      <c r="C1084" s="5"/>
      <c r="D1084" s="5"/>
      <c r="E1084" s="5"/>
      <c r="F1084" s="5"/>
      <c r="G1084" s="5"/>
    </row>
    <row r="1085" spans="1:7" ht="13.2" x14ac:dyDescent="0.25">
      <c r="A1085" s="5"/>
      <c r="B1085" s="5"/>
      <c r="C1085" s="5"/>
      <c r="D1085" s="5"/>
      <c r="E1085" s="5"/>
      <c r="F1085" s="5"/>
      <c r="G1085" s="5"/>
    </row>
    <row r="1086" spans="1:7" ht="13.2" x14ac:dyDescent="0.25">
      <c r="A1086" s="5"/>
      <c r="B1086" s="5"/>
      <c r="C1086" s="5"/>
      <c r="D1086" s="5"/>
      <c r="E1086" s="5"/>
      <c r="F1086" s="5"/>
      <c r="G1086" s="5"/>
    </row>
    <row r="1087" spans="1:7" ht="13.2" x14ac:dyDescent="0.25">
      <c r="A1087" s="5"/>
      <c r="B1087" s="5"/>
      <c r="C1087" s="5"/>
      <c r="D1087" s="5"/>
      <c r="E1087" s="5"/>
      <c r="F1087" s="5"/>
      <c r="G1087" s="5"/>
    </row>
    <row r="1088" spans="1:7" ht="13.2" x14ac:dyDescent="0.25">
      <c r="A1088" s="5"/>
      <c r="B1088" s="5"/>
      <c r="C1088" s="5"/>
      <c r="D1088" s="5"/>
      <c r="E1088" s="5"/>
      <c r="F1088" s="5"/>
      <c r="G1088" s="5"/>
    </row>
    <row r="1089" spans="1:7" ht="13.2" x14ac:dyDescent="0.25">
      <c r="A1089" s="5"/>
      <c r="B1089" s="5"/>
      <c r="C1089" s="5"/>
      <c r="D1089" s="5"/>
      <c r="E1089" s="5"/>
      <c r="F1089" s="5"/>
      <c r="G1089" s="5"/>
    </row>
    <row r="1090" spans="1:7" ht="13.2" x14ac:dyDescent="0.25">
      <c r="A1090" s="5"/>
      <c r="B1090" s="5"/>
      <c r="C1090" s="5"/>
      <c r="D1090" s="5"/>
      <c r="E1090" s="5"/>
      <c r="F1090" s="5"/>
      <c r="G1090" s="5"/>
    </row>
    <row r="1091" spans="1:7" ht="13.2" x14ac:dyDescent="0.25">
      <c r="A1091" s="5"/>
      <c r="B1091" s="5"/>
      <c r="C1091" s="5"/>
      <c r="D1091" s="5"/>
      <c r="E1091" s="5"/>
      <c r="F1091" s="5"/>
      <c r="G1091" s="5"/>
    </row>
    <row r="1092" spans="1:7" ht="13.2" x14ac:dyDescent="0.25">
      <c r="A1092" s="5"/>
      <c r="B1092" s="5"/>
      <c r="C1092" s="5"/>
      <c r="D1092" s="5"/>
      <c r="E1092" s="5"/>
      <c r="F1092" s="5"/>
      <c r="G1092" s="5"/>
    </row>
    <row r="1093" spans="1:7" ht="13.2" x14ac:dyDescent="0.25">
      <c r="A1093" s="5"/>
      <c r="B1093" s="5"/>
      <c r="C1093" s="5"/>
      <c r="D1093" s="5"/>
      <c r="E1093" s="5"/>
      <c r="F1093" s="5"/>
      <c r="G1093" s="5"/>
    </row>
    <row r="1094" spans="1:7" ht="13.2" x14ac:dyDescent="0.25">
      <c r="A1094" s="5"/>
      <c r="B1094" s="5"/>
      <c r="C1094" s="5"/>
      <c r="D1094" s="5"/>
      <c r="E1094" s="5"/>
      <c r="F1094" s="5"/>
      <c r="G1094" s="5"/>
    </row>
    <row r="1095" spans="1:7" ht="13.2" x14ac:dyDescent="0.25">
      <c r="A1095" s="5"/>
      <c r="B1095" s="5"/>
      <c r="C1095" s="5"/>
      <c r="D1095" s="5"/>
      <c r="E1095" s="5"/>
      <c r="F1095" s="5"/>
      <c r="G1095" s="5"/>
    </row>
    <row r="1096" spans="1:7" ht="13.2" x14ac:dyDescent="0.25">
      <c r="A1096" s="5"/>
      <c r="B1096" s="5"/>
      <c r="C1096" s="5"/>
      <c r="D1096" s="5"/>
      <c r="E1096" s="5"/>
      <c r="F1096" s="5"/>
      <c r="G1096" s="5"/>
    </row>
    <row r="1097" spans="1:7" ht="13.2" x14ac:dyDescent="0.25">
      <c r="A1097" s="5"/>
      <c r="B1097" s="5"/>
      <c r="C1097" s="5"/>
      <c r="D1097" s="5"/>
      <c r="E1097" s="5"/>
      <c r="F1097" s="5"/>
      <c r="G1097" s="5"/>
    </row>
    <row r="1098" spans="1:7" ht="13.2" x14ac:dyDescent="0.25">
      <c r="A1098" s="5"/>
      <c r="B1098" s="5"/>
      <c r="C1098" s="5"/>
      <c r="D1098" s="5"/>
      <c r="E1098" s="5"/>
      <c r="F1098" s="5"/>
      <c r="G1098" s="5"/>
    </row>
    <row r="1099" spans="1:7" ht="13.2" x14ac:dyDescent="0.25">
      <c r="A1099" s="5"/>
      <c r="B1099" s="5"/>
      <c r="C1099" s="5"/>
      <c r="D1099" s="5"/>
      <c r="E1099" s="5"/>
      <c r="F1099" s="5"/>
      <c r="G1099" s="5"/>
    </row>
    <row r="1100" spans="1:7" ht="13.2" x14ac:dyDescent="0.25">
      <c r="A1100" s="5"/>
      <c r="B1100" s="5"/>
      <c r="C1100" s="5"/>
      <c r="D1100" s="5"/>
      <c r="E1100" s="5"/>
      <c r="F1100" s="5"/>
      <c r="G1100" s="5"/>
    </row>
    <row r="1101" spans="1:7" ht="13.2" x14ac:dyDescent="0.25">
      <c r="A1101" s="5"/>
      <c r="B1101" s="5"/>
      <c r="C1101" s="5"/>
      <c r="D1101" s="5"/>
      <c r="E1101" s="5"/>
      <c r="F1101" s="5"/>
      <c r="G1101" s="5"/>
    </row>
    <row r="1102" spans="1:7" ht="13.2" x14ac:dyDescent="0.25">
      <c r="A1102" s="5"/>
      <c r="B1102" s="5"/>
      <c r="C1102" s="5"/>
      <c r="D1102" s="5"/>
      <c r="E1102" s="5"/>
      <c r="F1102" s="5"/>
      <c r="G1102" s="5"/>
    </row>
    <row r="1103" spans="1:7" ht="13.2" x14ac:dyDescent="0.25">
      <c r="A1103" s="5"/>
      <c r="B1103" s="5"/>
      <c r="C1103" s="5"/>
      <c r="D1103" s="5"/>
      <c r="E1103" s="5"/>
      <c r="F1103" s="5"/>
      <c r="G1103" s="5"/>
    </row>
    <row r="1104" spans="1:7" ht="13.2" x14ac:dyDescent="0.25">
      <c r="A1104" s="5"/>
      <c r="B1104" s="5"/>
      <c r="C1104" s="5"/>
      <c r="D1104" s="5"/>
      <c r="E1104" s="5"/>
      <c r="F1104" s="5"/>
      <c r="G1104" s="5"/>
    </row>
    <row r="1105" spans="1:7" ht="13.2" x14ac:dyDescent="0.25">
      <c r="A1105" s="5"/>
      <c r="B1105" s="5"/>
      <c r="C1105" s="5"/>
      <c r="D1105" s="5"/>
      <c r="E1105" s="5"/>
      <c r="F1105" s="5"/>
      <c r="G1105" s="5"/>
    </row>
    <row r="1106" spans="1:7" ht="13.2" x14ac:dyDescent="0.25">
      <c r="A1106" s="5"/>
      <c r="B1106" s="5"/>
      <c r="C1106" s="5"/>
      <c r="D1106" s="5"/>
      <c r="E1106" s="5"/>
      <c r="F1106" s="5"/>
      <c r="G1106" s="5"/>
    </row>
    <row r="1107" spans="1:7" ht="13.2" x14ac:dyDescent="0.25">
      <c r="A1107" s="5"/>
      <c r="B1107" s="5"/>
      <c r="C1107" s="5"/>
      <c r="D1107" s="5"/>
      <c r="E1107" s="5"/>
      <c r="F1107" s="5"/>
      <c r="G1107" s="5"/>
    </row>
    <row r="1108" spans="1:7" ht="13.2" x14ac:dyDescent="0.25">
      <c r="A1108" s="5"/>
      <c r="B1108" s="5"/>
      <c r="C1108" s="5"/>
      <c r="D1108" s="5"/>
      <c r="E1108" s="5"/>
      <c r="F1108" s="5"/>
      <c r="G1108" s="5"/>
    </row>
    <row r="1109" spans="1:7" ht="13.2" x14ac:dyDescent="0.25">
      <c r="A1109" s="5"/>
      <c r="B1109" s="5"/>
      <c r="C1109" s="5"/>
      <c r="D1109" s="5"/>
      <c r="E1109" s="5"/>
      <c r="F1109" s="5"/>
      <c r="G1109" s="5"/>
    </row>
    <row r="1110" spans="1:7" ht="13.2" x14ac:dyDescent="0.25">
      <c r="A1110" s="5"/>
      <c r="B1110" s="5"/>
      <c r="C1110" s="5"/>
      <c r="D1110" s="5"/>
      <c r="E1110" s="5"/>
      <c r="F1110" s="5"/>
      <c r="G1110" s="5"/>
    </row>
    <row r="1111" spans="1:7" ht="13.2" x14ac:dyDescent="0.25">
      <c r="A1111" s="5"/>
      <c r="B1111" s="5"/>
      <c r="C1111" s="5"/>
      <c r="D1111" s="5"/>
      <c r="E1111" s="5"/>
      <c r="F1111" s="5"/>
      <c r="G1111" s="5"/>
    </row>
    <row r="1112" spans="1:7" ht="13.2" x14ac:dyDescent="0.25">
      <c r="A1112" s="5"/>
      <c r="B1112" s="5"/>
      <c r="C1112" s="5"/>
      <c r="D1112" s="5"/>
      <c r="E1112" s="5"/>
      <c r="F1112" s="5"/>
      <c r="G1112" s="5"/>
    </row>
    <row r="1113" spans="1:7" ht="13.2" x14ac:dyDescent="0.25">
      <c r="A1113" s="5"/>
      <c r="B1113" s="5"/>
      <c r="C1113" s="5"/>
      <c r="D1113" s="5"/>
      <c r="E1113" s="5"/>
      <c r="F1113" s="5"/>
      <c r="G1113" s="5"/>
    </row>
    <row r="1114" spans="1:7" ht="13.2" x14ac:dyDescent="0.25">
      <c r="A1114" s="5"/>
      <c r="B1114" s="5"/>
      <c r="C1114" s="5"/>
      <c r="D1114" s="5"/>
      <c r="E1114" s="5"/>
      <c r="F1114" s="5"/>
      <c r="G1114" s="5"/>
    </row>
    <row r="1115" spans="1:7" ht="13.2" x14ac:dyDescent="0.25">
      <c r="A1115" s="5"/>
      <c r="B1115" s="5"/>
      <c r="C1115" s="5"/>
      <c r="D1115" s="5"/>
      <c r="E1115" s="5"/>
      <c r="F1115" s="5"/>
      <c r="G1115" s="5"/>
    </row>
    <row r="1116" spans="1:7" ht="13.2" x14ac:dyDescent="0.25">
      <c r="A1116" s="5"/>
      <c r="B1116" s="5"/>
      <c r="C1116" s="5"/>
      <c r="D1116" s="5"/>
      <c r="E1116" s="5"/>
      <c r="F1116" s="5"/>
      <c r="G1116" s="5"/>
    </row>
    <row r="1117" spans="1:7" ht="13.2" x14ac:dyDescent="0.25">
      <c r="A1117" s="5"/>
      <c r="B1117" s="5"/>
      <c r="C1117" s="5"/>
      <c r="D1117" s="5"/>
      <c r="E1117" s="5"/>
      <c r="F1117" s="5"/>
      <c r="G1117" s="5"/>
    </row>
    <row r="1118" spans="1:7" ht="13.2" x14ac:dyDescent="0.25">
      <c r="A1118" s="5"/>
      <c r="B1118" s="5"/>
      <c r="C1118" s="5"/>
      <c r="D1118" s="5"/>
      <c r="E1118" s="5"/>
      <c r="F1118" s="5"/>
      <c r="G1118" s="5"/>
    </row>
    <row r="1119" spans="1:7" ht="13.2" x14ac:dyDescent="0.25">
      <c r="A1119" s="5"/>
      <c r="B1119" s="5"/>
      <c r="C1119" s="5"/>
      <c r="D1119" s="5"/>
      <c r="E1119" s="5"/>
      <c r="F1119" s="5"/>
      <c r="G1119" s="5"/>
    </row>
    <row r="1120" spans="1:7" ht="13.2" x14ac:dyDescent="0.25">
      <c r="A1120" s="5"/>
      <c r="B1120" s="5"/>
      <c r="C1120" s="5"/>
      <c r="D1120" s="5"/>
      <c r="E1120" s="5"/>
      <c r="F1120" s="5"/>
      <c r="G1120" s="5"/>
    </row>
    <row r="1121" spans="1:7" ht="13.2" x14ac:dyDescent="0.25">
      <c r="A1121" s="5"/>
      <c r="B1121" s="5"/>
      <c r="C1121" s="5"/>
      <c r="D1121" s="5"/>
      <c r="E1121" s="5"/>
      <c r="F1121" s="5"/>
      <c r="G1121" s="5"/>
    </row>
    <row r="1122" spans="1:7" ht="13.2" x14ac:dyDescent="0.25">
      <c r="A1122" s="5"/>
      <c r="B1122" s="5"/>
      <c r="C1122" s="5"/>
      <c r="D1122" s="5"/>
      <c r="E1122" s="5"/>
      <c r="F1122" s="5"/>
      <c r="G1122" s="5"/>
    </row>
    <row r="1123" spans="1:7" ht="13.2" x14ac:dyDescent="0.25">
      <c r="A1123" s="5"/>
      <c r="B1123" s="5"/>
      <c r="C1123" s="5"/>
      <c r="D1123" s="5"/>
      <c r="E1123" s="5"/>
      <c r="F1123" s="5"/>
      <c r="G1123" s="5"/>
    </row>
    <row r="1124" spans="1:7" ht="13.2" x14ac:dyDescent="0.25">
      <c r="A1124" s="5"/>
      <c r="B1124" s="5"/>
      <c r="C1124" s="5"/>
      <c r="D1124" s="5"/>
      <c r="E1124" s="5"/>
      <c r="F1124" s="5"/>
      <c r="G1124" s="5"/>
    </row>
    <row r="1125" spans="1:7" ht="13.2" x14ac:dyDescent="0.25">
      <c r="A1125" s="5"/>
      <c r="B1125" s="5"/>
      <c r="C1125" s="5"/>
      <c r="D1125" s="5"/>
      <c r="E1125" s="5"/>
      <c r="F1125" s="5"/>
      <c r="G1125" s="5"/>
    </row>
    <row r="1126" spans="1:7" ht="13.2" x14ac:dyDescent="0.25">
      <c r="A1126" s="5"/>
      <c r="B1126" s="5"/>
      <c r="C1126" s="5"/>
      <c r="D1126" s="5"/>
      <c r="E1126" s="5"/>
      <c r="F1126" s="5"/>
      <c r="G1126" s="5"/>
    </row>
    <row r="1127" spans="1:7" ht="13.2" x14ac:dyDescent="0.25">
      <c r="A1127" s="5"/>
      <c r="B1127" s="5"/>
      <c r="C1127" s="5"/>
      <c r="D1127" s="5"/>
      <c r="E1127" s="5"/>
      <c r="F1127" s="5"/>
      <c r="G1127" s="5"/>
    </row>
    <row r="1128" spans="1:7" ht="13.2" x14ac:dyDescent="0.25">
      <c r="A1128" s="5"/>
      <c r="B1128" s="5"/>
      <c r="C1128" s="5"/>
      <c r="D1128" s="5"/>
      <c r="E1128" s="5"/>
      <c r="F1128" s="5"/>
      <c r="G1128" s="5"/>
    </row>
    <row r="1129" spans="1:7" ht="13.2" x14ac:dyDescent="0.25">
      <c r="A1129" s="5"/>
      <c r="B1129" s="5"/>
      <c r="C1129" s="5"/>
      <c r="D1129" s="5"/>
      <c r="E1129" s="5"/>
      <c r="F1129" s="5"/>
      <c r="G1129" s="5"/>
    </row>
    <row r="1130" spans="1:7" ht="13.2" x14ac:dyDescent="0.25">
      <c r="A1130" s="5"/>
      <c r="B1130" s="5"/>
      <c r="C1130" s="5"/>
      <c r="D1130" s="5"/>
      <c r="E1130" s="5"/>
      <c r="F1130" s="5"/>
      <c r="G1130" s="5"/>
    </row>
    <row r="1131" spans="1:7" ht="13.2" x14ac:dyDescent="0.25">
      <c r="A1131" s="5"/>
      <c r="B1131" s="5"/>
      <c r="C1131" s="5"/>
      <c r="D1131" s="5"/>
      <c r="E1131" s="5"/>
      <c r="F1131" s="5"/>
      <c r="G1131" s="5"/>
    </row>
    <row r="1132" spans="1:7" ht="13.2" x14ac:dyDescent="0.25">
      <c r="A1132" s="5"/>
      <c r="B1132" s="5"/>
      <c r="C1132" s="5"/>
      <c r="D1132" s="5"/>
      <c r="E1132" s="5"/>
      <c r="F1132" s="5"/>
      <c r="G1132" s="5"/>
    </row>
    <row r="1133" spans="1:7" ht="13.2" x14ac:dyDescent="0.25">
      <c r="A1133" s="5"/>
      <c r="B1133" s="5"/>
      <c r="C1133" s="5"/>
      <c r="D1133" s="5"/>
      <c r="E1133" s="5"/>
      <c r="F1133" s="5"/>
      <c r="G1133" s="5"/>
    </row>
    <row r="1134" spans="1:7" ht="13.2" x14ac:dyDescent="0.25">
      <c r="A1134" s="5"/>
      <c r="B1134" s="5"/>
      <c r="C1134" s="5"/>
      <c r="D1134" s="5"/>
      <c r="E1134" s="5"/>
      <c r="F1134" s="5"/>
      <c r="G1134" s="5"/>
    </row>
    <row r="1135" spans="1:7" ht="13.2" x14ac:dyDescent="0.25">
      <c r="A1135" s="5"/>
      <c r="B1135" s="5"/>
      <c r="C1135" s="5"/>
      <c r="D1135" s="5"/>
      <c r="E1135" s="5"/>
      <c r="F1135" s="5"/>
      <c r="G1135" s="5"/>
    </row>
    <row r="1136" spans="1:7" ht="13.2" x14ac:dyDescent="0.25">
      <c r="A1136" s="5"/>
      <c r="B1136" s="5"/>
      <c r="C1136" s="5"/>
      <c r="D1136" s="5"/>
      <c r="E1136" s="5"/>
      <c r="F1136" s="5"/>
      <c r="G1136" s="5"/>
    </row>
    <row r="1137" spans="1:7" ht="13.2" x14ac:dyDescent="0.25">
      <c r="A1137" s="5"/>
      <c r="B1137" s="5"/>
      <c r="C1137" s="5"/>
      <c r="D1137" s="5"/>
      <c r="E1137" s="5"/>
      <c r="F1137" s="5"/>
      <c r="G1137" s="5"/>
    </row>
    <row r="1138" spans="1:7" ht="13.2" x14ac:dyDescent="0.25">
      <c r="A1138" s="5"/>
      <c r="B1138" s="5"/>
      <c r="C1138" s="5"/>
      <c r="D1138" s="5"/>
      <c r="E1138" s="5"/>
      <c r="F1138" s="5"/>
      <c r="G1138" s="5"/>
    </row>
    <row r="1139" spans="1:7" ht="13.2" x14ac:dyDescent="0.25">
      <c r="A1139" s="5"/>
      <c r="B1139" s="5"/>
      <c r="C1139" s="5"/>
      <c r="D1139" s="5"/>
      <c r="E1139" s="5"/>
      <c r="F1139" s="5"/>
      <c r="G1139" s="5"/>
    </row>
    <row r="1140" spans="1:7" ht="13.2" x14ac:dyDescent="0.25">
      <c r="A1140" s="5"/>
      <c r="B1140" s="5"/>
      <c r="C1140" s="5"/>
      <c r="D1140" s="5"/>
      <c r="E1140" s="5"/>
      <c r="F1140" s="5"/>
      <c r="G1140" s="5"/>
    </row>
    <row r="1141" spans="1:7" ht="13.2" x14ac:dyDescent="0.25">
      <c r="A1141" s="5"/>
      <c r="B1141" s="5"/>
      <c r="C1141" s="5"/>
      <c r="D1141" s="5"/>
      <c r="E1141" s="5"/>
      <c r="F1141" s="5"/>
      <c r="G1141" s="5"/>
    </row>
    <row r="1142" spans="1:7" ht="13.2" x14ac:dyDescent="0.25">
      <c r="A1142" s="5"/>
      <c r="B1142" s="5"/>
      <c r="C1142" s="5"/>
      <c r="D1142" s="5"/>
      <c r="E1142" s="5"/>
      <c r="F1142" s="5"/>
      <c r="G1142" s="5"/>
    </row>
    <row r="1143" spans="1:7" ht="13.2" x14ac:dyDescent="0.25">
      <c r="A1143" s="5"/>
      <c r="B1143" s="5"/>
      <c r="C1143" s="5"/>
      <c r="D1143" s="5"/>
      <c r="E1143" s="5"/>
      <c r="F1143" s="5"/>
      <c r="G1143" s="5"/>
    </row>
    <row r="1144" spans="1:7" ht="13.2" x14ac:dyDescent="0.25">
      <c r="A1144" s="5"/>
      <c r="B1144" s="5"/>
      <c r="C1144" s="5"/>
      <c r="D1144" s="5"/>
      <c r="E1144" s="5"/>
      <c r="F1144" s="5"/>
      <c r="G1144" s="5"/>
    </row>
    <row r="1145" spans="1:7" ht="13.2" x14ac:dyDescent="0.25">
      <c r="A1145" s="5"/>
      <c r="B1145" s="5"/>
      <c r="C1145" s="5"/>
      <c r="D1145" s="5"/>
      <c r="E1145" s="5"/>
      <c r="F1145" s="5"/>
      <c r="G1145" s="5"/>
    </row>
    <row r="1146" spans="1:7" ht="13.2" x14ac:dyDescent="0.25">
      <c r="A1146" s="5"/>
      <c r="B1146" s="5"/>
      <c r="C1146" s="5"/>
      <c r="D1146" s="5"/>
      <c r="E1146" s="5"/>
      <c r="F1146" s="5"/>
      <c r="G1146" s="5"/>
    </row>
    <row r="1147" spans="1:7" ht="13.2" x14ac:dyDescent="0.25">
      <c r="A1147" s="5"/>
      <c r="B1147" s="5"/>
      <c r="C1147" s="5"/>
      <c r="D1147" s="5"/>
      <c r="E1147" s="5"/>
      <c r="F1147" s="5"/>
      <c r="G1147" s="5"/>
    </row>
    <row r="1148" spans="1:7" ht="13.2" x14ac:dyDescent="0.25">
      <c r="A1148" s="5"/>
      <c r="B1148" s="5"/>
      <c r="C1148" s="5"/>
      <c r="D1148" s="5"/>
      <c r="E1148" s="5"/>
      <c r="F1148" s="5"/>
      <c r="G1148" s="5"/>
    </row>
    <row r="1149" spans="1:7" ht="13.2" x14ac:dyDescent="0.25">
      <c r="A1149" s="5"/>
      <c r="B1149" s="5"/>
      <c r="C1149" s="5"/>
      <c r="D1149" s="5"/>
      <c r="E1149" s="5"/>
      <c r="F1149" s="5"/>
      <c r="G1149" s="5"/>
    </row>
    <row r="1150" spans="1:7" ht="13.2" x14ac:dyDescent="0.25">
      <c r="A1150" s="5"/>
      <c r="B1150" s="5"/>
      <c r="C1150" s="5"/>
      <c r="D1150" s="5"/>
      <c r="E1150" s="5"/>
      <c r="F1150" s="5"/>
      <c r="G1150" s="5"/>
    </row>
    <row r="1151" spans="1:7" ht="13.2" x14ac:dyDescent="0.25">
      <c r="A1151" s="5"/>
      <c r="B1151" s="5"/>
      <c r="C1151" s="5"/>
      <c r="D1151" s="5"/>
      <c r="E1151" s="5"/>
      <c r="F1151" s="5"/>
      <c r="G1151" s="5"/>
    </row>
    <row r="1152" spans="1:7" ht="13.2" x14ac:dyDescent="0.25">
      <c r="A1152" s="5"/>
      <c r="B1152" s="5"/>
      <c r="C1152" s="5"/>
      <c r="D1152" s="5"/>
      <c r="E1152" s="5"/>
      <c r="F1152" s="5"/>
      <c r="G1152" s="5"/>
    </row>
    <row r="1153" spans="1:7" ht="13.2" x14ac:dyDescent="0.25">
      <c r="A1153" s="5"/>
      <c r="B1153" s="5"/>
      <c r="C1153" s="5"/>
      <c r="D1153" s="5"/>
      <c r="E1153" s="5"/>
      <c r="F1153" s="5"/>
      <c r="G1153" s="5"/>
    </row>
    <row r="1154" spans="1:7" ht="13.2" x14ac:dyDescent="0.25">
      <c r="A1154" s="5"/>
      <c r="B1154" s="5"/>
      <c r="C1154" s="5"/>
      <c r="D1154" s="5"/>
      <c r="E1154" s="5"/>
      <c r="F1154" s="5"/>
      <c r="G1154" s="5"/>
    </row>
    <row r="1155" spans="1:7" ht="13.2" x14ac:dyDescent="0.25">
      <c r="A1155" s="5"/>
      <c r="B1155" s="5"/>
      <c r="C1155" s="5"/>
      <c r="D1155" s="5"/>
      <c r="E1155" s="5"/>
      <c r="F1155" s="5"/>
      <c r="G1155" s="5"/>
    </row>
    <row r="1156" spans="1:7" ht="13.2" x14ac:dyDescent="0.25">
      <c r="A1156" s="5"/>
      <c r="B1156" s="5"/>
      <c r="C1156" s="5"/>
      <c r="D1156" s="5"/>
      <c r="E1156" s="5"/>
      <c r="F1156" s="5"/>
      <c r="G1156" s="5"/>
    </row>
    <row r="1157" spans="1:7" ht="13.2" x14ac:dyDescent="0.25">
      <c r="A1157" s="5"/>
      <c r="B1157" s="5"/>
      <c r="C1157" s="5"/>
      <c r="D1157" s="5"/>
      <c r="E1157" s="5"/>
      <c r="F1157" s="5"/>
      <c r="G1157" s="5"/>
    </row>
    <row r="1158" spans="1:7" ht="13.2" x14ac:dyDescent="0.25">
      <c r="A1158" s="5"/>
      <c r="B1158" s="5"/>
      <c r="C1158" s="5"/>
      <c r="D1158" s="5"/>
      <c r="E1158" s="5"/>
      <c r="F1158" s="5"/>
      <c r="G1158" s="5"/>
    </row>
    <row r="1159" spans="1:7" ht="13.2" x14ac:dyDescent="0.25">
      <c r="A1159" s="5"/>
      <c r="B1159" s="5"/>
      <c r="C1159" s="5"/>
      <c r="D1159" s="5"/>
      <c r="E1159" s="5"/>
      <c r="F1159" s="5"/>
      <c r="G1159" s="5"/>
    </row>
    <row r="1160" spans="1:7" ht="13.2" x14ac:dyDescent="0.25">
      <c r="A1160" s="5"/>
      <c r="B1160" s="5"/>
      <c r="C1160" s="5"/>
      <c r="D1160" s="5"/>
      <c r="E1160" s="5"/>
      <c r="F1160" s="5"/>
      <c r="G1160" s="5"/>
    </row>
    <row r="1161" spans="1:7" ht="13.2" x14ac:dyDescent="0.25">
      <c r="A1161" s="5"/>
      <c r="B1161" s="5"/>
      <c r="C1161" s="5"/>
      <c r="D1161" s="5"/>
      <c r="E1161" s="5"/>
      <c r="F1161" s="5"/>
      <c r="G1161" s="5"/>
    </row>
    <row r="1162" spans="1:7" ht="13.2" x14ac:dyDescent="0.25">
      <c r="A1162" s="5"/>
      <c r="B1162" s="5"/>
      <c r="C1162" s="5"/>
      <c r="D1162" s="5"/>
      <c r="E1162" s="5"/>
      <c r="F1162" s="5"/>
      <c r="G1162" s="5"/>
    </row>
    <row r="1163" spans="1:7" ht="13.2" x14ac:dyDescent="0.25">
      <c r="A1163" s="5"/>
      <c r="B1163" s="5"/>
      <c r="C1163" s="5"/>
      <c r="D1163" s="5"/>
      <c r="E1163" s="5"/>
      <c r="F1163" s="5"/>
      <c r="G1163" s="5"/>
    </row>
    <row r="1164" spans="1:7" ht="13.2" x14ac:dyDescent="0.25">
      <c r="A1164" s="5"/>
      <c r="B1164" s="5"/>
      <c r="C1164" s="5"/>
      <c r="D1164" s="5"/>
      <c r="E1164" s="5"/>
      <c r="F1164" s="5"/>
      <c r="G1164" s="5"/>
    </row>
    <row r="1165" spans="1:7" ht="13.2" x14ac:dyDescent="0.25">
      <c r="A1165" s="5"/>
      <c r="B1165" s="5"/>
      <c r="C1165" s="5"/>
      <c r="D1165" s="5"/>
      <c r="E1165" s="5"/>
      <c r="F1165" s="5"/>
      <c r="G1165" s="5"/>
    </row>
    <row r="1166" spans="1:7" ht="13.2" x14ac:dyDescent="0.25">
      <c r="A1166" s="5"/>
      <c r="B1166" s="5"/>
      <c r="C1166" s="5"/>
      <c r="D1166" s="5"/>
      <c r="E1166" s="5"/>
      <c r="F1166" s="5"/>
      <c r="G1166" s="5"/>
    </row>
    <row r="1167" spans="1:7" ht="13.2" x14ac:dyDescent="0.25">
      <c r="A1167" s="5"/>
      <c r="B1167" s="5"/>
      <c r="C1167" s="5"/>
      <c r="D1167" s="5"/>
      <c r="E1167" s="5"/>
      <c r="F1167" s="5"/>
      <c r="G1167" s="5"/>
    </row>
    <row r="1168" spans="1:7" ht="13.2" x14ac:dyDescent="0.25">
      <c r="A1168" s="5"/>
      <c r="B1168" s="5"/>
      <c r="C1168" s="5"/>
      <c r="D1168" s="5"/>
      <c r="E1168" s="5"/>
      <c r="F1168" s="5"/>
      <c r="G1168" s="5"/>
    </row>
    <row r="1169" spans="1:7" ht="13.2" x14ac:dyDescent="0.25">
      <c r="A1169" s="5"/>
      <c r="B1169" s="5"/>
      <c r="C1169" s="5"/>
      <c r="D1169" s="5"/>
      <c r="E1169" s="5"/>
      <c r="F1169" s="5"/>
      <c r="G1169" s="5"/>
    </row>
    <row r="1170" spans="1:7" ht="13.2" x14ac:dyDescent="0.25">
      <c r="A1170" s="5"/>
      <c r="B1170" s="5"/>
      <c r="C1170" s="5"/>
      <c r="D1170" s="5"/>
      <c r="E1170" s="5"/>
      <c r="F1170" s="5"/>
      <c r="G1170" s="5"/>
    </row>
    <row r="1171" spans="1:7" ht="13.2" x14ac:dyDescent="0.25">
      <c r="A1171" s="5"/>
      <c r="B1171" s="5"/>
      <c r="C1171" s="5"/>
      <c r="D1171" s="5"/>
      <c r="E1171" s="5"/>
      <c r="F1171" s="5"/>
      <c r="G1171" s="5"/>
    </row>
    <row r="1172" spans="1:7" ht="13.2" x14ac:dyDescent="0.25">
      <c r="A1172" s="5"/>
      <c r="B1172" s="5"/>
      <c r="C1172" s="5"/>
      <c r="D1172" s="5"/>
      <c r="E1172" s="5"/>
      <c r="F1172" s="5"/>
      <c r="G1172" s="5"/>
    </row>
    <row r="1173" spans="1:7" ht="13.2" x14ac:dyDescent="0.25">
      <c r="A1173" s="5"/>
      <c r="B1173" s="5"/>
      <c r="C1173" s="5"/>
      <c r="D1173" s="5"/>
      <c r="E1173" s="5"/>
      <c r="F1173" s="5"/>
      <c r="G1173" s="5"/>
    </row>
    <row r="1174" spans="1:7" ht="13.2" x14ac:dyDescent="0.25">
      <c r="A1174" s="5"/>
      <c r="B1174" s="5"/>
      <c r="C1174" s="5"/>
      <c r="D1174" s="5"/>
      <c r="E1174" s="5"/>
      <c r="F1174" s="5"/>
      <c r="G1174" s="5"/>
    </row>
    <row r="1175" spans="1:7" ht="13.2" x14ac:dyDescent="0.25">
      <c r="A1175" s="5"/>
      <c r="B1175" s="5"/>
      <c r="C1175" s="5"/>
      <c r="D1175" s="5"/>
      <c r="E1175" s="5"/>
      <c r="F1175" s="5"/>
      <c r="G1175" s="5"/>
    </row>
    <row r="1176" spans="1:7" ht="13.2" x14ac:dyDescent="0.25">
      <c r="A1176" s="5"/>
      <c r="B1176" s="5"/>
      <c r="C1176" s="5"/>
      <c r="D1176" s="5"/>
      <c r="E1176" s="5"/>
      <c r="F1176" s="5"/>
      <c r="G1176" s="5"/>
    </row>
    <row r="1177" spans="1:7" ht="13.2" x14ac:dyDescent="0.25">
      <c r="A1177" s="5"/>
      <c r="B1177" s="5"/>
      <c r="C1177" s="5"/>
      <c r="D1177" s="5"/>
      <c r="E1177" s="5"/>
      <c r="F1177" s="5"/>
      <c r="G1177" s="5"/>
    </row>
    <row r="1178" spans="1:7" ht="13.2" x14ac:dyDescent="0.25">
      <c r="A1178" s="5"/>
      <c r="B1178" s="5"/>
      <c r="C1178" s="5"/>
      <c r="D1178" s="5"/>
      <c r="E1178" s="5"/>
      <c r="F1178" s="5"/>
      <c r="G1178" s="5"/>
    </row>
    <row r="1179" spans="1:7" ht="13.2" x14ac:dyDescent="0.25">
      <c r="A1179" s="5"/>
      <c r="B1179" s="5"/>
      <c r="C1179" s="5"/>
      <c r="D1179" s="5"/>
      <c r="E1179" s="5"/>
      <c r="F1179" s="5"/>
      <c r="G1179" s="5"/>
    </row>
    <row r="1180" spans="1:7" ht="13.2" x14ac:dyDescent="0.25">
      <c r="A1180" s="5"/>
      <c r="B1180" s="5"/>
      <c r="C1180" s="5"/>
      <c r="D1180" s="5"/>
      <c r="E1180" s="5"/>
      <c r="F1180" s="5"/>
      <c r="G1180" s="5"/>
    </row>
    <row r="1181" spans="1:7" ht="13.2" x14ac:dyDescent="0.25">
      <c r="A1181" s="5"/>
      <c r="B1181" s="5"/>
      <c r="C1181" s="5"/>
      <c r="D1181" s="5"/>
      <c r="E1181" s="5"/>
      <c r="F1181" s="5"/>
      <c r="G1181" s="5"/>
    </row>
    <row r="1182" spans="1:7" ht="13.2" x14ac:dyDescent="0.25">
      <c r="A1182" s="5"/>
      <c r="B1182" s="5"/>
      <c r="C1182" s="5"/>
      <c r="D1182" s="5"/>
      <c r="E1182" s="5"/>
      <c r="F1182" s="5"/>
      <c r="G1182" s="5"/>
    </row>
    <row r="1183" spans="1:7" ht="13.2" x14ac:dyDescent="0.25">
      <c r="A1183" s="5"/>
      <c r="B1183" s="5"/>
      <c r="C1183" s="5"/>
      <c r="D1183" s="5"/>
      <c r="E1183" s="5"/>
      <c r="F1183" s="5"/>
      <c r="G1183" s="5"/>
    </row>
    <row r="1184" spans="1:7" ht="13.2" x14ac:dyDescent="0.25">
      <c r="A1184" s="5"/>
      <c r="B1184" s="5"/>
      <c r="C1184" s="5"/>
      <c r="D1184" s="5"/>
      <c r="E1184" s="5"/>
      <c r="F1184" s="5"/>
      <c r="G1184" s="5"/>
    </row>
    <row r="1185" spans="1:7" ht="13.2" x14ac:dyDescent="0.25">
      <c r="A1185" s="5"/>
      <c r="B1185" s="5"/>
      <c r="C1185" s="5"/>
      <c r="D1185" s="5"/>
      <c r="E1185" s="5"/>
      <c r="F1185" s="5"/>
      <c r="G1185" s="5"/>
    </row>
    <row r="1186" spans="1:7" ht="13.2" x14ac:dyDescent="0.25">
      <c r="A1186" s="5"/>
      <c r="B1186" s="5"/>
      <c r="C1186" s="5"/>
      <c r="D1186" s="5"/>
      <c r="E1186" s="5"/>
      <c r="F1186" s="5"/>
      <c r="G1186" s="5"/>
    </row>
    <row r="1187" spans="1:7" ht="13.2" x14ac:dyDescent="0.25">
      <c r="A1187" s="5"/>
      <c r="B1187" s="5"/>
      <c r="C1187" s="5"/>
      <c r="D1187" s="5"/>
      <c r="E1187" s="5"/>
      <c r="F1187" s="5"/>
      <c r="G1187" s="5"/>
    </row>
    <row r="1188" spans="1:7" ht="13.2" x14ac:dyDescent="0.25">
      <c r="A1188" s="5"/>
      <c r="B1188" s="5"/>
      <c r="C1188" s="5"/>
      <c r="D1188" s="5"/>
      <c r="E1188" s="5"/>
      <c r="F1188" s="5"/>
      <c r="G1188" s="5"/>
    </row>
    <row r="1189" spans="1:7" ht="13.2" x14ac:dyDescent="0.25">
      <c r="A1189" s="5"/>
      <c r="B1189" s="5"/>
      <c r="C1189" s="5"/>
      <c r="D1189" s="5"/>
      <c r="E1189" s="5"/>
      <c r="F1189" s="5"/>
      <c r="G1189" s="5"/>
    </row>
    <row r="1190" spans="1:7" ht="13.2" x14ac:dyDescent="0.25">
      <c r="A1190" s="5"/>
      <c r="B1190" s="5"/>
      <c r="C1190" s="5"/>
      <c r="D1190" s="5"/>
      <c r="E1190" s="5"/>
      <c r="F1190" s="5"/>
      <c r="G1190" s="5"/>
    </row>
    <row r="1191" spans="1:7" ht="13.2" x14ac:dyDescent="0.25">
      <c r="A1191" s="5"/>
      <c r="B1191" s="5"/>
      <c r="C1191" s="5"/>
      <c r="D1191" s="5"/>
      <c r="E1191" s="5"/>
      <c r="F1191" s="5"/>
      <c r="G1191" s="5"/>
    </row>
    <row r="1192" spans="1:7" ht="13.2" x14ac:dyDescent="0.25">
      <c r="A1192" s="5"/>
      <c r="B1192" s="5"/>
      <c r="C1192" s="5"/>
      <c r="D1192" s="5"/>
      <c r="E1192" s="5"/>
      <c r="F1192" s="5"/>
      <c r="G1192" s="5"/>
    </row>
    <row r="1193" spans="1:7" ht="13.2" x14ac:dyDescent="0.25">
      <c r="A1193" s="5"/>
      <c r="B1193" s="5"/>
      <c r="C1193" s="5"/>
      <c r="D1193" s="5"/>
      <c r="E1193" s="5"/>
      <c r="F1193" s="5"/>
      <c r="G1193" s="5"/>
    </row>
    <row r="1194" spans="1:7" ht="13.2" x14ac:dyDescent="0.25">
      <c r="A1194" s="5"/>
      <c r="B1194" s="5"/>
      <c r="C1194" s="5"/>
      <c r="D1194" s="5"/>
      <c r="E1194" s="5"/>
      <c r="F1194" s="5"/>
      <c r="G1194" s="5"/>
    </row>
    <row r="1195" spans="1:7" ht="13.2" x14ac:dyDescent="0.25">
      <c r="A1195" s="5"/>
      <c r="B1195" s="5"/>
      <c r="C1195" s="5"/>
      <c r="D1195" s="5"/>
      <c r="E1195" s="5"/>
      <c r="F1195" s="5"/>
      <c r="G1195" s="5"/>
    </row>
    <row r="1196" spans="1:7" ht="13.2" x14ac:dyDescent="0.25">
      <c r="A1196" s="5"/>
      <c r="B1196" s="5"/>
      <c r="C1196" s="5"/>
      <c r="D1196" s="5"/>
      <c r="E1196" s="5"/>
      <c r="F1196" s="5"/>
      <c r="G1196" s="5"/>
    </row>
    <row r="1197" spans="1:7" ht="13.2" x14ac:dyDescent="0.25">
      <c r="A1197" s="5"/>
      <c r="B1197" s="5"/>
      <c r="C1197" s="5"/>
      <c r="D1197" s="5"/>
      <c r="E1197" s="5"/>
      <c r="F1197" s="5"/>
      <c r="G1197" s="5"/>
    </row>
    <row r="1198" spans="1:7" ht="13.2" x14ac:dyDescent="0.25">
      <c r="A1198" s="5"/>
      <c r="B1198" s="5"/>
      <c r="C1198" s="5"/>
      <c r="D1198" s="5"/>
      <c r="E1198" s="5"/>
      <c r="F1198" s="5"/>
      <c r="G1198" s="5"/>
    </row>
    <row r="1199" spans="1:7" ht="13.2" x14ac:dyDescent="0.25">
      <c r="A1199" s="5"/>
      <c r="B1199" s="5"/>
      <c r="C1199" s="5"/>
      <c r="D1199" s="5"/>
      <c r="E1199" s="5"/>
      <c r="F1199" s="5"/>
      <c r="G1199" s="5"/>
    </row>
    <row r="1200" spans="1:7" ht="13.2" x14ac:dyDescent="0.25">
      <c r="A1200" s="5"/>
      <c r="B1200" s="5"/>
      <c r="C1200" s="5"/>
      <c r="D1200" s="5"/>
      <c r="E1200" s="5"/>
      <c r="F1200" s="5"/>
      <c r="G1200" s="5"/>
    </row>
    <row r="1201" spans="1:7" ht="13.2" x14ac:dyDescent="0.25">
      <c r="A1201" s="5"/>
      <c r="B1201" s="5"/>
      <c r="C1201" s="5"/>
      <c r="D1201" s="5"/>
      <c r="E1201" s="5"/>
      <c r="F1201" s="5"/>
      <c r="G1201" s="5"/>
    </row>
    <row r="1202" spans="1:7" ht="13.2" x14ac:dyDescent="0.25">
      <c r="A1202" s="5"/>
      <c r="B1202" s="5"/>
      <c r="C1202" s="5"/>
      <c r="D1202" s="5"/>
      <c r="E1202" s="5"/>
      <c r="F1202" s="5"/>
      <c r="G1202" s="5"/>
    </row>
    <row r="1203" spans="1:7" ht="13.2" x14ac:dyDescent="0.25">
      <c r="A1203" s="5"/>
      <c r="B1203" s="5"/>
      <c r="C1203" s="5"/>
      <c r="D1203" s="5"/>
      <c r="E1203" s="5"/>
      <c r="F1203" s="5"/>
      <c r="G1203" s="5"/>
    </row>
    <row r="1204" spans="1:7" ht="13.2" x14ac:dyDescent="0.25">
      <c r="A1204" s="5"/>
      <c r="B1204" s="5"/>
      <c r="C1204" s="5"/>
      <c r="D1204" s="5"/>
      <c r="E1204" s="5"/>
      <c r="F1204" s="5"/>
      <c r="G1204" s="5"/>
    </row>
    <row r="1205" spans="1:7" ht="13.2" x14ac:dyDescent="0.25">
      <c r="A1205" s="5"/>
      <c r="B1205" s="5"/>
      <c r="C1205" s="5"/>
      <c r="D1205" s="5"/>
      <c r="E1205" s="5"/>
      <c r="F1205" s="5"/>
      <c r="G1205" s="5"/>
    </row>
    <row r="1206" spans="1:7" ht="13.2" x14ac:dyDescent="0.25">
      <c r="A1206" s="5"/>
      <c r="B1206" s="5"/>
      <c r="C1206" s="5"/>
      <c r="D1206" s="5"/>
      <c r="E1206" s="5"/>
      <c r="F1206" s="5"/>
      <c r="G1206" s="5"/>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70"/>
  <sheetViews>
    <sheetView showGridLines="0" workbookViewId="0">
      <selection activeCell="F6" sqref="F6"/>
    </sheetView>
  </sheetViews>
  <sheetFormatPr defaultColWidth="12.6640625" defaultRowHeight="15.75" customHeight="1" x14ac:dyDescent="0.25"/>
  <cols>
    <col min="1" max="2" width="8.88671875" bestFit="1" customWidth="1"/>
    <col min="3" max="3" width="7.77734375" bestFit="1" customWidth="1"/>
    <col min="4" max="4" width="12.21875" bestFit="1" customWidth="1"/>
    <col min="7" max="8" width="8.33203125" customWidth="1"/>
    <col min="9" max="9" width="9.21875" customWidth="1"/>
    <col min="10" max="10" width="5.109375" customWidth="1"/>
  </cols>
  <sheetData>
    <row r="1" spans="1:11" ht="13.2" x14ac:dyDescent="0.25">
      <c r="A1" s="2" t="s">
        <v>7</v>
      </c>
      <c r="B1" s="2" t="s">
        <v>220</v>
      </c>
      <c r="C1" s="48" t="s">
        <v>1</v>
      </c>
      <c r="D1" s="6" t="s">
        <v>8</v>
      </c>
      <c r="E1" s="8"/>
      <c r="F1" s="8"/>
      <c r="G1" s="6"/>
      <c r="H1" s="1"/>
      <c r="I1" s="3"/>
      <c r="J1" s="8"/>
      <c r="K1" s="8"/>
    </row>
    <row r="2" spans="1:11" ht="13.2" x14ac:dyDescent="0.25">
      <c r="A2" s="46" t="s">
        <v>15</v>
      </c>
      <c r="B2" s="46" t="s">
        <v>234</v>
      </c>
      <c r="C2">
        <v>1</v>
      </c>
      <c r="D2">
        <v>5045</v>
      </c>
      <c r="E2" s="8"/>
      <c r="F2" s="8"/>
      <c r="G2" s="6"/>
      <c r="H2" s="9"/>
      <c r="I2" s="3"/>
      <c r="J2" s="8"/>
      <c r="K2" s="8"/>
    </row>
    <row r="3" spans="1:11" ht="13.2" x14ac:dyDescent="0.25">
      <c r="A3" s="46" t="s">
        <v>15</v>
      </c>
      <c r="B3" s="46" t="s">
        <v>234</v>
      </c>
      <c r="C3">
        <v>2</v>
      </c>
      <c r="D3">
        <v>4350</v>
      </c>
      <c r="E3" s="8"/>
      <c r="F3" s="8"/>
      <c r="G3" s="6"/>
      <c r="H3" s="9"/>
      <c r="I3" s="3"/>
      <c r="J3" s="8"/>
      <c r="K3" s="8"/>
    </row>
    <row r="4" spans="1:11" ht="13.2" x14ac:dyDescent="0.25">
      <c r="A4" s="46" t="s">
        <v>15</v>
      </c>
      <c r="B4" s="46" t="s">
        <v>234</v>
      </c>
      <c r="C4">
        <v>3</v>
      </c>
      <c r="D4">
        <v>4350</v>
      </c>
      <c r="E4" s="8"/>
      <c r="F4" s="8"/>
      <c r="G4" s="6"/>
      <c r="H4" s="9"/>
      <c r="I4" s="3"/>
      <c r="J4" s="8"/>
      <c r="K4" s="8"/>
    </row>
    <row r="5" spans="1:11" ht="13.2" x14ac:dyDescent="0.25">
      <c r="A5" s="46" t="s">
        <v>15</v>
      </c>
      <c r="B5" s="46" t="s">
        <v>234</v>
      </c>
      <c r="C5">
        <v>4</v>
      </c>
      <c r="D5">
        <v>3975</v>
      </c>
      <c r="E5" s="10"/>
      <c r="F5" s="10"/>
      <c r="G5" s="6"/>
      <c r="H5" s="9"/>
      <c r="I5" s="3"/>
      <c r="J5" s="8"/>
      <c r="K5" s="10"/>
    </row>
    <row r="6" spans="1:11" ht="13.2" x14ac:dyDescent="0.25">
      <c r="A6" s="46" t="s">
        <v>15</v>
      </c>
      <c r="B6" s="46" t="s">
        <v>234</v>
      </c>
      <c r="C6">
        <v>5</v>
      </c>
      <c r="D6">
        <v>4290</v>
      </c>
      <c r="E6" s="11"/>
      <c r="F6" s="12"/>
      <c r="G6" s="6"/>
      <c r="H6" s="9"/>
      <c r="I6" s="3"/>
      <c r="J6" s="8"/>
      <c r="K6" s="11"/>
    </row>
    <row r="7" spans="1:11" ht="13.2" x14ac:dyDescent="0.25">
      <c r="A7" s="46" t="s">
        <v>15</v>
      </c>
      <c r="B7" s="46" t="s">
        <v>234</v>
      </c>
      <c r="C7">
        <v>6</v>
      </c>
      <c r="D7">
        <v>4430</v>
      </c>
      <c r="E7" s="11"/>
      <c r="F7" s="12"/>
      <c r="G7" s="6"/>
      <c r="H7" s="9"/>
      <c r="I7" s="3"/>
      <c r="J7" s="8"/>
      <c r="K7" s="11"/>
    </row>
    <row r="8" spans="1:11" ht="13.2" x14ac:dyDescent="0.25">
      <c r="A8" s="46" t="s">
        <v>15</v>
      </c>
      <c r="B8" s="46" t="s">
        <v>234</v>
      </c>
      <c r="C8">
        <v>7</v>
      </c>
      <c r="D8">
        <v>4485</v>
      </c>
      <c r="E8" s="8"/>
      <c r="F8" s="8"/>
      <c r="G8" s="6"/>
      <c r="H8" s="9"/>
      <c r="I8" s="3"/>
      <c r="J8" s="8"/>
      <c r="K8" s="8"/>
    </row>
    <row r="9" spans="1:11" ht="13.2" x14ac:dyDescent="0.25">
      <c r="A9" s="46" t="s">
        <v>15</v>
      </c>
      <c r="B9" s="46" t="s">
        <v>234</v>
      </c>
      <c r="C9">
        <v>8</v>
      </c>
      <c r="D9">
        <v>4285</v>
      </c>
      <c r="E9" s="8"/>
      <c r="F9" s="8"/>
      <c r="G9" s="6"/>
      <c r="H9" s="9"/>
      <c r="I9" s="3"/>
      <c r="J9" s="8"/>
      <c r="K9" s="8"/>
    </row>
    <row r="10" spans="1:11" ht="13.2" x14ac:dyDescent="0.25">
      <c r="A10" s="46" t="s">
        <v>15</v>
      </c>
      <c r="B10" s="46" t="s">
        <v>234</v>
      </c>
      <c r="C10">
        <v>9</v>
      </c>
      <c r="D10">
        <v>3980</v>
      </c>
      <c r="E10" s="8"/>
      <c r="F10" s="8"/>
      <c r="G10" s="6"/>
      <c r="H10" s="9"/>
      <c r="I10" s="3"/>
      <c r="J10" s="8"/>
      <c r="K10" s="8"/>
    </row>
    <row r="11" spans="1:11" ht="13.2" x14ac:dyDescent="0.25">
      <c r="A11" s="46" t="s">
        <v>15</v>
      </c>
      <c r="B11" s="46" t="s">
        <v>234</v>
      </c>
      <c r="C11">
        <v>10</v>
      </c>
      <c r="D11">
        <v>3925</v>
      </c>
      <c r="E11" s="8"/>
      <c r="F11" s="8"/>
      <c r="G11" s="6"/>
      <c r="H11" s="9"/>
      <c r="I11" s="3"/>
      <c r="J11" s="8"/>
      <c r="K11" s="8"/>
    </row>
    <row r="12" spans="1:11" ht="13.2" x14ac:dyDescent="0.25">
      <c r="A12" s="46" t="s">
        <v>15</v>
      </c>
      <c r="B12" s="46" t="s">
        <v>234</v>
      </c>
      <c r="C12">
        <v>11</v>
      </c>
      <c r="D12">
        <v>3645</v>
      </c>
      <c r="E12" s="8"/>
      <c r="F12" s="8"/>
      <c r="G12" s="6"/>
      <c r="H12" s="9"/>
      <c r="I12" s="3"/>
      <c r="J12" s="8"/>
      <c r="K12" s="8"/>
    </row>
    <row r="13" spans="1:11" ht="13.2" x14ac:dyDescent="0.25">
      <c r="A13" s="46" t="s">
        <v>15</v>
      </c>
      <c r="B13" s="46" t="s">
        <v>234</v>
      </c>
      <c r="C13">
        <v>12</v>
      </c>
      <c r="D13">
        <v>3760</v>
      </c>
      <c r="E13" s="8"/>
      <c r="F13" s="8"/>
      <c r="G13" s="6"/>
      <c r="H13" s="9"/>
      <c r="I13" s="3"/>
      <c r="J13" s="8"/>
      <c r="K13" s="8"/>
    </row>
    <row r="14" spans="1:11" ht="13.2" x14ac:dyDescent="0.25">
      <c r="A14" s="46" t="s">
        <v>15</v>
      </c>
      <c r="B14" s="46" t="s">
        <v>234</v>
      </c>
      <c r="C14">
        <v>13</v>
      </c>
      <c r="D14">
        <v>3300</v>
      </c>
      <c r="E14" s="8"/>
      <c r="F14" s="8"/>
      <c r="G14" s="6"/>
      <c r="H14" s="9"/>
      <c r="I14" s="3"/>
      <c r="J14" s="8"/>
      <c r="K14" s="8"/>
    </row>
    <row r="15" spans="1:11" ht="13.2" x14ac:dyDescent="0.25">
      <c r="A15" s="46" t="s">
        <v>15</v>
      </c>
      <c r="B15" s="46" t="s">
        <v>234</v>
      </c>
      <c r="C15">
        <v>14</v>
      </c>
      <c r="D15">
        <v>3685</v>
      </c>
      <c r="E15" s="8"/>
      <c r="F15" s="8"/>
      <c r="G15" s="6"/>
      <c r="H15" s="9"/>
      <c r="I15" s="3"/>
      <c r="J15" s="8"/>
      <c r="K15" s="8"/>
    </row>
    <row r="16" spans="1:11" ht="13.2" x14ac:dyDescent="0.25">
      <c r="A16" s="46" t="s">
        <v>15</v>
      </c>
      <c r="B16" s="46" t="s">
        <v>234</v>
      </c>
      <c r="C16">
        <v>15</v>
      </c>
      <c r="D16">
        <v>3463</v>
      </c>
      <c r="E16" s="8"/>
      <c r="F16" s="8"/>
      <c r="G16" s="6"/>
      <c r="H16" s="9"/>
      <c r="I16" s="3"/>
      <c r="J16" s="8"/>
      <c r="K16" s="8"/>
    </row>
    <row r="17" spans="1:11" ht="13.2" x14ac:dyDescent="0.25">
      <c r="A17" s="46" t="s">
        <v>15</v>
      </c>
      <c r="B17" s="46" t="s">
        <v>234</v>
      </c>
      <c r="C17">
        <v>16</v>
      </c>
      <c r="D17">
        <v>5200</v>
      </c>
      <c r="E17" s="8"/>
      <c r="F17" s="8"/>
      <c r="G17" s="6"/>
      <c r="H17" s="9"/>
      <c r="I17" s="3"/>
      <c r="J17" s="8"/>
      <c r="K17" s="8"/>
    </row>
    <row r="18" spans="1:11" ht="13.2" x14ac:dyDescent="0.25">
      <c r="A18" s="46" t="s">
        <v>15</v>
      </c>
      <c r="B18" s="46" t="s">
        <v>234</v>
      </c>
      <c r="C18">
        <v>17</v>
      </c>
      <c r="D18">
        <v>5100</v>
      </c>
      <c r="E18" s="8"/>
      <c r="F18" s="8"/>
      <c r="G18" s="6"/>
      <c r="H18" s="9"/>
      <c r="I18" s="3"/>
      <c r="J18" s="8"/>
      <c r="K18" s="8"/>
    </row>
    <row r="19" spans="1:11" ht="13.2" x14ac:dyDescent="0.25">
      <c r="A19" s="46" t="s">
        <v>15</v>
      </c>
      <c r="B19" s="46" t="s">
        <v>234</v>
      </c>
      <c r="C19">
        <v>18</v>
      </c>
      <c r="D19">
        <v>4635</v>
      </c>
      <c r="E19" s="8"/>
      <c r="F19" s="8"/>
      <c r="G19" s="6"/>
      <c r="H19" s="9"/>
      <c r="I19" s="3"/>
      <c r="J19" s="8"/>
      <c r="K19" s="8"/>
    </row>
    <row r="20" spans="1:11" ht="13.2" x14ac:dyDescent="0.25">
      <c r="A20" s="46" t="s">
        <v>15</v>
      </c>
      <c r="B20" s="46" t="s">
        <v>234</v>
      </c>
      <c r="C20">
        <v>19</v>
      </c>
      <c r="D20">
        <v>5100</v>
      </c>
      <c r="E20" s="8"/>
      <c r="F20" s="8"/>
      <c r="G20" s="6"/>
      <c r="H20" s="9"/>
      <c r="I20" s="3"/>
      <c r="J20" s="8"/>
      <c r="K20" s="8"/>
    </row>
    <row r="21" spans="1:11" ht="13.2" x14ac:dyDescent="0.25">
      <c r="A21" s="46" t="s">
        <v>15</v>
      </c>
      <c r="B21" s="46" t="s">
        <v>234</v>
      </c>
      <c r="C21">
        <v>20</v>
      </c>
      <c r="D21">
        <v>5450</v>
      </c>
      <c r="E21" s="8"/>
      <c r="F21" s="8"/>
      <c r="G21" s="6"/>
      <c r="H21" s="9"/>
      <c r="I21" s="3"/>
      <c r="J21" s="8"/>
      <c r="K21" s="8"/>
    </row>
    <row r="22" spans="1:11" ht="13.2" x14ac:dyDescent="0.25">
      <c r="A22" s="46" t="s">
        <v>15</v>
      </c>
      <c r="B22" s="46" t="s">
        <v>234</v>
      </c>
      <c r="C22">
        <v>21</v>
      </c>
      <c r="D22">
        <v>4635</v>
      </c>
      <c r="E22" s="8"/>
      <c r="F22" s="8"/>
      <c r="G22" s="6"/>
      <c r="H22" s="9"/>
      <c r="I22" s="3"/>
      <c r="J22" s="8"/>
      <c r="K22" s="8"/>
    </row>
    <row r="23" spans="1:11" ht="13.2" x14ac:dyDescent="0.25">
      <c r="A23" s="46" t="s">
        <v>15</v>
      </c>
      <c r="B23" s="46" t="s">
        <v>234</v>
      </c>
      <c r="C23">
        <v>22</v>
      </c>
      <c r="D23">
        <v>4720</v>
      </c>
      <c r="E23" s="8"/>
      <c r="F23" s="8"/>
      <c r="G23" s="6"/>
      <c r="H23" s="9"/>
      <c r="I23" s="3"/>
      <c r="J23" s="8"/>
      <c r="K23" s="8"/>
    </row>
    <row r="24" spans="1:11" ht="13.2" x14ac:dyDescent="0.25">
      <c r="A24" s="46" t="s">
        <v>15</v>
      </c>
      <c r="B24" s="46" t="s">
        <v>234</v>
      </c>
      <c r="C24">
        <v>23</v>
      </c>
      <c r="D24">
        <v>4810</v>
      </c>
      <c r="E24" s="8"/>
      <c r="F24" s="8"/>
      <c r="G24" s="6"/>
      <c r="H24" s="9"/>
      <c r="I24" s="3"/>
      <c r="J24" s="8"/>
      <c r="K24" s="8"/>
    </row>
    <row r="25" spans="1:11" ht="13.2" x14ac:dyDescent="0.25">
      <c r="A25" s="46" t="s">
        <v>15</v>
      </c>
      <c r="B25" s="46" t="s">
        <v>234</v>
      </c>
      <c r="C25">
        <v>24</v>
      </c>
      <c r="D25">
        <v>4565</v>
      </c>
      <c r="E25" s="8"/>
      <c r="F25" s="8"/>
      <c r="G25" s="6"/>
      <c r="H25" s="9"/>
      <c r="I25" s="3"/>
      <c r="J25" s="8"/>
      <c r="K25" s="8"/>
    </row>
    <row r="26" spans="1:11" ht="13.2" x14ac:dyDescent="0.25">
      <c r="A26" s="46" t="s">
        <v>15</v>
      </c>
      <c r="B26" s="46" t="s">
        <v>234</v>
      </c>
      <c r="C26">
        <v>25</v>
      </c>
      <c r="D26">
        <v>4410</v>
      </c>
      <c r="E26" s="8"/>
      <c r="F26" s="8"/>
      <c r="G26" s="6"/>
      <c r="H26" s="9"/>
      <c r="I26" s="3"/>
      <c r="J26" s="8"/>
      <c r="K26" s="8"/>
    </row>
    <row r="27" spans="1:11" ht="13.2" x14ac:dyDescent="0.25">
      <c r="A27" s="46" t="s">
        <v>15</v>
      </c>
      <c r="B27" s="46" t="s">
        <v>234</v>
      </c>
      <c r="C27">
        <v>26</v>
      </c>
      <c r="D27">
        <v>4065</v>
      </c>
      <c r="E27" s="8"/>
      <c r="F27" s="8"/>
      <c r="G27" s="6"/>
      <c r="H27" s="9"/>
      <c r="I27" s="3"/>
      <c r="J27" s="8"/>
      <c r="K27" s="8"/>
    </row>
    <row r="28" spans="1:11" ht="13.2" x14ac:dyDescent="0.25">
      <c r="A28" s="46" t="s">
        <v>15</v>
      </c>
      <c r="B28" s="46" t="s">
        <v>234</v>
      </c>
      <c r="C28">
        <v>27</v>
      </c>
      <c r="D28">
        <v>4565</v>
      </c>
      <c r="E28" s="8"/>
      <c r="F28" s="8"/>
      <c r="G28" s="6"/>
      <c r="H28" s="9"/>
      <c r="I28" s="3"/>
      <c r="J28" s="8"/>
      <c r="K28" s="8"/>
    </row>
    <row r="29" spans="1:11" ht="13.2" x14ac:dyDescent="0.25">
      <c r="A29" s="46" t="s">
        <v>15</v>
      </c>
      <c r="B29" s="46" t="s">
        <v>234</v>
      </c>
      <c r="C29">
        <v>28</v>
      </c>
      <c r="D29">
        <v>5190</v>
      </c>
      <c r="E29" s="8"/>
      <c r="F29" s="8"/>
      <c r="G29" s="6"/>
      <c r="H29" s="9"/>
      <c r="I29" s="3"/>
      <c r="J29" s="8"/>
      <c r="K29" s="8"/>
    </row>
    <row r="30" spans="1:11" ht="13.2" x14ac:dyDescent="0.25">
      <c r="A30" s="46" t="s">
        <v>15</v>
      </c>
      <c r="B30" s="46" t="s">
        <v>234</v>
      </c>
      <c r="C30">
        <v>29</v>
      </c>
      <c r="D30">
        <v>4725</v>
      </c>
      <c r="E30" s="8"/>
      <c r="F30" s="8"/>
      <c r="G30" s="6"/>
      <c r="H30" s="9"/>
      <c r="I30" s="3"/>
      <c r="J30" s="8"/>
      <c r="K30" s="8"/>
    </row>
    <row r="31" spans="1:11" ht="13.2" x14ac:dyDescent="0.25">
      <c r="A31" s="46" t="s">
        <v>15</v>
      </c>
      <c r="B31" s="46" t="s">
        <v>234</v>
      </c>
      <c r="C31">
        <v>30</v>
      </c>
      <c r="D31">
        <v>4640</v>
      </c>
      <c r="E31" s="8"/>
      <c r="F31" s="8"/>
      <c r="G31" s="6"/>
      <c r="H31" s="9"/>
      <c r="I31" s="3"/>
      <c r="J31" s="8"/>
      <c r="K31" s="8"/>
    </row>
    <row r="32" spans="1:11" ht="13.2" x14ac:dyDescent="0.25">
      <c r="A32" s="46" t="s">
        <v>15</v>
      </c>
      <c r="B32" s="46" t="s">
        <v>234</v>
      </c>
      <c r="C32">
        <v>31</v>
      </c>
      <c r="D32">
        <v>4640</v>
      </c>
      <c r="E32" s="8"/>
      <c r="F32" s="8"/>
      <c r="G32" s="6"/>
      <c r="H32" s="9"/>
      <c r="I32" s="3"/>
      <c r="J32" s="8"/>
      <c r="K32" s="8"/>
    </row>
    <row r="33" spans="1:11" ht="13.2" x14ac:dyDescent="0.25">
      <c r="A33" s="46" t="s">
        <v>15</v>
      </c>
      <c r="B33" s="46" t="s">
        <v>234</v>
      </c>
      <c r="C33">
        <v>32</v>
      </c>
      <c r="D33">
        <v>4895</v>
      </c>
      <c r="E33" s="8"/>
      <c r="F33" s="8"/>
      <c r="G33" s="6"/>
      <c r="H33" s="9"/>
      <c r="I33" s="3"/>
      <c r="J33" s="8"/>
      <c r="K33" s="8"/>
    </row>
    <row r="34" spans="1:11" ht="13.2" x14ac:dyDescent="0.25">
      <c r="A34" s="46" t="s">
        <v>15</v>
      </c>
      <c r="B34" s="46" t="s">
        <v>234</v>
      </c>
      <c r="C34">
        <v>33</v>
      </c>
      <c r="D34">
        <v>4790</v>
      </c>
      <c r="E34" s="8"/>
      <c r="F34" s="8"/>
      <c r="G34" s="6"/>
      <c r="H34" s="9"/>
      <c r="I34" s="3"/>
      <c r="J34" s="8"/>
      <c r="K34" s="8"/>
    </row>
    <row r="35" spans="1:11" ht="13.2" x14ac:dyDescent="0.25">
      <c r="A35" s="46" t="s">
        <v>15</v>
      </c>
      <c r="B35" s="46" t="s">
        <v>234</v>
      </c>
      <c r="C35">
        <v>34</v>
      </c>
      <c r="D35">
        <v>4845</v>
      </c>
      <c r="E35" s="8"/>
      <c r="F35" s="8"/>
      <c r="G35" s="6"/>
      <c r="H35" s="9"/>
      <c r="I35" s="3"/>
      <c r="J35" s="8"/>
      <c r="K35" s="8"/>
    </row>
    <row r="36" spans="1:11" ht="13.2" x14ac:dyDescent="0.25">
      <c r="A36" s="46" t="s">
        <v>15</v>
      </c>
      <c r="B36" s="46" t="s">
        <v>234</v>
      </c>
      <c r="C36">
        <v>35</v>
      </c>
      <c r="D36">
        <v>4700</v>
      </c>
      <c r="E36" s="8"/>
      <c r="F36" s="8"/>
      <c r="G36" s="6"/>
      <c r="H36" s="9"/>
      <c r="I36" s="3"/>
      <c r="J36" s="8"/>
      <c r="K36" s="8"/>
    </row>
    <row r="37" spans="1:11" ht="13.2" x14ac:dyDescent="0.25">
      <c r="A37" s="46" t="s">
        <v>15</v>
      </c>
      <c r="B37" s="46" t="s">
        <v>234</v>
      </c>
      <c r="C37">
        <v>36</v>
      </c>
      <c r="D37">
        <v>4600</v>
      </c>
      <c r="E37" s="8"/>
      <c r="F37" s="8"/>
      <c r="G37" s="6"/>
      <c r="H37" s="9"/>
      <c r="I37" s="3"/>
      <c r="J37" s="8"/>
      <c r="K37" s="8"/>
    </row>
    <row r="38" spans="1:11" ht="13.2" x14ac:dyDescent="0.25">
      <c r="A38" s="46" t="s">
        <v>15</v>
      </c>
      <c r="B38" s="46" t="s">
        <v>234</v>
      </c>
      <c r="C38">
        <v>37</v>
      </c>
      <c r="D38">
        <v>4110</v>
      </c>
      <c r="E38" s="8"/>
      <c r="F38" s="8"/>
      <c r="G38" s="6"/>
      <c r="H38" s="9"/>
      <c r="I38" s="3"/>
      <c r="J38" s="8"/>
      <c r="K38" s="8"/>
    </row>
    <row r="39" spans="1:11" ht="13.2" x14ac:dyDescent="0.25">
      <c r="A39" s="46" t="s">
        <v>15</v>
      </c>
      <c r="B39" s="46" t="s">
        <v>234</v>
      </c>
      <c r="C39">
        <v>38</v>
      </c>
      <c r="D39">
        <v>4410</v>
      </c>
      <c r="E39" s="8"/>
      <c r="F39" s="8"/>
      <c r="G39" s="6"/>
      <c r="H39" s="9"/>
      <c r="I39" s="3"/>
      <c r="J39" s="8"/>
      <c r="K39" s="8"/>
    </row>
    <row r="40" spans="1:11" ht="13.2" x14ac:dyDescent="0.25">
      <c r="A40" s="46" t="s">
        <v>15</v>
      </c>
      <c r="B40" s="46" t="s">
        <v>234</v>
      </c>
      <c r="C40">
        <v>39</v>
      </c>
      <c r="D40">
        <v>4180</v>
      </c>
      <c r="E40" s="8"/>
      <c r="F40" s="8"/>
      <c r="G40" s="6"/>
      <c r="H40" s="9"/>
      <c r="I40" s="3"/>
      <c r="J40" s="8"/>
      <c r="K40" s="8"/>
    </row>
    <row r="41" spans="1:11" ht="13.2" x14ac:dyDescent="0.25">
      <c r="A41" s="46" t="s">
        <v>15</v>
      </c>
      <c r="B41" s="46" t="s">
        <v>234</v>
      </c>
      <c r="C41">
        <v>40</v>
      </c>
      <c r="D41">
        <v>4790</v>
      </c>
      <c r="E41" s="8"/>
      <c r="F41" s="8"/>
      <c r="G41" s="6"/>
      <c r="H41" s="9"/>
      <c r="I41" s="3"/>
      <c r="J41" s="8"/>
      <c r="K41" s="8"/>
    </row>
    <row r="42" spans="1:11" ht="13.2" x14ac:dyDescent="0.25">
      <c r="A42" s="46" t="s">
        <v>15</v>
      </c>
      <c r="B42" s="46" t="s">
        <v>234</v>
      </c>
      <c r="C42">
        <v>41</v>
      </c>
      <c r="D42">
        <v>4790</v>
      </c>
      <c r="E42" s="8"/>
      <c r="F42" s="8"/>
      <c r="G42" s="6"/>
      <c r="H42" s="9"/>
      <c r="I42" s="3"/>
      <c r="J42" s="8"/>
      <c r="K42" s="8"/>
    </row>
    <row r="43" spans="1:11" ht="13.2" x14ac:dyDescent="0.25">
      <c r="A43" s="46" t="s">
        <v>15</v>
      </c>
      <c r="B43" s="46" t="s">
        <v>234</v>
      </c>
      <c r="C43">
        <v>42</v>
      </c>
      <c r="D43">
        <v>4340</v>
      </c>
      <c r="E43" s="8"/>
      <c r="F43" s="8"/>
      <c r="G43" s="6"/>
      <c r="H43" s="9"/>
      <c r="I43" s="3"/>
      <c r="J43" s="8"/>
      <c r="K43" s="8"/>
    </row>
    <row r="44" spans="1:11" ht="13.2" x14ac:dyDescent="0.25">
      <c r="A44" s="46" t="s">
        <v>15</v>
      </c>
      <c r="B44" s="46" t="s">
        <v>234</v>
      </c>
      <c r="C44">
        <v>43</v>
      </c>
      <c r="D44">
        <v>4895</v>
      </c>
      <c r="E44" s="8"/>
      <c r="F44" s="8"/>
      <c r="G44" s="6"/>
      <c r="H44" s="9"/>
      <c r="I44" s="3"/>
      <c r="J44" s="8"/>
      <c r="K44" s="8"/>
    </row>
    <row r="45" spans="1:11" ht="13.2" x14ac:dyDescent="0.25">
      <c r="A45" s="46" t="s">
        <v>15</v>
      </c>
      <c r="B45" s="46" t="s">
        <v>234</v>
      </c>
      <c r="C45">
        <v>44</v>
      </c>
      <c r="D45">
        <v>5750</v>
      </c>
      <c r="E45" s="8"/>
      <c r="F45" s="8"/>
      <c r="G45" s="6"/>
      <c r="H45" s="9"/>
      <c r="I45" s="3"/>
      <c r="J45" s="8"/>
      <c r="K45" s="8"/>
    </row>
    <row r="46" spans="1:11" ht="13.2" x14ac:dyDescent="0.25">
      <c r="A46" s="46" t="s">
        <v>15</v>
      </c>
      <c r="B46" s="46" t="s">
        <v>234</v>
      </c>
      <c r="C46">
        <v>45</v>
      </c>
      <c r="D46">
        <v>4740</v>
      </c>
      <c r="E46" s="8"/>
      <c r="F46" s="8"/>
      <c r="G46" s="6"/>
      <c r="H46" s="9"/>
      <c r="I46" s="3"/>
      <c r="J46" s="8"/>
      <c r="K46" s="8"/>
    </row>
    <row r="47" spans="1:11" ht="13.2" x14ac:dyDescent="0.25">
      <c r="A47" s="46" t="s">
        <v>15</v>
      </c>
      <c r="B47" s="46" t="s">
        <v>234</v>
      </c>
      <c r="C47">
        <v>46</v>
      </c>
      <c r="D47">
        <v>5000</v>
      </c>
      <c r="E47" s="8"/>
      <c r="F47" s="8"/>
      <c r="G47" s="6"/>
      <c r="H47" s="9"/>
      <c r="I47" s="3"/>
      <c r="J47" s="8"/>
      <c r="K47" s="8"/>
    </row>
    <row r="48" spans="1:11" ht="13.2" x14ac:dyDescent="0.25">
      <c r="A48" s="46" t="s">
        <v>15</v>
      </c>
      <c r="B48" s="46" t="s">
        <v>234</v>
      </c>
      <c r="C48">
        <v>47</v>
      </c>
      <c r="D48">
        <v>4895</v>
      </c>
      <c r="E48" s="8"/>
      <c r="F48" s="8"/>
      <c r="G48" s="6"/>
      <c r="H48" s="9"/>
      <c r="I48" s="3"/>
      <c r="J48" s="8"/>
      <c r="K48" s="8"/>
    </row>
    <row r="49" spans="1:11" ht="13.2" x14ac:dyDescent="0.25">
      <c r="A49" s="46" t="s">
        <v>15</v>
      </c>
      <c r="B49" s="46" t="s">
        <v>234</v>
      </c>
      <c r="C49">
        <v>48</v>
      </c>
      <c r="D49">
        <v>4255</v>
      </c>
      <c r="E49" s="8"/>
      <c r="F49" s="8"/>
      <c r="G49" s="6"/>
      <c r="H49" s="9"/>
      <c r="I49" s="3"/>
      <c r="J49" s="8"/>
      <c r="K49" s="8"/>
    </row>
    <row r="50" spans="1:11" ht="13.2" x14ac:dyDescent="0.25">
      <c r="A50" s="46" t="s">
        <v>15</v>
      </c>
      <c r="B50" s="46" t="s">
        <v>234</v>
      </c>
      <c r="C50">
        <v>49</v>
      </c>
      <c r="D50">
        <v>4170</v>
      </c>
      <c r="E50" s="8"/>
      <c r="F50" s="8"/>
      <c r="G50" s="6"/>
      <c r="H50" s="9"/>
      <c r="I50" s="3"/>
      <c r="J50" s="8"/>
      <c r="K50" s="8"/>
    </row>
    <row r="51" spans="1:11" ht="13.2" x14ac:dyDescent="0.25">
      <c r="A51" s="46" t="s">
        <v>15</v>
      </c>
      <c r="B51" s="46" t="s">
        <v>234</v>
      </c>
      <c r="C51">
        <v>50</v>
      </c>
      <c r="D51">
        <v>3850</v>
      </c>
      <c r="E51" s="8"/>
      <c r="F51" s="8"/>
      <c r="G51" s="6"/>
      <c r="H51" s="9"/>
      <c r="I51" s="3"/>
      <c r="J51" s="8"/>
      <c r="K51" s="8"/>
    </row>
    <row r="52" spans="1:11" ht="13.2" x14ac:dyDescent="0.25">
      <c r="A52" s="46" t="s">
        <v>15</v>
      </c>
      <c r="B52" s="46" t="s">
        <v>234</v>
      </c>
      <c r="C52">
        <v>51</v>
      </c>
      <c r="D52">
        <v>4445</v>
      </c>
      <c r="E52" s="8"/>
      <c r="F52" s="8"/>
      <c r="G52" s="6"/>
      <c r="H52" s="9"/>
      <c r="I52" s="3"/>
      <c r="J52" s="8"/>
      <c r="K52" s="8"/>
    </row>
    <row r="53" spans="1:11" ht="13.2" x14ac:dyDescent="0.25">
      <c r="A53" s="46" t="s">
        <v>15</v>
      </c>
      <c r="B53" s="46" t="s">
        <v>234</v>
      </c>
      <c r="C53">
        <v>52</v>
      </c>
      <c r="D53">
        <v>4650</v>
      </c>
      <c r="E53" s="8"/>
      <c r="F53" s="8"/>
      <c r="G53" s="6"/>
      <c r="H53" s="9"/>
      <c r="I53" s="3"/>
      <c r="J53" s="8"/>
      <c r="K53" s="8"/>
    </row>
    <row r="54" spans="1:11" ht="13.2" x14ac:dyDescent="0.25">
      <c r="A54" s="46" t="s">
        <v>15</v>
      </c>
      <c r="B54" s="46" t="s">
        <v>234</v>
      </c>
      <c r="C54">
        <v>53</v>
      </c>
      <c r="D54">
        <v>4170</v>
      </c>
      <c r="E54" s="8"/>
      <c r="F54" s="8"/>
      <c r="G54" s="6"/>
      <c r="H54" s="9"/>
      <c r="I54" s="3"/>
      <c r="J54" s="8"/>
      <c r="K54" s="8"/>
    </row>
    <row r="55" spans="1:11" ht="13.2" x14ac:dyDescent="0.25">
      <c r="A55" s="46" t="s">
        <v>15</v>
      </c>
      <c r="B55" s="46" t="s">
        <v>234</v>
      </c>
      <c r="C55">
        <v>54</v>
      </c>
      <c r="D55">
        <v>4255</v>
      </c>
      <c r="E55" s="8"/>
      <c r="F55" s="8"/>
      <c r="G55" s="6"/>
      <c r="H55" s="9"/>
      <c r="I55" s="3"/>
      <c r="J55" s="8"/>
      <c r="K55" s="8"/>
    </row>
    <row r="56" spans="1:11" ht="13.2" x14ac:dyDescent="0.25">
      <c r="A56" s="46" t="s">
        <v>15</v>
      </c>
      <c r="B56" s="46" t="s">
        <v>234</v>
      </c>
      <c r="C56">
        <v>55</v>
      </c>
      <c r="D56">
        <v>4170</v>
      </c>
      <c r="E56" s="8"/>
      <c r="F56" s="8"/>
      <c r="G56" s="6"/>
      <c r="H56" s="9"/>
      <c r="I56" s="3"/>
      <c r="J56" s="8"/>
      <c r="K56" s="8"/>
    </row>
    <row r="57" spans="1:11" ht="13.2" x14ac:dyDescent="0.25">
      <c r="A57" s="46" t="s">
        <v>15</v>
      </c>
      <c r="B57" s="46" t="s">
        <v>234</v>
      </c>
      <c r="C57">
        <v>56</v>
      </c>
      <c r="D57">
        <v>4375</v>
      </c>
      <c r="E57" s="8"/>
      <c r="F57" s="8"/>
      <c r="G57" s="6"/>
      <c r="H57" s="9"/>
      <c r="I57" s="3"/>
      <c r="J57" s="8"/>
      <c r="K57" s="8"/>
    </row>
    <row r="58" spans="1:11" ht="13.2" x14ac:dyDescent="0.25">
      <c r="A58" s="46" t="s">
        <v>15</v>
      </c>
      <c r="B58" s="46" t="s">
        <v>234</v>
      </c>
      <c r="C58">
        <v>57</v>
      </c>
      <c r="D58">
        <v>4175</v>
      </c>
      <c r="E58" s="8"/>
      <c r="F58" s="8"/>
      <c r="G58" s="6"/>
      <c r="H58" s="9"/>
      <c r="I58" s="3"/>
      <c r="J58" s="8"/>
      <c r="K58" s="8"/>
    </row>
    <row r="59" spans="1:11" ht="13.2" x14ac:dyDescent="0.25">
      <c r="A59" s="46" t="s">
        <v>15</v>
      </c>
      <c r="B59" s="46" t="s">
        <v>234</v>
      </c>
      <c r="C59">
        <v>58</v>
      </c>
      <c r="D59">
        <v>4550</v>
      </c>
      <c r="E59" s="8"/>
      <c r="F59" s="8"/>
      <c r="G59" s="6"/>
      <c r="H59" s="9"/>
      <c r="I59" s="3"/>
      <c r="J59" s="8"/>
      <c r="K59" s="8"/>
    </row>
    <row r="60" spans="1:11" ht="13.2" x14ac:dyDescent="0.25">
      <c r="A60" s="46" t="s">
        <v>15</v>
      </c>
      <c r="B60" s="46" t="s">
        <v>234</v>
      </c>
      <c r="C60">
        <v>59</v>
      </c>
      <c r="D60">
        <v>4450</v>
      </c>
      <c r="E60" s="8"/>
      <c r="F60" s="8"/>
      <c r="G60" s="6"/>
      <c r="H60" s="9"/>
      <c r="I60" s="3"/>
      <c r="J60" s="8"/>
      <c r="K60" s="8"/>
    </row>
    <row r="61" spans="1:11" ht="13.2" x14ac:dyDescent="0.25">
      <c r="A61" s="46" t="s">
        <v>15</v>
      </c>
      <c r="B61" s="46" t="s">
        <v>234</v>
      </c>
      <c r="C61">
        <v>60</v>
      </c>
      <c r="D61">
        <v>2855</v>
      </c>
      <c r="E61" s="8"/>
      <c r="F61" s="8"/>
      <c r="G61" s="6"/>
      <c r="H61" s="9"/>
      <c r="I61" s="3"/>
      <c r="J61" s="8"/>
      <c r="K61" s="8"/>
    </row>
    <row r="62" spans="1:11" ht="13.2" x14ac:dyDescent="0.25">
      <c r="A62" s="46" t="s">
        <v>15</v>
      </c>
      <c r="B62" s="46" t="s">
        <v>234</v>
      </c>
      <c r="C62">
        <v>61</v>
      </c>
      <c r="D62">
        <v>2920</v>
      </c>
      <c r="E62" s="8"/>
      <c r="F62" s="8"/>
      <c r="G62" s="6"/>
      <c r="H62" s="9"/>
      <c r="I62" s="3"/>
      <c r="J62" s="8"/>
      <c r="K62" s="8"/>
    </row>
    <row r="63" spans="1:11" ht="13.2" x14ac:dyDescent="0.25">
      <c r="A63" s="46" t="s">
        <v>15</v>
      </c>
      <c r="B63" s="46" t="s">
        <v>234</v>
      </c>
      <c r="C63">
        <v>62</v>
      </c>
      <c r="D63">
        <v>4375</v>
      </c>
      <c r="E63" s="8"/>
      <c r="F63" s="8"/>
      <c r="G63" s="6"/>
      <c r="H63" s="9"/>
      <c r="I63" s="3"/>
      <c r="J63" s="8"/>
      <c r="K63" s="8"/>
    </row>
    <row r="64" spans="1:11" ht="13.2" x14ac:dyDescent="0.25">
      <c r="A64" s="46" t="s">
        <v>15</v>
      </c>
      <c r="B64" s="46" t="s">
        <v>234</v>
      </c>
      <c r="C64">
        <v>63</v>
      </c>
      <c r="D64">
        <v>4375</v>
      </c>
      <c r="E64" s="8"/>
      <c r="F64" s="8"/>
      <c r="G64" s="6"/>
      <c r="H64" s="9"/>
      <c r="I64" s="3"/>
      <c r="J64" s="8"/>
      <c r="K64" s="8"/>
    </row>
    <row r="65" spans="1:11" ht="13.2" x14ac:dyDescent="0.25">
      <c r="A65" s="46" t="s">
        <v>15</v>
      </c>
      <c r="B65" s="46" t="s">
        <v>234</v>
      </c>
      <c r="C65">
        <v>64</v>
      </c>
      <c r="D65">
        <v>4355</v>
      </c>
      <c r="E65" s="8"/>
      <c r="F65" s="8"/>
      <c r="G65" s="6"/>
      <c r="H65" s="9"/>
      <c r="I65" s="3"/>
      <c r="J65" s="8"/>
      <c r="K65" s="8"/>
    </row>
    <row r="66" spans="1:11" ht="13.2" x14ac:dyDescent="0.25">
      <c r="A66" s="46" t="s">
        <v>15</v>
      </c>
      <c r="B66" s="46" t="s">
        <v>234</v>
      </c>
      <c r="C66">
        <v>65</v>
      </c>
      <c r="D66">
        <v>4090</v>
      </c>
      <c r="E66" s="8"/>
      <c r="F66" s="8"/>
      <c r="G66" s="6"/>
      <c r="H66" s="9"/>
      <c r="I66" s="3"/>
      <c r="J66" s="8"/>
      <c r="K66" s="8"/>
    </row>
    <row r="67" spans="1:11" ht="13.2" x14ac:dyDescent="0.25">
      <c r="A67" s="46" t="s">
        <v>15</v>
      </c>
      <c r="B67" s="46" t="s">
        <v>234</v>
      </c>
      <c r="C67">
        <v>66</v>
      </c>
      <c r="D67">
        <v>5000</v>
      </c>
      <c r="E67" s="8"/>
      <c r="F67" s="8"/>
      <c r="G67" s="6"/>
      <c r="H67" s="9"/>
      <c r="I67" s="3"/>
      <c r="J67" s="8"/>
      <c r="K67" s="8"/>
    </row>
    <row r="68" spans="1:11" ht="13.2" x14ac:dyDescent="0.25">
      <c r="A68" s="46" t="s">
        <v>15</v>
      </c>
      <c r="B68" s="46" t="s">
        <v>234</v>
      </c>
      <c r="C68">
        <v>67</v>
      </c>
      <c r="D68">
        <v>4335</v>
      </c>
      <c r="E68" s="8"/>
      <c r="F68" s="8"/>
      <c r="G68" s="6"/>
      <c r="H68" s="1"/>
      <c r="I68" s="3"/>
      <c r="J68" s="8"/>
      <c r="K68" s="8"/>
    </row>
    <row r="69" spans="1:11" ht="13.2" x14ac:dyDescent="0.25">
      <c r="A69" s="46" t="s">
        <v>15</v>
      </c>
      <c r="B69" s="46" t="s">
        <v>234</v>
      </c>
      <c r="C69">
        <v>68</v>
      </c>
      <c r="D69">
        <v>5000</v>
      </c>
      <c r="E69" s="8"/>
      <c r="F69" s="8"/>
      <c r="G69" s="6"/>
      <c r="H69" s="1"/>
      <c r="I69" s="3"/>
      <c r="J69" s="8"/>
      <c r="K69" s="8"/>
    </row>
    <row r="70" spans="1:11" ht="13.2" x14ac:dyDescent="0.25">
      <c r="A70" s="46" t="s">
        <v>15</v>
      </c>
      <c r="B70" s="46" t="s">
        <v>234</v>
      </c>
      <c r="C70">
        <v>69</v>
      </c>
      <c r="D70">
        <v>4640</v>
      </c>
      <c r="E70" s="8"/>
      <c r="F70" s="8"/>
      <c r="G70" s="6"/>
      <c r="H70" s="1"/>
      <c r="I70" s="3"/>
      <c r="J70" s="8"/>
      <c r="K70" s="8"/>
    </row>
    <row r="71" spans="1:11" ht="13.2" x14ac:dyDescent="0.25">
      <c r="A71" s="46" t="s">
        <v>15</v>
      </c>
      <c r="B71" s="46" t="s">
        <v>234</v>
      </c>
      <c r="C71">
        <v>70</v>
      </c>
      <c r="D71">
        <v>4335</v>
      </c>
      <c r="E71" s="8"/>
      <c r="F71" s="8"/>
      <c r="G71" s="6"/>
      <c r="H71" s="1"/>
      <c r="I71" s="3"/>
      <c r="J71" s="8"/>
      <c r="K71" s="8"/>
    </row>
    <row r="72" spans="1:11" ht="13.2" x14ac:dyDescent="0.25">
      <c r="A72" s="46" t="s">
        <v>15</v>
      </c>
      <c r="B72" s="46" t="s">
        <v>234</v>
      </c>
      <c r="C72">
        <v>71</v>
      </c>
      <c r="D72">
        <v>5000</v>
      </c>
      <c r="E72" s="8"/>
      <c r="F72" s="8"/>
      <c r="G72" s="6"/>
      <c r="H72" s="1"/>
      <c r="I72" s="3"/>
      <c r="J72" s="8"/>
      <c r="K72" s="8"/>
    </row>
    <row r="73" spans="1:11" ht="13.2" x14ac:dyDescent="0.25">
      <c r="A73" s="46" t="s">
        <v>15</v>
      </c>
      <c r="B73" s="46" t="s">
        <v>234</v>
      </c>
      <c r="C73">
        <v>72</v>
      </c>
      <c r="D73">
        <v>4615</v>
      </c>
      <c r="E73" s="8"/>
      <c r="F73" s="8"/>
      <c r="G73" s="6"/>
      <c r="H73" s="1"/>
      <c r="I73" s="3"/>
      <c r="J73" s="8"/>
      <c r="K73" s="8"/>
    </row>
    <row r="74" spans="1:11" ht="13.2" x14ac:dyDescent="0.25">
      <c r="A74" s="46" t="s">
        <v>15</v>
      </c>
      <c r="B74" s="46" t="s">
        <v>234</v>
      </c>
      <c r="C74">
        <v>73</v>
      </c>
      <c r="D74">
        <v>4215</v>
      </c>
      <c r="E74" s="8"/>
      <c r="F74" s="8"/>
      <c r="G74" s="6"/>
      <c r="H74" s="1"/>
      <c r="I74" s="3"/>
      <c r="J74" s="8"/>
      <c r="K74" s="8"/>
    </row>
    <row r="75" spans="1:11" ht="13.2" x14ac:dyDescent="0.25">
      <c r="A75" s="46" t="s">
        <v>15</v>
      </c>
      <c r="B75" s="46" t="s">
        <v>234</v>
      </c>
      <c r="C75">
        <v>74</v>
      </c>
      <c r="D75">
        <v>4275</v>
      </c>
      <c r="E75" s="8"/>
      <c r="F75" s="8"/>
      <c r="G75" s="6"/>
      <c r="H75" s="1"/>
      <c r="I75" s="3"/>
      <c r="J75" s="8"/>
      <c r="K75" s="8"/>
    </row>
    <row r="76" spans="1:11" ht="13.2" x14ac:dyDescent="0.25">
      <c r="A76" s="46" t="s">
        <v>15</v>
      </c>
      <c r="B76" s="46" t="s">
        <v>234</v>
      </c>
      <c r="C76">
        <v>75</v>
      </c>
      <c r="D76">
        <v>4275</v>
      </c>
      <c r="E76" s="8"/>
      <c r="F76" s="8"/>
      <c r="G76" s="6"/>
      <c r="H76" s="1"/>
      <c r="I76" s="3"/>
      <c r="J76" s="8"/>
      <c r="K76" s="8"/>
    </row>
    <row r="77" spans="1:11" ht="13.2" x14ac:dyDescent="0.25">
      <c r="A77" s="46" t="s">
        <v>15</v>
      </c>
      <c r="B77" s="46" t="s">
        <v>234</v>
      </c>
      <c r="C77">
        <v>76</v>
      </c>
      <c r="D77">
        <v>5000</v>
      </c>
      <c r="E77" s="8"/>
      <c r="F77" s="8"/>
      <c r="G77" s="6"/>
      <c r="H77" s="1"/>
      <c r="I77" s="3"/>
      <c r="J77" s="8"/>
      <c r="K77" s="8"/>
    </row>
    <row r="78" spans="1:11" ht="13.2" x14ac:dyDescent="0.25">
      <c r="A78" s="46" t="s">
        <v>15</v>
      </c>
      <c r="B78" s="46" t="s">
        <v>234</v>
      </c>
      <c r="C78">
        <v>77</v>
      </c>
      <c r="D78">
        <v>4615</v>
      </c>
      <c r="E78" s="8"/>
      <c r="F78" s="8"/>
      <c r="G78" s="6"/>
      <c r="H78" s="1"/>
      <c r="I78" s="3"/>
      <c r="J78" s="8"/>
      <c r="K78" s="8"/>
    </row>
    <row r="79" spans="1:11" ht="13.2" x14ac:dyDescent="0.25">
      <c r="A79" s="46" t="s">
        <v>15</v>
      </c>
      <c r="B79" s="46" t="s">
        <v>234</v>
      </c>
      <c r="C79">
        <v>78</v>
      </c>
      <c r="D79">
        <v>4735</v>
      </c>
      <c r="E79" s="8"/>
      <c r="F79" s="8"/>
      <c r="G79" s="6"/>
      <c r="H79" s="1"/>
      <c r="I79" s="3"/>
      <c r="J79" s="8"/>
      <c r="K79" s="8"/>
    </row>
    <row r="80" spans="1:11" ht="13.2" x14ac:dyDescent="0.25">
      <c r="A80" s="46" t="s">
        <v>15</v>
      </c>
      <c r="B80" s="46" t="s">
        <v>234</v>
      </c>
      <c r="C80">
        <v>79</v>
      </c>
      <c r="D80">
        <v>4215</v>
      </c>
      <c r="E80" s="8"/>
      <c r="F80" s="8"/>
      <c r="G80" s="6"/>
      <c r="H80" s="1"/>
      <c r="I80" s="3"/>
      <c r="J80" s="8"/>
      <c r="K80" s="8"/>
    </row>
    <row r="81" spans="1:11" ht="13.2" x14ac:dyDescent="0.25">
      <c r="A81" s="46" t="s">
        <v>15</v>
      </c>
      <c r="B81" s="46" t="s">
        <v>234</v>
      </c>
      <c r="C81">
        <v>80</v>
      </c>
      <c r="D81">
        <v>4700</v>
      </c>
      <c r="E81" s="8"/>
      <c r="F81" s="8"/>
      <c r="G81" s="6"/>
      <c r="H81" s="1"/>
      <c r="I81" s="3"/>
      <c r="J81" s="8"/>
      <c r="K81" s="8"/>
    </row>
    <row r="82" spans="1:11" ht="13.2" x14ac:dyDescent="0.25">
      <c r="A82" s="46" t="s">
        <v>15</v>
      </c>
      <c r="B82" s="46" t="s">
        <v>234</v>
      </c>
      <c r="C82">
        <v>81</v>
      </c>
      <c r="D82">
        <v>4700</v>
      </c>
      <c r="E82" s="8"/>
      <c r="F82" s="8"/>
      <c r="G82" s="6"/>
      <c r="H82" s="1"/>
      <c r="I82" s="3"/>
      <c r="J82" s="8"/>
      <c r="K82" s="8"/>
    </row>
    <row r="83" spans="1:11" ht="13.2" x14ac:dyDescent="0.25">
      <c r="A83" s="46" t="s">
        <v>15</v>
      </c>
      <c r="B83" s="46" t="s">
        <v>234</v>
      </c>
      <c r="C83">
        <v>82</v>
      </c>
      <c r="D83">
        <v>4700</v>
      </c>
      <c r="E83" s="8"/>
      <c r="F83" s="8"/>
      <c r="G83" s="6"/>
      <c r="H83" s="1"/>
      <c r="I83" s="3"/>
      <c r="J83" s="8"/>
      <c r="K83" s="8"/>
    </row>
    <row r="84" spans="1:11" ht="13.2" x14ac:dyDescent="0.25">
      <c r="A84" s="46" t="s">
        <v>15</v>
      </c>
      <c r="B84" s="46" t="s">
        <v>234</v>
      </c>
      <c r="C84">
        <v>83</v>
      </c>
      <c r="D84">
        <v>4700</v>
      </c>
      <c r="E84" s="8"/>
      <c r="F84" s="8"/>
      <c r="G84" s="6"/>
      <c r="H84" s="1"/>
      <c r="I84" s="3"/>
      <c r="J84" s="8"/>
      <c r="K84" s="8"/>
    </row>
    <row r="85" spans="1:11" ht="13.2" x14ac:dyDescent="0.25">
      <c r="A85" s="46" t="s">
        <v>15</v>
      </c>
      <c r="B85" s="46" t="s">
        <v>234</v>
      </c>
      <c r="C85">
        <v>84</v>
      </c>
      <c r="D85">
        <v>4095</v>
      </c>
      <c r="E85" s="8"/>
      <c r="F85" s="8"/>
      <c r="G85" s="6"/>
      <c r="H85" s="1"/>
      <c r="I85" s="3"/>
      <c r="J85" s="8"/>
      <c r="K85" s="8"/>
    </row>
    <row r="86" spans="1:11" ht="13.2" x14ac:dyDescent="0.25">
      <c r="A86" s="46" t="s">
        <v>15</v>
      </c>
      <c r="B86" s="46" t="s">
        <v>234</v>
      </c>
      <c r="C86">
        <v>85</v>
      </c>
      <c r="D86">
        <v>4095</v>
      </c>
      <c r="E86" s="8"/>
      <c r="F86" s="8"/>
      <c r="G86" s="6"/>
      <c r="H86" s="1"/>
      <c r="I86" s="3"/>
      <c r="J86" s="8"/>
      <c r="K86" s="8"/>
    </row>
    <row r="87" spans="1:11" ht="13.2" x14ac:dyDescent="0.25">
      <c r="A87" s="46" t="s">
        <v>15</v>
      </c>
      <c r="B87" s="46" t="s">
        <v>234</v>
      </c>
      <c r="C87">
        <v>86</v>
      </c>
      <c r="D87">
        <v>3940</v>
      </c>
      <c r="E87" s="8"/>
      <c r="F87" s="8"/>
      <c r="G87" s="6"/>
      <c r="H87" s="1"/>
      <c r="I87" s="3"/>
      <c r="J87" s="8"/>
      <c r="K87" s="8"/>
    </row>
    <row r="88" spans="1:11" ht="13.2" x14ac:dyDescent="0.25">
      <c r="A88" s="46" t="s">
        <v>15</v>
      </c>
      <c r="B88" s="46" t="s">
        <v>234</v>
      </c>
      <c r="C88">
        <v>87</v>
      </c>
      <c r="D88">
        <v>3700</v>
      </c>
      <c r="E88" s="8"/>
      <c r="F88" s="8"/>
      <c r="G88" s="6"/>
      <c r="H88" s="1"/>
      <c r="I88" s="3"/>
      <c r="J88" s="8"/>
      <c r="K88" s="8"/>
    </row>
    <row r="89" spans="1:11" ht="13.2" x14ac:dyDescent="0.25">
      <c r="A89" s="46" t="s">
        <v>15</v>
      </c>
      <c r="B89" s="46" t="s">
        <v>234</v>
      </c>
      <c r="C89">
        <v>88</v>
      </c>
      <c r="D89">
        <v>3650</v>
      </c>
      <c r="E89" s="8"/>
      <c r="F89" s="8"/>
      <c r="G89" s="6"/>
      <c r="H89" s="1"/>
      <c r="I89" s="3"/>
      <c r="J89" s="8"/>
      <c r="K89" s="8"/>
    </row>
    <row r="90" spans="1:11" ht="13.2" x14ac:dyDescent="0.25">
      <c r="A90" s="46" t="s">
        <v>15</v>
      </c>
      <c r="B90" s="46" t="s">
        <v>234</v>
      </c>
      <c r="C90">
        <v>89</v>
      </c>
      <c r="D90">
        <v>4445</v>
      </c>
      <c r="E90" s="8"/>
      <c r="F90" s="8"/>
      <c r="G90" s="6"/>
      <c r="H90" s="1"/>
      <c r="I90" s="3"/>
      <c r="J90" s="8"/>
      <c r="K90" s="8"/>
    </row>
    <row r="91" spans="1:11" ht="13.2" x14ac:dyDescent="0.25">
      <c r="A91" s="46" t="s">
        <v>15</v>
      </c>
      <c r="B91" s="46" t="s">
        <v>234</v>
      </c>
      <c r="C91">
        <v>90</v>
      </c>
      <c r="D91">
        <v>4000</v>
      </c>
      <c r="E91" s="8"/>
      <c r="F91" s="8"/>
      <c r="G91" s="6"/>
      <c r="H91" s="1"/>
      <c r="I91" s="3"/>
      <c r="J91" s="8"/>
      <c r="K91" s="8"/>
    </row>
    <row r="92" spans="1:11" ht="13.2" x14ac:dyDescent="0.25">
      <c r="A92" s="46" t="s">
        <v>15</v>
      </c>
      <c r="B92" s="46" t="s">
        <v>234</v>
      </c>
      <c r="C92">
        <v>91</v>
      </c>
      <c r="D92">
        <v>4845</v>
      </c>
      <c r="E92" s="8"/>
      <c r="F92" s="8"/>
      <c r="G92" s="6"/>
      <c r="H92" s="1"/>
      <c r="I92" s="3"/>
      <c r="J92" s="8"/>
      <c r="K92" s="8"/>
    </row>
    <row r="93" spans="1:11" ht="13.2" x14ac:dyDescent="0.25">
      <c r="A93" s="46" t="s">
        <v>15</v>
      </c>
      <c r="B93" s="46" t="s">
        <v>234</v>
      </c>
      <c r="C93">
        <v>92</v>
      </c>
      <c r="D93">
        <v>5000</v>
      </c>
      <c r="E93" s="8"/>
      <c r="F93" s="8"/>
      <c r="G93" s="6"/>
      <c r="H93" s="1"/>
      <c r="I93" s="3"/>
      <c r="J93" s="8"/>
      <c r="K93" s="8"/>
    </row>
    <row r="94" spans="1:11" ht="13.2" x14ac:dyDescent="0.25">
      <c r="A94" s="46" t="s">
        <v>15</v>
      </c>
      <c r="B94" s="46" t="s">
        <v>234</v>
      </c>
      <c r="C94">
        <v>93</v>
      </c>
      <c r="D94">
        <v>4560</v>
      </c>
      <c r="E94" s="8"/>
      <c r="F94" s="8"/>
      <c r="G94" s="6"/>
      <c r="H94" s="1"/>
      <c r="I94" s="3"/>
      <c r="J94" s="8"/>
      <c r="K94" s="8"/>
    </row>
    <row r="95" spans="1:11" ht="13.2" x14ac:dyDescent="0.25">
      <c r="A95" s="46" t="s">
        <v>15</v>
      </c>
      <c r="B95" s="46" t="s">
        <v>234</v>
      </c>
      <c r="C95">
        <v>94</v>
      </c>
      <c r="D95">
        <v>4700</v>
      </c>
      <c r="E95" s="8"/>
      <c r="F95" s="8"/>
      <c r="G95" s="6"/>
      <c r="H95" s="1"/>
      <c r="I95" s="3"/>
      <c r="J95" s="8"/>
      <c r="K95" s="8"/>
    </row>
    <row r="96" spans="1:11" ht="13.2" x14ac:dyDescent="0.25">
      <c r="A96" s="46" t="s">
        <v>15</v>
      </c>
      <c r="B96" s="46" t="s">
        <v>234</v>
      </c>
      <c r="C96">
        <v>95</v>
      </c>
      <c r="D96">
        <v>4310</v>
      </c>
      <c r="E96" s="8"/>
      <c r="F96" s="8"/>
      <c r="G96" s="6"/>
      <c r="H96" s="1"/>
      <c r="I96" s="3"/>
      <c r="J96" s="8"/>
      <c r="K96" s="8"/>
    </row>
    <row r="97" spans="1:11" ht="13.2" x14ac:dyDescent="0.25">
      <c r="A97" s="46" t="s">
        <v>15</v>
      </c>
      <c r="B97" s="46" t="s">
        <v>234</v>
      </c>
      <c r="C97">
        <v>96</v>
      </c>
      <c r="D97">
        <v>4310</v>
      </c>
      <c r="E97" s="8"/>
      <c r="F97" s="8"/>
      <c r="G97" s="6"/>
      <c r="H97" s="1"/>
      <c r="I97" s="3"/>
      <c r="J97" s="8"/>
      <c r="K97" s="8"/>
    </row>
    <row r="98" spans="1:11" ht="13.2" x14ac:dyDescent="0.25">
      <c r="A98" s="46" t="s">
        <v>15</v>
      </c>
      <c r="B98" s="46" t="s">
        <v>234</v>
      </c>
      <c r="C98">
        <v>97</v>
      </c>
      <c r="D98">
        <v>5000</v>
      </c>
      <c r="E98" s="8"/>
      <c r="F98" s="8"/>
      <c r="G98" s="6"/>
      <c r="H98" s="1"/>
      <c r="I98" s="3"/>
      <c r="J98" s="8"/>
      <c r="K98" s="8"/>
    </row>
    <row r="99" spans="1:11" ht="13.2" x14ac:dyDescent="0.25">
      <c r="A99" s="46" t="s">
        <v>15</v>
      </c>
      <c r="B99" s="46" t="s">
        <v>234</v>
      </c>
      <c r="C99">
        <v>98</v>
      </c>
      <c r="D99">
        <v>4575</v>
      </c>
      <c r="E99" s="8"/>
      <c r="F99" s="8"/>
      <c r="G99" s="6"/>
      <c r="H99" s="1"/>
      <c r="I99" s="3"/>
      <c r="J99" s="8"/>
      <c r="K99" s="8"/>
    </row>
    <row r="100" spans="1:11" ht="13.2" x14ac:dyDescent="0.25">
      <c r="A100" s="46" t="s">
        <v>15</v>
      </c>
      <c r="B100" s="46" t="s">
        <v>234</v>
      </c>
      <c r="C100">
        <v>99</v>
      </c>
      <c r="D100">
        <v>4700</v>
      </c>
      <c r="E100" s="8"/>
      <c r="F100" s="8"/>
      <c r="G100" s="6"/>
      <c r="H100" s="1"/>
      <c r="I100" s="3"/>
      <c r="J100" s="8"/>
      <c r="K100" s="8"/>
    </row>
    <row r="101" spans="1:11" ht="13.2" x14ac:dyDescent="0.25">
      <c r="A101" s="46" t="s">
        <v>15</v>
      </c>
      <c r="B101" s="46" t="s">
        <v>234</v>
      </c>
      <c r="C101">
        <v>100</v>
      </c>
      <c r="D101">
        <v>4430</v>
      </c>
      <c r="E101" s="8"/>
      <c r="F101" s="8"/>
      <c r="G101" s="6"/>
      <c r="H101" s="1"/>
      <c r="I101" s="3"/>
      <c r="J101" s="8"/>
      <c r="K101" s="8"/>
    </row>
    <row r="102" spans="1:11" ht="13.2" x14ac:dyDescent="0.25">
      <c r="A102" s="46" t="s">
        <v>15</v>
      </c>
      <c r="B102" s="46" t="s">
        <v>234</v>
      </c>
      <c r="C102">
        <v>101</v>
      </c>
      <c r="D102">
        <v>4850</v>
      </c>
      <c r="E102" s="8"/>
      <c r="F102" s="8"/>
      <c r="G102" s="6"/>
      <c r="H102" s="1"/>
      <c r="I102" s="3"/>
      <c r="J102" s="8"/>
      <c r="K102" s="8"/>
    </row>
    <row r="103" spans="1:11" ht="13.2" x14ac:dyDescent="0.25">
      <c r="A103" s="46" t="s">
        <v>15</v>
      </c>
      <c r="B103" s="46" t="s">
        <v>234</v>
      </c>
      <c r="C103">
        <v>102</v>
      </c>
      <c r="D103">
        <v>4850</v>
      </c>
      <c r="E103" s="8"/>
      <c r="F103" s="8"/>
      <c r="G103" s="6"/>
      <c r="H103" s="1"/>
      <c r="I103" s="3"/>
      <c r="J103" s="8"/>
      <c r="K103" s="8"/>
    </row>
    <row r="104" spans="1:11" ht="13.2" x14ac:dyDescent="0.25">
      <c r="A104" s="46" t="s">
        <v>15</v>
      </c>
      <c r="B104" s="46" t="s">
        <v>234</v>
      </c>
      <c r="C104">
        <v>103</v>
      </c>
      <c r="D104">
        <v>4570</v>
      </c>
      <c r="E104" s="8"/>
      <c r="F104" s="8"/>
      <c r="G104" s="6"/>
      <c r="H104" s="1"/>
      <c r="I104" s="3"/>
      <c r="J104" s="8"/>
      <c r="K104" s="8"/>
    </row>
    <row r="105" spans="1:11" ht="13.2" x14ac:dyDescent="0.25">
      <c r="A105" s="46" t="s">
        <v>15</v>
      </c>
      <c r="B105" s="46" t="s">
        <v>234</v>
      </c>
      <c r="C105">
        <v>104</v>
      </c>
      <c r="D105">
        <v>4570</v>
      </c>
      <c r="E105" s="8"/>
      <c r="F105" s="8"/>
      <c r="G105" s="6"/>
      <c r="H105" s="1"/>
      <c r="I105" s="3"/>
      <c r="J105" s="8"/>
      <c r="K105" s="8"/>
    </row>
    <row r="106" spans="1:11" ht="13.2" x14ac:dyDescent="0.25">
      <c r="A106" s="46" t="s">
        <v>15</v>
      </c>
      <c r="B106" s="46" t="s">
        <v>234</v>
      </c>
      <c r="C106">
        <v>105</v>
      </c>
      <c r="D106">
        <v>4855</v>
      </c>
      <c r="E106" s="8"/>
      <c r="F106" s="8"/>
      <c r="G106" s="6"/>
      <c r="H106" s="1"/>
      <c r="I106" s="3"/>
      <c r="J106" s="8"/>
      <c r="K106" s="8"/>
    </row>
    <row r="107" spans="1:11" ht="13.2" x14ac:dyDescent="0.25">
      <c r="A107" s="46" t="s">
        <v>15</v>
      </c>
      <c r="B107" s="46" t="s">
        <v>234</v>
      </c>
      <c r="C107">
        <v>106</v>
      </c>
      <c r="D107">
        <v>4160</v>
      </c>
      <c r="E107" s="8"/>
      <c r="F107" s="8"/>
      <c r="G107" s="6"/>
      <c r="H107" s="1"/>
      <c r="I107" s="3"/>
      <c r="J107" s="8"/>
      <c r="K107" s="8"/>
    </row>
    <row r="108" spans="1:11" ht="13.2" x14ac:dyDescent="0.25">
      <c r="A108" s="46" t="s">
        <v>15</v>
      </c>
      <c r="B108" s="46" t="s">
        <v>234</v>
      </c>
      <c r="C108">
        <v>107</v>
      </c>
      <c r="D108">
        <v>4325</v>
      </c>
      <c r="E108" s="8"/>
      <c r="F108" s="8"/>
      <c r="G108" s="6"/>
      <c r="H108" s="1"/>
      <c r="I108" s="3"/>
      <c r="J108" s="8"/>
      <c r="K108" s="8"/>
    </row>
    <row r="109" spans="1:11" ht="13.2" x14ac:dyDescent="0.25">
      <c r="A109" s="46" t="s">
        <v>15</v>
      </c>
      <c r="B109" s="46" t="s">
        <v>234</v>
      </c>
      <c r="C109">
        <v>108</v>
      </c>
      <c r="D109">
        <v>4125</v>
      </c>
      <c r="E109" s="8"/>
      <c r="F109" s="8"/>
      <c r="G109" s="6"/>
      <c r="H109" s="1"/>
      <c r="I109" s="3"/>
      <c r="J109" s="8"/>
      <c r="K109" s="8"/>
    </row>
    <row r="110" spans="1:11" ht="13.2" x14ac:dyDescent="0.25">
      <c r="A110" s="46" t="s">
        <v>15</v>
      </c>
      <c r="B110" s="46" t="s">
        <v>234</v>
      </c>
      <c r="C110">
        <v>109</v>
      </c>
      <c r="D110">
        <v>4100</v>
      </c>
      <c r="E110" s="8"/>
      <c r="F110" s="8"/>
      <c r="G110" s="6"/>
      <c r="H110" s="1"/>
      <c r="I110" s="3"/>
      <c r="J110" s="8"/>
      <c r="K110" s="8"/>
    </row>
    <row r="111" spans="1:11" ht="13.2" x14ac:dyDescent="0.25">
      <c r="A111" s="46" t="s">
        <v>15</v>
      </c>
      <c r="B111" s="46" t="s">
        <v>234</v>
      </c>
      <c r="C111">
        <v>110</v>
      </c>
      <c r="D111">
        <v>4340</v>
      </c>
      <c r="E111" s="8"/>
      <c r="F111" s="8"/>
      <c r="G111" s="6"/>
      <c r="H111" s="1"/>
      <c r="I111" s="3"/>
      <c r="J111" s="8"/>
      <c r="K111" s="8"/>
    </row>
    <row r="112" spans="1:11" ht="13.2" x14ac:dyDescent="0.25">
      <c r="A112" s="46" t="s">
        <v>15</v>
      </c>
      <c r="B112" s="46" t="s">
        <v>234</v>
      </c>
      <c r="C112">
        <v>111</v>
      </c>
      <c r="D112">
        <v>4575</v>
      </c>
      <c r="E112" s="8"/>
      <c r="F112" s="8"/>
      <c r="G112" s="6"/>
      <c r="H112" s="1"/>
      <c r="I112" s="3"/>
      <c r="J112" s="8"/>
      <c r="K112" s="8"/>
    </row>
    <row r="113" spans="1:11" ht="13.2" x14ac:dyDescent="0.25">
      <c r="A113" s="46" t="s">
        <v>15</v>
      </c>
      <c r="B113" s="46" t="s">
        <v>234</v>
      </c>
      <c r="C113">
        <v>112</v>
      </c>
      <c r="D113">
        <v>3875</v>
      </c>
      <c r="E113" s="8"/>
      <c r="F113" s="8"/>
      <c r="G113" s="6"/>
      <c r="H113" s="1"/>
      <c r="I113" s="3"/>
      <c r="J113" s="8"/>
      <c r="K113" s="8"/>
    </row>
    <row r="114" spans="1:11" ht="13.2" x14ac:dyDescent="0.25">
      <c r="A114" s="46" t="s">
        <v>15</v>
      </c>
      <c r="B114" s="46" t="s">
        <v>234</v>
      </c>
      <c r="C114">
        <v>113</v>
      </c>
      <c r="D114">
        <v>4050</v>
      </c>
      <c r="E114" s="8"/>
      <c r="F114" s="8"/>
      <c r="G114" s="6"/>
      <c r="H114" s="1"/>
      <c r="I114" s="3"/>
      <c r="J114" s="8"/>
      <c r="K114" s="8"/>
    </row>
    <row r="115" spans="1:11" ht="13.2" x14ac:dyDescent="0.25">
      <c r="A115" s="46" t="s">
        <v>15</v>
      </c>
      <c r="B115" s="46" t="s">
        <v>234</v>
      </c>
      <c r="C115">
        <v>114</v>
      </c>
      <c r="D115">
        <v>4050</v>
      </c>
      <c r="E115" s="8"/>
      <c r="F115" s="8"/>
      <c r="G115" s="6"/>
      <c r="H115" s="1"/>
      <c r="I115" s="3"/>
      <c r="J115" s="8"/>
      <c r="K115" s="8"/>
    </row>
    <row r="116" spans="1:11" ht="13.2" x14ac:dyDescent="0.25">
      <c r="A116" s="46" t="s">
        <v>15</v>
      </c>
      <c r="B116" s="46" t="s">
        <v>234</v>
      </c>
      <c r="C116">
        <v>115</v>
      </c>
      <c r="D116">
        <v>4685</v>
      </c>
      <c r="E116" s="8"/>
      <c r="F116" s="8"/>
      <c r="G116" s="6"/>
      <c r="H116" s="1"/>
      <c r="I116" s="3"/>
      <c r="J116" s="8"/>
      <c r="K116" s="8"/>
    </row>
    <row r="117" spans="1:11" ht="13.2" x14ac:dyDescent="0.25">
      <c r="A117" s="46" t="s">
        <v>15</v>
      </c>
      <c r="B117" s="46" t="s">
        <v>234</v>
      </c>
      <c r="C117">
        <v>116</v>
      </c>
      <c r="D117">
        <v>4685</v>
      </c>
      <c r="E117" s="8"/>
      <c r="F117" s="8"/>
      <c r="G117" s="6"/>
      <c r="H117" s="1"/>
      <c r="I117" s="3"/>
      <c r="J117" s="8"/>
      <c r="K117" s="8"/>
    </row>
    <row r="118" spans="1:11" ht="13.2" x14ac:dyDescent="0.25">
      <c r="A118" s="46" t="s">
        <v>15</v>
      </c>
      <c r="B118" s="46" t="s">
        <v>234</v>
      </c>
      <c r="C118">
        <v>117</v>
      </c>
      <c r="D118">
        <v>4430</v>
      </c>
      <c r="E118" s="8"/>
      <c r="F118" s="8"/>
      <c r="G118" s="6"/>
      <c r="H118" s="1"/>
      <c r="I118" s="3"/>
      <c r="J118" s="8"/>
      <c r="K118" s="8"/>
    </row>
    <row r="119" spans="1:11" ht="13.2" x14ac:dyDescent="0.25">
      <c r="A119" s="46" t="s">
        <v>15</v>
      </c>
      <c r="B119" s="46" t="s">
        <v>234</v>
      </c>
      <c r="C119">
        <v>118</v>
      </c>
      <c r="D119">
        <v>4300</v>
      </c>
      <c r="E119" s="8"/>
      <c r="F119" s="8"/>
      <c r="G119" s="6"/>
      <c r="H119" s="1"/>
      <c r="I119" s="3"/>
      <c r="J119" s="8"/>
      <c r="K119" s="8"/>
    </row>
    <row r="120" spans="1:11" ht="13.2" x14ac:dyDescent="0.25">
      <c r="A120" s="46" t="s">
        <v>15</v>
      </c>
      <c r="B120" s="46" t="s">
        <v>234</v>
      </c>
      <c r="C120">
        <v>119</v>
      </c>
      <c r="D120">
        <v>4690</v>
      </c>
      <c r="E120" s="8"/>
      <c r="F120" s="8"/>
      <c r="G120" s="6"/>
      <c r="H120" s="1"/>
      <c r="I120" s="3"/>
      <c r="J120" s="8"/>
      <c r="K120" s="8"/>
    </row>
    <row r="121" spans="1:11" ht="13.2" x14ac:dyDescent="0.25">
      <c r="A121" s="46" t="s">
        <v>15</v>
      </c>
      <c r="B121" s="46" t="s">
        <v>234</v>
      </c>
      <c r="C121">
        <v>120</v>
      </c>
      <c r="D121">
        <v>4560</v>
      </c>
      <c r="E121" s="8"/>
      <c r="F121" s="8"/>
      <c r="G121" s="6"/>
      <c r="H121" s="1"/>
      <c r="I121" s="3"/>
      <c r="J121" s="8"/>
      <c r="K121" s="8"/>
    </row>
    <row r="122" spans="1:11" ht="13.2" x14ac:dyDescent="0.25">
      <c r="A122" s="46" t="s">
        <v>15</v>
      </c>
      <c r="B122" s="46" t="s">
        <v>234</v>
      </c>
      <c r="C122">
        <v>121</v>
      </c>
      <c r="D122">
        <v>3075</v>
      </c>
      <c r="E122" s="8"/>
      <c r="F122" s="8"/>
      <c r="G122" s="6"/>
      <c r="H122" s="1"/>
      <c r="I122" s="3"/>
      <c r="J122" s="8"/>
      <c r="K122" s="8"/>
    </row>
    <row r="123" spans="1:11" ht="13.2" x14ac:dyDescent="0.25">
      <c r="A123" s="46" t="s">
        <v>15</v>
      </c>
      <c r="B123" s="46" t="s">
        <v>234</v>
      </c>
      <c r="C123">
        <v>122</v>
      </c>
      <c r="D123">
        <v>2965</v>
      </c>
      <c r="E123" s="8"/>
      <c r="F123" s="8"/>
      <c r="G123" s="6"/>
      <c r="H123" s="1"/>
      <c r="I123" s="3"/>
      <c r="J123" s="8"/>
      <c r="K123" s="8"/>
    </row>
    <row r="124" spans="1:11" ht="13.2" x14ac:dyDescent="0.25">
      <c r="A124" s="46" t="s">
        <v>15</v>
      </c>
      <c r="B124" s="46" t="s">
        <v>234</v>
      </c>
      <c r="C124">
        <v>123</v>
      </c>
      <c r="D124">
        <v>4080</v>
      </c>
      <c r="E124" s="8"/>
      <c r="F124" s="8"/>
      <c r="G124" s="6"/>
      <c r="H124" s="1"/>
      <c r="I124" s="3"/>
      <c r="J124" s="8"/>
      <c r="K124" s="8"/>
    </row>
    <row r="125" spans="1:11" ht="13.2" x14ac:dyDescent="0.25">
      <c r="A125" s="46" t="s">
        <v>15</v>
      </c>
      <c r="B125" s="46" t="s">
        <v>234</v>
      </c>
      <c r="C125">
        <v>124</v>
      </c>
      <c r="D125">
        <v>4080</v>
      </c>
      <c r="E125" s="8"/>
      <c r="F125" s="8"/>
      <c r="G125" s="6"/>
      <c r="H125" s="1"/>
      <c r="I125" s="3"/>
      <c r="J125" s="8"/>
      <c r="K125" s="8"/>
    </row>
    <row r="126" spans="1:11" ht="13.2" x14ac:dyDescent="0.25">
      <c r="A126" s="46" t="s">
        <v>15</v>
      </c>
      <c r="B126" s="46" t="s">
        <v>234</v>
      </c>
      <c r="C126">
        <v>125</v>
      </c>
      <c r="D126">
        <v>4425</v>
      </c>
      <c r="E126" s="8"/>
      <c r="F126" s="8"/>
      <c r="G126" s="6"/>
      <c r="H126" s="1"/>
      <c r="I126" s="3"/>
      <c r="J126" s="8"/>
      <c r="K126" s="8"/>
    </row>
    <row r="127" spans="1:11" ht="13.2" x14ac:dyDescent="0.25">
      <c r="A127" s="46" t="s">
        <v>15</v>
      </c>
      <c r="B127" s="46" t="s">
        <v>234</v>
      </c>
      <c r="C127">
        <v>126</v>
      </c>
      <c r="D127">
        <v>4300</v>
      </c>
      <c r="E127" s="8"/>
      <c r="F127" s="8"/>
      <c r="G127" s="6"/>
      <c r="H127" s="1"/>
      <c r="I127" s="3"/>
      <c r="J127" s="8"/>
      <c r="K127" s="8"/>
    </row>
    <row r="128" spans="1:11" ht="13.2" x14ac:dyDescent="0.25">
      <c r="A128" s="46" t="s">
        <v>15</v>
      </c>
      <c r="B128" s="46" t="s">
        <v>234</v>
      </c>
      <c r="C128">
        <v>127</v>
      </c>
      <c r="D128">
        <v>4430</v>
      </c>
      <c r="E128" s="8"/>
      <c r="F128" s="8"/>
      <c r="G128" s="6"/>
      <c r="H128" s="1"/>
      <c r="I128" s="3"/>
      <c r="J128" s="8"/>
      <c r="K128" s="8"/>
    </row>
    <row r="129" spans="1:11" ht="13.2" x14ac:dyDescent="0.25">
      <c r="A129" s="46" t="s">
        <v>15</v>
      </c>
      <c r="B129" s="46" t="s">
        <v>234</v>
      </c>
      <c r="C129">
        <v>128</v>
      </c>
      <c r="D129">
        <v>4840</v>
      </c>
      <c r="E129" s="8"/>
      <c r="F129" s="8"/>
      <c r="G129" s="6"/>
      <c r="H129" s="1"/>
      <c r="I129" s="3"/>
      <c r="J129" s="8"/>
      <c r="K129" s="8"/>
    </row>
    <row r="130" spans="1:11" ht="13.2" x14ac:dyDescent="0.25">
      <c r="A130" s="46" t="s">
        <v>15</v>
      </c>
      <c r="B130" s="46" t="s">
        <v>234</v>
      </c>
      <c r="C130">
        <v>129</v>
      </c>
      <c r="D130">
        <v>4840</v>
      </c>
      <c r="E130" s="8"/>
      <c r="F130" s="8"/>
      <c r="G130" s="6"/>
      <c r="H130" s="1"/>
      <c r="I130" s="3"/>
      <c r="J130" s="8"/>
      <c r="K130" s="8"/>
    </row>
    <row r="131" spans="1:11" ht="13.2" x14ac:dyDescent="0.25">
      <c r="A131" s="46" t="s">
        <v>15</v>
      </c>
      <c r="B131" s="46" t="s">
        <v>234</v>
      </c>
      <c r="C131">
        <v>130</v>
      </c>
      <c r="D131">
        <v>4310</v>
      </c>
      <c r="E131" s="8"/>
      <c r="F131" s="8"/>
      <c r="G131" s="6"/>
      <c r="H131" s="1"/>
      <c r="I131" s="3"/>
      <c r="J131" s="8"/>
      <c r="K131" s="8"/>
    </row>
    <row r="132" spans="1:11" ht="13.2" x14ac:dyDescent="0.25">
      <c r="A132" s="46" t="s">
        <v>15</v>
      </c>
      <c r="B132" s="46" t="s">
        <v>234</v>
      </c>
      <c r="C132">
        <v>131</v>
      </c>
      <c r="D132">
        <v>4185</v>
      </c>
      <c r="E132" s="8"/>
      <c r="F132" s="8"/>
      <c r="G132" s="6"/>
      <c r="H132" s="1"/>
      <c r="I132" s="3"/>
      <c r="J132" s="8"/>
      <c r="K132" s="8"/>
    </row>
    <row r="133" spans="1:11" ht="13.2" x14ac:dyDescent="0.25">
      <c r="A133" s="46" t="s">
        <v>15</v>
      </c>
      <c r="B133" s="46" t="s">
        <v>234</v>
      </c>
      <c r="C133">
        <v>132</v>
      </c>
      <c r="D133">
        <v>4570</v>
      </c>
      <c r="E133" s="8"/>
      <c r="F133" s="8"/>
      <c r="G133" s="6"/>
      <c r="H133" s="1"/>
      <c r="I133" s="3"/>
      <c r="J133" s="8"/>
      <c r="K133" s="8"/>
    </row>
    <row r="134" spans="1:11" ht="13.2" x14ac:dyDescent="0.25">
      <c r="A134" s="46" t="s">
        <v>15</v>
      </c>
      <c r="B134" s="46" t="s">
        <v>234</v>
      </c>
      <c r="C134">
        <v>133</v>
      </c>
      <c r="D134">
        <v>4700</v>
      </c>
      <c r="E134" s="8"/>
      <c r="F134" s="8"/>
      <c r="G134" s="6"/>
      <c r="H134" s="1"/>
      <c r="I134" s="3"/>
      <c r="J134" s="8"/>
      <c r="K134" s="8"/>
    </row>
    <row r="135" spans="1:11" ht="13.2" x14ac:dyDescent="0.25">
      <c r="A135" s="46" t="s">
        <v>15</v>
      </c>
      <c r="B135" s="46" t="s">
        <v>234</v>
      </c>
      <c r="C135">
        <v>134</v>
      </c>
      <c r="D135">
        <v>4440</v>
      </c>
      <c r="E135" s="8"/>
      <c r="F135" s="8"/>
      <c r="G135" s="6"/>
      <c r="H135" s="1"/>
      <c r="I135" s="3"/>
      <c r="J135" s="8"/>
      <c r="K135" s="8"/>
    </row>
    <row r="136" spans="1:11" ht="13.2" x14ac:dyDescent="0.25">
      <c r="A136" s="46" t="s">
        <v>15</v>
      </c>
      <c r="B136" s="46" t="s">
        <v>234</v>
      </c>
      <c r="C136">
        <v>135</v>
      </c>
      <c r="D136">
        <v>4850</v>
      </c>
      <c r="E136" s="8"/>
      <c r="F136" s="8"/>
      <c r="G136" s="6"/>
      <c r="H136" s="1"/>
      <c r="I136" s="3"/>
      <c r="J136" s="8"/>
      <c r="K136" s="8"/>
    </row>
    <row r="137" spans="1:11" ht="13.2" x14ac:dyDescent="0.25">
      <c r="A137" s="46" t="s">
        <v>15</v>
      </c>
      <c r="B137" s="46" t="s">
        <v>234</v>
      </c>
      <c r="C137">
        <v>136</v>
      </c>
      <c r="D137">
        <v>4125</v>
      </c>
      <c r="E137" s="8"/>
      <c r="F137" s="8"/>
      <c r="G137" s="6"/>
      <c r="H137" s="1"/>
      <c r="I137" s="3"/>
      <c r="J137" s="8"/>
      <c r="K137" s="8"/>
    </row>
    <row r="138" spans="1:11" ht="13.2" x14ac:dyDescent="0.25">
      <c r="A138" s="46" t="s">
        <v>15</v>
      </c>
      <c r="B138" s="46" t="s">
        <v>234</v>
      </c>
      <c r="C138">
        <v>137</v>
      </c>
      <c r="D138">
        <v>4450</v>
      </c>
      <c r="E138" s="8"/>
      <c r="F138" s="8"/>
      <c r="G138" s="6"/>
      <c r="H138" s="1"/>
      <c r="I138" s="3"/>
      <c r="J138" s="8"/>
      <c r="K138" s="8"/>
    </row>
    <row r="139" spans="1:11" ht="13.2" x14ac:dyDescent="0.25">
      <c r="A139" s="46" t="s">
        <v>15</v>
      </c>
      <c r="B139" s="46" t="s">
        <v>234</v>
      </c>
      <c r="C139">
        <v>138</v>
      </c>
      <c r="D139">
        <v>4450</v>
      </c>
      <c r="E139" s="8"/>
      <c r="F139" s="8"/>
      <c r="G139" s="6"/>
      <c r="H139" s="1"/>
      <c r="I139" s="3"/>
      <c r="J139" s="8"/>
      <c r="K139" s="8"/>
    </row>
    <row r="140" spans="1:11" ht="13.2" x14ac:dyDescent="0.25">
      <c r="A140" s="46" t="s">
        <v>15</v>
      </c>
      <c r="B140" s="46" t="s">
        <v>234</v>
      </c>
      <c r="C140">
        <v>139</v>
      </c>
      <c r="D140">
        <v>4850</v>
      </c>
      <c r="E140" s="8"/>
      <c r="F140" s="8"/>
      <c r="G140" s="6"/>
      <c r="H140" s="1"/>
      <c r="I140" s="3"/>
      <c r="J140" s="8"/>
      <c r="K140" s="8"/>
    </row>
    <row r="141" spans="1:11" ht="13.2" x14ac:dyDescent="0.25">
      <c r="A141" s="46" t="s">
        <v>15</v>
      </c>
      <c r="B141" s="46" t="s">
        <v>234</v>
      </c>
      <c r="C141">
        <v>140</v>
      </c>
      <c r="D141">
        <v>4450</v>
      </c>
      <c r="E141" s="8"/>
      <c r="F141" s="8"/>
      <c r="G141" s="6"/>
      <c r="H141" s="1"/>
      <c r="I141" s="3"/>
      <c r="J141" s="8"/>
      <c r="K141" s="8"/>
    </row>
    <row r="142" spans="1:11" ht="13.2" x14ac:dyDescent="0.25">
      <c r="A142" s="46" t="s">
        <v>15</v>
      </c>
      <c r="B142" s="46" t="s">
        <v>234</v>
      </c>
      <c r="C142">
        <v>141</v>
      </c>
      <c r="D142">
        <v>3635</v>
      </c>
      <c r="E142" s="8"/>
      <c r="F142" s="8"/>
      <c r="G142" s="6"/>
      <c r="H142" s="1"/>
      <c r="I142" s="3"/>
      <c r="J142" s="8"/>
      <c r="K142" s="8"/>
    </row>
    <row r="143" spans="1:11" ht="13.2" x14ac:dyDescent="0.25">
      <c r="A143" s="46" t="s">
        <v>15</v>
      </c>
      <c r="B143" s="46" t="s">
        <v>234</v>
      </c>
      <c r="C143">
        <v>142</v>
      </c>
      <c r="D143">
        <v>3635</v>
      </c>
      <c r="E143" s="8"/>
      <c r="F143" s="8"/>
      <c r="G143" s="6"/>
      <c r="H143" s="1"/>
      <c r="I143" s="3"/>
      <c r="J143" s="8"/>
      <c r="K143" s="8"/>
    </row>
    <row r="144" spans="1:11" ht="13.2" x14ac:dyDescent="0.25">
      <c r="A144" s="46" t="s">
        <v>15</v>
      </c>
      <c r="B144" s="46" t="s">
        <v>234</v>
      </c>
      <c r="C144">
        <v>143</v>
      </c>
      <c r="D144">
        <v>3635</v>
      </c>
      <c r="E144" s="8"/>
      <c r="F144" s="8"/>
      <c r="G144" s="6"/>
      <c r="H144" s="1"/>
      <c r="I144" s="3"/>
      <c r="J144" s="8"/>
      <c r="K144" s="8"/>
    </row>
    <row r="145" spans="1:11" ht="13.2" x14ac:dyDescent="0.25">
      <c r="A145" s="46" t="s">
        <v>15</v>
      </c>
      <c r="B145" s="46" t="s">
        <v>234</v>
      </c>
      <c r="C145">
        <v>144</v>
      </c>
      <c r="D145">
        <v>3900</v>
      </c>
      <c r="E145" s="8"/>
      <c r="F145" s="8"/>
      <c r="G145" s="6"/>
      <c r="H145" s="1"/>
      <c r="I145" s="3"/>
      <c r="J145" s="8"/>
      <c r="K145" s="8"/>
    </row>
    <row r="146" spans="1:11" ht="13.2" x14ac:dyDescent="0.25">
      <c r="A146" s="46" t="s">
        <v>15</v>
      </c>
      <c r="B146" s="46" t="s">
        <v>234</v>
      </c>
      <c r="C146">
        <v>145</v>
      </c>
      <c r="D146">
        <v>4340</v>
      </c>
      <c r="E146" s="8"/>
      <c r="F146" s="8"/>
      <c r="G146" s="6"/>
      <c r="H146" s="1"/>
      <c r="I146" s="3"/>
      <c r="J146" s="8"/>
      <c r="K146" s="8"/>
    </row>
    <row r="147" spans="1:11" ht="13.2" x14ac:dyDescent="0.25">
      <c r="A147" s="46" t="s">
        <v>15</v>
      </c>
      <c r="B147" s="46" t="s">
        <v>234</v>
      </c>
      <c r="C147">
        <v>146</v>
      </c>
      <c r="D147">
        <v>4340</v>
      </c>
      <c r="E147" s="8"/>
      <c r="F147" s="8"/>
      <c r="G147" s="6"/>
      <c r="H147" s="1"/>
      <c r="I147" s="3"/>
      <c r="J147" s="8"/>
      <c r="K147" s="8"/>
    </row>
    <row r="148" spans="1:11" ht="13.2" x14ac:dyDescent="0.25">
      <c r="A148" s="46" t="s">
        <v>15</v>
      </c>
      <c r="B148" s="46" t="s">
        <v>234</v>
      </c>
      <c r="C148">
        <v>147</v>
      </c>
      <c r="D148">
        <v>3665</v>
      </c>
      <c r="E148" s="8"/>
      <c r="F148" s="8"/>
      <c r="G148" s="6"/>
      <c r="H148" s="1"/>
      <c r="I148" s="3"/>
      <c r="J148" s="8"/>
      <c r="K148" s="8"/>
    </row>
    <row r="149" spans="1:11" ht="13.2" x14ac:dyDescent="0.25">
      <c r="A149" s="46" t="s">
        <v>15</v>
      </c>
      <c r="B149" s="46" t="s">
        <v>234</v>
      </c>
      <c r="C149">
        <v>148</v>
      </c>
      <c r="D149">
        <v>3775</v>
      </c>
      <c r="E149" s="8"/>
      <c r="F149" s="8"/>
      <c r="G149" s="6"/>
      <c r="H149" s="1"/>
      <c r="I149" s="3"/>
      <c r="J149" s="8"/>
      <c r="K149" s="8"/>
    </row>
    <row r="150" spans="1:11" ht="13.2" x14ac:dyDescent="0.25">
      <c r="A150" s="46" t="s">
        <v>15</v>
      </c>
      <c r="B150" s="46" t="s">
        <v>234</v>
      </c>
      <c r="C150">
        <v>149</v>
      </c>
      <c r="D150">
        <v>5000</v>
      </c>
      <c r="E150" s="8"/>
      <c r="F150" s="8"/>
      <c r="G150" s="6"/>
      <c r="H150" s="1"/>
      <c r="I150" s="3"/>
      <c r="J150" s="8"/>
      <c r="K150" s="8"/>
    </row>
    <row r="151" spans="1:11" ht="13.2" x14ac:dyDescent="0.25">
      <c r="A151" s="46" t="s">
        <v>15</v>
      </c>
      <c r="B151" s="46" t="s">
        <v>234</v>
      </c>
      <c r="C151">
        <v>150</v>
      </c>
      <c r="D151">
        <v>4850</v>
      </c>
      <c r="E151" s="8"/>
      <c r="F151" s="8"/>
      <c r="G151" s="6"/>
      <c r="H151" s="1"/>
      <c r="I151" s="3"/>
      <c r="J151" s="8"/>
      <c r="K151" s="8"/>
    </row>
    <row r="152" spans="1:11" ht="13.2" x14ac:dyDescent="0.25">
      <c r="A152" s="46" t="s">
        <v>15</v>
      </c>
      <c r="B152" s="46" t="s">
        <v>234</v>
      </c>
      <c r="C152">
        <v>151</v>
      </c>
      <c r="D152">
        <v>4775</v>
      </c>
      <c r="E152" s="8"/>
      <c r="F152" s="8"/>
      <c r="G152" s="6"/>
      <c r="H152" s="1"/>
      <c r="I152" s="3"/>
      <c r="J152" s="8"/>
      <c r="K152" s="8"/>
    </row>
    <row r="153" spans="1:11" ht="13.2" x14ac:dyDescent="0.25">
      <c r="A153" s="46" t="s">
        <v>15</v>
      </c>
      <c r="B153" s="46" t="s">
        <v>234</v>
      </c>
      <c r="C153">
        <v>152</v>
      </c>
      <c r="D153">
        <v>4500</v>
      </c>
      <c r="E153" s="8"/>
      <c r="F153" s="8"/>
      <c r="G153" s="6"/>
      <c r="H153" s="1"/>
      <c r="I153" s="3"/>
      <c r="J153" s="8"/>
      <c r="K153" s="8"/>
    </row>
    <row r="154" spans="1:11" ht="13.2" x14ac:dyDescent="0.25">
      <c r="A154" s="46" t="s">
        <v>15</v>
      </c>
      <c r="B154" s="46" t="s">
        <v>234</v>
      </c>
      <c r="C154">
        <v>153</v>
      </c>
      <c r="D154">
        <v>4770</v>
      </c>
      <c r="E154" s="8"/>
      <c r="F154" s="8"/>
      <c r="G154" s="6"/>
      <c r="H154" s="1"/>
      <c r="I154" s="3"/>
      <c r="J154" s="8"/>
      <c r="K154" s="8"/>
    </row>
    <row r="155" spans="1:11" ht="13.2" x14ac:dyDescent="0.25">
      <c r="A155" s="46" t="s">
        <v>15</v>
      </c>
      <c r="B155" s="46" t="s">
        <v>234</v>
      </c>
      <c r="C155">
        <v>154</v>
      </c>
      <c r="D155">
        <v>4500</v>
      </c>
      <c r="E155" s="8"/>
      <c r="F155" s="8"/>
      <c r="G155" s="6"/>
      <c r="H155" s="1"/>
      <c r="I155" s="3"/>
      <c r="J155" s="8"/>
      <c r="K155" s="8"/>
    </row>
    <row r="156" spans="1:11" ht="13.2" x14ac:dyDescent="0.25">
      <c r="A156" s="46" t="s">
        <v>15</v>
      </c>
      <c r="B156" s="46" t="s">
        <v>234</v>
      </c>
      <c r="C156">
        <v>155</v>
      </c>
      <c r="D156">
        <v>4770</v>
      </c>
      <c r="E156" s="8"/>
      <c r="F156" s="8"/>
      <c r="G156" s="6"/>
      <c r="H156" s="1"/>
      <c r="I156" s="3"/>
      <c r="J156" s="8"/>
      <c r="K156" s="8"/>
    </row>
    <row r="157" spans="1:11" ht="13.2" x14ac:dyDescent="0.25">
      <c r="A157" s="46" t="s">
        <v>15</v>
      </c>
      <c r="B157" s="46" t="s">
        <v>234</v>
      </c>
      <c r="C157">
        <v>156</v>
      </c>
      <c r="D157">
        <v>5150</v>
      </c>
      <c r="E157" s="8"/>
      <c r="F157" s="8"/>
      <c r="G157" s="6"/>
      <c r="H157" s="1"/>
      <c r="I157" s="3"/>
      <c r="J157" s="8"/>
      <c r="K157" s="8"/>
    </row>
    <row r="158" spans="1:11" ht="13.2" x14ac:dyDescent="0.25">
      <c r="A158" s="46" t="s">
        <v>15</v>
      </c>
      <c r="B158" s="46" t="s">
        <v>234</v>
      </c>
      <c r="C158">
        <v>157</v>
      </c>
      <c r="D158">
        <v>4850</v>
      </c>
      <c r="E158" s="8"/>
      <c r="F158" s="8"/>
      <c r="G158" s="6"/>
      <c r="H158" s="1"/>
      <c r="I158" s="3"/>
      <c r="J158" s="8"/>
      <c r="K158" s="8"/>
    </row>
    <row r="159" spans="1:11" ht="13.2" x14ac:dyDescent="0.25">
      <c r="A159" s="46" t="s">
        <v>15</v>
      </c>
      <c r="B159" s="46" t="s">
        <v>234</v>
      </c>
      <c r="C159">
        <v>158</v>
      </c>
      <c r="D159">
        <v>4700</v>
      </c>
      <c r="E159" s="8"/>
      <c r="F159" s="8"/>
      <c r="G159" s="6"/>
      <c r="H159" s="1"/>
      <c r="I159" s="3"/>
      <c r="J159" s="8"/>
      <c r="K159" s="8"/>
    </row>
    <row r="160" spans="1:11" ht="13.2" x14ac:dyDescent="0.25">
      <c r="A160" s="46" t="s">
        <v>15</v>
      </c>
      <c r="B160" s="46" t="s">
        <v>234</v>
      </c>
      <c r="C160">
        <v>159</v>
      </c>
      <c r="D160">
        <v>5000</v>
      </c>
      <c r="E160" s="8"/>
      <c r="F160" s="8"/>
      <c r="G160" s="6"/>
      <c r="H160" s="1"/>
      <c r="I160" s="3"/>
      <c r="J160" s="8"/>
      <c r="K160" s="8"/>
    </row>
    <row r="161" spans="1:11" ht="13.2" x14ac:dyDescent="0.25">
      <c r="A161" s="46" t="s">
        <v>15</v>
      </c>
      <c r="B161" s="46" t="s">
        <v>234</v>
      </c>
      <c r="C161">
        <v>160</v>
      </c>
      <c r="D161">
        <v>5000</v>
      </c>
      <c r="E161" s="8"/>
      <c r="F161" s="8"/>
      <c r="G161" s="6"/>
      <c r="H161" s="1"/>
      <c r="I161" s="3"/>
      <c r="J161" s="8"/>
      <c r="K161" s="8"/>
    </row>
    <row r="162" spans="1:11" ht="13.2" x14ac:dyDescent="0.25">
      <c r="A162" s="46" t="s">
        <v>15</v>
      </c>
      <c r="B162" s="46" t="s">
        <v>234</v>
      </c>
      <c r="C162">
        <v>161</v>
      </c>
      <c r="D162">
        <v>5000</v>
      </c>
      <c r="E162" s="8"/>
      <c r="F162" s="8"/>
      <c r="G162" s="6"/>
      <c r="H162" s="1"/>
      <c r="I162" s="3"/>
      <c r="J162" s="8"/>
      <c r="K162" s="8"/>
    </row>
    <row r="163" spans="1:11" ht="13.2" x14ac:dyDescent="0.25">
      <c r="A163" s="46" t="s">
        <v>15</v>
      </c>
      <c r="B163" s="46" t="s">
        <v>234</v>
      </c>
      <c r="C163">
        <v>162</v>
      </c>
      <c r="D163">
        <v>4700</v>
      </c>
      <c r="E163" s="8"/>
      <c r="F163" s="8"/>
      <c r="G163" s="6"/>
      <c r="H163" s="1"/>
      <c r="I163" s="3"/>
      <c r="J163" s="8"/>
      <c r="K163" s="8"/>
    </row>
    <row r="164" spans="1:11" ht="13.2" x14ac:dyDescent="0.25">
      <c r="A164" s="46" t="s">
        <v>15</v>
      </c>
      <c r="B164" s="46" t="s">
        <v>234</v>
      </c>
      <c r="C164">
        <v>163</v>
      </c>
      <c r="D164">
        <v>4500</v>
      </c>
      <c r="E164" s="8"/>
      <c r="F164" s="8"/>
      <c r="G164" s="6"/>
      <c r="H164" s="1"/>
      <c r="I164" s="3"/>
      <c r="J164" s="8"/>
      <c r="K164" s="8"/>
    </row>
    <row r="165" spans="1:11" ht="13.2" x14ac:dyDescent="0.25">
      <c r="A165" s="46" t="s">
        <v>15</v>
      </c>
      <c r="B165" s="46" t="s">
        <v>234</v>
      </c>
      <c r="C165">
        <v>164</v>
      </c>
      <c r="D165">
        <v>4840</v>
      </c>
      <c r="E165" s="8"/>
      <c r="F165" s="8"/>
      <c r="G165" s="6"/>
      <c r="H165" s="1"/>
      <c r="I165" s="3"/>
      <c r="J165" s="8"/>
      <c r="K165" s="8"/>
    </row>
    <row r="166" spans="1:11" ht="13.2" x14ac:dyDescent="0.25">
      <c r="A166" s="46" t="s">
        <v>15</v>
      </c>
      <c r="B166" s="46" t="s">
        <v>234</v>
      </c>
      <c r="C166">
        <v>165</v>
      </c>
      <c r="D166">
        <v>5075</v>
      </c>
      <c r="E166" s="8"/>
      <c r="F166" s="8"/>
      <c r="G166" s="6"/>
      <c r="H166" s="1"/>
      <c r="I166" s="3"/>
      <c r="J166" s="8"/>
      <c r="K166" s="8"/>
    </row>
    <row r="167" spans="1:11" ht="13.2" x14ac:dyDescent="0.25">
      <c r="A167" s="46" t="s">
        <v>15</v>
      </c>
      <c r="B167" s="46" t="s">
        <v>234</v>
      </c>
      <c r="C167">
        <v>166</v>
      </c>
      <c r="D167">
        <v>5000</v>
      </c>
      <c r="E167" s="8"/>
      <c r="F167" s="8"/>
      <c r="G167" s="6"/>
      <c r="H167" s="1"/>
      <c r="I167" s="3"/>
      <c r="J167" s="8"/>
      <c r="K167" s="8"/>
    </row>
    <row r="168" spans="1:11" ht="13.2" x14ac:dyDescent="0.25">
      <c r="A168" s="46" t="s">
        <v>15</v>
      </c>
      <c r="B168" s="46" t="s">
        <v>234</v>
      </c>
      <c r="C168">
        <v>167</v>
      </c>
      <c r="D168">
        <v>4770</v>
      </c>
      <c r="E168" s="8"/>
      <c r="F168" s="8"/>
      <c r="G168" s="6"/>
      <c r="H168" s="1"/>
      <c r="I168" s="3"/>
      <c r="J168" s="8"/>
      <c r="K168" s="8"/>
    </row>
    <row r="169" spans="1:11" ht="13.2" x14ac:dyDescent="0.25">
      <c r="A169" s="46" t="s">
        <v>15</v>
      </c>
      <c r="B169" s="46" t="s">
        <v>234</v>
      </c>
      <c r="C169">
        <v>168</v>
      </c>
      <c r="D169">
        <v>4570</v>
      </c>
      <c r="E169" s="8"/>
      <c r="F169" s="8"/>
      <c r="G169" s="6"/>
      <c r="H169" s="1"/>
      <c r="I169" s="3"/>
      <c r="J169" s="8"/>
      <c r="K169" s="8"/>
    </row>
    <row r="170" spans="1:11" ht="13.2" x14ac:dyDescent="0.25">
      <c r="A170" s="46" t="s">
        <v>15</v>
      </c>
      <c r="B170" s="46" t="s">
        <v>234</v>
      </c>
      <c r="C170">
        <v>169</v>
      </c>
      <c r="D170">
        <v>4925</v>
      </c>
      <c r="E170" s="8"/>
      <c r="F170" s="8"/>
      <c r="G170" s="6"/>
      <c r="H170" s="1"/>
      <c r="I170" s="3"/>
      <c r="J170" s="8"/>
      <c r="K170" s="8"/>
    </row>
    <row r="171" spans="1:11" ht="13.2" x14ac:dyDescent="0.25">
      <c r="A171" s="46" t="s">
        <v>15</v>
      </c>
      <c r="B171" s="46" t="s">
        <v>234</v>
      </c>
      <c r="C171">
        <v>170</v>
      </c>
      <c r="D171">
        <v>4775</v>
      </c>
      <c r="E171" s="8"/>
      <c r="F171" s="8"/>
      <c r="G171" s="6"/>
      <c r="H171" s="1"/>
      <c r="I171" s="3"/>
      <c r="J171" s="8"/>
      <c r="K171" s="8"/>
    </row>
    <row r="172" spans="1:11" ht="13.2" x14ac:dyDescent="0.25">
      <c r="A172" s="46" t="s">
        <v>15</v>
      </c>
      <c r="B172" s="46" t="s">
        <v>234</v>
      </c>
      <c r="C172">
        <v>171</v>
      </c>
      <c r="D172">
        <v>5075</v>
      </c>
      <c r="E172" s="8"/>
      <c r="F172" s="8"/>
      <c r="G172" s="6"/>
      <c r="H172" s="1"/>
      <c r="I172" s="3"/>
      <c r="J172" s="8"/>
      <c r="K172" s="8"/>
    </row>
    <row r="173" spans="1:11" ht="13.2" x14ac:dyDescent="0.25">
      <c r="A173" s="46" t="s">
        <v>15</v>
      </c>
      <c r="B173" s="46" t="s">
        <v>234</v>
      </c>
      <c r="C173">
        <v>172</v>
      </c>
      <c r="D173">
        <v>4925</v>
      </c>
      <c r="E173" s="8"/>
      <c r="F173" s="8"/>
      <c r="G173" s="6"/>
      <c r="H173" s="1"/>
      <c r="I173" s="3"/>
      <c r="J173" s="8"/>
      <c r="K173" s="8"/>
    </row>
    <row r="174" spans="1:11" ht="13.2" x14ac:dyDescent="0.25">
      <c r="A174" s="46" t="s">
        <v>15</v>
      </c>
      <c r="B174" s="46" t="s">
        <v>234</v>
      </c>
      <c r="C174">
        <v>173</v>
      </c>
      <c r="D174">
        <v>5075</v>
      </c>
      <c r="E174" s="8"/>
      <c r="F174" s="8"/>
      <c r="G174" s="6"/>
      <c r="H174" s="1"/>
      <c r="I174" s="3"/>
      <c r="J174" s="8"/>
      <c r="K174" s="8"/>
    </row>
    <row r="175" spans="1:11" ht="13.2" x14ac:dyDescent="0.25">
      <c r="A175" s="46" t="s">
        <v>15</v>
      </c>
      <c r="B175" s="46" t="s">
        <v>234</v>
      </c>
      <c r="C175">
        <v>174</v>
      </c>
      <c r="D175">
        <v>4925</v>
      </c>
      <c r="E175" s="8"/>
      <c r="F175" s="8"/>
      <c r="G175" s="6"/>
      <c r="H175" s="1"/>
      <c r="I175" s="3"/>
      <c r="J175" s="8"/>
      <c r="K175" s="8"/>
    </row>
    <row r="176" spans="1:11" ht="13.2" x14ac:dyDescent="0.25">
      <c r="A176" s="46" t="s">
        <v>15</v>
      </c>
      <c r="B176" s="46" t="s">
        <v>234</v>
      </c>
      <c r="C176">
        <v>175</v>
      </c>
      <c r="D176">
        <v>5250</v>
      </c>
      <c r="E176" s="8"/>
      <c r="F176" s="8"/>
      <c r="G176" s="6"/>
      <c r="H176" s="1"/>
      <c r="I176" s="3"/>
      <c r="J176" s="8"/>
      <c r="K176" s="8"/>
    </row>
    <row r="177" spans="1:11" ht="13.2" x14ac:dyDescent="0.25">
      <c r="A177" s="46" t="s">
        <v>15</v>
      </c>
      <c r="B177" s="46" t="s">
        <v>234</v>
      </c>
      <c r="C177">
        <v>176</v>
      </c>
      <c r="D177">
        <v>4915</v>
      </c>
      <c r="E177" s="8"/>
      <c r="F177" s="8"/>
      <c r="G177" s="6"/>
      <c r="H177" s="1"/>
      <c r="I177" s="3"/>
      <c r="J177" s="8"/>
      <c r="K177" s="8"/>
    </row>
    <row r="178" spans="1:11" ht="13.2" x14ac:dyDescent="0.25">
      <c r="A178" s="46" t="s">
        <v>15</v>
      </c>
      <c r="B178" s="46" t="s">
        <v>234</v>
      </c>
      <c r="C178">
        <v>177</v>
      </c>
      <c r="D178">
        <v>5600</v>
      </c>
      <c r="E178" s="8"/>
      <c r="F178" s="8"/>
      <c r="G178" s="6"/>
      <c r="H178" s="1"/>
      <c r="I178" s="3"/>
      <c r="J178" s="8"/>
      <c r="K178" s="8"/>
    </row>
    <row r="179" spans="1:11" ht="13.2" x14ac:dyDescent="0.25">
      <c r="A179" s="46" t="s">
        <v>15</v>
      </c>
      <c r="B179" s="46" t="s">
        <v>234</v>
      </c>
      <c r="C179">
        <v>178</v>
      </c>
      <c r="D179">
        <v>5075</v>
      </c>
      <c r="E179" s="8"/>
      <c r="F179" s="8"/>
      <c r="G179" s="6"/>
      <c r="H179" s="1"/>
      <c r="I179" s="3"/>
      <c r="J179" s="8"/>
      <c r="K179" s="8"/>
    </row>
    <row r="180" spans="1:11" ht="13.2" x14ac:dyDescent="0.25">
      <c r="A180" s="46" t="s">
        <v>15</v>
      </c>
      <c r="B180" s="46" t="s">
        <v>234</v>
      </c>
      <c r="C180">
        <v>179</v>
      </c>
      <c r="D180">
        <v>4450</v>
      </c>
      <c r="E180" s="8"/>
      <c r="F180" s="8"/>
      <c r="G180" s="6"/>
      <c r="H180" s="1"/>
      <c r="I180" s="3"/>
      <c r="J180" s="8"/>
      <c r="K180" s="8"/>
    </row>
    <row r="181" spans="1:11" ht="13.2" x14ac:dyDescent="0.25">
      <c r="A181" s="46" t="s">
        <v>15</v>
      </c>
      <c r="B181" s="46" t="s">
        <v>234</v>
      </c>
      <c r="C181">
        <v>180</v>
      </c>
      <c r="D181">
        <v>4215</v>
      </c>
      <c r="E181" s="8"/>
      <c r="F181" s="8"/>
      <c r="G181" s="6"/>
      <c r="H181" s="1"/>
      <c r="I181" s="3"/>
      <c r="J181" s="8"/>
      <c r="K181" s="8"/>
    </row>
    <row r="182" spans="1:11" ht="13.2" x14ac:dyDescent="0.25">
      <c r="A182" s="46" t="s">
        <v>15</v>
      </c>
      <c r="B182" s="46" t="s">
        <v>234</v>
      </c>
      <c r="C182">
        <v>181</v>
      </c>
      <c r="D182">
        <v>4325</v>
      </c>
      <c r="E182" s="8"/>
      <c r="F182" s="8"/>
      <c r="G182" s="6"/>
      <c r="H182" s="1"/>
      <c r="I182" s="3"/>
      <c r="J182" s="8"/>
      <c r="K182" s="8"/>
    </row>
    <row r="183" spans="1:11" ht="13.2" x14ac:dyDescent="0.25">
      <c r="A183" s="46" t="s">
        <v>15</v>
      </c>
      <c r="B183" s="46" t="s">
        <v>234</v>
      </c>
      <c r="C183">
        <v>182</v>
      </c>
      <c r="D183">
        <v>4665</v>
      </c>
      <c r="E183" s="8"/>
      <c r="F183" s="8"/>
      <c r="G183" s="6"/>
      <c r="H183" s="1"/>
      <c r="I183" s="3"/>
      <c r="J183" s="8"/>
      <c r="K183" s="8"/>
    </row>
    <row r="184" spans="1:11" ht="13.2" x14ac:dyDescent="0.25">
      <c r="A184" s="46" t="s">
        <v>15</v>
      </c>
      <c r="B184" s="46" t="s">
        <v>234</v>
      </c>
      <c r="C184">
        <v>183</v>
      </c>
      <c r="D184">
        <v>4615</v>
      </c>
      <c r="E184" s="8"/>
      <c r="F184" s="8"/>
      <c r="G184" s="6"/>
      <c r="H184" s="1"/>
      <c r="I184" s="3"/>
      <c r="J184" s="8"/>
      <c r="K184" s="8"/>
    </row>
    <row r="185" spans="1:11" ht="13.2" x14ac:dyDescent="0.25">
      <c r="A185" s="46" t="s">
        <v>15</v>
      </c>
      <c r="B185" s="46" t="s">
        <v>234</v>
      </c>
      <c r="C185">
        <v>184</v>
      </c>
      <c r="D185">
        <v>4615</v>
      </c>
      <c r="E185" s="8"/>
      <c r="F185" s="8"/>
      <c r="G185" s="6"/>
      <c r="H185" s="1"/>
      <c r="I185" s="3"/>
      <c r="J185" s="8"/>
      <c r="K185" s="8"/>
    </row>
    <row r="186" spans="1:11" ht="13.2" x14ac:dyDescent="0.25">
      <c r="A186" s="46" t="s">
        <v>15</v>
      </c>
      <c r="B186" s="46" t="s">
        <v>234</v>
      </c>
      <c r="C186">
        <v>185</v>
      </c>
      <c r="D186">
        <v>4500</v>
      </c>
      <c r="E186" s="8"/>
      <c r="F186" s="8"/>
      <c r="G186" s="6"/>
      <c r="H186" s="1"/>
      <c r="I186" s="3"/>
      <c r="J186" s="8"/>
      <c r="K186" s="8"/>
    </row>
    <row r="187" spans="1:11" ht="13.2" x14ac:dyDescent="0.25">
      <c r="A187" s="46" t="s">
        <v>15</v>
      </c>
      <c r="B187" s="46" t="s">
        <v>234</v>
      </c>
      <c r="C187">
        <v>186</v>
      </c>
      <c r="D187">
        <v>4765</v>
      </c>
      <c r="E187" s="8"/>
      <c r="F187" s="8"/>
      <c r="G187" s="6"/>
      <c r="H187" s="1"/>
      <c r="I187" s="3"/>
      <c r="J187" s="8"/>
      <c r="K187" s="8"/>
    </row>
    <row r="188" spans="1:11" ht="13.2" x14ac:dyDescent="0.25">
      <c r="A188" s="46" t="s">
        <v>15</v>
      </c>
      <c r="B188" s="46" t="s">
        <v>234</v>
      </c>
      <c r="C188">
        <v>187</v>
      </c>
      <c r="D188">
        <v>4500</v>
      </c>
      <c r="E188" s="8"/>
      <c r="F188" s="8"/>
      <c r="G188" s="6"/>
      <c r="H188" s="1"/>
      <c r="I188" s="3"/>
      <c r="J188" s="8"/>
      <c r="K188" s="8"/>
    </row>
    <row r="189" spans="1:11" ht="13.2" x14ac:dyDescent="0.25">
      <c r="A189" s="46" t="s">
        <v>15</v>
      </c>
      <c r="B189" s="46" t="s">
        <v>234</v>
      </c>
      <c r="C189">
        <v>188</v>
      </c>
      <c r="D189">
        <v>4500</v>
      </c>
      <c r="E189" s="8"/>
      <c r="F189" s="8"/>
      <c r="G189" s="6"/>
      <c r="H189" s="1"/>
      <c r="I189" s="3"/>
      <c r="J189" s="8"/>
      <c r="K189" s="8"/>
    </row>
    <row r="190" spans="1:11" ht="13.2" x14ac:dyDescent="0.25">
      <c r="A190" s="46" t="s">
        <v>15</v>
      </c>
      <c r="B190" s="46" t="s">
        <v>234</v>
      </c>
      <c r="C190">
        <v>189</v>
      </c>
      <c r="D190">
        <v>4850</v>
      </c>
      <c r="E190" s="8"/>
      <c r="F190" s="8"/>
      <c r="G190" s="6"/>
      <c r="H190" s="1"/>
      <c r="I190" s="3"/>
      <c r="J190" s="8"/>
      <c r="K190" s="8"/>
    </row>
    <row r="191" spans="1:11" ht="13.2" x14ac:dyDescent="0.25">
      <c r="A191" s="46" t="s">
        <v>15</v>
      </c>
      <c r="B191" s="46" t="s">
        <v>234</v>
      </c>
      <c r="C191">
        <v>190</v>
      </c>
      <c r="D191">
        <v>4930</v>
      </c>
      <c r="E191" s="8"/>
      <c r="F191" s="8"/>
      <c r="G191" s="6"/>
      <c r="H191" s="1"/>
      <c r="I191" s="3"/>
      <c r="J191" s="8"/>
      <c r="K191" s="8"/>
    </row>
    <row r="192" spans="1:11" ht="13.2" x14ac:dyDescent="0.25">
      <c r="A192" s="46" t="s">
        <v>15</v>
      </c>
      <c r="B192" s="46" t="s">
        <v>234</v>
      </c>
      <c r="C192">
        <v>191</v>
      </c>
      <c r="D192">
        <v>4700</v>
      </c>
      <c r="E192" s="8"/>
      <c r="F192" s="8"/>
      <c r="G192" s="6"/>
      <c r="H192" s="1"/>
      <c r="I192" s="3"/>
      <c r="J192" s="8"/>
      <c r="K192" s="8"/>
    </row>
    <row r="193" spans="1:11" ht="13.2" x14ac:dyDescent="0.25">
      <c r="A193" s="46" t="s">
        <v>15</v>
      </c>
      <c r="B193" s="46" t="s">
        <v>234</v>
      </c>
      <c r="C193">
        <v>192</v>
      </c>
      <c r="D193">
        <v>4890</v>
      </c>
      <c r="E193" s="8"/>
      <c r="F193" s="8"/>
      <c r="G193" s="6"/>
      <c r="H193" s="1"/>
      <c r="I193" s="3"/>
      <c r="J193" s="8"/>
      <c r="K193" s="8"/>
    </row>
    <row r="194" spans="1:11" ht="13.2" x14ac:dyDescent="0.25">
      <c r="A194" s="46" t="s">
        <v>15</v>
      </c>
      <c r="B194" s="46" t="s">
        <v>234</v>
      </c>
      <c r="C194">
        <v>193</v>
      </c>
      <c r="D194">
        <v>4625</v>
      </c>
      <c r="E194" s="8"/>
      <c r="F194" s="8"/>
      <c r="G194" s="6"/>
      <c r="H194" s="1"/>
      <c r="I194" s="3"/>
      <c r="J194" s="8"/>
      <c r="K194" s="8"/>
    </row>
    <row r="195" spans="1:11" ht="13.2" x14ac:dyDescent="0.25">
      <c r="A195" s="46" t="s">
        <v>15</v>
      </c>
      <c r="B195" s="46" t="s">
        <v>234</v>
      </c>
      <c r="C195">
        <v>194</v>
      </c>
      <c r="D195">
        <v>4425</v>
      </c>
      <c r="E195" s="8"/>
      <c r="F195" s="8"/>
      <c r="G195" s="6"/>
      <c r="H195" s="1"/>
      <c r="I195" s="3"/>
      <c r="J195" s="8"/>
      <c r="K195" s="8"/>
    </row>
    <row r="196" spans="1:11" ht="13.2" x14ac:dyDescent="0.25">
      <c r="A196" s="46" t="s">
        <v>15</v>
      </c>
      <c r="B196" s="46" t="s">
        <v>234</v>
      </c>
      <c r="C196">
        <v>195</v>
      </c>
      <c r="D196">
        <v>4135</v>
      </c>
      <c r="E196" s="8"/>
      <c r="F196" s="8"/>
      <c r="G196" s="6"/>
      <c r="H196" s="1"/>
      <c r="I196" s="3"/>
      <c r="J196" s="8"/>
      <c r="K196" s="8"/>
    </row>
    <row r="197" spans="1:11" ht="13.2" x14ac:dyDescent="0.25">
      <c r="A197" s="46" t="s">
        <v>15</v>
      </c>
      <c r="B197" s="46" t="s">
        <v>234</v>
      </c>
      <c r="C197">
        <v>196</v>
      </c>
      <c r="D197">
        <v>4190</v>
      </c>
      <c r="E197" s="8"/>
      <c r="F197" s="8"/>
      <c r="G197" s="6"/>
      <c r="H197" s="1"/>
      <c r="I197" s="3"/>
      <c r="J197" s="8"/>
      <c r="K197" s="8"/>
    </row>
    <row r="198" spans="1:11" ht="13.2" x14ac:dyDescent="0.25">
      <c r="A198" s="46" t="s">
        <v>15</v>
      </c>
      <c r="B198" s="46" t="s">
        <v>234</v>
      </c>
      <c r="C198">
        <v>197</v>
      </c>
      <c r="D198">
        <v>4080</v>
      </c>
      <c r="E198" s="8"/>
      <c r="F198" s="8"/>
      <c r="G198" s="6"/>
      <c r="H198" s="1"/>
      <c r="I198" s="3"/>
      <c r="J198" s="8"/>
      <c r="K198" s="8"/>
    </row>
    <row r="199" spans="1:11" ht="13.2" x14ac:dyDescent="0.25">
      <c r="A199" s="46" t="s">
        <v>15</v>
      </c>
      <c r="B199" s="46" t="s">
        <v>234</v>
      </c>
      <c r="C199">
        <v>198</v>
      </c>
      <c r="D199">
        <v>3690</v>
      </c>
      <c r="E199" s="8"/>
      <c r="F199" s="8"/>
      <c r="G199" s="6"/>
      <c r="H199" s="1"/>
      <c r="I199" s="3"/>
      <c r="J199" s="8"/>
      <c r="K199" s="8"/>
    </row>
    <row r="200" spans="1:11" ht="13.2" x14ac:dyDescent="0.25">
      <c r="A200" s="46" t="s">
        <v>15</v>
      </c>
      <c r="B200" s="46" t="s">
        <v>234</v>
      </c>
      <c r="C200">
        <v>199</v>
      </c>
      <c r="D200">
        <v>5050</v>
      </c>
      <c r="E200" s="8"/>
      <c r="F200" s="8"/>
      <c r="G200" s="6"/>
      <c r="H200" s="1"/>
      <c r="I200" s="3"/>
      <c r="J200" s="8"/>
      <c r="K200" s="8"/>
    </row>
    <row r="201" spans="1:11" ht="13.2" x14ac:dyDescent="0.25">
      <c r="A201" s="46" t="s">
        <v>15</v>
      </c>
      <c r="B201" s="46" t="s">
        <v>234</v>
      </c>
      <c r="C201">
        <v>200</v>
      </c>
      <c r="D201">
        <v>4625</v>
      </c>
      <c r="E201" s="8"/>
      <c r="F201" s="8"/>
      <c r="G201" s="6"/>
      <c r="H201" s="1"/>
      <c r="I201" s="3"/>
      <c r="J201" s="8"/>
      <c r="K201" s="8"/>
    </row>
    <row r="202" spans="1:11" ht="13.2" x14ac:dyDescent="0.25">
      <c r="A202" s="46" t="s">
        <v>15</v>
      </c>
      <c r="B202" s="46" t="s">
        <v>234</v>
      </c>
      <c r="C202">
        <v>201</v>
      </c>
      <c r="D202">
        <v>5150</v>
      </c>
      <c r="E202" s="8"/>
      <c r="F202" s="8"/>
      <c r="G202" s="6"/>
      <c r="H202" s="1"/>
      <c r="I202" s="3"/>
      <c r="J202" s="8"/>
      <c r="K202" s="8"/>
    </row>
    <row r="203" spans="1:11" ht="13.2" x14ac:dyDescent="0.25">
      <c r="A203" s="46" t="s">
        <v>15</v>
      </c>
      <c r="B203" s="46" t="s">
        <v>234</v>
      </c>
      <c r="C203">
        <v>202</v>
      </c>
      <c r="D203">
        <v>5250</v>
      </c>
      <c r="E203" s="8"/>
      <c r="F203" s="8"/>
      <c r="G203" s="6"/>
      <c r="H203" s="1"/>
      <c r="I203" s="3"/>
      <c r="J203" s="8"/>
      <c r="K203" s="8"/>
    </row>
    <row r="204" spans="1:11" ht="13.2" x14ac:dyDescent="0.25">
      <c r="A204" s="46" t="s">
        <v>15</v>
      </c>
      <c r="B204" s="46" t="s">
        <v>234</v>
      </c>
      <c r="C204">
        <v>203</v>
      </c>
      <c r="D204">
        <v>5000</v>
      </c>
      <c r="E204" s="8"/>
      <c r="F204" s="8"/>
      <c r="G204" s="6"/>
      <c r="H204" s="1"/>
      <c r="I204" s="3"/>
      <c r="J204" s="8"/>
      <c r="K204" s="8"/>
    </row>
    <row r="205" spans="1:11" ht="13.2" x14ac:dyDescent="0.25">
      <c r="A205" s="46" t="s">
        <v>15</v>
      </c>
      <c r="B205" s="46" t="s">
        <v>234</v>
      </c>
      <c r="C205">
        <v>204</v>
      </c>
      <c r="D205">
        <v>5000</v>
      </c>
      <c r="E205" s="8"/>
      <c r="F205" s="8"/>
      <c r="G205" s="6"/>
      <c r="H205" s="1"/>
      <c r="I205" s="3"/>
      <c r="J205" s="8"/>
      <c r="K205" s="8"/>
    </row>
    <row r="206" spans="1:11" ht="13.2" x14ac:dyDescent="0.25">
      <c r="A206" s="46" t="s">
        <v>219</v>
      </c>
      <c r="B206" s="46" t="s">
        <v>234</v>
      </c>
      <c r="C206">
        <v>1</v>
      </c>
      <c r="D206">
        <v>4400</v>
      </c>
      <c r="E206" s="8"/>
      <c r="F206" s="8"/>
      <c r="G206" s="6" t="s">
        <v>222</v>
      </c>
      <c r="H206" s="1" t="s">
        <v>219</v>
      </c>
      <c r="I206" s="3" t="s">
        <v>221</v>
      </c>
      <c r="J206" s="8" t="s">
        <v>6</v>
      </c>
      <c r="K206" s="8">
        <v>4400</v>
      </c>
    </row>
    <row r="207" spans="1:11" ht="13.2" x14ac:dyDescent="0.25">
      <c r="A207" s="46" t="s">
        <v>219</v>
      </c>
      <c r="B207" s="46" t="s">
        <v>234</v>
      </c>
      <c r="C207">
        <v>2</v>
      </c>
      <c r="D207">
        <v>4565</v>
      </c>
      <c r="E207" s="8"/>
      <c r="F207" s="8"/>
      <c r="G207" s="6" t="s">
        <v>222</v>
      </c>
      <c r="H207" s="1" t="s">
        <v>219</v>
      </c>
      <c r="I207" s="3" t="s">
        <v>221</v>
      </c>
      <c r="J207" s="8" t="s">
        <v>16</v>
      </c>
      <c r="K207" s="8">
        <v>4565</v>
      </c>
    </row>
    <row r="208" spans="1:11" ht="13.2" x14ac:dyDescent="0.25">
      <c r="A208" s="46" t="s">
        <v>219</v>
      </c>
      <c r="B208" s="46" t="s">
        <v>234</v>
      </c>
      <c r="C208">
        <v>3</v>
      </c>
      <c r="D208">
        <v>4495</v>
      </c>
      <c r="E208" s="8"/>
      <c r="F208" s="8"/>
      <c r="G208" s="6" t="s">
        <v>222</v>
      </c>
      <c r="H208" s="1" t="s">
        <v>219</v>
      </c>
      <c r="I208" s="3" t="s">
        <v>221</v>
      </c>
      <c r="J208" s="8" t="s">
        <v>17</v>
      </c>
      <c r="K208" s="8">
        <v>4495</v>
      </c>
    </row>
    <row r="209" spans="1:11" ht="13.2" x14ac:dyDescent="0.25">
      <c r="A209" s="46" t="s">
        <v>219</v>
      </c>
      <c r="B209" s="46" t="s">
        <v>234</v>
      </c>
      <c r="C209">
        <v>4</v>
      </c>
      <c r="D209">
        <v>4325</v>
      </c>
      <c r="E209" s="8"/>
      <c r="F209" s="8"/>
      <c r="G209" s="6" t="s">
        <v>222</v>
      </c>
      <c r="H209" s="1" t="s">
        <v>219</v>
      </c>
      <c r="I209" s="3" t="s">
        <v>221</v>
      </c>
      <c r="J209" s="8" t="s">
        <v>18</v>
      </c>
      <c r="K209" s="8">
        <v>4325</v>
      </c>
    </row>
    <row r="210" spans="1:11" ht="13.2" x14ac:dyDescent="0.25">
      <c r="A210" s="46" t="s">
        <v>219</v>
      </c>
      <c r="B210" s="46" t="s">
        <v>234</v>
      </c>
      <c r="C210">
        <v>5</v>
      </c>
      <c r="D210">
        <v>4385</v>
      </c>
      <c r="E210" s="8"/>
      <c r="F210" s="8"/>
      <c r="G210" s="6" t="s">
        <v>222</v>
      </c>
      <c r="H210" s="1" t="s">
        <v>219</v>
      </c>
      <c r="I210" s="3" t="s">
        <v>221</v>
      </c>
      <c r="J210" s="8" t="s">
        <v>19</v>
      </c>
      <c r="K210" s="8">
        <v>4385</v>
      </c>
    </row>
    <row r="211" spans="1:11" ht="13.2" x14ac:dyDescent="0.25">
      <c r="A211" s="46" t="s">
        <v>219</v>
      </c>
      <c r="B211" s="46" t="s">
        <v>234</v>
      </c>
      <c r="C211">
        <v>6</v>
      </c>
      <c r="D211">
        <v>4545</v>
      </c>
      <c r="E211" s="8"/>
      <c r="F211" s="8"/>
      <c r="G211" s="6" t="s">
        <v>222</v>
      </c>
      <c r="H211" s="1" t="s">
        <v>219</v>
      </c>
      <c r="I211" s="3" t="s">
        <v>221</v>
      </c>
      <c r="J211" s="8" t="s">
        <v>20</v>
      </c>
      <c r="K211" s="8">
        <v>4545</v>
      </c>
    </row>
    <row r="212" spans="1:11" ht="13.2" x14ac:dyDescent="0.25">
      <c r="A212" s="46" t="s">
        <v>219</v>
      </c>
      <c r="B212" s="46" t="s">
        <v>234</v>
      </c>
      <c r="C212">
        <v>7</v>
      </c>
      <c r="D212">
        <v>4235</v>
      </c>
      <c r="E212" s="8"/>
      <c r="F212" s="8"/>
      <c r="G212" s="6" t="s">
        <v>222</v>
      </c>
      <c r="H212" s="1" t="s">
        <v>219</v>
      </c>
      <c r="I212" s="3" t="s">
        <v>221</v>
      </c>
      <c r="J212" s="8" t="s">
        <v>21</v>
      </c>
      <c r="K212" s="8">
        <v>4235</v>
      </c>
    </row>
    <row r="213" spans="1:11" ht="13.2" x14ac:dyDescent="0.25">
      <c r="A213" s="46" t="s">
        <v>219</v>
      </c>
      <c r="B213" s="46" t="s">
        <v>234</v>
      </c>
      <c r="C213">
        <v>8</v>
      </c>
      <c r="D213">
        <v>4370</v>
      </c>
      <c r="E213" s="8"/>
      <c r="F213" s="8"/>
      <c r="G213" s="6" t="s">
        <v>222</v>
      </c>
      <c r="H213" s="1" t="s">
        <v>219</v>
      </c>
      <c r="I213" s="3" t="s">
        <v>221</v>
      </c>
      <c r="J213" s="8" t="s">
        <v>22</v>
      </c>
      <c r="K213" s="8">
        <v>4370</v>
      </c>
    </row>
    <row r="214" spans="1:11" ht="13.2" x14ac:dyDescent="0.25">
      <c r="A214" s="46" t="s">
        <v>219</v>
      </c>
      <c r="B214" s="46" t="s">
        <v>234</v>
      </c>
      <c r="C214">
        <v>9</v>
      </c>
      <c r="D214">
        <v>4340</v>
      </c>
      <c r="E214" s="8"/>
      <c r="F214" s="8"/>
      <c r="G214" s="6" t="s">
        <v>222</v>
      </c>
      <c r="H214" s="1" t="s">
        <v>219</v>
      </c>
      <c r="I214" s="3" t="s">
        <v>221</v>
      </c>
      <c r="J214" s="8" t="s">
        <v>23</v>
      </c>
      <c r="K214" s="8">
        <v>4340</v>
      </c>
    </row>
    <row r="215" spans="1:11" ht="13.2" x14ac:dyDescent="0.25">
      <c r="A215" s="46" t="s">
        <v>219</v>
      </c>
      <c r="B215" s="46" t="s">
        <v>234</v>
      </c>
      <c r="C215">
        <v>10</v>
      </c>
      <c r="D215">
        <v>4500</v>
      </c>
      <c r="E215" s="8"/>
      <c r="F215" s="8"/>
      <c r="G215" s="6" t="s">
        <v>222</v>
      </c>
      <c r="H215" s="1" t="s">
        <v>219</v>
      </c>
      <c r="I215" s="3" t="s">
        <v>221</v>
      </c>
      <c r="J215" s="8" t="s">
        <v>24</v>
      </c>
      <c r="K215" s="8">
        <v>4500</v>
      </c>
    </row>
    <row r="216" spans="1:11" ht="13.2" x14ac:dyDescent="0.25">
      <c r="A216" s="46" t="s">
        <v>219</v>
      </c>
      <c r="B216" s="46" t="s">
        <v>234</v>
      </c>
      <c r="C216">
        <v>11</v>
      </c>
      <c r="D216">
        <v>4165</v>
      </c>
      <c r="E216" s="8"/>
      <c r="F216" s="8"/>
      <c r="G216" s="6" t="s">
        <v>222</v>
      </c>
      <c r="H216" s="1" t="s">
        <v>219</v>
      </c>
      <c r="I216" s="3" t="s">
        <v>221</v>
      </c>
      <c r="J216" s="8" t="s">
        <v>25</v>
      </c>
      <c r="K216" s="8">
        <v>4165</v>
      </c>
    </row>
    <row r="217" spans="1:11" ht="13.2" x14ac:dyDescent="0.25">
      <c r="A217" s="46" t="s">
        <v>219</v>
      </c>
      <c r="B217" s="46" t="s">
        <v>234</v>
      </c>
      <c r="C217">
        <v>12</v>
      </c>
      <c r="D217">
        <v>4000</v>
      </c>
      <c r="E217" s="8"/>
      <c r="F217" s="8"/>
      <c r="G217" s="6" t="s">
        <v>222</v>
      </c>
      <c r="H217" s="1" t="s">
        <v>219</v>
      </c>
      <c r="I217" s="3" t="s">
        <v>221</v>
      </c>
      <c r="J217" s="8" t="s">
        <v>26</v>
      </c>
      <c r="K217" s="8">
        <v>4000</v>
      </c>
    </row>
    <row r="218" spans="1:11" ht="13.2" x14ac:dyDescent="0.25">
      <c r="A218" s="46" t="s">
        <v>219</v>
      </c>
      <c r="B218" s="46" t="s">
        <v>234</v>
      </c>
      <c r="C218">
        <v>13</v>
      </c>
      <c r="D218">
        <v>4125</v>
      </c>
      <c r="E218" s="8"/>
      <c r="F218" s="8"/>
      <c r="G218" s="6" t="s">
        <v>222</v>
      </c>
      <c r="H218" s="1" t="s">
        <v>219</v>
      </c>
      <c r="I218" s="3" t="s">
        <v>221</v>
      </c>
      <c r="J218" s="8" t="s">
        <v>27</v>
      </c>
      <c r="K218" s="8">
        <v>4125</v>
      </c>
    </row>
    <row r="219" spans="1:11" ht="13.2" x14ac:dyDescent="0.25">
      <c r="A219" s="46" t="s">
        <v>219</v>
      </c>
      <c r="B219" s="46" t="s">
        <v>234</v>
      </c>
      <c r="C219">
        <v>14</v>
      </c>
      <c r="D219">
        <v>4445</v>
      </c>
      <c r="E219" s="8"/>
      <c r="F219" s="8"/>
      <c r="G219" s="6" t="s">
        <v>222</v>
      </c>
      <c r="H219" s="1" t="s">
        <v>219</v>
      </c>
      <c r="I219" s="3" t="s">
        <v>221</v>
      </c>
      <c r="J219" s="8" t="s">
        <v>28</v>
      </c>
      <c r="K219" s="8">
        <v>4445</v>
      </c>
    </row>
    <row r="220" spans="1:11" ht="13.2" x14ac:dyDescent="0.25">
      <c r="A220" s="46" t="s">
        <v>219</v>
      </c>
      <c r="B220" s="46" t="s">
        <v>234</v>
      </c>
      <c r="C220">
        <v>15</v>
      </c>
      <c r="D220">
        <v>4775</v>
      </c>
      <c r="E220" s="8"/>
      <c r="F220" s="8"/>
      <c r="G220" s="6" t="s">
        <v>222</v>
      </c>
      <c r="H220" s="1" t="s">
        <v>219</v>
      </c>
      <c r="I220" s="3" t="s">
        <v>221</v>
      </c>
      <c r="J220" s="8" t="s">
        <v>29</v>
      </c>
      <c r="K220" s="8">
        <v>4775</v>
      </c>
    </row>
    <row r="221" spans="1:11" ht="13.2" x14ac:dyDescent="0.25">
      <c r="A221" s="46" t="s">
        <v>219</v>
      </c>
      <c r="B221" s="46" t="s">
        <v>234</v>
      </c>
      <c r="C221">
        <v>16</v>
      </c>
      <c r="D221">
        <v>4615</v>
      </c>
      <c r="E221" s="8"/>
      <c r="F221" s="8"/>
      <c r="G221" s="6" t="s">
        <v>222</v>
      </c>
      <c r="H221" s="1" t="s">
        <v>219</v>
      </c>
      <c r="I221" s="3" t="s">
        <v>221</v>
      </c>
      <c r="J221" s="8" t="s">
        <v>30</v>
      </c>
      <c r="K221" s="8">
        <v>4615</v>
      </c>
    </row>
    <row r="222" spans="1:11" ht="13.2" x14ac:dyDescent="0.25">
      <c r="A222" s="46" t="s">
        <v>219</v>
      </c>
      <c r="B222" s="46" t="s">
        <v>234</v>
      </c>
      <c r="C222">
        <v>17</v>
      </c>
      <c r="D222">
        <v>4465</v>
      </c>
      <c r="E222" s="8"/>
      <c r="F222" s="8"/>
      <c r="G222" s="6" t="s">
        <v>222</v>
      </c>
      <c r="H222" s="1" t="s">
        <v>219</v>
      </c>
      <c r="I222" s="3" t="s">
        <v>221</v>
      </c>
      <c r="J222" s="8" t="s">
        <v>31</v>
      </c>
      <c r="K222" s="8">
        <v>4465</v>
      </c>
    </row>
    <row r="223" spans="1:11" ht="13.2" x14ac:dyDescent="0.25">
      <c r="A223" s="46" t="s">
        <v>219</v>
      </c>
      <c r="B223" s="46" t="s">
        <v>234</v>
      </c>
      <c r="C223">
        <v>18</v>
      </c>
      <c r="D223">
        <v>4375</v>
      </c>
      <c r="E223" s="8"/>
      <c r="F223" s="8"/>
      <c r="G223" s="6" t="s">
        <v>222</v>
      </c>
      <c r="H223" s="1" t="s">
        <v>219</v>
      </c>
      <c r="I223" s="3" t="s">
        <v>221</v>
      </c>
      <c r="J223" s="8" t="s">
        <v>32</v>
      </c>
      <c r="K223" s="8">
        <v>4375</v>
      </c>
    </row>
    <row r="224" spans="1:11" ht="13.2" x14ac:dyDescent="0.25">
      <c r="A224" s="46" t="s">
        <v>219</v>
      </c>
      <c r="B224" s="46" t="s">
        <v>234</v>
      </c>
      <c r="C224">
        <v>19</v>
      </c>
      <c r="D224">
        <v>4600</v>
      </c>
      <c r="E224" s="8"/>
      <c r="F224" s="8"/>
      <c r="G224" s="6" t="s">
        <v>222</v>
      </c>
      <c r="H224" s="1" t="s">
        <v>219</v>
      </c>
      <c r="I224" s="3" t="s">
        <v>221</v>
      </c>
      <c r="J224" s="8" t="s">
        <v>33</v>
      </c>
      <c r="K224" s="8">
        <v>4660</v>
      </c>
    </row>
    <row r="225" spans="1:11" ht="13.2" x14ac:dyDescent="0.25">
      <c r="A225" s="46" t="s">
        <v>219</v>
      </c>
      <c r="B225" s="46" t="s">
        <v>234</v>
      </c>
      <c r="C225">
        <v>20</v>
      </c>
      <c r="D225">
        <v>4260</v>
      </c>
      <c r="E225" s="8"/>
      <c r="F225" s="8"/>
      <c r="G225" s="6" t="s">
        <v>222</v>
      </c>
      <c r="H225" s="1" t="s">
        <v>219</v>
      </c>
      <c r="I225" s="3" t="s">
        <v>221</v>
      </c>
      <c r="J225" s="8" t="s">
        <v>34</v>
      </c>
      <c r="K225" s="8">
        <v>4260</v>
      </c>
    </row>
    <row r="226" spans="1:11" ht="13.2" x14ac:dyDescent="0.25">
      <c r="A226" s="46" t="s">
        <v>219</v>
      </c>
      <c r="B226" s="46" t="s">
        <v>234</v>
      </c>
      <c r="C226">
        <v>21</v>
      </c>
      <c r="D226">
        <v>4675</v>
      </c>
      <c r="E226" s="8"/>
      <c r="F226" s="8"/>
      <c r="G226" s="6" t="s">
        <v>222</v>
      </c>
      <c r="H226" s="1" t="s">
        <v>219</v>
      </c>
      <c r="I226" s="3" t="s">
        <v>221</v>
      </c>
      <c r="J226" s="8" t="s">
        <v>35</v>
      </c>
      <c r="K226" s="8">
        <v>4675</v>
      </c>
    </row>
    <row r="227" spans="1:11" ht="13.2" x14ac:dyDescent="0.25">
      <c r="A227" s="46" t="s">
        <v>219</v>
      </c>
      <c r="B227" s="46" t="s">
        <v>234</v>
      </c>
      <c r="C227">
        <v>22</v>
      </c>
      <c r="D227">
        <v>4800</v>
      </c>
      <c r="E227" s="8"/>
      <c r="F227" s="8"/>
      <c r="G227" s="6" t="s">
        <v>222</v>
      </c>
      <c r="H227" s="1" t="s">
        <v>219</v>
      </c>
      <c r="I227" s="3" t="s">
        <v>221</v>
      </c>
      <c r="J227" s="8" t="s">
        <v>36</v>
      </c>
      <c r="K227" s="8">
        <v>4800</v>
      </c>
    </row>
    <row r="228" spans="1:11" ht="13.2" x14ac:dyDescent="0.25">
      <c r="A228" s="46" t="s">
        <v>219</v>
      </c>
      <c r="B228" s="46" t="s">
        <v>234</v>
      </c>
      <c r="C228">
        <v>23</v>
      </c>
      <c r="D228">
        <v>4410</v>
      </c>
      <c r="E228" s="8"/>
      <c r="F228" s="8"/>
      <c r="G228" s="6" t="s">
        <v>222</v>
      </c>
      <c r="H228" s="1" t="s">
        <v>219</v>
      </c>
      <c r="I228" s="3" t="s">
        <v>221</v>
      </c>
      <c r="J228" s="8" t="s">
        <v>37</v>
      </c>
      <c r="K228" s="8">
        <v>4410</v>
      </c>
    </row>
    <row r="229" spans="1:11" ht="13.2" x14ac:dyDescent="0.25">
      <c r="A229" s="46" t="s">
        <v>219</v>
      </c>
      <c r="B229" s="46" t="s">
        <v>234</v>
      </c>
      <c r="C229">
        <v>24</v>
      </c>
      <c r="D229">
        <v>4675</v>
      </c>
      <c r="E229" s="8"/>
      <c r="F229" s="8"/>
      <c r="G229" s="6" t="s">
        <v>222</v>
      </c>
      <c r="H229" s="1" t="s">
        <v>219</v>
      </c>
      <c r="I229" s="3" t="s">
        <v>221</v>
      </c>
      <c r="J229" s="8" t="s">
        <v>38</v>
      </c>
      <c r="K229" s="8">
        <v>4675</v>
      </c>
    </row>
    <row r="230" spans="1:11" ht="13.2" x14ac:dyDescent="0.25">
      <c r="A230" s="46" t="s">
        <v>219</v>
      </c>
      <c r="B230" s="46" t="s">
        <v>234</v>
      </c>
      <c r="C230">
        <v>25</v>
      </c>
      <c r="D230">
        <v>4260</v>
      </c>
      <c r="E230" s="8"/>
      <c r="F230" s="8"/>
      <c r="G230" s="6" t="s">
        <v>222</v>
      </c>
      <c r="H230" s="1" t="s">
        <v>219</v>
      </c>
      <c r="I230" s="3" t="s">
        <v>221</v>
      </c>
      <c r="J230" s="8" t="s">
        <v>39</v>
      </c>
      <c r="K230" s="8">
        <v>4260</v>
      </c>
    </row>
    <row r="231" spans="1:11" ht="13.2" x14ac:dyDescent="0.25">
      <c r="A231" s="46" t="s">
        <v>219</v>
      </c>
      <c r="B231" s="46" t="s">
        <v>234</v>
      </c>
      <c r="C231">
        <v>26</v>
      </c>
      <c r="D231">
        <v>4000</v>
      </c>
      <c r="E231" s="8"/>
      <c r="F231" s="8"/>
      <c r="G231" s="6" t="s">
        <v>222</v>
      </c>
      <c r="H231" s="1" t="s">
        <v>219</v>
      </c>
      <c r="I231" s="3" t="s">
        <v>221</v>
      </c>
      <c r="J231" s="8" t="s">
        <v>40</v>
      </c>
      <c r="K231" s="8">
        <v>4000</v>
      </c>
    </row>
    <row r="232" spans="1:11" ht="13.2" x14ac:dyDescent="0.25">
      <c r="A232" s="46" t="s">
        <v>219</v>
      </c>
      <c r="B232" s="46" t="s">
        <v>234</v>
      </c>
      <c r="C232">
        <v>27</v>
      </c>
      <c r="D232">
        <v>4360</v>
      </c>
      <c r="E232" s="8"/>
      <c r="F232" s="8"/>
      <c r="G232" s="6" t="s">
        <v>222</v>
      </c>
      <c r="H232" s="1" t="s">
        <v>219</v>
      </c>
      <c r="I232" s="3" t="s">
        <v>221</v>
      </c>
      <c r="J232" s="8" t="s">
        <v>41</v>
      </c>
      <c r="K232" s="8">
        <v>4360</v>
      </c>
    </row>
    <row r="233" spans="1:11" ht="13.2" x14ac:dyDescent="0.25">
      <c r="A233" s="46" t="s">
        <v>219</v>
      </c>
      <c r="B233" s="46" t="s">
        <v>234</v>
      </c>
      <c r="C233">
        <v>28</v>
      </c>
      <c r="D233">
        <v>4500</v>
      </c>
      <c r="E233" s="8"/>
      <c r="F233" s="8"/>
      <c r="G233" s="6" t="s">
        <v>222</v>
      </c>
      <c r="H233" s="1" t="s">
        <v>219</v>
      </c>
      <c r="I233" s="3" t="s">
        <v>221</v>
      </c>
      <c r="J233" s="8" t="s">
        <v>42</v>
      </c>
      <c r="K233" s="8">
        <v>4500</v>
      </c>
    </row>
    <row r="234" spans="1:11" ht="13.2" x14ac:dyDescent="0.25">
      <c r="A234" s="46" t="s">
        <v>219</v>
      </c>
      <c r="B234" s="46" t="s">
        <v>234</v>
      </c>
      <c r="C234">
        <v>29</v>
      </c>
      <c r="D234">
        <v>4460</v>
      </c>
      <c r="E234" s="8"/>
      <c r="F234" s="8"/>
      <c r="G234" s="6" t="s">
        <v>222</v>
      </c>
      <c r="H234" s="1" t="s">
        <v>219</v>
      </c>
      <c r="I234" s="3" t="s">
        <v>221</v>
      </c>
      <c r="J234" s="8" t="s">
        <v>43</v>
      </c>
      <c r="K234" s="8">
        <v>4460</v>
      </c>
    </row>
    <row r="235" spans="1:11" ht="13.2" x14ac:dyDescent="0.25">
      <c r="A235" s="46" t="s">
        <v>219</v>
      </c>
      <c r="B235" s="46" t="s">
        <v>234</v>
      </c>
      <c r="C235">
        <v>30</v>
      </c>
      <c r="D235">
        <v>4360</v>
      </c>
      <c r="E235" s="8"/>
      <c r="F235" s="8"/>
      <c r="G235" s="6" t="s">
        <v>222</v>
      </c>
      <c r="H235" s="1" t="s">
        <v>219</v>
      </c>
      <c r="I235" s="3" t="s">
        <v>221</v>
      </c>
      <c r="J235" s="8" t="s">
        <v>44</v>
      </c>
      <c r="K235" s="8">
        <v>4360</v>
      </c>
    </row>
    <row r="236" spans="1:11" ht="13.2" x14ac:dyDescent="0.25">
      <c r="A236" s="46" t="s">
        <v>219</v>
      </c>
      <c r="B236" s="46" t="s">
        <v>234</v>
      </c>
      <c r="C236">
        <v>31</v>
      </c>
      <c r="D236">
        <v>4265</v>
      </c>
      <c r="E236" s="8"/>
      <c r="F236" s="8"/>
      <c r="G236" s="6" t="s">
        <v>222</v>
      </c>
      <c r="H236" s="1" t="s">
        <v>219</v>
      </c>
      <c r="I236" s="3" t="s">
        <v>221</v>
      </c>
      <c r="J236" s="8" t="s">
        <v>45</v>
      </c>
      <c r="K236" s="8">
        <v>4265</v>
      </c>
    </row>
    <row r="237" spans="1:11" ht="13.2" x14ac:dyDescent="0.25">
      <c r="A237" s="46" t="s">
        <v>219</v>
      </c>
      <c r="B237" s="46" t="s">
        <v>234</v>
      </c>
      <c r="C237">
        <v>32</v>
      </c>
      <c r="D237">
        <v>4635</v>
      </c>
      <c r="E237" s="8"/>
      <c r="F237" s="8"/>
      <c r="G237" s="6" t="s">
        <v>222</v>
      </c>
      <c r="H237" s="1" t="s">
        <v>219</v>
      </c>
      <c r="I237" s="3" t="s">
        <v>221</v>
      </c>
      <c r="J237" s="8" t="s">
        <v>46</v>
      </c>
      <c r="K237" s="8">
        <v>4635</v>
      </c>
    </row>
    <row r="238" spans="1:11" ht="13.2" x14ac:dyDescent="0.25">
      <c r="A238" s="46" t="s">
        <v>219</v>
      </c>
      <c r="B238" s="46" t="s">
        <v>234</v>
      </c>
      <c r="C238">
        <v>33</v>
      </c>
      <c r="D238">
        <v>4240</v>
      </c>
      <c r="E238" s="8"/>
      <c r="F238" s="8"/>
      <c r="G238" s="6" t="s">
        <v>222</v>
      </c>
      <c r="H238" s="1" t="s">
        <v>219</v>
      </c>
      <c r="I238" s="3" t="s">
        <v>221</v>
      </c>
      <c r="J238" s="8" t="s">
        <v>47</v>
      </c>
      <c r="K238" s="8">
        <v>4240</v>
      </c>
    </row>
    <row r="239" spans="1:11" ht="13.2" x14ac:dyDescent="0.25">
      <c r="A239" s="46" t="s">
        <v>219</v>
      </c>
      <c r="B239" s="46" t="s">
        <v>234</v>
      </c>
      <c r="C239">
        <v>34</v>
      </c>
      <c r="D239">
        <v>4350</v>
      </c>
      <c r="E239" s="8"/>
      <c r="F239" s="8"/>
      <c r="G239" s="6" t="s">
        <v>222</v>
      </c>
      <c r="H239" s="1" t="s">
        <v>219</v>
      </c>
      <c r="I239" s="3" t="s">
        <v>221</v>
      </c>
      <c r="J239" s="8" t="s">
        <v>48</v>
      </c>
      <c r="K239" s="8">
        <v>4350</v>
      </c>
    </row>
    <row r="240" spans="1:11" ht="13.2" x14ac:dyDescent="0.25">
      <c r="A240" s="46" t="s">
        <v>219</v>
      </c>
      <c r="B240" s="46" t="s">
        <v>234</v>
      </c>
      <c r="C240">
        <v>35</v>
      </c>
      <c r="D240">
        <v>4220</v>
      </c>
      <c r="E240" s="8"/>
      <c r="F240" s="8"/>
      <c r="G240" s="6" t="s">
        <v>222</v>
      </c>
      <c r="H240" s="1" t="s">
        <v>219</v>
      </c>
      <c r="I240" s="3" t="s">
        <v>221</v>
      </c>
      <c r="J240" s="8" t="s">
        <v>49</v>
      </c>
      <c r="K240" s="8">
        <v>4220</v>
      </c>
    </row>
    <row r="241" spans="1:11" ht="13.2" x14ac:dyDescent="0.25">
      <c r="A241" s="46" t="s">
        <v>219</v>
      </c>
      <c r="B241" s="46" t="s">
        <v>234</v>
      </c>
      <c r="C241">
        <v>36</v>
      </c>
      <c r="D241">
        <v>4150</v>
      </c>
      <c r="E241" s="8"/>
      <c r="F241" s="8"/>
      <c r="G241" s="6" t="s">
        <v>222</v>
      </c>
      <c r="H241" s="1" t="s">
        <v>219</v>
      </c>
      <c r="I241" s="3" t="s">
        <v>221</v>
      </c>
      <c r="J241" s="8" t="s">
        <v>50</v>
      </c>
      <c r="K241" s="8">
        <v>4150</v>
      </c>
    </row>
    <row r="242" spans="1:11" ht="13.2" x14ac:dyDescent="0.25">
      <c r="A242" s="46" t="s">
        <v>219</v>
      </c>
      <c r="B242" s="46" t="s">
        <v>234</v>
      </c>
      <c r="C242">
        <v>37</v>
      </c>
      <c r="D242">
        <v>4520</v>
      </c>
      <c r="E242" s="8"/>
      <c r="F242" s="8"/>
      <c r="G242" s="6" t="s">
        <v>222</v>
      </c>
      <c r="H242" s="1" t="s">
        <v>219</v>
      </c>
      <c r="I242" s="3" t="s">
        <v>221</v>
      </c>
      <c r="J242" s="8" t="s">
        <v>51</v>
      </c>
      <c r="K242" s="8">
        <v>4520</v>
      </c>
    </row>
    <row r="243" spans="1:11" ht="13.2" x14ac:dyDescent="0.25">
      <c r="A243" s="46" t="s">
        <v>219</v>
      </c>
      <c r="B243" s="46" t="s">
        <v>234</v>
      </c>
      <c r="C243">
        <v>38</v>
      </c>
      <c r="D243">
        <v>4545</v>
      </c>
      <c r="E243" s="8"/>
      <c r="F243" s="8"/>
      <c r="G243" s="6" t="s">
        <v>222</v>
      </c>
      <c r="H243" s="1" t="s">
        <v>219</v>
      </c>
      <c r="I243" s="3" t="s">
        <v>221</v>
      </c>
      <c r="J243" s="8" t="s">
        <v>52</v>
      </c>
      <c r="K243" s="8">
        <v>4545</v>
      </c>
    </row>
    <row r="244" spans="1:11" ht="13.2" x14ac:dyDescent="0.25">
      <c r="A244" s="46" t="s">
        <v>219</v>
      </c>
      <c r="B244" s="46" t="s">
        <v>234</v>
      </c>
      <c r="C244">
        <v>39</v>
      </c>
      <c r="D244">
        <v>4650</v>
      </c>
      <c r="E244" s="8"/>
      <c r="F244" s="8"/>
      <c r="G244" s="6" t="s">
        <v>222</v>
      </c>
      <c r="H244" s="1" t="s">
        <v>219</v>
      </c>
      <c r="I244" s="3" t="s">
        <v>221</v>
      </c>
      <c r="J244" s="8" t="s">
        <v>53</v>
      </c>
      <c r="K244" s="8">
        <v>4650</v>
      </c>
    </row>
    <row r="245" spans="1:11" ht="13.2" x14ac:dyDescent="0.25">
      <c r="A245" s="46" t="s">
        <v>219</v>
      </c>
      <c r="B245" s="46" t="s">
        <v>234</v>
      </c>
      <c r="C245">
        <v>40</v>
      </c>
      <c r="D245">
        <v>4230</v>
      </c>
      <c r="E245" s="8"/>
      <c r="F245" s="8"/>
      <c r="G245" s="6" t="s">
        <v>222</v>
      </c>
      <c r="H245" s="1" t="s">
        <v>219</v>
      </c>
      <c r="I245" s="3" t="s">
        <v>221</v>
      </c>
      <c r="J245" s="8" t="s">
        <v>54</v>
      </c>
      <c r="K245" s="8">
        <v>4230</v>
      </c>
    </row>
    <row r="246" spans="1:11" ht="13.2" x14ac:dyDescent="0.25">
      <c r="A246" s="46" t="s">
        <v>219</v>
      </c>
      <c r="B246" s="46" t="s">
        <v>234</v>
      </c>
      <c r="C246">
        <v>41</v>
      </c>
      <c r="D246">
        <v>4320</v>
      </c>
      <c r="E246" s="8"/>
      <c r="F246" s="8"/>
      <c r="G246" s="6" t="s">
        <v>222</v>
      </c>
      <c r="H246" s="1" t="s">
        <v>219</v>
      </c>
      <c r="I246" s="3" t="s">
        <v>221</v>
      </c>
      <c r="J246" s="8" t="s">
        <v>55</v>
      </c>
      <c r="K246" s="8">
        <v>4320</v>
      </c>
    </row>
    <row r="247" spans="1:11" ht="13.2" x14ac:dyDescent="0.25">
      <c r="A247" s="46" t="s">
        <v>219</v>
      </c>
      <c r="B247" s="46" t="s">
        <v>234</v>
      </c>
      <c r="C247">
        <v>42</v>
      </c>
      <c r="D247">
        <v>4570</v>
      </c>
      <c r="E247" s="8"/>
      <c r="F247" s="8"/>
      <c r="G247" s="6" t="s">
        <v>222</v>
      </c>
      <c r="H247" s="1" t="s">
        <v>219</v>
      </c>
      <c r="I247" s="3" t="s">
        <v>221</v>
      </c>
      <c r="J247" s="8" t="s">
        <v>56</v>
      </c>
      <c r="K247" s="8">
        <v>4570</v>
      </c>
    </row>
    <row r="248" spans="1:11" ht="13.2" x14ac:dyDescent="0.25">
      <c r="A248" s="46" t="s">
        <v>219</v>
      </c>
      <c r="B248" s="46" t="s">
        <v>234</v>
      </c>
      <c r="C248">
        <v>43</v>
      </c>
      <c r="D248">
        <v>4380</v>
      </c>
      <c r="E248" s="8"/>
      <c r="F248" s="8"/>
      <c r="G248" s="6" t="s">
        <v>222</v>
      </c>
      <c r="H248" s="1" t="s">
        <v>219</v>
      </c>
      <c r="I248" s="3" t="s">
        <v>221</v>
      </c>
      <c r="J248" s="8" t="s">
        <v>57</v>
      </c>
      <c r="K248" s="8">
        <v>4380</v>
      </c>
    </row>
    <row r="249" spans="1:11" ht="13.2" x14ac:dyDescent="0.25">
      <c r="A249" s="46" t="s">
        <v>219</v>
      </c>
      <c r="B249" s="46" t="s">
        <v>234</v>
      </c>
      <c r="C249">
        <v>44</v>
      </c>
      <c r="D249">
        <v>4450</v>
      </c>
      <c r="E249" s="8"/>
      <c r="F249" s="8"/>
      <c r="G249" s="6" t="s">
        <v>222</v>
      </c>
      <c r="H249" s="1" t="s">
        <v>219</v>
      </c>
      <c r="I249" s="3" t="s">
        <v>221</v>
      </c>
      <c r="J249" s="8" t="s">
        <v>58</v>
      </c>
      <c r="K249" s="8">
        <v>4450</v>
      </c>
    </row>
    <row r="250" spans="1:11" ht="13.2" x14ac:dyDescent="0.25">
      <c r="A250" s="46" t="s">
        <v>219</v>
      </c>
      <c r="B250" s="46" t="s">
        <v>234</v>
      </c>
      <c r="C250">
        <v>45</v>
      </c>
      <c r="D250">
        <v>4340</v>
      </c>
      <c r="E250" s="8"/>
      <c r="F250" s="8"/>
      <c r="G250" s="6" t="s">
        <v>222</v>
      </c>
      <c r="H250" s="1" t="s">
        <v>219</v>
      </c>
      <c r="I250" s="3" t="s">
        <v>221</v>
      </c>
      <c r="J250" s="8" t="s">
        <v>59</v>
      </c>
      <c r="K250" s="8">
        <v>4340</v>
      </c>
    </row>
    <row r="251" spans="1:11" ht="13.2" x14ac:dyDescent="0.25">
      <c r="A251" s="46" t="s">
        <v>219</v>
      </c>
      <c r="B251" s="46" t="s">
        <v>234</v>
      </c>
      <c r="C251">
        <v>46</v>
      </c>
      <c r="D251">
        <v>4350</v>
      </c>
      <c r="E251" s="8"/>
      <c r="F251" s="8"/>
      <c r="G251" s="6" t="s">
        <v>222</v>
      </c>
      <c r="H251" s="1" t="s">
        <v>219</v>
      </c>
      <c r="I251" s="3" t="s">
        <v>221</v>
      </c>
      <c r="J251" s="8" t="s">
        <v>60</v>
      </c>
      <c r="K251" s="8">
        <v>4350</v>
      </c>
    </row>
    <row r="252" spans="1:11" ht="13.2" x14ac:dyDescent="0.25">
      <c r="A252" s="46" t="s">
        <v>219</v>
      </c>
      <c r="B252" s="46" t="s">
        <v>234</v>
      </c>
      <c r="C252">
        <v>47</v>
      </c>
      <c r="D252">
        <v>4660</v>
      </c>
      <c r="E252" s="8"/>
      <c r="F252" s="8"/>
      <c r="G252" s="6" t="s">
        <v>222</v>
      </c>
      <c r="H252" s="1" t="s">
        <v>219</v>
      </c>
      <c r="I252" s="3" t="s">
        <v>221</v>
      </c>
      <c r="J252" s="8" t="s">
        <v>61</v>
      </c>
      <c r="K252" s="8">
        <v>4660</v>
      </c>
    </row>
    <row r="253" spans="1:11" ht="13.2" x14ac:dyDescent="0.25">
      <c r="A253" s="46" t="s">
        <v>219</v>
      </c>
      <c r="B253" s="46" t="s">
        <v>234</v>
      </c>
      <c r="C253">
        <v>48</v>
      </c>
      <c r="D253">
        <v>4220</v>
      </c>
      <c r="E253" s="8"/>
      <c r="F253" s="8"/>
      <c r="G253" s="6" t="s">
        <v>222</v>
      </c>
      <c r="H253" s="1" t="s">
        <v>219</v>
      </c>
      <c r="I253" s="3" t="s">
        <v>221</v>
      </c>
      <c r="J253" s="8" t="s">
        <v>62</v>
      </c>
      <c r="K253" s="8">
        <v>4220</v>
      </c>
    </row>
    <row r="254" spans="1:11" ht="13.2" x14ac:dyDescent="0.25">
      <c r="A254" s="46" t="s">
        <v>219</v>
      </c>
      <c r="B254" s="46" t="s">
        <v>234</v>
      </c>
      <c r="C254">
        <v>49</v>
      </c>
      <c r="D254">
        <v>4310</v>
      </c>
      <c r="E254" s="8"/>
      <c r="F254" s="8"/>
      <c r="G254" s="6" t="s">
        <v>222</v>
      </c>
      <c r="H254" s="1" t="s">
        <v>219</v>
      </c>
      <c r="I254" s="3" t="s">
        <v>221</v>
      </c>
      <c r="J254" s="8" t="s">
        <v>63</v>
      </c>
      <c r="K254" s="8">
        <v>4310</v>
      </c>
    </row>
    <row r="255" spans="1:11" ht="13.2" x14ac:dyDescent="0.25">
      <c r="A255" s="46" t="s">
        <v>219</v>
      </c>
      <c r="B255" s="46" t="s">
        <v>234</v>
      </c>
      <c r="C255">
        <v>50</v>
      </c>
      <c r="D255">
        <v>4250</v>
      </c>
      <c r="E255" s="8"/>
      <c r="F255" s="8"/>
      <c r="G255" s="6" t="s">
        <v>222</v>
      </c>
      <c r="H255" s="1" t="s">
        <v>219</v>
      </c>
      <c r="I255" s="3" t="s">
        <v>221</v>
      </c>
      <c r="J255" s="8" t="s">
        <v>64</v>
      </c>
      <c r="K255" s="8">
        <v>4250</v>
      </c>
    </row>
    <row r="256" spans="1:11" ht="13.2" x14ac:dyDescent="0.25">
      <c r="A256" s="46" t="s">
        <v>219</v>
      </c>
      <c r="B256" s="46" t="s">
        <v>234</v>
      </c>
      <c r="C256">
        <v>51</v>
      </c>
      <c r="D256">
        <v>4315</v>
      </c>
      <c r="E256" s="8"/>
      <c r="F256" s="8"/>
      <c r="G256" s="6" t="s">
        <v>222</v>
      </c>
      <c r="H256" s="1" t="s">
        <v>219</v>
      </c>
      <c r="I256" s="3" t="s">
        <v>221</v>
      </c>
      <c r="J256" s="8" t="s">
        <v>65</v>
      </c>
      <c r="K256" s="8">
        <v>4315</v>
      </c>
    </row>
    <row r="257" spans="1:11" ht="13.2" x14ac:dyDescent="0.25">
      <c r="A257" s="46" t="s">
        <v>219</v>
      </c>
      <c r="B257" s="46" t="s">
        <v>234</v>
      </c>
      <c r="C257">
        <v>52</v>
      </c>
      <c r="D257">
        <v>4380</v>
      </c>
      <c r="E257" s="8"/>
      <c r="F257" s="8"/>
      <c r="G257" s="6" t="s">
        <v>222</v>
      </c>
      <c r="H257" s="1" t="s">
        <v>219</v>
      </c>
      <c r="I257" s="3" t="s">
        <v>221</v>
      </c>
      <c r="J257" s="8" t="s">
        <v>66</v>
      </c>
      <c r="K257" s="8">
        <v>4380</v>
      </c>
    </row>
    <row r="258" spans="1:11" ht="13.2" x14ac:dyDescent="0.25">
      <c r="A258" s="46" t="s">
        <v>219</v>
      </c>
      <c r="B258" s="46" t="s">
        <v>234</v>
      </c>
      <c r="C258">
        <v>53</v>
      </c>
      <c r="D258">
        <v>4490</v>
      </c>
      <c r="E258" s="8"/>
      <c r="F258" s="8"/>
      <c r="G258" s="6" t="s">
        <v>222</v>
      </c>
      <c r="H258" s="1" t="s">
        <v>219</v>
      </c>
      <c r="I258" s="3" t="s">
        <v>221</v>
      </c>
      <c r="J258" s="8" t="s">
        <v>67</v>
      </c>
      <c r="K258" s="8">
        <v>4490</v>
      </c>
    </row>
    <row r="259" spans="1:11" ht="13.2" x14ac:dyDescent="0.25">
      <c r="A259" s="46" t="s">
        <v>219</v>
      </c>
      <c r="B259" s="46" t="s">
        <v>234</v>
      </c>
      <c r="C259">
        <v>54</v>
      </c>
      <c r="D259">
        <v>4240</v>
      </c>
      <c r="E259" s="8"/>
      <c r="F259" s="8"/>
      <c r="G259" s="6" t="s">
        <v>222</v>
      </c>
      <c r="H259" s="1" t="s">
        <v>219</v>
      </c>
      <c r="I259" s="3" t="s">
        <v>221</v>
      </c>
      <c r="J259" s="8" t="s">
        <v>68</v>
      </c>
      <c r="K259" s="8">
        <v>4240</v>
      </c>
    </row>
    <row r="260" spans="1:11" ht="13.2" x14ac:dyDescent="0.25">
      <c r="A260" s="46" t="s">
        <v>219</v>
      </c>
      <c r="B260" s="46" t="s">
        <v>234</v>
      </c>
      <c r="C260">
        <v>55</v>
      </c>
      <c r="D260">
        <v>4350</v>
      </c>
      <c r="E260" s="8"/>
      <c r="F260" s="8"/>
      <c r="G260" s="6" t="s">
        <v>222</v>
      </c>
      <c r="H260" s="1" t="s">
        <v>219</v>
      </c>
      <c r="I260" s="3" t="s">
        <v>221</v>
      </c>
      <c r="J260" s="8" t="s">
        <v>69</v>
      </c>
      <c r="K260" s="8">
        <v>4350</v>
      </c>
    </row>
    <row r="261" spans="1:11" ht="13.2" x14ac:dyDescent="0.25">
      <c r="A261" s="46" t="s">
        <v>219</v>
      </c>
      <c r="B261" s="46" t="s">
        <v>234</v>
      </c>
      <c r="C261">
        <v>56</v>
      </c>
      <c r="D261">
        <v>4320</v>
      </c>
      <c r="E261" s="8"/>
      <c r="F261" s="8"/>
      <c r="G261" s="6" t="s">
        <v>222</v>
      </c>
      <c r="H261" s="1" t="s">
        <v>219</v>
      </c>
      <c r="I261" s="3" t="s">
        <v>221</v>
      </c>
      <c r="J261" s="8" t="s">
        <v>70</v>
      </c>
      <c r="K261" s="8">
        <v>4320</v>
      </c>
    </row>
    <row r="262" spans="1:11" ht="13.2" x14ac:dyDescent="0.25">
      <c r="A262" s="46" t="s">
        <v>219</v>
      </c>
      <c r="B262" s="46" t="s">
        <v>234</v>
      </c>
      <c r="C262">
        <v>57</v>
      </c>
      <c r="D262">
        <v>4475</v>
      </c>
      <c r="E262" s="8"/>
      <c r="F262" s="8"/>
      <c r="G262" s="6" t="s">
        <v>222</v>
      </c>
      <c r="H262" s="1" t="s">
        <v>219</v>
      </c>
      <c r="I262" s="3" t="s">
        <v>221</v>
      </c>
      <c r="J262" s="8" t="s">
        <v>71</v>
      </c>
      <c r="K262" s="8">
        <v>4475</v>
      </c>
    </row>
    <row r="263" spans="1:11" ht="13.2" x14ac:dyDescent="0.25">
      <c r="A263" s="46" t="s">
        <v>219</v>
      </c>
      <c r="B263" s="46" t="s">
        <v>234</v>
      </c>
      <c r="C263">
        <v>58</v>
      </c>
      <c r="D263">
        <v>4725</v>
      </c>
      <c r="E263" s="8"/>
      <c r="F263" s="8"/>
      <c r="G263" s="6" t="s">
        <v>222</v>
      </c>
      <c r="H263" s="1" t="s">
        <v>219</v>
      </c>
      <c r="I263" s="3" t="s">
        <v>221</v>
      </c>
      <c r="J263" s="8" t="s">
        <v>72</v>
      </c>
      <c r="K263" s="8">
        <v>4725</v>
      </c>
    </row>
    <row r="264" spans="1:11" ht="13.2" x14ac:dyDescent="0.25">
      <c r="A264" s="46" t="s">
        <v>219</v>
      </c>
      <c r="B264" s="46" t="s">
        <v>234</v>
      </c>
      <c r="C264">
        <v>59</v>
      </c>
      <c r="D264">
        <v>4540</v>
      </c>
      <c r="E264" s="8"/>
      <c r="F264" s="8"/>
      <c r="G264" s="6" t="s">
        <v>222</v>
      </c>
      <c r="H264" s="1" t="s">
        <v>219</v>
      </c>
      <c r="I264" s="3" t="s">
        <v>221</v>
      </c>
      <c r="J264" s="8" t="s">
        <v>73</v>
      </c>
      <c r="K264" s="8">
        <v>4540</v>
      </c>
    </row>
    <row r="265" spans="1:11" ht="13.2" x14ac:dyDescent="0.25">
      <c r="A265" s="46" t="s">
        <v>219</v>
      </c>
      <c r="B265" s="46" t="s">
        <v>234</v>
      </c>
      <c r="C265">
        <v>60</v>
      </c>
      <c r="D265">
        <v>4565</v>
      </c>
      <c r="E265" s="8"/>
      <c r="F265" s="8"/>
      <c r="G265" s="6" t="s">
        <v>222</v>
      </c>
      <c r="H265" s="1" t="s">
        <v>219</v>
      </c>
      <c r="I265" s="3" t="s">
        <v>221</v>
      </c>
      <c r="J265" s="8" t="s">
        <v>74</v>
      </c>
      <c r="K265" s="8">
        <v>4565</v>
      </c>
    </row>
    <row r="266" spans="1:11" ht="13.2" x14ac:dyDescent="0.25">
      <c r="A266" s="46" t="s">
        <v>219</v>
      </c>
      <c r="B266" s="46" t="s">
        <v>234</v>
      </c>
      <c r="C266">
        <v>61</v>
      </c>
      <c r="D266">
        <v>4210</v>
      </c>
      <c r="E266" s="8"/>
      <c r="F266" s="8"/>
      <c r="G266" s="6" t="s">
        <v>222</v>
      </c>
      <c r="H266" s="1" t="s">
        <v>219</v>
      </c>
      <c r="I266" s="3" t="s">
        <v>221</v>
      </c>
      <c r="J266" s="8" t="s">
        <v>75</v>
      </c>
      <c r="K266" s="8">
        <v>4210</v>
      </c>
    </row>
    <row r="267" spans="1:11" ht="13.2" x14ac:dyDescent="0.25">
      <c r="A267" s="46" t="s">
        <v>219</v>
      </c>
      <c r="B267" s="46" t="s">
        <v>234</v>
      </c>
      <c r="C267">
        <v>62</v>
      </c>
      <c r="D267">
        <v>4540</v>
      </c>
      <c r="E267" s="8"/>
      <c r="F267" s="8"/>
      <c r="G267" s="6" t="s">
        <v>222</v>
      </c>
      <c r="H267" s="1" t="s">
        <v>219</v>
      </c>
      <c r="I267" s="3" t="s">
        <v>221</v>
      </c>
      <c r="J267" s="8" t="s">
        <v>76</v>
      </c>
      <c r="K267" s="8">
        <v>4540</v>
      </c>
    </row>
    <row r="268" spans="1:11" ht="13.2" x14ac:dyDescent="0.25">
      <c r="A268" s="46" t="s">
        <v>219</v>
      </c>
      <c r="B268" s="46" t="s">
        <v>234</v>
      </c>
      <c r="C268">
        <v>63</v>
      </c>
      <c r="D268">
        <v>4600</v>
      </c>
      <c r="E268" s="8"/>
      <c r="F268" s="8"/>
      <c r="G268" s="6" t="s">
        <v>222</v>
      </c>
      <c r="H268" s="1" t="s">
        <v>219</v>
      </c>
      <c r="I268" s="3" t="s">
        <v>221</v>
      </c>
      <c r="J268" s="8" t="s">
        <v>77</v>
      </c>
      <c r="K268" s="8">
        <v>4600</v>
      </c>
    </row>
    <row r="269" spans="1:11" ht="13.2" x14ac:dyDescent="0.25">
      <c r="A269" s="46" t="s">
        <v>235</v>
      </c>
      <c r="B269" s="46" t="s">
        <v>235</v>
      </c>
      <c r="E269" s="8"/>
      <c r="F269" s="8"/>
      <c r="G269" s="6" t="s">
        <v>222</v>
      </c>
      <c r="H269" s="1" t="s">
        <v>219</v>
      </c>
      <c r="I269" s="3" t="s">
        <v>221</v>
      </c>
      <c r="J269" s="8" t="s">
        <v>78</v>
      </c>
      <c r="K269" s="8">
        <v>4850</v>
      </c>
    </row>
    <row r="270" spans="1:11" ht="13.2" x14ac:dyDescent="0.25">
      <c r="A270" s="47" t="s">
        <v>219</v>
      </c>
      <c r="B270" s="47" t="s">
        <v>234</v>
      </c>
      <c r="C270">
        <v>64</v>
      </c>
      <c r="D270">
        <v>4850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C6C090-C4F1-460F-8127-8802022CE5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Fig 10.7. A predictable process</vt:lpstr>
      <vt:lpstr>Fig 10.8. An unpredictable</vt:lpstr>
      <vt:lpstr>Fig 10.9. Initial XmR chart</vt:lpstr>
      <vt:lpstr>Fig 10.10. XmR 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2026-05-07T16:29:07Z</dcterms:modified>
</cp:coreProperties>
</file>