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5.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6843D686-D079-4AB3-BE58-8838E8676AF6}" xr6:coauthVersionLast="47" xr6:coauthVersionMax="47" xr10:uidLastSave="{00000000-0000-0000-0000-000000000000}"/>
  <bookViews>
    <workbookView xWindow="5820" yWindow="-14565" windowWidth="21600" windowHeight="11235" xr2:uid="{00000000-000D-0000-FFFF-FFFF00000000}"/>
  </bookViews>
  <sheets>
    <sheet name="Overview" sheetId="1" r:id="rId1"/>
    <sheet name="Fig. F.1. Dublin Period 1" sheetId="2" r:id="rId2"/>
    <sheet name="Fig. F.2. Dublin Period 2" sheetId="8" r:id="rId3"/>
    <sheet name="Fig. F.3. Vienna Period 1" sheetId="9" r:id="rId4"/>
    <sheet name="Fig. F.4. Vienna Period 2" sheetId="10" r:id="rId5"/>
  </sheets>
  <definedNames>
    <definedName name="ExternalData_1" localSheetId="1" hidden="1">'Fig. F.1. Dublin Period 1'!$A$1:$D$11</definedName>
    <definedName name="ExternalData_1" localSheetId="2" hidden="1">'Fig. F.2. Dublin Period 2'!$A$1:$D$11</definedName>
    <definedName name="ExternalData_1" localSheetId="3" hidden="1">'Fig. F.3. Vienna Period 1'!$A$1:$D$11</definedName>
    <definedName name="ExternalData_1" localSheetId="4" hidden="1">'Fig. F.4. Vienna Period 2'!$A$1:$D$11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0" l="1"/>
  <c r="E3" i="10"/>
  <c r="E4" i="10"/>
  <c r="E5" i="10"/>
  <c r="E6" i="10"/>
  <c r="E7" i="10"/>
  <c r="E8" i="10"/>
  <c r="E9" i="10"/>
  <c r="E10" i="10"/>
  <c r="E11" i="10"/>
  <c r="H3" i="10"/>
  <c r="H4" i="10"/>
  <c r="H5" i="10"/>
  <c r="H6" i="10"/>
  <c r="H7" i="10"/>
  <c r="H8" i="10"/>
  <c r="H9" i="10"/>
  <c r="H10" i="10"/>
  <c r="H11" i="10"/>
  <c r="E2" i="9"/>
  <c r="E3" i="9"/>
  <c r="E4" i="9"/>
  <c r="E5" i="9"/>
  <c r="E6" i="9"/>
  <c r="E7" i="9"/>
  <c r="E8" i="9"/>
  <c r="E9" i="9"/>
  <c r="E10" i="9"/>
  <c r="E11" i="9"/>
  <c r="H3" i="9"/>
  <c r="H4" i="9"/>
  <c r="H5" i="9"/>
  <c r="H6" i="9"/>
  <c r="H7" i="9"/>
  <c r="H8" i="9"/>
  <c r="H9" i="9"/>
  <c r="H10" i="9"/>
  <c r="H11" i="9"/>
  <c r="I2" i="9"/>
  <c r="E2" i="2"/>
  <c r="E3" i="2"/>
  <c r="E4" i="2"/>
  <c r="E5" i="2"/>
  <c r="E6" i="2"/>
  <c r="E7" i="2"/>
  <c r="E8" i="2"/>
  <c r="E9" i="2"/>
  <c r="E10" i="2"/>
  <c r="E11" i="2"/>
  <c r="H3" i="2"/>
  <c r="H4" i="2"/>
  <c r="H5" i="2"/>
  <c r="H6" i="2"/>
  <c r="H7" i="2"/>
  <c r="H8" i="2"/>
  <c r="H9" i="2"/>
  <c r="H10" i="2"/>
  <c r="H11" i="2"/>
  <c r="E2" i="8"/>
  <c r="E3" i="8"/>
  <c r="E4" i="8"/>
  <c r="E5" i="8"/>
  <c r="E6" i="8"/>
  <c r="E7" i="8"/>
  <c r="E8" i="8"/>
  <c r="E9" i="8"/>
  <c r="E10" i="8"/>
  <c r="E11" i="8"/>
  <c r="H3" i="8"/>
  <c r="H4" i="8"/>
  <c r="H5" i="8"/>
  <c r="H6" i="8"/>
  <c r="H7" i="8"/>
  <c r="H8" i="8"/>
  <c r="H9" i="8"/>
  <c r="H10" i="8"/>
  <c r="H11" i="8"/>
  <c r="I6" i="10" l="1"/>
  <c r="G6" i="10" s="1"/>
  <c r="I7" i="10"/>
  <c r="F7" i="10" s="1"/>
  <c r="I8" i="10"/>
  <c r="J8" i="10" s="1"/>
  <c r="I9" i="10"/>
  <c r="J9" i="10" s="1"/>
  <c r="I10" i="10"/>
  <c r="I11" i="10"/>
  <c r="G11" i="10" s="1"/>
  <c r="G7" i="10"/>
  <c r="J7" i="10"/>
  <c r="I2" i="10"/>
  <c r="I5" i="10"/>
  <c r="I4" i="10"/>
  <c r="I3" i="10"/>
  <c r="J6" i="10"/>
  <c r="F6" i="10"/>
  <c r="F8" i="10"/>
  <c r="G8" i="10"/>
  <c r="F9" i="10"/>
  <c r="G9" i="10"/>
  <c r="F10" i="10"/>
  <c r="G10" i="10"/>
  <c r="J10" i="10"/>
  <c r="J11" i="10"/>
  <c r="F11" i="10"/>
  <c r="I3" i="9"/>
  <c r="I4" i="9"/>
  <c r="I5" i="9"/>
  <c r="J5" i="9" s="1"/>
  <c r="I6" i="9"/>
  <c r="I7" i="9"/>
  <c r="F7" i="9" s="1"/>
  <c r="I8" i="9"/>
  <c r="I9" i="9"/>
  <c r="I10" i="9"/>
  <c r="I11" i="9"/>
  <c r="F5" i="9"/>
  <c r="G5" i="9"/>
  <c r="J2" i="9"/>
  <c r="F2" i="9"/>
  <c r="G2" i="9"/>
  <c r="J3" i="9"/>
  <c r="G3" i="9"/>
  <c r="F3" i="9"/>
  <c r="J4" i="9"/>
  <c r="F4" i="9"/>
  <c r="G4" i="9"/>
  <c r="J6" i="9"/>
  <c r="F6" i="9"/>
  <c r="G6" i="9"/>
  <c r="J7" i="9"/>
  <c r="G7" i="9"/>
  <c r="J8" i="9"/>
  <c r="F8" i="9"/>
  <c r="G8" i="9"/>
  <c r="J9" i="9"/>
  <c r="F9" i="9"/>
  <c r="G9" i="9"/>
  <c r="J10" i="9"/>
  <c r="G10" i="9"/>
  <c r="F10" i="9"/>
  <c r="J11" i="9"/>
  <c r="F11" i="9"/>
  <c r="G11" i="9"/>
  <c r="I5" i="2"/>
  <c r="I2" i="2"/>
  <c r="J2" i="2" s="1"/>
  <c r="I3" i="2"/>
  <c r="J3" i="2" s="1"/>
  <c r="I4" i="2"/>
  <c r="I6" i="2"/>
  <c r="I7" i="2"/>
  <c r="I8" i="2"/>
  <c r="I9" i="2"/>
  <c r="I10" i="2"/>
  <c r="I11" i="2"/>
  <c r="G3" i="2"/>
  <c r="F3" i="2"/>
  <c r="J5" i="2"/>
  <c r="F5" i="2"/>
  <c r="F2" i="2"/>
  <c r="G2" i="2"/>
  <c r="G5" i="2"/>
  <c r="I4" i="8"/>
  <c r="I5" i="8"/>
  <c r="I6" i="8"/>
  <c r="I7" i="8"/>
  <c r="I8" i="8"/>
  <c r="G8" i="8" s="1"/>
  <c r="I9" i="8"/>
  <c r="I10" i="8"/>
  <c r="I11" i="8"/>
  <c r="I3" i="8"/>
  <c r="J3" i="8" s="1"/>
  <c r="I2" i="8"/>
  <c r="F3" i="8"/>
  <c r="G3" i="8"/>
  <c r="G4" i="8"/>
  <c r="J4" i="8"/>
  <c r="F4" i="8"/>
  <c r="J5" i="8"/>
  <c r="G5" i="8"/>
  <c r="F5" i="8"/>
  <c r="F6" i="8"/>
  <c r="J6" i="8"/>
  <c r="G6" i="8"/>
  <c r="G7" i="8"/>
  <c r="J7" i="8"/>
  <c r="F7" i="8"/>
  <c r="J8" i="8"/>
  <c r="F8" i="8"/>
  <c r="J2" i="10" l="1"/>
  <c r="G2" i="10"/>
  <c r="F2" i="10"/>
  <c r="F5" i="10"/>
  <c r="J5" i="10"/>
  <c r="G5" i="10"/>
  <c r="F4" i="10"/>
  <c r="J4" i="10"/>
  <c r="G4" i="10"/>
  <c r="J3" i="10"/>
  <c r="G3" i="10"/>
  <c r="F3" i="10"/>
  <c r="G4" i="2"/>
  <c r="J4" i="2"/>
  <c r="F4" i="2"/>
  <c r="G6" i="2"/>
  <c r="J6" i="2"/>
  <c r="F6" i="2"/>
  <c r="G7" i="2"/>
  <c r="J7" i="2"/>
  <c r="F7" i="2"/>
  <c r="G8" i="2"/>
  <c r="J8" i="2"/>
  <c r="F8" i="2"/>
  <c r="G9" i="2"/>
  <c r="J9" i="2"/>
  <c r="F9" i="2"/>
  <c r="G10" i="2"/>
  <c r="J10" i="2"/>
  <c r="F10" i="2"/>
  <c r="G11" i="2"/>
  <c r="J11" i="2"/>
  <c r="F11" i="2"/>
  <c r="F9" i="8"/>
  <c r="J9" i="8"/>
  <c r="G9" i="8"/>
  <c r="J10" i="8"/>
  <c r="G10" i="8"/>
  <c r="F10" i="8"/>
  <c r="J11" i="8"/>
  <c r="F11" i="8"/>
  <c r="G11" i="8"/>
  <c r="J2" i="8"/>
  <c r="F2" i="8"/>
  <c r="G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2EE186-C219-4423-BABD-75961C2CCC70}" keepAlive="1" name="Query - temporal-comparison-death-to-birth-rates" description="Connection to the 'temporal-comparison-death-to-birth-rates' query in the workbook." type="5" refreshedVersion="8" background="1" saveData="1">
    <dbPr connection="Provider=Microsoft.Mashup.OleDb.1;Data Source=$Workbook$;Location=temporal-comparison-death-to-birth-rates;Extended Properties=&quot;&quot;" command="SELECT * FROM [temporal-comparison-death-to-birth-rates]"/>
  </connection>
  <connection id="2" xr16:uid="{6671CDD4-B70F-484E-B890-5577F30EC7FC}" keepAlive="1" name="Query - temporal-comparison-death-to-birth-rates (2)" description="Connection to the 'temporal-comparison-death-to-birth-rates (2)' query in the workbook." type="5" refreshedVersion="8" background="1" saveData="1">
    <dbPr connection="Provider=Microsoft.Mashup.OleDb.1;Data Source=$Workbook$;Location=&quot;temporal-comparison-death-to-birth-rates (2)&quot;;Extended Properties=&quot;&quot;" command="SELECT * FROM [temporal-comparison-death-to-birth-rates (2)]"/>
  </connection>
  <connection id="3" xr16:uid="{CFC79D45-54DE-40D0-8EAA-E3EC5ADDFED8}" keepAlive="1" name="Query - temporal-comparison-death-to-birth-rates (3)" description="Connection to the 'temporal-comparison-death-to-birth-rates (3)' query in the workbook." type="5" refreshedVersion="8" background="1" saveData="1">
    <dbPr connection="Provider=Microsoft.Mashup.OleDb.1;Data Source=$Workbook$;Location=&quot;temporal-comparison-death-to-birth-rates (3)&quot;;Extended Properties=&quot;&quot;" command="SELECT * FROM [temporal-comparison-death-to-birth-rates (3)]"/>
  </connection>
  <connection id="4" xr16:uid="{AAA1C647-9B0B-4417-ABB6-4C22BD345B49}" keepAlive="1" name="Query - temporal-comparison-death-to-birth-rates (4)" description="Connection to the 'temporal-comparison-death-to-birth-rates (4)' query in the workbook." type="5" refreshedVersion="8" background="1" saveData="1">
    <dbPr connection="Provider=Microsoft.Mashup.OleDb.1;Data Source=$Workbook$;Location=&quot;temporal-comparison-death-to-birth-rates (4)&quot;;Extended Properties=&quot;&quot;" command="SELECT * FROM [temporal-comparison-death-to-birth-rates (4)]"/>
  </connection>
</connections>
</file>

<file path=xl/sharedStrings.xml><?xml version="1.0" encoding="utf-8"?>
<sst xmlns="http://schemas.openxmlformats.org/spreadsheetml/2006/main" count="172" uniqueCount="46">
  <si>
    <t>Appendix F. Temporal Comparison Calculations</t>
  </si>
  <si>
    <t>Hospital</t>
  </si>
  <si>
    <t>Stage</t>
  </si>
  <si>
    <t>Year</t>
  </si>
  <si>
    <t>Rate</t>
  </si>
  <si>
    <t>Mean</t>
  </si>
  <si>
    <t>UPL</t>
  </si>
  <si>
    <t>LPL</t>
  </si>
  <si>
    <t>mR</t>
  </si>
  <si>
    <t>Ave. mR</t>
  </si>
  <si>
    <t>URL</t>
  </si>
  <si>
    <t>Dublin Maternity Hospital</t>
  </si>
  <si>
    <t>1784</t>
  </si>
  <si>
    <t>1785</t>
  </si>
  <si>
    <t>1786</t>
  </si>
  <si>
    <t>1787</t>
  </si>
  <si>
    <t>1788</t>
  </si>
  <si>
    <t>1789</t>
  </si>
  <si>
    <t>1790</t>
  </si>
  <si>
    <t>1791</t>
  </si>
  <si>
    <t>1792</t>
  </si>
  <si>
    <t>1793</t>
  </si>
  <si>
    <t>1831</t>
  </si>
  <si>
    <t>1832</t>
  </si>
  <si>
    <t>1833</t>
  </si>
  <si>
    <t>1834</t>
  </si>
  <si>
    <t>1835</t>
  </si>
  <si>
    <t>1836</t>
  </si>
  <si>
    <t>1837</t>
  </si>
  <si>
    <t>1838</t>
  </si>
  <si>
    <t>1839</t>
  </si>
  <si>
    <t>1840</t>
  </si>
  <si>
    <t>Vienna General Hospital</t>
  </si>
  <si>
    <t>Link to book:</t>
  </si>
  <si>
    <t>https://www.brokenquality.com/book</t>
  </si>
  <si>
    <t>Link to GitHub:</t>
  </si>
  <si>
    <t>https://github.com/jimlehner/virus-of-variation-book</t>
  </si>
  <si>
    <t>Contact:</t>
  </si>
  <si>
    <t>James.Lehner@gmail.com</t>
  </si>
  <si>
    <t>QualityIsBroken@gmail.com</t>
  </si>
  <si>
    <t>Raw GitHub Data URLs:</t>
  </si>
  <si>
    <r>
      <rPr>
        <sz val="12"/>
        <color rgb="FF000000"/>
        <rFont val="Montserrat"/>
      </rPr>
      <t>This file serves as a resource for building the figures in Appendix F of in The Virus of Variation using Mircosoft Excel or Google Sheets.
The figures included here are:
Figure F.1. XmR chart of death-to-birth rates at Dublin Maternity, 1784 to 1793
Figure F.2. XmR chart of death-to-birth rates at Dublin Maternity, 1831 to 1840
Figure F.3. XmR chart of death-to-birth rates at Vienna General, 1784 to 1793
Figure F.4. XmR chart of death-to-birth rates at Vienna General, 1831 to 1840
Each figure has its own tab. The data used in the figures can be found in the Data tab.
For additional details, see Appendix F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in Appendix F,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</si>
  <si>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Fig F.1, F.2, F.3, F.4</t>
  </si>
  <si>
    <t>https://raw.githubusercontent.com/jimlehner/virus-of-variation-book/refs/heads/main/data/temporal-comparison-death-to-birth-rates.csv</t>
  </si>
  <si>
    <t>Period 1</t>
  </si>
  <si>
    <t>Period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</si>
</sst>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0" x14ac:knownFonts="1">
    <font>
      <sz val="10"/>
      <color rgb="FF000000"/>
      <name val="Arial"/>
      <scheme val="minor"/>
    </font>
    <font>
      <sz val="10"/>
      <color theme="1"/>
      <name val="Arial"/>
      <family val="2"/>
    </font>
    <font>
      <b/>
      <sz val="16"/>
      <color rgb="FFD72323"/>
      <name val="Montserrat"/>
    </font>
    <font>
      <sz val="10"/>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5" fillId="0" borderId="0" applyNumberFormat="0" applyFill="0" applyBorder="0" applyAlignment="0" applyProtection="0"/>
    <xf numFmtId="0" fontId="6" fillId="0" borderId="0"/>
  </cellStyleXfs>
  <cellXfs count="40">
    <xf numFmtId="0" fontId="0" fillId="0" borderId="0" xfId="0"/>
    <xf numFmtId="0" fontId="1" fillId="0" borderId="0" xfId="0" applyFont="1"/>
    <xf numFmtId="0" fontId="1" fillId="0" borderId="0" xfId="0" applyFont="1" applyAlignment="1">
      <alignment horizontal="left"/>
    </xf>
    <xf numFmtId="0" fontId="4" fillId="0" borderId="0" xfId="0" applyFont="1"/>
    <xf numFmtId="0" fontId="7" fillId="0" borderId="6" xfId="0" applyFont="1" applyBorder="1" applyAlignment="1">
      <alignment wrapText="1"/>
    </xf>
    <xf numFmtId="0" fontId="0" fillId="0" borderId="0" xfId="0" applyAlignment="1">
      <alignment horizontal="left"/>
    </xf>
    <xf numFmtId="0" fontId="6" fillId="0" borderId="0" xfId="0" applyFont="1" applyAlignment="1">
      <alignment horizontal="left"/>
    </xf>
    <xf numFmtId="0" fontId="0" fillId="0" borderId="0" xfId="0" applyAlignment="1">
      <alignment horizontal="right"/>
    </xf>
    <xf numFmtId="164" fontId="0" fillId="0" borderId="0" xfId="0" applyNumberFormat="1"/>
    <xf numFmtId="49" fontId="0" fillId="0" borderId="0" xfId="0" applyNumberFormat="1" applyAlignment="1">
      <alignment horizontal="left"/>
    </xf>
    <xf numFmtId="49" fontId="0" fillId="0" borderId="0" xfId="0" applyNumberFormat="1"/>
    <xf numFmtId="0" fontId="6" fillId="0" borderId="7" xfId="0" applyFont="1" applyBorder="1" applyAlignment="1">
      <alignment horizontal="left" vertical="center"/>
    </xf>
    <xf numFmtId="0" fontId="6" fillId="0" borderId="8" xfId="0" applyFont="1" applyBorder="1" applyAlignment="1">
      <alignment horizontal="left" vertical="center"/>
    </xf>
    <xf numFmtId="0" fontId="5" fillId="0" borderId="4" xfId="1" applyBorder="1" applyAlignment="1">
      <alignment horizontal="center"/>
    </xf>
    <xf numFmtId="0" fontId="5" fillId="0" borderId="0" xfId="1" applyBorder="1" applyAlignment="1">
      <alignment horizontal="center"/>
    </xf>
    <xf numFmtId="0" fontId="5" fillId="0" borderId="5" xfId="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5" fillId="0" borderId="6" xfId="1" applyBorder="1" applyAlignment="1">
      <alignment horizontal="center"/>
    </xf>
    <xf numFmtId="0" fontId="5" fillId="0" borderId="7" xfId="1" applyBorder="1" applyAlignment="1">
      <alignment horizontal="center"/>
    </xf>
    <xf numFmtId="0" fontId="5" fillId="0" borderId="8" xfId="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2" fillId="0" borderId="9" xfId="0" applyFont="1" applyBorder="1" applyAlignment="1">
      <alignment horizontal="center"/>
    </xf>
    <xf numFmtId="0" fontId="3" fillId="0" borderId="10" xfId="0" applyFont="1" applyBorder="1"/>
    <xf numFmtId="0" fontId="3" fillId="0" borderId="11" xfId="0" applyFont="1" applyBorder="1"/>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7" fillId="0" borderId="1" xfId="0" applyFont="1" applyBorder="1" applyAlignment="1">
      <alignment horizontal="center" wrapText="1"/>
    </xf>
    <xf numFmtId="0" fontId="7" fillId="0" borderId="2" xfId="0" applyFont="1" applyBorder="1" applyAlignment="1">
      <alignment horizontal="center" wrapText="1"/>
    </xf>
    <xf numFmtId="0" fontId="7" fillId="0" borderId="3" xfId="0" applyFont="1" applyBorder="1" applyAlignment="1">
      <alignment horizontal="center" wrapText="1"/>
    </xf>
  </cellXfs>
  <cellStyles count="3">
    <cellStyle name="Hyperlink" xfId="1" builtinId="8"/>
    <cellStyle name="Normal" xfId="0" builtinId="0"/>
    <cellStyle name="Normal 2" xfId="2" xr:uid="{E7D80D75-0387-4580-B26E-CEED434FBC27}"/>
  </cellStyles>
  <dxfs count="4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30" formatCode="@"/>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C32B6212-273B-4BDD-BE1B-54B3B6D80E00}">
      <tableStyleElement type="wholeTable" dxfId="44"/>
      <tableStyleElement type="headerRow" dxfId="43"/>
      <tableStyleElement type="firstRowStripe" dxfId="42"/>
      <tableStyleElement type="secondRowStripe" dxfId="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F.1. Dublin Period 1'!$D$1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F.1. Dublin Period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F.1. Dublin Period 1'!$D$2:$D$11</c:f>
              <c:numCache>
                <c:formatCode>General</c:formatCode>
                <c:ptCount val="10"/>
                <c:pt idx="0">
                  <c:v>0.9</c:v>
                </c:pt>
                <c:pt idx="1">
                  <c:v>0.6</c:v>
                </c:pt>
                <c:pt idx="2">
                  <c:v>0.6</c:v>
                </c:pt>
                <c:pt idx="3">
                  <c:v>0.7</c:v>
                </c:pt>
                <c:pt idx="4">
                  <c:v>1.6</c:v>
                </c:pt>
                <c:pt idx="5">
                  <c:v>1.7</c:v>
                </c:pt>
                <c:pt idx="6">
                  <c:v>0.8</c:v>
                </c:pt>
                <c:pt idx="7">
                  <c:v>1.6</c:v>
                </c:pt>
                <c:pt idx="8">
                  <c:v>0.6</c:v>
                </c:pt>
                <c:pt idx="9">
                  <c:v>1.1000000000000001</c:v>
                </c:pt>
              </c:numCache>
            </c:numRef>
          </c:val>
          <c:smooth val="0"/>
          <c:extLst>
            <c:ext xmlns:c16="http://schemas.microsoft.com/office/drawing/2014/chart" uri="{C3380CC4-5D6E-409C-BE32-E72D297353CC}">
              <c16:uniqueId val="{00000000-329B-41D6-8340-43856FD2F6C5}"/>
            </c:ext>
          </c:extLst>
        </c:ser>
        <c:ser>
          <c:idx val="1"/>
          <c:order val="1"/>
          <c:tx>
            <c:strRef>
              <c:f>'Fig. F.1. Dublin Period 1'!$E$1</c:f>
              <c:strCache>
                <c:ptCount val="1"/>
                <c:pt idx="0">
                  <c:v>Mean</c:v>
                </c:pt>
              </c:strCache>
            </c:strRef>
          </c:tx>
          <c:spPr>
            <a:ln w="28575" cap="rnd">
              <a:solidFill>
                <a:schemeClr val="tx1"/>
              </a:solidFill>
              <a:round/>
            </a:ln>
            <a:effectLst/>
          </c:spPr>
          <c:marker>
            <c:symbol val="none"/>
          </c:marker>
          <c:cat>
            <c:strRef>
              <c:f>'Fig. F.1. Dublin Period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F.1. Dublin Period 1'!$E$2:$E$11</c:f>
              <c:numCache>
                <c:formatCode>General</c:formatCode>
                <c:ptCount val="10"/>
                <c:pt idx="0">
                  <c:v>1.02</c:v>
                </c:pt>
                <c:pt idx="1">
                  <c:v>1.02</c:v>
                </c:pt>
                <c:pt idx="2">
                  <c:v>1.02</c:v>
                </c:pt>
                <c:pt idx="3">
                  <c:v>1.02</c:v>
                </c:pt>
                <c:pt idx="4">
                  <c:v>1.02</c:v>
                </c:pt>
                <c:pt idx="5">
                  <c:v>1.02</c:v>
                </c:pt>
                <c:pt idx="6">
                  <c:v>1.02</c:v>
                </c:pt>
                <c:pt idx="7">
                  <c:v>1.02</c:v>
                </c:pt>
                <c:pt idx="8">
                  <c:v>1.02</c:v>
                </c:pt>
                <c:pt idx="9">
                  <c:v>1.02</c:v>
                </c:pt>
              </c:numCache>
            </c:numRef>
          </c:val>
          <c:smooth val="0"/>
          <c:extLst>
            <c:ext xmlns:c16="http://schemas.microsoft.com/office/drawing/2014/chart" uri="{C3380CC4-5D6E-409C-BE32-E72D297353CC}">
              <c16:uniqueId val="{00000001-329B-41D6-8340-43856FD2F6C5}"/>
            </c:ext>
          </c:extLst>
        </c:ser>
        <c:ser>
          <c:idx val="2"/>
          <c:order val="2"/>
          <c:tx>
            <c:strRef>
              <c:f>'Fig. F.1. Dublin Period 1'!$F$1</c:f>
              <c:strCache>
                <c:ptCount val="1"/>
                <c:pt idx="0">
                  <c:v>UPL</c:v>
                </c:pt>
              </c:strCache>
            </c:strRef>
          </c:tx>
          <c:spPr>
            <a:ln w="28575" cap="rnd">
              <a:solidFill>
                <a:srgbClr val="D72323"/>
              </a:solidFill>
              <a:prstDash val="dash"/>
              <a:round/>
            </a:ln>
            <a:effectLst/>
          </c:spPr>
          <c:marker>
            <c:symbol val="none"/>
          </c:marker>
          <c:cat>
            <c:strRef>
              <c:f>'Fig. F.1. Dublin Period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F.1. Dublin Period 1'!$F$2:$F$11</c:f>
              <c:numCache>
                <c:formatCode>General</c:formatCode>
                <c:ptCount val="10"/>
                <c:pt idx="0">
                  <c:v>2.38</c:v>
                </c:pt>
                <c:pt idx="1">
                  <c:v>2.38</c:v>
                </c:pt>
                <c:pt idx="2">
                  <c:v>2.38</c:v>
                </c:pt>
                <c:pt idx="3">
                  <c:v>2.38</c:v>
                </c:pt>
                <c:pt idx="4">
                  <c:v>2.38</c:v>
                </c:pt>
                <c:pt idx="5">
                  <c:v>2.38</c:v>
                </c:pt>
                <c:pt idx="6">
                  <c:v>2.38</c:v>
                </c:pt>
                <c:pt idx="7">
                  <c:v>2.38</c:v>
                </c:pt>
                <c:pt idx="8">
                  <c:v>2.38</c:v>
                </c:pt>
                <c:pt idx="9">
                  <c:v>2.38</c:v>
                </c:pt>
              </c:numCache>
            </c:numRef>
          </c:val>
          <c:smooth val="0"/>
          <c:extLst>
            <c:ext xmlns:c16="http://schemas.microsoft.com/office/drawing/2014/chart" uri="{C3380CC4-5D6E-409C-BE32-E72D297353CC}">
              <c16:uniqueId val="{00000002-329B-41D6-8340-43856FD2F6C5}"/>
            </c:ext>
          </c:extLst>
        </c:ser>
        <c:ser>
          <c:idx val="3"/>
          <c:order val="3"/>
          <c:tx>
            <c:strRef>
              <c:f>'Fig. F.1. Dublin Period 1'!$G$1</c:f>
              <c:strCache>
                <c:ptCount val="1"/>
                <c:pt idx="0">
                  <c:v>LPL</c:v>
                </c:pt>
              </c:strCache>
            </c:strRef>
          </c:tx>
          <c:spPr>
            <a:ln w="28575" cap="rnd">
              <a:solidFill>
                <a:srgbClr val="D72323"/>
              </a:solidFill>
              <a:prstDash val="dash"/>
              <a:round/>
            </a:ln>
            <a:effectLst/>
          </c:spPr>
          <c:marker>
            <c:symbol val="none"/>
          </c:marker>
          <c:cat>
            <c:strRef>
              <c:f>'Fig. F.1. Dublin Period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F.1. Dublin Period 1'!$G$2:$G$11</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F.1. Dublin Period 1'!$H$1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F.1. Dublin Period 1'!$H$2:$H$11</c:f>
              <c:numCache>
                <c:formatCode>General</c:formatCode>
                <c:ptCount val="10"/>
                <c:pt idx="1">
                  <c:v>0.30000000000000004</c:v>
                </c:pt>
                <c:pt idx="2">
                  <c:v>0</c:v>
                </c:pt>
                <c:pt idx="3">
                  <c:v>9.9999999999999978E-2</c:v>
                </c:pt>
                <c:pt idx="4">
                  <c:v>0.90000000000000013</c:v>
                </c:pt>
                <c:pt idx="5">
                  <c:v>9.9999999999999867E-2</c:v>
                </c:pt>
                <c:pt idx="6">
                  <c:v>0.89999999999999991</c:v>
                </c:pt>
                <c:pt idx="7">
                  <c:v>0.8</c:v>
                </c:pt>
                <c:pt idx="8">
                  <c:v>1</c:v>
                </c:pt>
                <c:pt idx="9">
                  <c:v>0.50000000000000011</c:v>
                </c:pt>
              </c:numCache>
            </c:numRef>
          </c:val>
          <c:smooth val="0"/>
          <c:extLst>
            <c:ext xmlns:c16="http://schemas.microsoft.com/office/drawing/2014/chart" uri="{C3380CC4-5D6E-409C-BE32-E72D297353CC}">
              <c16:uniqueId val="{00000000-5D18-47FA-93F7-2AB89D044415}"/>
            </c:ext>
          </c:extLst>
        </c:ser>
        <c:ser>
          <c:idx val="1"/>
          <c:order val="1"/>
          <c:tx>
            <c:strRef>
              <c:f>'Fig. F.1. Dublin Period 1'!$I$1</c:f>
              <c:strCache>
                <c:ptCount val="1"/>
                <c:pt idx="0">
                  <c:v>Ave. mR</c:v>
                </c:pt>
              </c:strCache>
            </c:strRef>
          </c:tx>
          <c:spPr>
            <a:ln w="28575" cap="rnd">
              <a:solidFill>
                <a:schemeClr val="tx1"/>
              </a:solidFill>
              <a:round/>
            </a:ln>
            <a:effectLst/>
          </c:spPr>
          <c:marker>
            <c:symbol val="none"/>
          </c:marker>
          <c:val>
            <c:numRef>
              <c:f>'Fig. F.1. Dublin Period 1'!$I$2:$I$11</c:f>
              <c:numCache>
                <c:formatCode>General</c:formatCode>
                <c:ptCount val="10"/>
                <c:pt idx="0">
                  <c:v>0.51</c:v>
                </c:pt>
                <c:pt idx="1">
                  <c:v>0.51</c:v>
                </c:pt>
                <c:pt idx="2">
                  <c:v>0.51</c:v>
                </c:pt>
                <c:pt idx="3">
                  <c:v>0.51</c:v>
                </c:pt>
                <c:pt idx="4">
                  <c:v>0.51</c:v>
                </c:pt>
                <c:pt idx="5">
                  <c:v>0.51</c:v>
                </c:pt>
                <c:pt idx="6">
                  <c:v>0.51</c:v>
                </c:pt>
                <c:pt idx="7">
                  <c:v>0.51</c:v>
                </c:pt>
                <c:pt idx="8">
                  <c:v>0.51</c:v>
                </c:pt>
                <c:pt idx="9">
                  <c:v>0.51</c:v>
                </c:pt>
              </c:numCache>
            </c:numRef>
          </c:val>
          <c:smooth val="0"/>
          <c:extLst>
            <c:ext xmlns:c16="http://schemas.microsoft.com/office/drawing/2014/chart" uri="{C3380CC4-5D6E-409C-BE32-E72D297353CC}">
              <c16:uniqueId val="{00000001-5D18-47FA-93F7-2AB89D044415}"/>
            </c:ext>
          </c:extLst>
        </c:ser>
        <c:ser>
          <c:idx val="2"/>
          <c:order val="2"/>
          <c:tx>
            <c:strRef>
              <c:f>'Fig. F.1. Dublin Period 1'!$J$1</c:f>
              <c:strCache>
                <c:ptCount val="1"/>
                <c:pt idx="0">
                  <c:v>URL</c:v>
                </c:pt>
              </c:strCache>
            </c:strRef>
          </c:tx>
          <c:spPr>
            <a:ln w="28575" cap="rnd">
              <a:solidFill>
                <a:srgbClr val="D72323"/>
              </a:solidFill>
              <a:prstDash val="dash"/>
              <a:round/>
            </a:ln>
            <a:effectLst/>
          </c:spPr>
          <c:marker>
            <c:symbol val="none"/>
          </c:marker>
          <c:val>
            <c:numRef>
              <c:f>'Fig. F.1. Dublin Period 1'!$J$2:$J$11</c:f>
              <c:numCache>
                <c:formatCode>General</c:formatCode>
                <c:ptCount val="10"/>
                <c:pt idx="0">
                  <c:v>1.67</c:v>
                </c:pt>
                <c:pt idx="1">
                  <c:v>1.67</c:v>
                </c:pt>
                <c:pt idx="2">
                  <c:v>1.67</c:v>
                </c:pt>
                <c:pt idx="3">
                  <c:v>1.67</c:v>
                </c:pt>
                <c:pt idx="4">
                  <c:v>1.67</c:v>
                </c:pt>
                <c:pt idx="5">
                  <c:v>1.67</c:v>
                </c:pt>
                <c:pt idx="6">
                  <c:v>1.67</c:v>
                </c:pt>
                <c:pt idx="7">
                  <c:v>1.67</c:v>
                </c:pt>
                <c:pt idx="8">
                  <c:v>1.67</c:v>
                </c:pt>
                <c:pt idx="9">
                  <c:v>1.67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F.2. Dublin Period 2'!$D$1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F.2. Dublin Period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F.2. Dublin Period 2'!$D$2:$D$11</c:f>
              <c:numCache>
                <c:formatCode>General</c:formatCode>
                <c:ptCount val="10"/>
                <c:pt idx="0">
                  <c:v>0.6</c:v>
                </c:pt>
                <c:pt idx="1">
                  <c:v>0.5</c:v>
                </c:pt>
                <c:pt idx="2">
                  <c:v>0.6</c:v>
                </c:pt>
                <c:pt idx="3">
                  <c:v>1.7</c:v>
                </c:pt>
                <c:pt idx="4">
                  <c:v>1.8</c:v>
                </c:pt>
                <c:pt idx="5">
                  <c:v>2</c:v>
                </c:pt>
                <c:pt idx="6">
                  <c:v>1.3</c:v>
                </c:pt>
                <c:pt idx="7">
                  <c:v>2.1</c:v>
                </c:pt>
                <c:pt idx="8">
                  <c:v>1.3</c:v>
                </c:pt>
                <c:pt idx="9">
                  <c:v>1.7</c:v>
                </c:pt>
              </c:numCache>
            </c:numRef>
          </c:val>
          <c:smooth val="0"/>
          <c:extLst>
            <c:ext xmlns:c16="http://schemas.microsoft.com/office/drawing/2014/chart" uri="{C3380CC4-5D6E-409C-BE32-E72D297353CC}">
              <c16:uniqueId val="{00000000-329B-41D6-8340-43856FD2F6C5}"/>
            </c:ext>
          </c:extLst>
        </c:ser>
        <c:ser>
          <c:idx val="1"/>
          <c:order val="1"/>
          <c:tx>
            <c:strRef>
              <c:f>'Fig. F.2. Dublin Period 2'!$E$1</c:f>
              <c:strCache>
                <c:ptCount val="1"/>
                <c:pt idx="0">
                  <c:v>Mean</c:v>
                </c:pt>
              </c:strCache>
            </c:strRef>
          </c:tx>
          <c:spPr>
            <a:ln w="28575" cap="rnd">
              <a:solidFill>
                <a:schemeClr val="tx1"/>
              </a:solidFill>
              <a:round/>
            </a:ln>
            <a:effectLst/>
          </c:spPr>
          <c:marker>
            <c:symbol val="none"/>
          </c:marker>
          <c:cat>
            <c:strRef>
              <c:f>'Fig. F.2. Dublin Period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F.2. Dublin Period 2'!$E$2:$E$11</c:f>
              <c:numCache>
                <c:formatCode>General</c:formatCode>
                <c:ptCount val="10"/>
                <c:pt idx="0">
                  <c:v>1.36</c:v>
                </c:pt>
                <c:pt idx="1">
                  <c:v>1.36</c:v>
                </c:pt>
                <c:pt idx="2">
                  <c:v>1.36</c:v>
                </c:pt>
                <c:pt idx="3">
                  <c:v>1.36</c:v>
                </c:pt>
                <c:pt idx="4">
                  <c:v>1.36</c:v>
                </c:pt>
                <c:pt idx="5">
                  <c:v>1.36</c:v>
                </c:pt>
                <c:pt idx="6">
                  <c:v>1.36</c:v>
                </c:pt>
                <c:pt idx="7">
                  <c:v>1.36</c:v>
                </c:pt>
                <c:pt idx="8">
                  <c:v>1.36</c:v>
                </c:pt>
                <c:pt idx="9">
                  <c:v>1.36</c:v>
                </c:pt>
              </c:numCache>
            </c:numRef>
          </c:val>
          <c:smooth val="0"/>
          <c:extLst>
            <c:ext xmlns:c16="http://schemas.microsoft.com/office/drawing/2014/chart" uri="{C3380CC4-5D6E-409C-BE32-E72D297353CC}">
              <c16:uniqueId val="{00000001-329B-41D6-8340-43856FD2F6C5}"/>
            </c:ext>
          </c:extLst>
        </c:ser>
        <c:ser>
          <c:idx val="2"/>
          <c:order val="2"/>
          <c:tx>
            <c:strRef>
              <c:f>'Fig. F.2. Dublin Period 2'!$F$1</c:f>
              <c:strCache>
                <c:ptCount val="1"/>
                <c:pt idx="0">
                  <c:v>UPL</c:v>
                </c:pt>
              </c:strCache>
            </c:strRef>
          </c:tx>
          <c:spPr>
            <a:ln w="28575" cap="rnd">
              <a:solidFill>
                <a:srgbClr val="D72323"/>
              </a:solidFill>
              <a:prstDash val="dash"/>
              <a:round/>
            </a:ln>
            <a:effectLst/>
          </c:spPr>
          <c:marker>
            <c:symbol val="none"/>
          </c:marker>
          <c:cat>
            <c:strRef>
              <c:f>'Fig. F.2. Dublin Period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F.2. Dublin Period 2'!$F$2:$F$11</c:f>
              <c:numCache>
                <c:formatCode>General</c:formatCode>
                <c:ptCount val="10"/>
                <c:pt idx="0">
                  <c:v>2.64</c:v>
                </c:pt>
                <c:pt idx="1">
                  <c:v>2.64</c:v>
                </c:pt>
                <c:pt idx="2">
                  <c:v>2.64</c:v>
                </c:pt>
                <c:pt idx="3">
                  <c:v>2.64</c:v>
                </c:pt>
                <c:pt idx="4">
                  <c:v>2.64</c:v>
                </c:pt>
                <c:pt idx="5">
                  <c:v>2.64</c:v>
                </c:pt>
                <c:pt idx="6">
                  <c:v>2.64</c:v>
                </c:pt>
                <c:pt idx="7">
                  <c:v>2.64</c:v>
                </c:pt>
                <c:pt idx="8">
                  <c:v>2.64</c:v>
                </c:pt>
                <c:pt idx="9">
                  <c:v>2.64</c:v>
                </c:pt>
              </c:numCache>
            </c:numRef>
          </c:val>
          <c:smooth val="0"/>
          <c:extLst>
            <c:ext xmlns:c16="http://schemas.microsoft.com/office/drawing/2014/chart" uri="{C3380CC4-5D6E-409C-BE32-E72D297353CC}">
              <c16:uniqueId val="{00000002-329B-41D6-8340-43856FD2F6C5}"/>
            </c:ext>
          </c:extLst>
        </c:ser>
        <c:ser>
          <c:idx val="3"/>
          <c:order val="3"/>
          <c:tx>
            <c:strRef>
              <c:f>'Fig. F.2. Dublin Period 2'!$G$1</c:f>
              <c:strCache>
                <c:ptCount val="1"/>
                <c:pt idx="0">
                  <c:v>LPL</c:v>
                </c:pt>
              </c:strCache>
            </c:strRef>
          </c:tx>
          <c:spPr>
            <a:ln w="28575" cap="rnd">
              <a:solidFill>
                <a:srgbClr val="D72323"/>
              </a:solidFill>
              <a:prstDash val="dash"/>
              <a:round/>
            </a:ln>
            <a:effectLst/>
          </c:spPr>
          <c:marker>
            <c:symbol val="none"/>
          </c:marker>
          <c:cat>
            <c:strRef>
              <c:f>'Fig. F.2. Dublin Period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F.2. Dublin Period 2'!$G$2:$G$11</c:f>
              <c:numCache>
                <c:formatCode>General</c:formatCode>
                <c:ptCount val="10"/>
                <c:pt idx="0">
                  <c:v>0.08</c:v>
                </c:pt>
                <c:pt idx="1">
                  <c:v>0.08</c:v>
                </c:pt>
                <c:pt idx="2">
                  <c:v>0.08</c:v>
                </c:pt>
                <c:pt idx="3">
                  <c:v>0.08</c:v>
                </c:pt>
                <c:pt idx="4">
                  <c:v>0.08</c:v>
                </c:pt>
                <c:pt idx="5">
                  <c:v>0.08</c:v>
                </c:pt>
                <c:pt idx="6">
                  <c:v>0.08</c:v>
                </c:pt>
                <c:pt idx="7">
                  <c:v>0.08</c:v>
                </c:pt>
                <c:pt idx="8">
                  <c:v>0.08</c:v>
                </c:pt>
                <c:pt idx="9">
                  <c:v>0.08</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F.2. Dublin Period 2'!$H$1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F.2. Dublin Period 2'!$H$2:$H$11</c:f>
              <c:numCache>
                <c:formatCode>General</c:formatCode>
                <c:ptCount val="10"/>
                <c:pt idx="1">
                  <c:v>9.9999999999999978E-2</c:v>
                </c:pt>
                <c:pt idx="2">
                  <c:v>9.9999999999999978E-2</c:v>
                </c:pt>
                <c:pt idx="3">
                  <c:v>1.1000000000000001</c:v>
                </c:pt>
                <c:pt idx="4">
                  <c:v>0.10000000000000009</c:v>
                </c:pt>
                <c:pt idx="5">
                  <c:v>0.19999999999999996</c:v>
                </c:pt>
                <c:pt idx="6">
                  <c:v>0.7</c:v>
                </c:pt>
                <c:pt idx="7">
                  <c:v>0.8</c:v>
                </c:pt>
                <c:pt idx="8">
                  <c:v>0.8</c:v>
                </c:pt>
                <c:pt idx="9">
                  <c:v>0.39999999999999991</c:v>
                </c:pt>
              </c:numCache>
            </c:numRef>
          </c:val>
          <c:smooth val="0"/>
          <c:extLst>
            <c:ext xmlns:c16="http://schemas.microsoft.com/office/drawing/2014/chart" uri="{C3380CC4-5D6E-409C-BE32-E72D297353CC}">
              <c16:uniqueId val="{00000000-5D18-47FA-93F7-2AB89D044415}"/>
            </c:ext>
          </c:extLst>
        </c:ser>
        <c:ser>
          <c:idx val="1"/>
          <c:order val="1"/>
          <c:tx>
            <c:strRef>
              <c:f>'Fig. F.2. Dublin Period 2'!$I$1</c:f>
              <c:strCache>
                <c:ptCount val="1"/>
                <c:pt idx="0">
                  <c:v>Ave. mR</c:v>
                </c:pt>
              </c:strCache>
            </c:strRef>
          </c:tx>
          <c:spPr>
            <a:ln w="28575" cap="rnd">
              <a:solidFill>
                <a:schemeClr val="tx1"/>
              </a:solidFill>
              <a:round/>
            </a:ln>
            <a:effectLst/>
          </c:spPr>
          <c:marker>
            <c:symbol val="none"/>
          </c:marker>
          <c:val>
            <c:numRef>
              <c:f>'Fig. F.2. Dublin Period 2'!$I$2:$I$11</c:f>
              <c:numCache>
                <c:formatCode>General</c:formatCode>
                <c:ptCount val="10"/>
                <c:pt idx="0">
                  <c:v>0.48</c:v>
                </c:pt>
                <c:pt idx="1">
                  <c:v>0.48</c:v>
                </c:pt>
                <c:pt idx="2">
                  <c:v>0.48</c:v>
                </c:pt>
                <c:pt idx="3">
                  <c:v>0.48</c:v>
                </c:pt>
                <c:pt idx="4">
                  <c:v>0.48</c:v>
                </c:pt>
                <c:pt idx="5">
                  <c:v>0.48</c:v>
                </c:pt>
                <c:pt idx="6">
                  <c:v>0.48</c:v>
                </c:pt>
                <c:pt idx="7">
                  <c:v>0.48</c:v>
                </c:pt>
                <c:pt idx="8">
                  <c:v>0.48</c:v>
                </c:pt>
                <c:pt idx="9">
                  <c:v>0.48</c:v>
                </c:pt>
              </c:numCache>
            </c:numRef>
          </c:val>
          <c:smooth val="0"/>
          <c:extLst>
            <c:ext xmlns:c16="http://schemas.microsoft.com/office/drawing/2014/chart" uri="{C3380CC4-5D6E-409C-BE32-E72D297353CC}">
              <c16:uniqueId val="{00000001-5D18-47FA-93F7-2AB89D044415}"/>
            </c:ext>
          </c:extLst>
        </c:ser>
        <c:ser>
          <c:idx val="2"/>
          <c:order val="2"/>
          <c:tx>
            <c:strRef>
              <c:f>'Fig. F.2. Dublin Period 2'!$J$1</c:f>
              <c:strCache>
                <c:ptCount val="1"/>
                <c:pt idx="0">
                  <c:v>URL</c:v>
                </c:pt>
              </c:strCache>
            </c:strRef>
          </c:tx>
          <c:spPr>
            <a:ln w="28575" cap="rnd">
              <a:solidFill>
                <a:srgbClr val="D72323"/>
              </a:solidFill>
              <a:prstDash val="dash"/>
              <a:round/>
            </a:ln>
            <a:effectLst/>
          </c:spPr>
          <c:marker>
            <c:symbol val="none"/>
          </c:marker>
          <c:val>
            <c:numRef>
              <c:f>'Fig. F.2. Dublin Period 2'!$J$2:$J$11</c:f>
              <c:numCache>
                <c:formatCode>General</c:formatCode>
                <c:ptCount val="10"/>
                <c:pt idx="0">
                  <c:v>1.57</c:v>
                </c:pt>
                <c:pt idx="1">
                  <c:v>1.57</c:v>
                </c:pt>
                <c:pt idx="2">
                  <c:v>1.57</c:v>
                </c:pt>
                <c:pt idx="3">
                  <c:v>1.57</c:v>
                </c:pt>
                <c:pt idx="4">
                  <c:v>1.57</c:v>
                </c:pt>
                <c:pt idx="5">
                  <c:v>1.57</c:v>
                </c:pt>
                <c:pt idx="6">
                  <c:v>1.57</c:v>
                </c:pt>
                <c:pt idx="7">
                  <c:v>1.57</c:v>
                </c:pt>
                <c:pt idx="8">
                  <c:v>1.57</c:v>
                </c:pt>
                <c:pt idx="9">
                  <c:v>1.57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F.3. Vienna Period 1'!$D$1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F.3. Vienna Period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F.3. Vienna Period 1'!$D$2:$D$11</c:f>
              <c:numCache>
                <c:formatCode>General</c:formatCode>
                <c:ptCount val="10"/>
                <c:pt idx="0">
                  <c:v>2.1</c:v>
                </c:pt>
                <c:pt idx="1">
                  <c:v>1.4</c:v>
                </c:pt>
                <c:pt idx="2">
                  <c:v>0.4</c:v>
                </c:pt>
                <c:pt idx="3">
                  <c:v>0.4</c:v>
                </c:pt>
                <c:pt idx="4">
                  <c:v>0.4</c:v>
                </c:pt>
                <c:pt idx="5">
                  <c:v>0.6</c:v>
                </c:pt>
                <c:pt idx="6">
                  <c:v>0.8</c:v>
                </c:pt>
                <c:pt idx="7">
                  <c:v>0.6</c:v>
                </c:pt>
                <c:pt idx="8">
                  <c:v>0.9</c:v>
                </c:pt>
                <c:pt idx="9">
                  <c:v>2.6</c:v>
                </c:pt>
              </c:numCache>
            </c:numRef>
          </c:val>
          <c:smooth val="0"/>
          <c:extLst>
            <c:ext xmlns:c16="http://schemas.microsoft.com/office/drawing/2014/chart" uri="{C3380CC4-5D6E-409C-BE32-E72D297353CC}">
              <c16:uniqueId val="{00000000-329B-41D6-8340-43856FD2F6C5}"/>
            </c:ext>
          </c:extLst>
        </c:ser>
        <c:ser>
          <c:idx val="1"/>
          <c:order val="1"/>
          <c:tx>
            <c:strRef>
              <c:f>'Fig. F.3. Vienna Period 1'!$E$1</c:f>
              <c:strCache>
                <c:ptCount val="1"/>
                <c:pt idx="0">
                  <c:v>Mean</c:v>
                </c:pt>
              </c:strCache>
            </c:strRef>
          </c:tx>
          <c:spPr>
            <a:ln w="28575" cap="rnd">
              <a:solidFill>
                <a:schemeClr val="tx1"/>
              </a:solidFill>
              <a:round/>
            </a:ln>
            <a:effectLst/>
          </c:spPr>
          <c:marker>
            <c:symbol val="none"/>
          </c:marker>
          <c:cat>
            <c:strRef>
              <c:f>'Fig. F.3. Vienna Period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F.3. Vienna Period 1'!$E$2:$E$11</c:f>
              <c:numCache>
                <c:formatCode>General</c:formatCode>
                <c:ptCount val="10"/>
                <c:pt idx="0">
                  <c:v>1.02</c:v>
                </c:pt>
                <c:pt idx="1">
                  <c:v>1.02</c:v>
                </c:pt>
                <c:pt idx="2">
                  <c:v>1.02</c:v>
                </c:pt>
                <c:pt idx="3">
                  <c:v>1.02</c:v>
                </c:pt>
                <c:pt idx="4">
                  <c:v>1.02</c:v>
                </c:pt>
                <c:pt idx="5">
                  <c:v>1.02</c:v>
                </c:pt>
                <c:pt idx="6">
                  <c:v>1.02</c:v>
                </c:pt>
                <c:pt idx="7">
                  <c:v>1.02</c:v>
                </c:pt>
                <c:pt idx="8">
                  <c:v>1.02</c:v>
                </c:pt>
                <c:pt idx="9">
                  <c:v>1.02</c:v>
                </c:pt>
              </c:numCache>
            </c:numRef>
          </c:val>
          <c:smooth val="0"/>
          <c:extLst>
            <c:ext xmlns:c16="http://schemas.microsoft.com/office/drawing/2014/chart" uri="{C3380CC4-5D6E-409C-BE32-E72D297353CC}">
              <c16:uniqueId val="{00000001-329B-41D6-8340-43856FD2F6C5}"/>
            </c:ext>
          </c:extLst>
        </c:ser>
        <c:ser>
          <c:idx val="2"/>
          <c:order val="2"/>
          <c:tx>
            <c:strRef>
              <c:f>'Fig. F.3. Vienna Period 1'!$F$1</c:f>
              <c:strCache>
                <c:ptCount val="1"/>
                <c:pt idx="0">
                  <c:v>UPL</c:v>
                </c:pt>
              </c:strCache>
            </c:strRef>
          </c:tx>
          <c:spPr>
            <a:ln w="28575" cap="rnd">
              <a:solidFill>
                <a:srgbClr val="D72323"/>
              </a:solidFill>
              <a:prstDash val="dash"/>
              <a:round/>
            </a:ln>
            <a:effectLst/>
          </c:spPr>
          <c:marker>
            <c:symbol val="none"/>
          </c:marker>
          <c:cat>
            <c:strRef>
              <c:f>'Fig. F.3. Vienna Period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F.3. Vienna Period 1'!$F$2:$F$11</c:f>
              <c:numCache>
                <c:formatCode>General</c:formatCode>
                <c:ptCount val="10"/>
                <c:pt idx="0">
                  <c:v>2.2999999999999998</c:v>
                </c:pt>
                <c:pt idx="1">
                  <c:v>2.2999999999999998</c:v>
                </c:pt>
                <c:pt idx="2">
                  <c:v>2.2999999999999998</c:v>
                </c:pt>
                <c:pt idx="3">
                  <c:v>2.2999999999999998</c:v>
                </c:pt>
                <c:pt idx="4">
                  <c:v>2.2999999999999998</c:v>
                </c:pt>
                <c:pt idx="5">
                  <c:v>2.2999999999999998</c:v>
                </c:pt>
                <c:pt idx="6">
                  <c:v>2.2999999999999998</c:v>
                </c:pt>
                <c:pt idx="7">
                  <c:v>2.2999999999999998</c:v>
                </c:pt>
                <c:pt idx="8">
                  <c:v>2.2999999999999998</c:v>
                </c:pt>
                <c:pt idx="9">
                  <c:v>2.2999999999999998</c:v>
                </c:pt>
              </c:numCache>
            </c:numRef>
          </c:val>
          <c:smooth val="0"/>
          <c:extLst>
            <c:ext xmlns:c16="http://schemas.microsoft.com/office/drawing/2014/chart" uri="{C3380CC4-5D6E-409C-BE32-E72D297353CC}">
              <c16:uniqueId val="{00000002-329B-41D6-8340-43856FD2F6C5}"/>
            </c:ext>
          </c:extLst>
        </c:ser>
        <c:ser>
          <c:idx val="3"/>
          <c:order val="3"/>
          <c:tx>
            <c:strRef>
              <c:f>'Fig. F.3. Vienna Period 1'!$G$1</c:f>
              <c:strCache>
                <c:ptCount val="1"/>
                <c:pt idx="0">
                  <c:v>LPL</c:v>
                </c:pt>
              </c:strCache>
            </c:strRef>
          </c:tx>
          <c:spPr>
            <a:ln w="28575" cap="rnd">
              <a:solidFill>
                <a:srgbClr val="D72323"/>
              </a:solidFill>
              <a:prstDash val="dash"/>
              <a:round/>
            </a:ln>
            <a:effectLst/>
          </c:spPr>
          <c:marker>
            <c:symbol val="none"/>
          </c:marker>
          <c:cat>
            <c:strRef>
              <c:f>'Fig. F.3. Vienna Period 1'!$C$2:$C$11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F.3. Vienna Period 1'!$G$2:$G$11</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F.3. Vienna Period 1'!$H$1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F.3. Vienna Period 1'!$H$2:$H$11</c:f>
              <c:numCache>
                <c:formatCode>General</c:formatCode>
                <c:ptCount val="10"/>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numCache>
            </c:numRef>
          </c:val>
          <c:smooth val="0"/>
          <c:extLst>
            <c:ext xmlns:c16="http://schemas.microsoft.com/office/drawing/2014/chart" uri="{C3380CC4-5D6E-409C-BE32-E72D297353CC}">
              <c16:uniqueId val="{00000000-5D18-47FA-93F7-2AB89D044415}"/>
            </c:ext>
          </c:extLst>
        </c:ser>
        <c:ser>
          <c:idx val="1"/>
          <c:order val="1"/>
          <c:tx>
            <c:strRef>
              <c:f>'Fig. F.3. Vienna Period 1'!$I$1</c:f>
              <c:strCache>
                <c:ptCount val="1"/>
                <c:pt idx="0">
                  <c:v>Ave. mR</c:v>
                </c:pt>
              </c:strCache>
            </c:strRef>
          </c:tx>
          <c:spPr>
            <a:ln w="28575" cap="rnd">
              <a:solidFill>
                <a:schemeClr val="tx1"/>
              </a:solidFill>
              <a:round/>
            </a:ln>
            <a:effectLst/>
          </c:spPr>
          <c:marker>
            <c:symbol val="none"/>
          </c:marker>
          <c:val>
            <c:numRef>
              <c:f>'Fig. F.3. Vienna Period 1'!$I$2:$I$11</c:f>
              <c:numCache>
                <c:formatCode>General</c:formatCode>
                <c:ptCount val="10"/>
                <c:pt idx="0">
                  <c:v>0.48</c:v>
                </c:pt>
                <c:pt idx="1">
                  <c:v>0.48</c:v>
                </c:pt>
                <c:pt idx="2">
                  <c:v>0.48</c:v>
                </c:pt>
                <c:pt idx="3">
                  <c:v>0.48</c:v>
                </c:pt>
                <c:pt idx="4">
                  <c:v>0.48</c:v>
                </c:pt>
                <c:pt idx="5">
                  <c:v>0.48</c:v>
                </c:pt>
                <c:pt idx="6">
                  <c:v>0.48</c:v>
                </c:pt>
                <c:pt idx="7">
                  <c:v>0.48</c:v>
                </c:pt>
                <c:pt idx="8">
                  <c:v>0.48</c:v>
                </c:pt>
                <c:pt idx="9">
                  <c:v>0.48</c:v>
                </c:pt>
              </c:numCache>
            </c:numRef>
          </c:val>
          <c:smooth val="0"/>
          <c:extLst>
            <c:ext xmlns:c16="http://schemas.microsoft.com/office/drawing/2014/chart" uri="{C3380CC4-5D6E-409C-BE32-E72D297353CC}">
              <c16:uniqueId val="{00000001-5D18-47FA-93F7-2AB89D044415}"/>
            </c:ext>
          </c:extLst>
        </c:ser>
        <c:ser>
          <c:idx val="2"/>
          <c:order val="2"/>
          <c:tx>
            <c:strRef>
              <c:f>'Fig. F.3. Vienna Period 1'!$J$1</c:f>
              <c:strCache>
                <c:ptCount val="1"/>
                <c:pt idx="0">
                  <c:v>URL</c:v>
                </c:pt>
              </c:strCache>
            </c:strRef>
          </c:tx>
          <c:spPr>
            <a:ln w="28575" cap="rnd">
              <a:solidFill>
                <a:srgbClr val="D72323"/>
              </a:solidFill>
              <a:prstDash val="dash"/>
              <a:round/>
            </a:ln>
            <a:effectLst/>
          </c:spPr>
          <c:marker>
            <c:symbol val="none"/>
          </c:marker>
          <c:val>
            <c:numRef>
              <c:f>'Fig. F.3. Vienna Period 1'!$J$2:$J$11</c:f>
              <c:numCache>
                <c:formatCode>General</c:formatCode>
                <c:ptCount val="10"/>
                <c:pt idx="0">
                  <c:v>1.57</c:v>
                </c:pt>
                <c:pt idx="1">
                  <c:v>1.57</c:v>
                </c:pt>
                <c:pt idx="2">
                  <c:v>1.57</c:v>
                </c:pt>
                <c:pt idx="3">
                  <c:v>1.57</c:v>
                </c:pt>
                <c:pt idx="4">
                  <c:v>1.57</c:v>
                </c:pt>
                <c:pt idx="5">
                  <c:v>1.57</c:v>
                </c:pt>
                <c:pt idx="6">
                  <c:v>1.57</c:v>
                </c:pt>
                <c:pt idx="7">
                  <c:v>1.57</c:v>
                </c:pt>
                <c:pt idx="8">
                  <c:v>1.57</c:v>
                </c:pt>
                <c:pt idx="9">
                  <c:v>1.57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F.4. Vienna Period 2'!$H$1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F.4. Vienna Period 2'!$H$2:$H$11</c:f>
              <c:numCache>
                <c:formatCode>General</c:formatCode>
                <c:ptCount val="10"/>
                <c:pt idx="1">
                  <c:v>3.3999999999999995</c:v>
                </c:pt>
                <c:pt idx="2">
                  <c:v>2.0999999999999996</c:v>
                </c:pt>
                <c:pt idx="3">
                  <c:v>2.4000000000000004</c:v>
                </c:pt>
                <c:pt idx="4">
                  <c:v>2.1000000000000005</c:v>
                </c:pt>
                <c:pt idx="5">
                  <c:v>1.9000000000000004</c:v>
                </c:pt>
                <c:pt idx="6">
                  <c:v>1.5999999999999996</c:v>
                </c:pt>
                <c:pt idx="7">
                  <c:v>6.1</c:v>
                </c:pt>
                <c:pt idx="8">
                  <c:v>2.4000000000000004</c:v>
                </c:pt>
                <c:pt idx="9">
                  <c:v>3.7999999999999989</c:v>
                </c:pt>
              </c:numCache>
            </c:numRef>
          </c:val>
          <c:smooth val="0"/>
          <c:extLst>
            <c:ext xmlns:c16="http://schemas.microsoft.com/office/drawing/2014/chart" uri="{C3380CC4-5D6E-409C-BE32-E72D297353CC}">
              <c16:uniqueId val="{00000000-5D18-47FA-93F7-2AB89D044415}"/>
            </c:ext>
          </c:extLst>
        </c:ser>
        <c:ser>
          <c:idx val="1"/>
          <c:order val="1"/>
          <c:tx>
            <c:strRef>
              <c:f>'Fig. F.4. Vienna Period 2'!$I$1</c:f>
              <c:strCache>
                <c:ptCount val="1"/>
                <c:pt idx="0">
                  <c:v>Ave. mR</c:v>
                </c:pt>
              </c:strCache>
            </c:strRef>
          </c:tx>
          <c:spPr>
            <a:ln w="28575" cap="rnd">
              <a:solidFill>
                <a:schemeClr val="tx1"/>
              </a:solidFill>
              <a:round/>
            </a:ln>
            <a:effectLst/>
          </c:spPr>
          <c:marker>
            <c:symbol val="none"/>
          </c:marker>
          <c:val>
            <c:numRef>
              <c:f>'Fig. F.4. Vienna Period 2'!$I$2:$I$11</c:f>
              <c:numCache>
                <c:formatCode>General</c:formatCode>
                <c:ptCount val="10"/>
                <c:pt idx="0">
                  <c:v>2.87</c:v>
                </c:pt>
                <c:pt idx="1">
                  <c:v>2.87</c:v>
                </c:pt>
                <c:pt idx="2">
                  <c:v>2.87</c:v>
                </c:pt>
                <c:pt idx="3">
                  <c:v>2.87</c:v>
                </c:pt>
                <c:pt idx="4">
                  <c:v>2.87</c:v>
                </c:pt>
                <c:pt idx="5">
                  <c:v>2.87</c:v>
                </c:pt>
                <c:pt idx="6">
                  <c:v>2.87</c:v>
                </c:pt>
                <c:pt idx="7">
                  <c:v>2.87</c:v>
                </c:pt>
                <c:pt idx="8">
                  <c:v>2.87</c:v>
                </c:pt>
                <c:pt idx="9">
                  <c:v>2.87</c:v>
                </c:pt>
              </c:numCache>
            </c:numRef>
          </c:val>
          <c:smooth val="0"/>
          <c:extLst>
            <c:ext xmlns:c16="http://schemas.microsoft.com/office/drawing/2014/chart" uri="{C3380CC4-5D6E-409C-BE32-E72D297353CC}">
              <c16:uniqueId val="{00000001-5D18-47FA-93F7-2AB89D044415}"/>
            </c:ext>
          </c:extLst>
        </c:ser>
        <c:ser>
          <c:idx val="2"/>
          <c:order val="2"/>
          <c:tx>
            <c:strRef>
              <c:f>'Fig. F.4. Vienna Period 2'!$J$1</c:f>
              <c:strCache>
                <c:ptCount val="1"/>
                <c:pt idx="0">
                  <c:v>URL</c:v>
                </c:pt>
              </c:strCache>
            </c:strRef>
          </c:tx>
          <c:spPr>
            <a:ln w="28575" cap="rnd">
              <a:solidFill>
                <a:srgbClr val="D72323"/>
              </a:solidFill>
              <a:prstDash val="dash"/>
              <a:round/>
            </a:ln>
            <a:effectLst/>
          </c:spPr>
          <c:marker>
            <c:symbol val="none"/>
          </c:marker>
          <c:val>
            <c:numRef>
              <c:f>'Fig. F.4. Vienna Period 2'!$J$2:$J$11</c:f>
              <c:numCache>
                <c:formatCode>General</c:formatCode>
                <c:ptCount val="10"/>
                <c:pt idx="0">
                  <c:v>9.3800000000000008</c:v>
                </c:pt>
                <c:pt idx="1">
                  <c:v>9.3800000000000008</c:v>
                </c:pt>
                <c:pt idx="2">
                  <c:v>9.3800000000000008</c:v>
                </c:pt>
                <c:pt idx="3">
                  <c:v>9.3800000000000008</c:v>
                </c:pt>
                <c:pt idx="4">
                  <c:v>9.3800000000000008</c:v>
                </c:pt>
                <c:pt idx="5">
                  <c:v>9.3800000000000008</c:v>
                </c:pt>
                <c:pt idx="6">
                  <c:v>9.3800000000000008</c:v>
                </c:pt>
                <c:pt idx="7">
                  <c:v>9.3800000000000008</c:v>
                </c:pt>
                <c:pt idx="8">
                  <c:v>9.3800000000000008</c:v>
                </c:pt>
                <c:pt idx="9">
                  <c:v>9.3800000000000008</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F.4. Vienna Period 2'!$D$1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F.4. Vienna Period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F.4. Vienna Period 2'!$D$2:$D$11</c:f>
              <c:numCache>
                <c:formatCode>General</c:formatCode>
                <c:ptCount val="10"/>
                <c:pt idx="0">
                  <c:v>6.6</c:v>
                </c:pt>
                <c:pt idx="1">
                  <c:v>3.2</c:v>
                </c:pt>
                <c:pt idx="2">
                  <c:v>5.3</c:v>
                </c:pt>
                <c:pt idx="3">
                  <c:v>7.7</c:v>
                </c:pt>
                <c:pt idx="4">
                  <c:v>5.6</c:v>
                </c:pt>
                <c:pt idx="5">
                  <c:v>7.5</c:v>
                </c:pt>
                <c:pt idx="6">
                  <c:v>9.1</c:v>
                </c:pt>
                <c:pt idx="7">
                  <c:v>3</c:v>
                </c:pt>
                <c:pt idx="8">
                  <c:v>5.4</c:v>
                </c:pt>
                <c:pt idx="9">
                  <c:v>9.1999999999999993</c:v>
                </c:pt>
              </c:numCache>
            </c:numRef>
          </c:val>
          <c:smooth val="0"/>
          <c:extLst>
            <c:ext xmlns:c16="http://schemas.microsoft.com/office/drawing/2014/chart" uri="{C3380CC4-5D6E-409C-BE32-E72D297353CC}">
              <c16:uniqueId val="{00000000-329B-41D6-8340-43856FD2F6C5}"/>
            </c:ext>
          </c:extLst>
        </c:ser>
        <c:ser>
          <c:idx val="1"/>
          <c:order val="1"/>
          <c:tx>
            <c:strRef>
              <c:f>'Fig. F.4. Vienna Period 2'!$E$1</c:f>
              <c:strCache>
                <c:ptCount val="1"/>
                <c:pt idx="0">
                  <c:v>Mean</c:v>
                </c:pt>
              </c:strCache>
            </c:strRef>
          </c:tx>
          <c:spPr>
            <a:ln w="28575" cap="rnd">
              <a:solidFill>
                <a:schemeClr val="tx1"/>
              </a:solidFill>
              <a:round/>
            </a:ln>
            <a:effectLst/>
          </c:spPr>
          <c:marker>
            <c:symbol val="none"/>
          </c:marker>
          <c:cat>
            <c:strRef>
              <c:f>'Fig. F.4. Vienna Period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F.4. Vienna Period 2'!$E$2:$E$11</c:f>
              <c:numCache>
                <c:formatCode>General</c:formatCode>
                <c:ptCount val="10"/>
                <c:pt idx="0" formatCode="0.0">
                  <c:v>6.6</c:v>
                </c:pt>
                <c:pt idx="1">
                  <c:v>6.6</c:v>
                </c:pt>
                <c:pt idx="2">
                  <c:v>6.6</c:v>
                </c:pt>
                <c:pt idx="3">
                  <c:v>6.6</c:v>
                </c:pt>
                <c:pt idx="4">
                  <c:v>6.6</c:v>
                </c:pt>
                <c:pt idx="5">
                  <c:v>6.6</c:v>
                </c:pt>
                <c:pt idx="6">
                  <c:v>6.6</c:v>
                </c:pt>
                <c:pt idx="7">
                  <c:v>6.6</c:v>
                </c:pt>
                <c:pt idx="8">
                  <c:v>6.6</c:v>
                </c:pt>
                <c:pt idx="9">
                  <c:v>6.6</c:v>
                </c:pt>
              </c:numCache>
            </c:numRef>
          </c:val>
          <c:smooth val="0"/>
          <c:extLst>
            <c:ext xmlns:c16="http://schemas.microsoft.com/office/drawing/2014/chart" uri="{C3380CC4-5D6E-409C-BE32-E72D297353CC}">
              <c16:uniqueId val="{00000001-329B-41D6-8340-43856FD2F6C5}"/>
            </c:ext>
          </c:extLst>
        </c:ser>
        <c:ser>
          <c:idx val="2"/>
          <c:order val="2"/>
          <c:tx>
            <c:strRef>
              <c:f>'Fig. F.4. Vienna Period 2'!$F$1</c:f>
              <c:strCache>
                <c:ptCount val="1"/>
                <c:pt idx="0">
                  <c:v>UPL</c:v>
                </c:pt>
              </c:strCache>
            </c:strRef>
          </c:tx>
          <c:spPr>
            <a:ln w="28575" cap="rnd">
              <a:solidFill>
                <a:srgbClr val="D72323"/>
              </a:solidFill>
              <a:prstDash val="dash"/>
              <a:round/>
            </a:ln>
            <a:effectLst/>
          </c:spPr>
          <c:marker>
            <c:symbol val="none"/>
          </c:marker>
          <c:cat>
            <c:strRef>
              <c:f>'Fig. F.4. Vienna Period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F.4. Vienna Period 2'!$F$2:$F$11</c:f>
              <c:numCache>
                <c:formatCode>General</c:formatCode>
                <c:ptCount val="10"/>
                <c:pt idx="0">
                  <c:v>14.23</c:v>
                </c:pt>
                <c:pt idx="1">
                  <c:v>14.23</c:v>
                </c:pt>
                <c:pt idx="2">
                  <c:v>14.23</c:v>
                </c:pt>
                <c:pt idx="3">
                  <c:v>14.23</c:v>
                </c:pt>
                <c:pt idx="4">
                  <c:v>14.23</c:v>
                </c:pt>
                <c:pt idx="5">
                  <c:v>14.23</c:v>
                </c:pt>
                <c:pt idx="6">
                  <c:v>14.23</c:v>
                </c:pt>
                <c:pt idx="7">
                  <c:v>14.23</c:v>
                </c:pt>
                <c:pt idx="8">
                  <c:v>14.23</c:v>
                </c:pt>
                <c:pt idx="9">
                  <c:v>14.23</c:v>
                </c:pt>
              </c:numCache>
            </c:numRef>
          </c:val>
          <c:smooth val="0"/>
          <c:extLst>
            <c:ext xmlns:c16="http://schemas.microsoft.com/office/drawing/2014/chart" uri="{C3380CC4-5D6E-409C-BE32-E72D297353CC}">
              <c16:uniqueId val="{00000002-329B-41D6-8340-43856FD2F6C5}"/>
            </c:ext>
          </c:extLst>
        </c:ser>
        <c:ser>
          <c:idx val="3"/>
          <c:order val="3"/>
          <c:tx>
            <c:strRef>
              <c:f>'Fig. F.4. Vienna Period 2'!$G$1</c:f>
              <c:strCache>
                <c:ptCount val="1"/>
                <c:pt idx="0">
                  <c:v>LPL</c:v>
                </c:pt>
              </c:strCache>
            </c:strRef>
          </c:tx>
          <c:spPr>
            <a:ln w="28575" cap="rnd">
              <a:solidFill>
                <a:srgbClr val="D72323"/>
              </a:solidFill>
              <a:prstDash val="dash"/>
              <a:round/>
            </a:ln>
            <a:effectLst/>
          </c:spPr>
          <c:marker>
            <c:symbol val="none"/>
          </c:marker>
          <c:cat>
            <c:strRef>
              <c:f>'Fig. F.4. Vienna Period 2'!$C$2:$C$11</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F.4. Vienna Period 2'!$G$2:$G$11</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0B2D2A38-657B-4EAE-84FC-AC2EF54EAC95}"/>
            </a:ext>
          </a:extLst>
        </xdr:cNvPr>
        <xdr:cNvPicPr preferRelativeResize="0"/>
      </xdr:nvPicPr>
      <xdr:blipFill>
        <a:blip xmlns:r="http://schemas.openxmlformats.org/officeDocument/2006/relationships" r:embed="rId1" cstate="print"/>
        <a:stretch>
          <a:fillRect/>
        </a:stretch>
      </xdr:blipFill>
      <xdr:spPr>
        <a:xfrm>
          <a:off x="625792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14</xdr:row>
      <xdr:rowOff>0</xdr:rowOff>
    </xdr:to>
    <xdr:graphicFrame macro="">
      <xdr:nvGraphicFramePr>
        <xdr:cNvPr id="2" name="Chart 1">
          <a:extLst>
            <a:ext uri="{FF2B5EF4-FFF2-40B4-BE49-F238E27FC236}">
              <a16:creationId xmlns:a16="http://schemas.microsoft.com/office/drawing/2014/main" id="{5F999005-66E5-983F-AF81-FD7DA52D2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19</xdr:col>
      <xdr:colOff>0</xdr:colOff>
      <xdr:row>26</xdr:row>
      <xdr:rowOff>0</xdr:rowOff>
    </xdr:to>
    <xdr:graphicFrame macro="">
      <xdr:nvGraphicFramePr>
        <xdr:cNvPr id="3" name="Chart 2">
          <a:extLst>
            <a:ext uri="{FF2B5EF4-FFF2-40B4-BE49-F238E27FC236}">
              <a16:creationId xmlns:a16="http://schemas.microsoft.com/office/drawing/2014/main" id="{8B897AFF-F998-83FE-B515-57679AF71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14</xdr:row>
      <xdr:rowOff>0</xdr:rowOff>
    </xdr:to>
    <xdr:graphicFrame macro="">
      <xdr:nvGraphicFramePr>
        <xdr:cNvPr id="4" name="Chart 3">
          <a:extLst>
            <a:ext uri="{FF2B5EF4-FFF2-40B4-BE49-F238E27FC236}">
              <a16:creationId xmlns:a16="http://schemas.microsoft.com/office/drawing/2014/main" id="{CD062E4B-2A98-68A2-3373-0565D2367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19</xdr:col>
      <xdr:colOff>0</xdr:colOff>
      <xdr:row>26</xdr:row>
      <xdr:rowOff>0</xdr:rowOff>
    </xdr:to>
    <xdr:graphicFrame macro="">
      <xdr:nvGraphicFramePr>
        <xdr:cNvPr id="5" name="Chart 4">
          <a:extLst>
            <a:ext uri="{FF2B5EF4-FFF2-40B4-BE49-F238E27FC236}">
              <a16:creationId xmlns:a16="http://schemas.microsoft.com/office/drawing/2014/main" id="{579AE4FE-F112-2F8B-88E3-8E8CFE2CA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14</xdr:row>
      <xdr:rowOff>0</xdr:rowOff>
    </xdr:to>
    <xdr:graphicFrame macro="">
      <xdr:nvGraphicFramePr>
        <xdr:cNvPr id="4" name="Chart 3">
          <a:extLst>
            <a:ext uri="{FF2B5EF4-FFF2-40B4-BE49-F238E27FC236}">
              <a16:creationId xmlns:a16="http://schemas.microsoft.com/office/drawing/2014/main" id="{0D72FC8C-462B-39F5-FA28-2F12BD874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19</xdr:col>
      <xdr:colOff>0</xdr:colOff>
      <xdr:row>26</xdr:row>
      <xdr:rowOff>0</xdr:rowOff>
    </xdr:to>
    <xdr:graphicFrame macro="">
      <xdr:nvGraphicFramePr>
        <xdr:cNvPr id="5" name="Chart 4">
          <a:extLst>
            <a:ext uri="{FF2B5EF4-FFF2-40B4-BE49-F238E27FC236}">
              <a16:creationId xmlns:a16="http://schemas.microsoft.com/office/drawing/2014/main" id="{F0777EE0-B532-B8AD-569D-7EE60183B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14</xdr:row>
      <xdr:rowOff>1</xdr:rowOff>
    </xdr:from>
    <xdr:to>
      <xdr:col>19</xdr:col>
      <xdr:colOff>0</xdr:colOff>
      <xdr:row>26</xdr:row>
      <xdr:rowOff>0</xdr:rowOff>
    </xdr:to>
    <xdr:graphicFrame macro="">
      <xdr:nvGraphicFramePr>
        <xdr:cNvPr id="5" name="Chart 4">
          <a:extLst>
            <a:ext uri="{FF2B5EF4-FFF2-40B4-BE49-F238E27FC236}">
              <a16:creationId xmlns:a16="http://schemas.microsoft.com/office/drawing/2014/main" id="{AD0BC81E-73C0-A826-7049-F7D4F30D5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xdr:row>
      <xdr:rowOff>0</xdr:rowOff>
    </xdr:from>
    <xdr:to>
      <xdr:col>19</xdr:col>
      <xdr:colOff>0</xdr:colOff>
      <xdr:row>14</xdr:row>
      <xdr:rowOff>0</xdr:rowOff>
    </xdr:to>
    <xdr:graphicFrame macro="">
      <xdr:nvGraphicFramePr>
        <xdr:cNvPr id="6" name="Chart 5">
          <a:extLst>
            <a:ext uri="{FF2B5EF4-FFF2-40B4-BE49-F238E27FC236}">
              <a16:creationId xmlns:a16="http://schemas.microsoft.com/office/drawing/2014/main" id="{C83917FB-3833-7CEF-68BF-6387DBCED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8B44A7-D0D1-4A79-A742-31CA444A4CE7}"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E97856F-66C7-48FA-A5E4-F6D06B648781}"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C548986-EA97-40D4-B838-AE7A7FF1C56C}"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88EE6578-0313-45C3-B03E-B4E8211E6EFA}"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5B4E96-4381-4D71-8FE3-EE10305808A1}" name="temporal_comparison_death_to_birth_rates" displayName="temporal_comparison_death_to_birth_rates" ref="A1:J11" tableType="queryTable" totalsRowShown="0" headerRowDxfId="40">
  <autoFilter ref="A1:J11" xr:uid="{4D5B4E96-4381-4D71-8FE3-EE10305808A1}"/>
  <tableColumns count="10">
    <tableColumn id="1" xr3:uid="{0E237911-EB28-4497-AF43-2079BE82DC28}" uniqueName="1" name="Hospital" queryTableFieldId="1" dataDxfId="39"/>
    <tableColumn id="2" xr3:uid="{D99CD7F9-199E-42B0-8C5B-60908CCD2710}" uniqueName="2" name="Stage" queryTableFieldId="2" dataDxfId="38"/>
    <tableColumn id="3" xr3:uid="{4BD66AC2-2242-482D-83D3-B97B6AC5BB5D}" uniqueName="3" name="Year" queryTableFieldId="3" dataDxfId="37"/>
    <tableColumn id="4" xr3:uid="{682C8D49-E60F-4D0C-839E-A57F9FEE385F}" uniqueName="4" name="Rate" queryTableFieldId="4"/>
    <tableColumn id="5" xr3:uid="{C4C68897-E931-4D30-BE97-C0C66D6B2C75}" uniqueName="5" name="Mean" queryTableFieldId="5" dataDxfId="36">
      <calculatedColumnFormula>ROUND(AVERAGE($D$2:$D$11),2)</calculatedColumnFormula>
    </tableColumn>
    <tableColumn id="6" xr3:uid="{232AB63B-D9E3-45F1-8D90-6BB41BA2C3D4}" uniqueName="6" name="UPL" queryTableFieldId="6" dataDxfId="35">
      <calculatedColumnFormula>ROUND(E2+(2.66*I2),2)</calculatedColumnFormula>
    </tableColumn>
    <tableColumn id="7" xr3:uid="{B83EDC9C-66FA-4D34-B9B0-C84FBC3D09EA}" uniqueName="7" name="LPL" queryTableFieldId="7" dataDxfId="34">
      <calculatedColumnFormula>ROUND(MAX(0,E2-(2.66*I2)),2)</calculatedColumnFormula>
    </tableColumn>
    <tableColumn id="8" xr3:uid="{B243B2A8-DA5E-486A-85A4-5C35A29631B1}" uniqueName="8" name="mR" queryTableFieldId="8" dataDxfId="33">
      <calculatedColumnFormula>ABS(D1-D2)</calculatedColumnFormula>
    </tableColumn>
    <tableColumn id="9" xr3:uid="{0320771C-8294-4994-8C60-32F852909806}" uniqueName="9" name="Ave. mR" queryTableFieldId="9" dataDxfId="32">
      <calculatedColumnFormula>ROUND(AVERAGE($H$3:$H$11),2)</calculatedColumnFormula>
    </tableColumn>
    <tableColumn id="10" xr3:uid="{DEE0C8E8-FA9B-4B41-B10B-2E7735C026A3}" uniqueName="10" name="URL" queryTableFieldId="10" dataDxfId="31">
      <calculatedColumnFormula>ROUND(3.268*I2,2)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A80626-5AB2-4963-B07E-0C5A2B0BC38E}" name="temporal_comparison_death_to_birth_rates4" displayName="temporal_comparison_death_to_birth_rates4" ref="A1:J11" tableType="queryTable" totalsRowShown="0" headerRowDxfId="30">
  <autoFilter ref="A1:J11" xr:uid="{4D5B4E96-4381-4D71-8FE3-EE10305808A1}"/>
  <tableColumns count="10">
    <tableColumn id="1" xr3:uid="{B8F2502F-6C50-4D82-9951-2FC3E2786C63}" uniqueName="1" name="Hospital" queryTableFieldId="1" dataDxfId="29"/>
    <tableColumn id="2" xr3:uid="{FE5402F9-9513-43F7-9148-71548F48D13C}" uniqueName="2" name="Stage" queryTableFieldId="2" dataDxfId="28"/>
    <tableColumn id="3" xr3:uid="{EDE70BEF-427B-419F-B41C-92EBAA5C232C}" uniqueName="3" name="Year" queryTableFieldId="3" dataDxfId="27"/>
    <tableColumn id="4" xr3:uid="{756D1CE6-0556-470D-BA1F-51075580D9AD}" uniqueName="4" name="Rate" queryTableFieldId="4"/>
    <tableColumn id="5" xr3:uid="{A1D90A6E-1758-4B61-A0B0-3B001CBADBDF}" uniqueName="5" name="Mean" queryTableFieldId="5" dataDxfId="26">
      <calculatedColumnFormula>ROUND(AVERAGE($D$2:$D$11),2)</calculatedColumnFormula>
    </tableColumn>
    <tableColumn id="6" xr3:uid="{FBD12641-56B3-4728-B5F0-8BFFAE6F8553}" uniqueName="6" name="UPL" queryTableFieldId="6" dataDxfId="25">
      <calculatedColumnFormula>ROUND(E2+(2.66*I2),2)</calculatedColumnFormula>
    </tableColumn>
    <tableColumn id="7" xr3:uid="{4338CDFC-DB30-4307-99F4-74045A128E90}" uniqueName="7" name="LPL" queryTableFieldId="7" dataDxfId="24">
      <calculatedColumnFormula>ROUND(MAX(0,E2-(2.66*I2)),2)</calculatedColumnFormula>
    </tableColumn>
    <tableColumn id="8" xr3:uid="{ECB85390-BCBB-493B-AE2E-F1981C9CB3A4}" uniqueName="8" name="mR" queryTableFieldId="8" dataDxfId="23">
      <calculatedColumnFormula>ABS(D1-D2)</calculatedColumnFormula>
    </tableColumn>
    <tableColumn id="9" xr3:uid="{5075306C-773E-4424-95BE-5FBDC2986F37}" uniqueName="9" name="Ave. mR" queryTableFieldId="9" dataDxfId="22">
      <calculatedColumnFormula>ROUND(AVERAGE($H$3:$H$11),2)</calculatedColumnFormula>
    </tableColumn>
    <tableColumn id="10" xr3:uid="{2E356281-B790-4FF7-B36F-32D6B2ABDA14}" uniqueName="10" name="URL" queryTableFieldId="10" dataDxfId="21">
      <calculatedColumnFormula>ROUND(3.268*I2,2)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BD7147-99DC-48A8-BB26-F50AFC463ED1}" name="temporal_comparison_death_to_birth_rates45" displayName="temporal_comparison_death_to_birth_rates45" ref="A1:J11" tableType="queryTable" totalsRowShown="0" headerRowDxfId="20">
  <autoFilter ref="A1:J11" xr:uid="{4D5B4E96-4381-4D71-8FE3-EE10305808A1}"/>
  <tableColumns count="10">
    <tableColumn id="1" xr3:uid="{D41BE0D5-6153-4005-A854-AB36944CBD37}" uniqueName="1" name="Hospital" queryTableFieldId="1" dataDxfId="19"/>
    <tableColumn id="2" xr3:uid="{41F17063-3A34-48EF-8415-B4A55D2D28CB}" uniqueName="2" name="Stage" queryTableFieldId="2" dataDxfId="18"/>
    <tableColumn id="3" xr3:uid="{2D4FF0D0-C949-4154-8CAD-E09BB295A3C5}" uniqueName="3" name="Year" queryTableFieldId="3" dataDxfId="17"/>
    <tableColumn id="4" xr3:uid="{8DF18982-A6A7-44CE-AF1A-F1E6DC4088F0}" uniqueName="4" name="Rate" queryTableFieldId="4"/>
    <tableColumn id="5" xr3:uid="{607D9234-3137-4DE3-A654-87C52D85B157}" uniqueName="5" name="Mean" queryTableFieldId="5" dataDxfId="16">
      <calculatedColumnFormula>ROUND(AVERAGE($D$2:$D$11),2)</calculatedColumnFormula>
    </tableColumn>
    <tableColumn id="6" xr3:uid="{96378B6A-F5FB-40CF-A5B2-C61D85D302F7}" uniqueName="6" name="UPL" queryTableFieldId="6" dataDxfId="15">
      <calculatedColumnFormula>ROUND(E2+(2.66*I2),2)</calculatedColumnFormula>
    </tableColumn>
    <tableColumn id="7" xr3:uid="{C4E53EFC-E197-4B44-A986-F1952224E040}" uniqueName="7" name="LPL" queryTableFieldId="7" dataDxfId="14">
      <calculatedColumnFormula>ROUND(MAX(0,E2-(2.66*I2)),2)</calculatedColumnFormula>
    </tableColumn>
    <tableColumn id="8" xr3:uid="{71D98EDE-CBEA-4BFF-8F2C-EFFDA9359AF4}" uniqueName="8" name="mR" queryTableFieldId="8" dataDxfId="13">
      <calculatedColumnFormula>ABS(D1-D2)</calculatedColumnFormula>
    </tableColumn>
    <tableColumn id="9" xr3:uid="{D56CF19D-54DC-43C8-8944-934AF19B8BB7}" uniqueName="9" name="Ave. mR" queryTableFieldId="9" dataDxfId="12">
      <calculatedColumnFormula>ROUND(AVERAGE($H$3:$H$11),2)</calculatedColumnFormula>
    </tableColumn>
    <tableColumn id="10" xr3:uid="{D2B81377-A1CF-4DC4-B53E-2DAA9F380AF3}" uniqueName="10" name="URL" queryTableFieldId="10" dataDxfId="11">
      <calculatedColumnFormula>ROUND(3.268*I2,2)</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2BF893-3E0D-4D1C-9ADE-825B3AA90627}" name="temporal_comparison_death_to_birth_rates456" displayName="temporal_comparison_death_to_birth_rates456" ref="A1:J11" tableType="queryTable" totalsRowShown="0" headerRowDxfId="10">
  <autoFilter ref="A1:J11" xr:uid="{4D5B4E96-4381-4D71-8FE3-EE10305808A1}"/>
  <tableColumns count="10">
    <tableColumn id="1" xr3:uid="{5099F1C4-5CEE-4064-8415-E02BD8C48649}" uniqueName="1" name="Hospital" queryTableFieldId="1" dataDxfId="9"/>
    <tableColumn id="2" xr3:uid="{CE9DFCA8-0498-4B2E-A458-764589C4AA43}" uniqueName="2" name="Stage" queryTableFieldId="2" dataDxfId="8"/>
    <tableColumn id="3" xr3:uid="{0D620AE5-0FAC-4E9B-A374-242A18D15923}" uniqueName="3" name="Year" queryTableFieldId="3" dataDxfId="7"/>
    <tableColumn id="4" xr3:uid="{B319EBA8-96DB-4FC3-9AD6-6F5384BCE83F}" uniqueName="4" name="Rate" queryTableFieldId="4" dataDxfId="6"/>
    <tableColumn id="5" xr3:uid="{F551FAA4-4A88-44B8-828D-31DA997074A9}" uniqueName="5" name="Mean" queryTableFieldId="5" dataDxfId="5">
      <calculatedColumnFormula>ROUND(AVERAGE($D$2:$D$2),2)</calculatedColumnFormula>
    </tableColumn>
    <tableColumn id="6" xr3:uid="{02C89410-13E8-43B2-B119-2EC0C43BF55F}" uniqueName="6" name="UPL" queryTableFieldId="6" dataDxfId="4">
      <calculatedColumnFormula>ROUND(E2+(2.66*I2),2)</calculatedColumnFormula>
    </tableColumn>
    <tableColumn id="7" xr3:uid="{5F665CC8-1B7E-4D66-A7A3-A2B73C9BC00B}" uniqueName="7" name="LPL" queryTableFieldId="7" dataDxfId="3">
      <calculatedColumnFormula>ROUND(MAX(0,E2-(2.66*I2)),2)</calculatedColumnFormula>
    </tableColumn>
    <tableColumn id="8" xr3:uid="{2391CF69-61F6-4D50-A8E9-ADB83D6703B1}" uniqueName="8" name="mR" queryTableFieldId="8" dataDxfId="2">
      <calculatedColumnFormula>ABS(D1-D2)</calculatedColumnFormula>
    </tableColumn>
    <tableColumn id="9" xr3:uid="{6977ABA4-3343-4BC6-8173-DDA931A2AFD4}" uniqueName="9" name="Ave. mR" queryTableFieldId="9" dataDxfId="1">
      <calculatedColumnFormula>ROUND(AVERAGE($H$3:$H$11),2)</calculatedColumnFormula>
    </tableColumn>
    <tableColumn id="10" xr3:uid="{28B8ACAB-85EB-4667-A434-D295479387FF}" uniqueName="10" name="URL" queryTableFieldId="10" dataDxfId="0">
      <calculatedColumnFormula>ROUND(3.268*I2,2)</calculatedColumnFormula>
    </tableColumn>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8"/>
  <sheetViews>
    <sheetView showGridLines="0" tabSelected="1" workbookViewId="0">
      <selection activeCell="Q16" sqref="Q16"/>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25" t="s">
        <v>0</v>
      </c>
      <c r="C1" s="26"/>
      <c r="D1" s="26"/>
      <c r="E1" s="26"/>
      <c r="F1" s="26"/>
      <c r="G1" s="26"/>
      <c r="H1" s="27"/>
    </row>
    <row r="2" spans="1:10" ht="15.75" customHeight="1" x14ac:dyDescent="0.25">
      <c r="A2" s="1"/>
      <c r="B2" s="28" t="s">
        <v>41</v>
      </c>
      <c r="C2" s="29"/>
      <c r="D2" s="29"/>
      <c r="E2" s="29"/>
      <c r="F2" s="29"/>
      <c r="G2" s="29"/>
      <c r="H2" s="30"/>
      <c r="J2" s="3"/>
    </row>
    <row r="3" spans="1:10" ht="15.75" customHeight="1" x14ac:dyDescent="0.25">
      <c r="A3" s="1"/>
      <c r="B3" s="31"/>
      <c r="C3" s="32"/>
      <c r="D3" s="32"/>
      <c r="E3" s="32"/>
      <c r="F3" s="32"/>
      <c r="G3" s="32"/>
      <c r="H3" s="33"/>
    </row>
    <row r="4" spans="1:10" ht="15.75" customHeight="1" x14ac:dyDescent="0.25">
      <c r="A4" s="1"/>
      <c r="B4" s="31"/>
      <c r="C4" s="32"/>
      <c r="D4" s="32"/>
      <c r="E4" s="32"/>
      <c r="F4" s="32"/>
      <c r="G4" s="32"/>
      <c r="H4" s="33"/>
    </row>
    <row r="5" spans="1:10" ht="15.75" customHeight="1" x14ac:dyDescent="0.25">
      <c r="A5" s="1"/>
      <c r="B5" s="31"/>
      <c r="C5" s="32"/>
      <c r="D5" s="32"/>
      <c r="E5" s="32"/>
      <c r="F5" s="32"/>
      <c r="G5" s="32"/>
      <c r="H5" s="33"/>
    </row>
    <row r="6" spans="1:10" ht="15.75" customHeight="1" x14ac:dyDescent="0.25">
      <c r="A6" s="1"/>
      <c r="B6" s="31"/>
      <c r="C6" s="32"/>
      <c r="D6" s="32"/>
      <c r="E6" s="32"/>
      <c r="F6" s="32"/>
      <c r="G6" s="32"/>
      <c r="H6" s="33"/>
    </row>
    <row r="7" spans="1:10" ht="15.75" customHeight="1" x14ac:dyDescent="0.25">
      <c r="A7" s="1"/>
      <c r="B7" s="31"/>
      <c r="C7" s="32"/>
      <c r="D7" s="32"/>
      <c r="E7" s="32"/>
      <c r="F7" s="32"/>
      <c r="G7" s="32"/>
      <c r="H7" s="33"/>
    </row>
    <row r="8" spans="1:10" ht="15.75" customHeight="1" x14ac:dyDescent="0.25">
      <c r="A8" s="1"/>
      <c r="B8" s="31"/>
      <c r="C8" s="32"/>
      <c r="D8" s="32"/>
      <c r="E8" s="32"/>
      <c r="F8" s="32"/>
      <c r="G8" s="32"/>
      <c r="H8" s="33"/>
    </row>
    <row r="9" spans="1:10" ht="15.75" customHeight="1" x14ac:dyDescent="0.25">
      <c r="A9" s="1"/>
      <c r="B9" s="31"/>
      <c r="C9" s="32"/>
      <c r="D9" s="32"/>
      <c r="E9" s="32"/>
      <c r="F9" s="32"/>
      <c r="G9" s="32"/>
      <c r="H9" s="33"/>
    </row>
    <row r="10" spans="1:10" ht="15.75" customHeight="1" x14ac:dyDescent="0.25">
      <c r="A10" s="1"/>
      <c r="B10" s="31"/>
      <c r="C10" s="32"/>
      <c r="D10" s="32"/>
      <c r="E10" s="32"/>
      <c r="F10" s="32"/>
      <c r="G10" s="32"/>
      <c r="H10" s="33"/>
    </row>
    <row r="11" spans="1:10" ht="15.75" customHeight="1" x14ac:dyDescent="0.25">
      <c r="A11" s="1"/>
      <c r="B11" s="31"/>
      <c r="C11" s="32"/>
      <c r="D11" s="32"/>
      <c r="E11" s="32"/>
      <c r="F11" s="32"/>
      <c r="G11" s="32"/>
      <c r="H11" s="33"/>
    </row>
    <row r="12" spans="1:10" ht="15.75" customHeight="1" x14ac:dyDescent="0.25">
      <c r="A12" s="1"/>
      <c r="B12" s="31"/>
      <c r="C12" s="32"/>
      <c r="D12" s="32"/>
      <c r="E12" s="32"/>
      <c r="F12" s="32"/>
      <c r="G12" s="32"/>
      <c r="H12" s="33"/>
    </row>
    <row r="13" spans="1:10" ht="15.75" customHeight="1" x14ac:dyDescent="0.25">
      <c r="A13" s="1"/>
      <c r="B13" s="31"/>
      <c r="C13" s="32"/>
      <c r="D13" s="32"/>
      <c r="E13" s="32"/>
      <c r="F13" s="32"/>
      <c r="G13" s="32"/>
      <c r="H13" s="33"/>
    </row>
    <row r="14" spans="1:10" ht="15.75" customHeight="1" x14ac:dyDescent="0.25">
      <c r="A14" s="1"/>
      <c r="B14" s="31"/>
      <c r="C14" s="32"/>
      <c r="D14" s="32"/>
      <c r="E14" s="32"/>
      <c r="F14" s="32"/>
      <c r="G14" s="32"/>
      <c r="H14" s="33"/>
    </row>
    <row r="15" spans="1:10" ht="15.75" customHeight="1" x14ac:dyDescent="0.25">
      <c r="A15" s="1"/>
      <c r="B15" s="31"/>
      <c r="C15" s="32"/>
      <c r="D15" s="32"/>
      <c r="E15" s="32"/>
      <c r="F15" s="32"/>
      <c r="G15" s="32"/>
      <c r="H15" s="33"/>
    </row>
    <row r="16" spans="1:10" ht="15.75" customHeight="1" x14ac:dyDescent="0.25">
      <c r="A16" s="1"/>
      <c r="B16" s="31"/>
      <c r="C16" s="32"/>
      <c r="D16" s="32"/>
      <c r="E16" s="32"/>
      <c r="F16" s="32"/>
      <c r="G16" s="32"/>
      <c r="H16" s="33"/>
    </row>
    <row r="17" spans="1:8" ht="15.75" customHeight="1" x14ac:dyDescent="0.25">
      <c r="A17" s="1"/>
      <c r="B17" s="31"/>
      <c r="C17" s="32"/>
      <c r="D17" s="32"/>
      <c r="E17" s="32"/>
      <c r="F17" s="32"/>
      <c r="G17" s="32"/>
      <c r="H17" s="33"/>
    </row>
    <row r="18" spans="1:8" ht="15.75" customHeight="1" x14ac:dyDescent="0.25">
      <c r="A18" s="1"/>
      <c r="B18" s="31"/>
      <c r="C18" s="32"/>
      <c r="D18" s="32"/>
      <c r="E18" s="32"/>
      <c r="F18" s="32"/>
      <c r="G18" s="32"/>
      <c r="H18" s="33"/>
    </row>
    <row r="19" spans="1:8" ht="15.75" customHeight="1" x14ac:dyDescent="0.25">
      <c r="A19" s="1"/>
      <c r="B19" s="31"/>
      <c r="C19" s="32"/>
      <c r="D19" s="32"/>
      <c r="E19" s="32"/>
      <c r="F19" s="32"/>
      <c r="G19" s="32"/>
      <c r="H19" s="33"/>
    </row>
    <row r="20" spans="1:8" ht="15.75" customHeight="1" x14ac:dyDescent="0.25">
      <c r="A20" s="1"/>
      <c r="B20" s="31"/>
      <c r="C20" s="32"/>
      <c r="D20" s="32"/>
      <c r="E20" s="32"/>
      <c r="F20" s="32"/>
      <c r="G20" s="32"/>
      <c r="H20" s="33"/>
    </row>
    <row r="21" spans="1:8" ht="15.75" customHeight="1" x14ac:dyDescent="0.25">
      <c r="A21" s="1"/>
      <c r="B21" s="31"/>
      <c r="C21" s="32"/>
      <c r="D21" s="32"/>
      <c r="E21" s="32"/>
      <c r="F21" s="32"/>
      <c r="G21" s="32"/>
      <c r="H21" s="33"/>
    </row>
    <row r="22" spans="1:8" ht="15.75" customHeight="1" x14ac:dyDescent="0.25">
      <c r="A22" s="1"/>
      <c r="B22" s="31"/>
      <c r="C22" s="32"/>
      <c r="D22" s="32"/>
      <c r="E22" s="32"/>
      <c r="F22" s="32"/>
      <c r="G22" s="32"/>
      <c r="H22" s="33"/>
    </row>
    <row r="23" spans="1:8" ht="15.75" customHeight="1" x14ac:dyDescent="0.25">
      <c r="A23" s="1"/>
      <c r="B23" s="31"/>
      <c r="C23" s="32"/>
      <c r="D23" s="32"/>
      <c r="E23" s="32"/>
      <c r="F23" s="32"/>
      <c r="G23" s="32"/>
      <c r="H23" s="33"/>
    </row>
    <row r="24" spans="1:8" ht="15.75" customHeight="1" x14ac:dyDescent="0.25">
      <c r="A24" s="1"/>
      <c r="B24" s="31"/>
      <c r="C24" s="32"/>
      <c r="D24" s="32"/>
      <c r="E24" s="32"/>
      <c r="F24" s="32"/>
      <c r="G24" s="32"/>
      <c r="H24" s="33"/>
    </row>
    <row r="25" spans="1:8" ht="15.75" customHeight="1" x14ac:dyDescent="0.25">
      <c r="A25" s="1"/>
      <c r="B25" s="31"/>
      <c r="C25" s="32"/>
      <c r="D25" s="32"/>
      <c r="E25" s="32"/>
      <c r="F25" s="32"/>
      <c r="G25" s="32"/>
      <c r="H25" s="33"/>
    </row>
    <row r="26" spans="1:8" ht="15.75" customHeight="1" x14ac:dyDescent="0.25">
      <c r="A26" s="1"/>
      <c r="B26" s="31"/>
      <c r="C26" s="32"/>
      <c r="D26" s="32"/>
      <c r="E26" s="32"/>
      <c r="F26" s="32"/>
      <c r="G26" s="32"/>
      <c r="H26" s="33"/>
    </row>
    <row r="27" spans="1:8" ht="15.75" customHeight="1" x14ac:dyDescent="0.25">
      <c r="B27" s="31"/>
      <c r="C27" s="32"/>
      <c r="D27" s="32"/>
      <c r="E27" s="32"/>
      <c r="F27" s="32"/>
      <c r="G27" s="32"/>
      <c r="H27" s="33"/>
    </row>
    <row r="28" spans="1:8" ht="15.75" customHeight="1" x14ac:dyDescent="0.25">
      <c r="B28" s="31"/>
      <c r="C28" s="32"/>
      <c r="D28" s="32"/>
      <c r="E28" s="32"/>
      <c r="F28" s="32"/>
      <c r="G28" s="32"/>
      <c r="H28" s="33"/>
    </row>
    <row r="29" spans="1:8" ht="15.75" customHeight="1" x14ac:dyDescent="0.25">
      <c r="B29" s="34"/>
      <c r="C29" s="35"/>
      <c r="D29" s="35"/>
      <c r="E29" s="35"/>
      <c r="F29" s="35"/>
      <c r="G29" s="35"/>
      <c r="H29" s="36"/>
    </row>
    <row r="30" spans="1:8" ht="15.75" customHeight="1" x14ac:dyDescent="0.25">
      <c r="B30" s="37" t="s">
        <v>33</v>
      </c>
      <c r="C30" s="38"/>
      <c r="D30" s="38"/>
      <c r="E30" s="38"/>
      <c r="F30" s="38"/>
      <c r="G30" s="38"/>
      <c r="H30" s="39"/>
    </row>
    <row r="31" spans="1:8" ht="15.75" customHeight="1" x14ac:dyDescent="0.25">
      <c r="B31" s="13" t="s">
        <v>34</v>
      </c>
      <c r="C31" s="14"/>
      <c r="D31" s="14"/>
      <c r="E31" s="14"/>
      <c r="F31" s="14"/>
      <c r="G31" s="14"/>
      <c r="H31" s="15"/>
    </row>
    <row r="32" spans="1:8" ht="15.75" customHeight="1" x14ac:dyDescent="0.25">
      <c r="B32" s="16" t="s">
        <v>35</v>
      </c>
      <c r="C32" s="17"/>
      <c r="D32" s="17"/>
      <c r="E32" s="17"/>
      <c r="F32" s="17"/>
      <c r="G32" s="17"/>
      <c r="H32" s="18"/>
    </row>
    <row r="33" spans="2:8" ht="15.75" customHeight="1" x14ac:dyDescent="0.25">
      <c r="B33" s="13" t="s">
        <v>36</v>
      </c>
      <c r="C33" s="14"/>
      <c r="D33" s="14"/>
      <c r="E33" s="14"/>
      <c r="F33" s="14"/>
      <c r="G33" s="14"/>
      <c r="H33" s="15"/>
    </row>
    <row r="34" spans="2:8" ht="15.75" customHeight="1" x14ac:dyDescent="0.25">
      <c r="B34" s="16" t="s">
        <v>37</v>
      </c>
      <c r="C34" s="17"/>
      <c r="D34" s="17"/>
      <c r="E34" s="17"/>
      <c r="F34" s="17"/>
      <c r="G34" s="17"/>
      <c r="H34" s="18"/>
    </row>
    <row r="35" spans="2:8" ht="15.75" customHeight="1" x14ac:dyDescent="0.25">
      <c r="B35" s="13" t="s">
        <v>38</v>
      </c>
      <c r="C35" s="14"/>
      <c r="D35" s="14"/>
      <c r="E35" s="14"/>
      <c r="F35" s="14"/>
      <c r="G35" s="14"/>
      <c r="H35" s="15"/>
    </row>
    <row r="36" spans="2:8" ht="15.75" customHeight="1" x14ac:dyDescent="0.25">
      <c r="B36" s="19" t="s">
        <v>39</v>
      </c>
      <c r="C36" s="20"/>
      <c r="D36" s="20"/>
      <c r="E36" s="20"/>
      <c r="F36" s="20"/>
      <c r="G36" s="20"/>
      <c r="H36" s="21"/>
    </row>
    <row r="37" spans="2:8" ht="15.75" customHeight="1" x14ac:dyDescent="0.25">
      <c r="B37" s="22" t="s">
        <v>40</v>
      </c>
      <c r="C37" s="23"/>
      <c r="D37" s="23"/>
      <c r="E37" s="23"/>
      <c r="F37" s="23"/>
      <c r="G37" s="23"/>
      <c r="H37" s="24"/>
    </row>
    <row r="38" spans="2:8" ht="26.4" x14ac:dyDescent="0.25">
      <c r="B38" s="4" t="s">
        <v>42</v>
      </c>
      <c r="C38" s="11" t="s">
        <v>43</v>
      </c>
      <c r="D38" s="11"/>
      <c r="E38" s="11"/>
      <c r="F38" s="11"/>
      <c r="G38" s="11"/>
      <c r="H38" s="12"/>
    </row>
  </sheetData>
  <mergeCells count="11">
    <mergeCell ref="B1:H1"/>
    <mergeCell ref="B2:H29"/>
    <mergeCell ref="B30:H30"/>
    <mergeCell ref="B31:H31"/>
    <mergeCell ref="B32:H32"/>
    <mergeCell ref="C38:H38"/>
    <mergeCell ref="B33:H33"/>
    <mergeCell ref="B34:H34"/>
    <mergeCell ref="B35:H35"/>
    <mergeCell ref="B36:H36"/>
    <mergeCell ref="B37:H37"/>
  </mergeCells>
  <hyperlinks>
    <hyperlink ref="B33" r:id="rId1" xr:uid="{2AFC0361-7392-45DD-885E-49DA1364D5DA}"/>
    <hyperlink ref="B31" r:id="rId2" xr:uid="{035D97CE-A958-433E-9DA3-C8B661447106}"/>
    <hyperlink ref="B35" r:id="rId3" xr:uid="{FA6F9C84-EE98-4991-9F4B-F7AC054E7E4C}"/>
    <hyperlink ref="B36" r:id="rId4" xr:uid="{AD11C04C-60BA-40B2-902C-83025E8C5829}"/>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9"/>
  <sheetViews>
    <sheetView workbookViewId="0">
      <selection activeCell="T12" sqref="T12"/>
    </sheetView>
  </sheetViews>
  <sheetFormatPr defaultColWidth="12.6640625" defaultRowHeight="15.75" customHeight="1" x14ac:dyDescent="0.25"/>
  <cols>
    <col min="1" max="1" width="21.5546875" bestFit="1" customWidth="1"/>
    <col min="2" max="2" width="7.88671875" bestFit="1" customWidth="1"/>
    <col min="3" max="3" width="7.109375" bestFit="1" customWidth="1"/>
    <col min="4" max="4" width="6.88671875" bestFit="1" customWidth="1"/>
    <col min="5" max="5" width="7.6640625" bestFit="1" customWidth="1"/>
    <col min="6" max="6" width="6.6640625" bestFit="1" customWidth="1"/>
    <col min="7" max="7" width="6.44140625" bestFit="1" customWidth="1"/>
    <col min="8" max="8" width="8.44140625" bestFit="1" customWidth="1"/>
    <col min="9" max="9" width="10" bestFit="1" customWidth="1"/>
    <col min="10" max="10" width="6.6640625" bestFit="1" customWidth="1"/>
  </cols>
  <sheetData>
    <row r="1" spans="1:10" ht="13.2" x14ac:dyDescent="0.25">
      <c r="A1" s="2" t="s">
        <v>1</v>
      </c>
      <c r="B1" s="5" t="s">
        <v>2</v>
      </c>
      <c r="C1" s="5" t="s">
        <v>3</v>
      </c>
      <c r="D1" s="5" t="s">
        <v>4</v>
      </c>
      <c r="E1" s="6" t="s">
        <v>5</v>
      </c>
      <c r="F1" s="6" t="s">
        <v>6</v>
      </c>
      <c r="G1" s="6" t="s">
        <v>7</v>
      </c>
      <c r="H1" s="6" t="s">
        <v>8</v>
      </c>
      <c r="I1" s="6" t="s">
        <v>9</v>
      </c>
      <c r="J1" s="6" t="s">
        <v>10</v>
      </c>
    </row>
    <row r="2" spans="1:10" ht="13.2" x14ac:dyDescent="0.25">
      <c r="A2" t="s">
        <v>11</v>
      </c>
      <c r="B2" t="s">
        <v>44</v>
      </c>
      <c r="C2" t="s">
        <v>12</v>
      </c>
      <c r="D2">
        <v>0.9</v>
      </c>
      <c r="E2">
        <f t="shared" ref="E2:E11" si="0">ROUND(AVERAGE($D$2:$D$11),2)</f>
        <v>1.02</v>
      </c>
      <c r="F2">
        <f t="shared" ref="F2:F11" si="1">ROUND(E2+(2.66*I2),2)</f>
        <v>2.38</v>
      </c>
      <c r="G2">
        <f t="shared" ref="G2:G11" si="2">ROUND(MAX(0,E2-(2.66*I2)),2)</f>
        <v>0</v>
      </c>
      <c r="I2">
        <f t="shared" ref="I2:I11" si="3">ROUND(AVERAGE($H$3:$H$11),2)</f>
        <v>0.51</v>
      </c>
      <c r="J2">
        <f t="shared" ref="J2:J11" si="4">ROUND(3.268*I2,2)</f>
        <v>1.67</v>
      </c>
    </row>
    <row r="3" spans="1:10" ht="13.2" x14ac:dyDescent="0.25">
      <c r="A3" t="s">
        <v>11</v>
      </c>
      <c r="B3" t="s">
        <v>44</v>
      </c>
      <c r="C3" t="s">
        <v>13</v>
      </c>
      <c r="D3">
        <v>0.6</v>
      </c>
      <c r="E3">
        <f t="shared" si="0"/>
        <v>1.02</v>
      </c>
      <c r="F3">
        <f t="shared" si="1"/>
        <v>2.38</v>
      </c>
      <c r="G3">
        <f t="shared" si="2"/>
        <v>0</v>
      </c>
      <c r="H3">
        <f t="shared" ref="H3:H11" si="5">ABS(D2-D3)</f>
        <v>0.30000000000000004</v>
      </c>
      <c r="I3">
        <f t="shared" si="3"/>
        <v>0.51</v>
      </c>
      <c r="J3">
        <f t="shared" si="4"/>
        <v>1.67</v>
      </c>
    </row>
    <row r="4" spans="1:10" ht="13.2" x14ac:dyDescent="0.25">
      <c r="A4" t="s">
        <v>11</v>
      </c>
      <c r="B4" t="s">
        <v>44</v>
      </c>
      <c r="C4" t="s">
        <v>14</v>
      </c>
      <c r="D4">
        <v>0.6</v>
      </c>
      <c r="E4">
        <f t="shared" si="0"/>
        <v>1.02</v>
      </c>
      <c r="F4">
        <f t="shared" si="1"/>
        <v>2.38</v>
      </c>
      <c r="G4">
        <f t="shared" si="2"/>
        <v>0</v>
      </c>
      <c r="H4">
        <f t="shared" si="5"/>
        <v>0</v>
      </c>
      <c r="I4">
        <f t="shared" si="3"/>
        <v>0.51</v>
      </c>
      <c r="J4">
        <f t="shared" si="4"/>
        <v>1.67</v>
      </c>
    </row>
    <row r="5" spans="1:10" ht="13.2" x14ac:dyDescent="0.25">
      <c r="A5" t="s">
        <v>11</v>
      </c>
      <c r="B5" t="s">
        <v>44</v>
      </c>
      <c r="C5" t="s">
        <v>15</v>
      </c>
      <c r="D5">
        <v>0.7</v>
      </c>
      <c r="E5">
        <f t="shared" si="0"/>
        <v>1.02</v>
      </c>
      <c r="F5">
        <f t="shared" si="1"/>
        <v>2.38</v>
      </c>
      <c r="G5">
        <f t="shared" si="2"/>
        <v>0</v>
      </c>
      <c r="H5">
        <f t="shared" si="5"/>
        <v>9.9999999999999978E-2</v>
      </c>
      <c r="I5">
        <f t="shared" si="3"/>
        <v>0.51</v>
      </c>
      <c r="J5">
        <f t="shared" si="4"/>
        <v>1.67</v>
      </c>
    </row>
    <row r="6" spans="1:10" ht="13.2" x14ac:dyDescent="0.25">
      <c r="A6" t="s">
        <v>11</v>
      </c>
      <c r="B6" t="s">
        <v>44</v>
      </c>
      <c r="C6" t="s">
        <v>16</v>
      </c>
      <c r="D6">
        <v>1.6</v>
      </c>
      <c r="E6">
        <f t="shared" si="0"/>
        <v>1.02</v>
      </c>
      <c r="F6">
        <f t="shared" si="1"/>
        <v>2.38</v>
      </c>
      <c r="G6">
        <f t="shared" si="2"/>
        <v>0</v>
      </c>
      <c r="H6">
        <f t="shared" si="5"/>
        <v>0.90000000000000013</v>
      </c>
      <c r="I6">
        <f t="shared" si="3"/>
        <v>0.51</v>
      </c>
      <c r="J6">
        <f t="shared" si="4"/>
        <v>1.67</v>
      </c>
    </row>
    <row r="7" spans="1:10" ht="13.2" x14ac:dyDescent="0.25">
      <c r="A7" t="s">
        <v>11</v>
      </c>
      <c r="B7" t="s">
        <v>44</v>
      </c>
      <c r="C7" t="s">
        <v>17</v>
      </c>
      <c r="D7">
        <v>1.7</v>
      </c>
      <c r="E7">
        <f t="shared" si="0"/>
        <v>1.02</v>
      </c>
      <c r="F7">
        <f t="shared" si="1"/>
        <v>2.38</v>
      </c>
      <c r="G7">
        <f t="shared" si="2"/>
        <v>0</v>
      </c>
      <c r="H7">
        <f t="shared" si="5"/>
        <v>9.9999999999999867E-2</v>
      </c>
      <c r="I7">
        <f t="shared" si="3"/>
        <v>0.51</v>
      </c>
      <c r="J7">
        <f t="shared" si="4"/>
        <v>1.67</v>
      </c>
    </row>
    <row r="8" spans="1:10" ht="13.2" x14ac:dyDescent="0.25">
      <c r="A8" t="s">
        <v>11</v>
      </c>
      <c r="B8" t="s">
        <v>44</v>
      </c>
      <c r="C8" t="s">
        <v>18</v>
      </c>
      <c r="D8">
        <v>0.8</v>
      </c>
      <c r="E8">
        <f t="shared" si="0"/>
        <v>1.02</v>
      </c>
      <c r="F8">
        <f t="shared" si="1"/>
        <v>2.38</v>
      </c>
      <c r="G8">
        <f t="shared" si="2"/>
        <v>0</v>
      </c>
      <c r="H8">
        <f t="shared" si="5"/>
        <v>0.89999999999999991</v>
      </c>
      <c r="I8">
        <f t="shared" si="3"/>
        <v>0.51</v>
      </c>
      <c r="J8">
        <f t="shared" si="4"/>
        <v>1.67</v>
      </c>
    </row>
    <row r="9" spans="1:10" ht="13.2" x14ac:dyDescent="0.25">
      <c r="A9" t="s">
        <v>11</v>
      </c>
      <c r="B9" t="s">
        <v>44</v>
      </c>
      <c r="C9" t="s">
        <v>19</v>
      </c>
      <c r="D9">
        <v>1.6</v>
      </c>
      <c r="E9">
        <f t="shared" si="0"/>
        <v>1.02</v>
      </c>
      <c r="F9">
        <f t="shared" si="1"/>
        <v>2.38</v>
      </c>
      <c r="G9">
        <f t="shared" si="2"/>
        <v>0</v>
      </c>
      <c r="H9">
        <f t="shared" si="5"/>
        <v>0.8</v>
      </c>
      <c r="I9">
        <f t="shared" si="3"/>
        <v>0.51</v>
      </c>
      <c r="J9">
        <f t="shared" si="4"/>
        <v>1.67</v>
      </c>
    </row>
    <row r="10" spans="1:10" ht="13.2" x14ac:dyDescent="0.25">
      <c r="A10" t="s">
        <v>11</v>
      </c>
      <c r="B10" t="s">
        <v>44</v>
      </c>
      <c r="C10" t="s">
        <v>20</v>
      </c>
      <c r="D10">
        <v>0.6</v>
      </c>
      <c r="E10">
        <f t="shared" si="0"/>
        <v>1.02</v>
      </c>
      <c r="F10">
        <f t="shared" si="1"/>
        <v>2.38</v>
      </c>
      <c r="G10">
        <f t="shared" si="2"/>
        <v>0</v>
      </c>
      <c r="H10">
        <f t="shared" si="5"/>
        <v>1</v>
      </c>
      <c r="I10">
        <f t="shared" si="3"/>
        <v>0.51</v>
      </c>
      <c r="J10">
        <f t="shared" si="4"/>
        <v>1.67</v>
      </c>
    </row>
    <row r="11" spans="1:10" ht="13.2" x14ac:dyDescent="0.25">
      <c r="A11" t="s">
        <v>11</v>
      </c>
      <c r="B11" t="s">
        <v>44</v>
      </c>
      <c r="C11" t="s">
        <v>21</v>
      </c>
      <c r="D11">
        <v>1.1000000000000001</v>
      </c>
      <c r="E11">
        <f t="shared" si="0"/>
        <v>1.02</v>
      </c>
      <c r="F11">
        <f t="shared" si="1"/>
        <v>2.38</v>
      </c>
      <c r="G11">
        <f t="shared" si="2"/>
        <v>0</v>
      </c>
      <c r="H11">
        <f t="shared" si="5"/>
        <v>0.50000000000000011</v>
      </c>
      <c r="I11">
        <f t="shared" si="3"/>
        <v>0.51</v>
      </c>
      <c r="J11">
        <f t="shared" si="4"/>
        <v>1.67</v>
      </c>
    </row>
    <row r="12" spans="1:10" ht="13.2" x14ac:dyDescent="0.25"/>
    <row r="13" spans="1:10" ht="13.2" x14ac:dyDescent="0.25"/>
    <row r="14" spans="1:10" ht="13.2" x14ac:dyDescent="0.25"/>
    <row r="15" spans="1:10" ht="13.2" x14ac:dyDescent="0.25"/>
    <row r="16" spans="1:10"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E9A24-EBB3-41CD-BD67-90FD839906E5}">
  <sheetPr>
    <outlinePr summaryBelow="0" summaryRight="0"/>
  </sheetPr>
  <dimension ref="A1:J29"/>
  <sheetViews>
    <sheetView workbookViewId="0">
      <selection activeCell="Q32" sqref="Q32"/>
    </sheetView>
  </sheetViews>
  <sheetFormatPr defaultColWidth="12.6640625" defaultRowHeight="15.75" customHeight="1" x14ac:dyDescent="0.25"/>
  <cols>
    <col min="1" max="1" width="21.5546875" bestFit="1" customWidth="1"/>
    <col min="2" max="2" width="7.88671875" bestFit="1" customWidth="1"/>
    <col min="3" max="3" width="7.109375" bestFit="1" customWidth="1"/>
    <col min="4" max="4" width="6.88671875" bestFit="1" customWidth="1"/>
    <col min="5" max="5" width="7.6640625" bestFit="1" customWidth="1"/>
    <col min="6" max="6" width="6.6640625" bestFit="1" customWidth="1"/>
    <col min="7" max="7" width="6.44140625" bestFit="1" customWidth="1"/>
    <col min="8" max="8" width="8.44140625" bestFit="1" customWidth="1"/>
    <col min="9" max="9" width="10" bestFit="1" customWidth="1"/>
    <col min="10" max="10" width="6.6640625" bestFit="1" customWidth="1"/>
  </cols>
  <sheetData>
    <row r="1" spans="1:10" ht="13.2" x14ac:dyDescent="0.25">
      <c r="A1" s="2" t="s">
        <v>1</v>
      </c>
      <c r="B1" s="5" t="s">
        <v>2</v>
      </c>
      <c r="C1" s="5" t="s">
        <v>3</v>
      </c>
      <c r="D1" s="5" t="s">
        <v>4</v>
      </c>
      <c r="E1" s="6" t="s">
        <v>5</v>
      </c>
      <c r="F1" s="6" t="s">
        <v>6</v>
      </c>
      <c r="G1" s="6" t="s">
        <v>7</v>
      </c>
      <c r="H1" s="6" t="s">
        <v>8</v>
      </c>
      <c r="I1" s="6" t="s">
        <v>9</v>
      </c>
      <c r="J1" s="6" t="s">
        <v>10</v>
      </c>
    </row>
    <row r="2" spans="1:10" ht="13.2" x14ac:dyDescent="0.25">
      <c r="A2" t="s">
        <v>11</v>
      </c>
      <c r="B2" t="s">
        <v>45</v>
      </c>
      <c r="C2" t="s">
        <v>22</v>
      </c>
      <c r="D2">
        <v>0.6</v>
      </c>
      <c r="E2">
        <f t="shared" ref="E2:E11" si="0">ROUND(AVERAGE($D$2:$D$11),2)</f>
        <v>1.36</v>
      </c>
      <c r="F2">
        <f t="shared" ref="F2:F11" si="1">ROUND(E2+(2.66*I2),2)</f>
        <v>2.64</v>
      </c>
      <c r="G2">
        <f t="shared" ref="G2:G11" si="2">ROUND(MAX(0,E2-(2.66*I2)),2)</f>
        <v>0.08</v>
      </c>
      <c r="I2">
        <f t="shared" ref="I2:I11" si="3">ROUND(AVERAGE($H$3:$H$11),2)</f>
        <v>0.48</v>
      </c>
      <c r="J2">
        <f t="shared" ref="J2:J11" si="4">ROUND(3.268*I2,2)</f>
        <v>1.57</v>
      </c>
    </row>
    <row r="3" spans="1:10" ht="13.2" x14ac:dyDescent="0.25">
      <c r="A3" t="s">
        <v>11</v>
      </c>
      <c r="B3" t="s">
        <v>45</v>
      </c>
      <c r="C3" t="s">
        <v>23</v>
      </c>
      <c r="D3">
        <v>0.5</v>
      </c>
      <c r="E3">
        <f t="shared" si="0"/>
        <v>1.36</v>
      </c>
      <c r="F3">
        <f t="shared" si="1"/>
        <v>2.64</v>
      </c>
      <c r="G3">
        <f t="shared" si="2"/>
        <v>0.08</v>
      </c>
      <c r="H3">
        <f t="shared" ref="H3:H11" si="5">ABS(D2-D3)</f>
        <v>9.9999999999999978E-2</v>
      </c>
      <c r="I3">
        <f t="shared" si="3"/>
        <v>0.48</v>
      </c>
      <c r="J3">
        <f t="shared" si="4"/>
        <v>1.57</v>
      </c>
    </row>
    <row r="4" spans="1:10" ht="13.2" x14ac:dyDescent="0.25">
      <c r="A4" t="s">
        <v>11</v>
      </c>
      <c r="B4" t="s">
        <v>45</v>
      </c>
      <c r="C4" t="s">
        <v>24</v>
      </c>
      <c r="D4">
        <v>0.6</v>
      </c>
      <c r="E4">
        <f t="shared" si="0"/>
        <v>1.36</v>
      </c>
      <c r="F4">
        <f t="shared" si="1"/>
        <v>2.64</v>
      </c>
      <c r="G4">
        <f t="shared" si="2"/>
        <v>0.08</v>
      </c>
      <c r="H4">
        <f t="shared" si="5"/>
        <v>9.9999999999999978E-2</v>
      </c>
      <c r="I4">
        <f t="shared" si="3"/>
        <v>0.48</v>
      </c>
      <c r="J4">
        <f t="shared" si="4"/>
        <v>1.57</v>
      </c>
    </row>
    <row r="5" spans="1:10" ht="13.2" x14ac:dyDescent="0.25">
      <c r="A5" t="s">
        <v>11</v>
      </c>
      <c r="B5" t="s">
        <v>45</v>
      </c>
      <c r="C5" t="s">
        <v>25</v>
      </c>
      <c r="D5">
        <v>1.7</v>
      </c>
      <c r="E5">
        <f t="shared" si="0"/>
        <v>1.36</v>
      </c>
      <c r="F5">
        <f t="shared" si="1"/>
        <v>2.64</v>
      </c>
      <c r="G5">
        <f t="shared" si="2"/>
        <v>0.08</v>
      </c>
      <c r="H5">
        <f t="shared" si="5"/>
        <v>1.1000000000000001</v>
      </c>
      <c r="I5">
        <f t="shared" si="3"/>
        <v>0.48</v>
      </c>
      <c r="J5">
        <f t="shared" si="4"/>
        <v>1.57</v>
      </c>
    </row>
    <row r="6" spans="1:10" ht="13.2" x14ac:dyDescent="0.25">
      <c r="A6" t="s">
        <v>11</v>
      </c>
      <c r="B6" t="s">
        <v>45</v>
      </c>
      <c r="C6" t="s">
        <v>26</v>
      </c>
      <c r="D6">
        <v>1.8</v>
      </c>
      <c r="E6">
        <f t="shared" si="0"/>
        <v>1.36</v>
      </c>
      <c r="F6">
        <f t="shared" si="1"/>
        <v>2.64</v>
      </c>
      <c r="G6">
        <f t="shared" si="2"/>
        <v>0.08</v>
      </c>
      <c r="H6">
        <f t="shared" si="5"/>
        <v>0.10000000000000009</v>
      </c>
      <c r="I6">
        <f t="shared" si="3"/>
        <v>0.48</v>
      </c>
      <c r="J6">
        <f t="shared" si="4"/>
        <v>1.57</v>
      </c>
    </row>
    <row r="7" spans="1:10" ht="13.2" x14ac:dyDescent="0.25">
      <c r="A7" t="s">
        <v>11</v>
      </c>
      <c r="B7" t="s">
        <v>45</v>
      </c>
      <c r="C7" t="s">
        <v>27</v>
      </c>
      <c r="D7">
        <v>2</v>
      </c>
      <c r="E7">
        <f t="shared" si="0"/>
        <v>1.36</v>
      </c>
      <c r="F7">
        <f t="shared" si="1"/>
        <v>2.64</v>
      </c>
      <c r="G7">
        <f t="shared" si="2"/>
        <v>0.08</v>
      </c>
      <c r="H7">
        <f t="shared" si="5"/>
        <v>0.19999999999999996</v>
      </c>
      <c r="I7">
        <f t="shared" si="3"/>
        <v>0.48</v>
      </c>
      <c r="J7">
        <f t="shared" si="4"/>
        <v>1.57</v>
      </c>
    </row>
    <row r="8" spans="1:10" ht="13.2" x14ac:dyDescent="0.25">
      <c r="A8" t="s">
        <v>11</v>
      </c>
      <c r="B8" t="s">
        <v>45</v>
      </c>
      <c r="C8" t="s">
        <v>28</v>
      </c>
      <c r="D8">
        <v>1.3</v>
      </c>
      <c r="E8">
        <f t="shared" si="0"/>
        <v>1.36</v>
      </c>
      <c r="F8">
        <f t="shared" si="1"/>
        <v>2.64</v>
      </c>
      <c r="G8">
        <f t="shared" si="2"/>
        <v>0.08</v>
      </c>
      <c r="H8">
        <f t="shared" si="5"/>
        <v>0.7</v>
      </c>
      <c r="I8">
        <f t="shared" si="3"/>
        <v>0.48</v>
      </c>
      <c r="J8">
        <f t="shared" si="4"/>
        <v>1.57</v>
      </c>
    </row>
    <row r="9" spans="1:10" ht="13.2" x14ac:dyDescent="0.25">
      <c r="A9" t="s">
        <v>11</v>
      </c>
      <c r="B9" t="s">
        <v>45</v>
      </c>
      <c r="C9" t="s">
        <v>29</v>
      </c>
      <c r="D9">
        <v>2.1</v>
      </c>
      <c r="E9">
        <f t="shared" si="0"/>
        <v>1.36</v>
      </c>
      <c r="F9">
        <f t="shared" si="1"/>
        <v>2.64</v>
      </c>
      <c r="G9">
        <f t="shared" si="2"/>
        <v>0.08</v>
      </c>
      <c r="H9">
        <f t="shared" si="5"/>
        <v>0.8</v>
      </c>
      <c r="I9">
        <f t="shared" si="3"/>
        <v>0.48</v>
      </c>
      <c r="J9">
        <f t="shared" si="4"/>
        <v>1.57</v>
      </c>
    </row>
    <row r="10" spans="1:10" ht="13.2" x14ac:dyDescent="0.25">
      <c r="A10" t="s">
        <v>11</v>
      </c>
      <c r="B10" t="s">
        <v>45</v>
      </c>
      <c r="C10" t="s">
        <v>30</v>
      </c>
      <c r="D10">
        <v>1.3</v>
      </c>
      <c r="E10">
        <f t="shared" si="0"/>
        <v>1.36</v>
      </c>
      <c r="F10">
        <f t="shared" si="1"/>
        <v>2.64</v>
      </c>
      <c r="G10">
        <f t="shared" si="2"/>
        <v>0.08</v>
      </c>
      <c r="H10">
        <f t="shared" si="5"/>
        <v>0.8</v>
      </c>
      <c r="I10">
        <f t="shared" si="3"/>
        <v>0.48</v>
      </c>
      <c r="J10">
        <f t="shared" si="4"/>
        <v>1.57</v>
      </c>
    </row>
    <row r="11" spans="1:10" ht="13.2" x14ac:dyDescent="0.25">
      <c r="A11" t="s">
        <v>11</v>
      </c>
      <c r="B11" t="s">
        <v>45</v>
      </c>
      <c r="C11" t="s">
        <v>31</v>
      </c>
      <c r="D11">
        <v>1.7</v>
      </c>
      <c r="E11">
        <f t="shared" si="0"/>
        <v>1.36</v>
      </c>
      <c r="F11">
        <f t="shared" si="1"/>
        <v>2.64</v>
      </c>
      <c r="G11">
        <f t="shared" si="2"/>
        <v>0.08</v>
      </c>
      <c r="H11">
        <f t="shared" si="5"/>
        <v>0.39999999999999991</v>
      </c>
      <c r="I11">
        <f t="shared" si="3"/>
        <v>0.48</v>
      </c>
      <c r="J11">
        <f t="shared" si="4"/>
        <v>1.57</v>
      </c>
    </row>
    <row r="12" spans="1:10" ht="13.2" x14ac:dyDescent="0.25"/>
    <row r="13" spans="1:10" ht="13.2" x14ac:dyDescent="0.25"/>
    <row r="14" spans="1:10" ht="13.2" x14ac:dyDescent="0.25"/>
    <row r="15" spans="1:10" ht="13.2" x14ac:dyDescent="0.25"/>
    <row r="16" spans="1:10"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B6F2-1707-41A5-8B43-DEC3A0A75041}">
  <sheetPr>
    <outlinePr summaryBelow="0" summaryRight="0"/>
  </sheetPr>
  <dimension ref="A1:J29"/>
  <sheetViews>
    <sheetView workbookViewId="0">
      <selection activeCell="T14" sqref="T14"/>
    </sheetView>
  </sheetViews>
  <sheetFormatPr defaultColWidth="12.6640625" defaultRowHeight="15.75" customHeight="1" x14ac:dyDescent="0.25"/>
  <cols>
    <col min="1" max="1" width="20.77734375" bestFit="1" customWidth="1"/>
    <col min="2" max="2" width="7.88671875" bestFit="1" customWidth="1"/>
    <col min="3" max="3" width="7.109375" bestFit="1" customWidth="1"/>
    <col min="4" max="4" width="6.88671875" bestFit="1" customWidth="1"/>
    <col min="5" max="5" width="7.6640625" bestFit="1" customWidth="1"/>
    <col min="6" max="6" width="6.6640625" bestFit="1" customWidth="1"/>
    <col min="7" max="7" width="6.44140625" bestFit="1" customWidth="1"/>
    <col min="8" max="8" width="8.44140625" bestFit="1" customWidth="1"/>
    <col min="9" max="9" width="10" bestFit="1" customWidth="1"/>
    <col min="10" max="10" width="6.6640625" bestFit="1" customWidth="1"/>
  </cols>
  <sheetData>
    <row r="1" spans="1:10" ht="13.2" x14ac:dyDescent="0.25">
      <c r="A1" s="2" t="s">
        <v>1</v>
      </c>
      <c r="B1" s="5" t="s">
        <v>2</v>
      </c>
      <c r="C1" s="5" t="s">
        <v>3</v>
      </c>
      <c r="D1" s="5" t="s">
        <v>4</v>
      </c>
      <c r="E1" s="6" t="s">
        <v>5</v>
      </c>
      <c r="F1" s="6" t="s">
        <v>6</v>
      </c>
      <c r="G1" s="6" t="s">
        <v>7</v>
      </c>
      <c r="H1" s="6" t="s">
        <v>8</v>
      </c>
      <c r="I1" s="6" t="s">
        <v>9</v>
      </c>
      <c r="J1" s="6" t="s">
        <v>10</v>
      </c>
    </row>
    <row r="2" spans="1:10" ht="13.2" x14ac:dyDescent="0.25">
      <c r="A2" t="s">
        <v>32</v>
      </c>
      <c r="B2" t="s">
        <v>44</v>
      </c>
      <c r="C2" t="s">
        <v>12</v>
      </c>
      <c r="D2">
        <v>2.1</v>
      </c>
      <c r="E2">
        <f t="shared" ref="E2:E11" si="0">ROUND(AVERAGE($D$2:$D$11),2)</f>
        <v>1.02</v>
      </c>
      <c r="F2">
        <f t="shared" ref="F2:F11" si="1">ROUND(E2+(2.66*I2),2)</f>
        <v>2.2999999999999998</v>
      </c>
      <c r="G2">
        <f t="shared" ref="G2:G11" si="2">ROUND(MAX(0,E2-(2.66*I2)),2)</f>
        <v>0</v>
      </c>
      <c r="I2">
        <f t="shared" ref="I2:I11" si="3">ROUND(AVERAGE($H$3:$H$11),2)</f>
        <v>0.48</v>
      </c>
      <c r="J2">
        <f t="shared" ref="J2:J11" si="4">ROUND(3.268*I2,2)</f>
        <v>1.57</v>
      </c>
    </row>
    <row r="3" spans="1:10" ht="13.2" x14ac:dyDescent="0.25">
      <c r="A3" t="s">
        <v>32</v>
      </c>
      <c r="B3" t="s">
        <v>44</v>
      </c>
      <c r="C3" t="s">
        <v>13</v>
      </c>
      <c r="D3">
        <v>1.4</v>
      </c>
      <c r="E3">
        <f t="shared" si="0"/>
        <v>1.02</v>
      </c>
      <c r="F3">
        <f t="shared" si="1"/>
        <v>2.2999999999999998</v>
      </c>
      <c r="G3">
        <f t="shared" si="2"/>
        <v>0</v>
      </c>
      <c r="H3">
        <f t="shared" ref="H3:H11" si="5">ABS(D2-D3)</f>
        <v>0.70000000000000018</v>
      </c>
      <c r="I3">
        <f t="shared" si="3"/>
        <v>0.48</v>
      </c>
      <c r="J3">
        <f t="shared" si="4"/>
        <v>1.57</v>
      </c>
    </row>
    <row r="4" spans="1:10" ht="13.2" x14ac:dyDescent="0.25">
      <c r="A4" t="s">
        <v>32</v>
      </c>
      <c r="B4" t="s">
        <v>44</v>
      </c>
      <c r="C4" t="s">
        <v>14</v>
      </c>
      <c r="D4">
        <v>0.4</v>
      </c>
      <c r="E4">
        <f t="shared" si="0"/>
        <v>1.02</v>
      </c>
      <c r="F4">
        <f t="shared" si="1"/>
        <v>2.2999999999999998</v>
      </c>
      <c r="G4">
        <f t="shared" si="2"/>
        <v>0</v>
      </c>
      <c r="H4">
        <f t="shared" si="5"/>
        <v>0.99999999999999989</v>
      </c>
      <c r="I4">
        <f t="shared" si="3"/>
        <v>0.48</v>
      </c>
      <c r="J4">
        <f t="shared" si="4"/>
        <v>1.57</v>
      </c>
    </row>
    <row r="5" spans="1:10" ht="13.2" x14ac:dyDescent="0.25">
      <c r="A5" t="s">
        <v>32</v>
      </c>
      <c r="B5" t="s">
        <v>44</v>
      </c>
      <c r="C5" t="s">
        <v>15</v>
      </c>
      <c r="D5">
        <v>0.4</v>
      </c>
      <c r="E5">
        <f t="shared" si="0"/>
        <v>1.02</v>
      </c>
      <c r="F5">
        <f t="shared" si="1"/>
        <v>2.2999999999999998</v>
      </c>
      <c r="G5">
        <f t="shared" si="2"/>
        <v>0</v>
      </c>
      <c r="H5">
        <f t="shared" si="5"/>
        <v>0</v>
      </c>
      <c r="I5">
        <f t="shared" si="3"/>
        <v>0.48</v>
      </c>
      <c r="J5">
        <f t="shared" si="4"/>
        <v>1.57</v>
      </c>
    </row>
    <row r="6" spans="1:10" ht="13.2" x14ac:dyDescent="0.25">
      <c r="A6" t="s">
        <v>32</v>
      </c>
      <c r="B6" t="s">
        <v>44</v>
      </c>
      <c r="C6" t="s">
        <v>16</v>
      </c>
      <c r="D6">
        <v>0.4</v>
      </c>
      <c r="E6">
        <f t="shared" si="0"/>
        <v>1.02</v>
      </c>
      <c r="F6">
        <f t="shared" si="1"/>
        <v>2.2999999999999998</v>
      </c>
      <c r="G6">
        <f t="shared" si="2"/>
        <v>0</v>
      </c>
      <c r="H6">
        <f t="shared" si="5"/>
        <v>0</v>
      </c>
      <c r="I6">
        <f t="shared" si="3"/>
        <v>0.48</v>
      </c>
      <c r="J6">
        <f t="shared" si="4"/>
        <v>1.57</v>
      </c>
    </row>
    <row r="7" spans="1:10" ht="13.2" x14ac:dyDescent="0.25">
      <c r="A7" t="s">
        <v>32</v>
      </c>
      <c r="B7" t="s">
        <v>44</v>
      </c>
      <c r="C7" t="s">
        <v>17</v>
      </c>
      <c r="D7">
        <v>0.6</v>
      </c>
      <c r="E7">
        <f t="shared" si="0"/>
        <v>1.02</v>
      </c>
      <c r="F7">
        <f t="shared" si="1"/>
        <v>2.2999999999999998</v>
      </c>
      <c r="G7">
        <f t="shared" si="2"/>
        <v>0</v>
      </c>
      <c r="H7">
        <f t="shared" si="5"/>
        <v>0.19999999999999996</v>
      </c>
      <c r="I7">
        <f t="shared" si="3"/>
        <v>0.48</v>
      </c>
      <c r="J7">
        <f t="shared" si="4"/>
        <v>1.57</v>
      </c>
    </row>
    <row r="8" spans="1:10" ht="13.2" x14ac:dyDescent="0.25">
      <c r="A8" t="s">
        <v>32</v>
      </c>
      <c r="B8" t="s">
        <v>44</v>
      </c>
      <c r="C8" t="s">
        <v>18</v>
      </c>
      <c r="D8">
        <v>0.8</v>
      </c>
      <c r="E8">
        <f t="shared" si="0"/>
        <v>1.02</v>
      </c>
      <c r="F8">
        <f t="shared" si="1"/>
        <v>2.2999999999999998</v>
      </c>
      <c r="G8">
        <f t="shared" si="2"/>
        <v>0</v>
      </c>
      <c r="H8">
        <f t="shared" si="5"/>
        <v>0.20000000000000007</v>
      </c>
      <c r="I8">
        <f t="shared" si="3"/>
        <v>0.48</v>
      </c>
      <c r="J8">
        <f t="shared" si="4"/>
        <v>1.57</v>
      </c>
    </row>
    <row r="9" spans="1:10" ht="13.2" x14ac:dyDescent="0.25">
      <c r="A9" t="s">
        <v>32</v>
      </c>
      <c r="B9" t="s">
        <v>44</v>
      </c>
      <c r="C9" t="s">
        <v>19</v>
      </c>
      <c r="D9">
        <v>0.6</v>
      </c>
      <c r="E9">
        <f t="shared" si="0"/>
        <v>1.02</v>
      </c>
      <c r="F9">
        <f t="shared" si="1"/>
        <v>2.2999999999999998</v>
      </c>
      <c r="G9">
        <f t="shared" si="2"/>
        <v>0</v>
      </c>
      <c r="H9">
        <f t="shared" si="5"/>
        <v>0.20000000000000007</v>
      </c>
      <c r="I9">
        <f t="shared" si="3"/>
        <v>0.48</v>
      </c>
      <c r="J9">
        <f t="shared" si="4"/>
        <v>1.57</v>
      </c>
    </row>
    <row r="10" spans="1:10" ht="13.2" x14ac:dyDescent="0.25">
      <c r="A10" t="s">
        <v>32</v>
      </c>
      <c r="B10" t="s">
        <v>44</v>
      </c>
      <c r="C10" t="s">
        <v>20</v>
      </c>
      <c r="D10">
        <v>0.9</v>
      </c>
      <c r="E10">
        <f t="shared" si="0"/>
        <v>1.02</v>
      </c>
      <c r="F10">
        <f t="shared" si="1"/>
        <v>2.2999999999999998</v>
      </c>
      <c r="G10">
        <f t="shared" si="2"/>
        <v>0</v>
      </c>
      <c r="H10">
        <f t="shared" si="5"/>
        <v>0.30000000000000004</v>
      </c>
      <c r="I10">
        <f t="shared" si="3"/>
        <v>0.48</v>
      </c>
      <c r="J10">
        <f t="shared" si="4"/>
        <v>1.57</v>
      </c>
    </row>
    <row r="11" spans="1:10" ht="13.2" x14ac:dyDescent="0.25">
      <c r="A11" t="s">
        <v>32</v>
      </c>
      <c r="B11" t="s">
        <v>44</v>
      </c>
      <c r="C11" t="s">
        <v>21</v>
      </c>
      <c r="D11">
        <v>2.6</v>
      </c>
      <c r="E11">
        <f t="shared" si="0"/>
        <v>1.02</v>
      </c>
      <c r="F11">
        <f t="shared" si="1"/>
        <v>2.2999999999999998</v>
      </c>
      <c r="G11">
        <f t="shared" si="2"/>
        <v>0</v>
      </c>
      <c r="H11">
        <f t="shared" si="5"/>
        <v>1.7000000000000002</v>
      </c>
      <c r="I11">
        <f t="shared" si="3"/>
        <v>0.48</v>
      </c>
      <c r="J11">
        <f t="shared" si="4"/>
        <v>1.57</v>
      </c>
    </row>
    <row r="12" spans="1:10" ht="13.2" x14ac:dyDescent="0.25"/>
    <row r="13" spans="1:10" ht="13.2" x14ac:dyDescent="0.25"/>
    <row r="14" spans="1:10" ht="13.2" x14ac:dyDescent="0.25"/>
    <row r="15" spans="1:10" ht="13.2" x14ac:dyDescent="0.25"/>
    <row r="16" spans="1:10"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34FB0-2AB5-4285-9D1C-5F91C38887F5}">
  <sheetPr>
    <outlinePr summaryBelow="0" summaryRight="0"/>
  </sheetPr>
  <dimension ref="A1:J29"/>
  <sheetViews>
    <sheetView workbookViewId="0">
      <selection activeCell="N31" sqref="N31"/>
    </sheetView>
  </sheetViews>
  <sheetFormatPr defaultColWidth="12.6640625" defaultRowHeight="15.75" customHeight="1" x14ac:dyDescent="0.25"/>
  <cols>
    <col min="1" max="1" width="20.77734375" bestFit="1" customWidth="1"/>
    <col min="2" max="2" width="7.88671875" bestFit="1" customWidth="1"/>
    <col min="3" max="3" width="7.109375" bestFit="1" customWidth="1"/>
    <col min="4" max="4" width="6.88671875" bestFit="1" customWidth="1"/>
    <col min="5" max="5" width="7.6640625" bestFit="1" customWidth="1"/>
    <col min="6" max="6" width="6.6640625" bestFit="1" customWidth="1"/>
    <col min="7" max="7" width="6.44140625" bestFit="1" customWidth="1"/>
    <col min="8" max="8" width="8.44140625" bestFit="1" customWidth="1"/>
    <col min="9" max="9" width="10" bestFit="1" customWidth="1"/>
    <col min="10" max="10" width="6.6640625" bestFit="1" customWidth="1"/>
  </cols>
  <sheetData>
    <row r="1" spans="1:10" ht="13.2" x14ac:dyDescent="0.25">
      <c r="A1" s="2" t="s">
        <v>1</v>
      </c>
      <c r="B1" s="5" t="s">
        <v>2</v>
      </c>
      <c r="C1" s="9" t="s">
        <v>3</v>
      </c>
      <c r="D1" s="5" t="s">
        <v>4</v>
      </c>
      <c r="E1" s="6" t="s">
        <v>5</v>
      </c>
      <c r="F1" s="6" t="s">
        <v>6</v>
      </c>
      <c r="G1" s="6" t="s">
        <v>7</v>
      </c>
      <c r="H1" s="6" t="s">
        <v>8</v>
      </c>
      <c r="I1" s="6" t="s">
        <v>9</v>
      </c>
      <c r="J1" s="6" t="s">
        <v>10</v>
      </c>
    </row>
    <row r="2" spans="1:10" ht="13.2" x14ac:dyDescent="0.25">
      <c r="A2" t="s">
        <v>32</v>
      </c>
      <c r="B2" t="s">
        <v>45</v>
      </c>
      <c r="C2" s="10" t="s">
        <v>22</v>
      </c>
      <c r="D2" s="7">
        <v>6.6</v>
      </c>
      <c r="E2" s="8">
        <f t="shared" ref="E2:E11" si="0">ROUND(AVERAGE($D$2:$D$2),2)</f>
        <v>6.6</v>
      </c>
      <c r="F2">
        <f t="shared" ref="F2:F11" si="1">ROUND(E2+(2.66*I2),2)</f>
        <v>14.23</v>
      </c>
      <c r="G2">
        <f t="shared" ref="G2:G11" si="2">ROUND(MAX(0,E2-(2.66*I2)),2)</f>
        <v>0</v>
      </c>
      <c r="I2">
        <f t="shared" ref="I2:I11" si="3">ROUND(AVERAGE($H$3:$H$11),2)</f>
        <v>2.87</v>
      </c>
      <c r="J2">
        <f t="shared" ref="J2:J11" si="4">ROUND(3.268*I2,2)</f>
        <v>9.3800000000000008</v>
      </c>
    </row>
    <row r="3" spans="1:10" ht="13.2" x14ac:dyDescent="0.25">
      <c r="A3" t="s">
        <v>32</v>
      </c>
      <c r="B3" t="s">
        <v>45</v>
      </c>
      <c r="C3" s="10" t="s">
        <v>23</v>
      </c>
      <c r="D3" s="7">
        <v>3.2</v>
      </c>
      <c r="E3">
        <f t="shared" si="0"/>
        <v>6.6</v>
      </c>
      <c r="F3">
        <f t="shared" si="1"/>
        <v>14.23</v>
      </c>
      <c r="G3">
        <f t="shared" si="2"/>
        <v>0</v>
      </c>
      <c r="H3">
        <f t="shared" ref="H3:H11" si="5">ABS(D2-D3)</f>
        <v>3.3999999999999995</v>
      </c>
      <c r="I3">
        <f t="shared" si="3"/>
        <v>2.87</v>
      </c>
      <c r="J3">
        <f t="shared" si="4"/>
        <v>9.3800000000000008</v>
      </c>
    </row>
    <row r="4" spans="1:10" ht="13.2" x14ac:dyDescent="0.25">
      <c r="A4" t="s">
        <v>32</v>
      </c>
      <c r="B4" t="s">
        <v>45</v>
      </c>
      <c r="C4" s="10" t="s">
        <v>24</v>
      </c>
      <c r="D4" s="7">
        <v>5.3</v>
      </c>
      <c r="E4">
        <f t="shared" si="0"/>
        <v>6.6</v>
      </c>
      <c r="F4">
        <f t="shared" si="1"/>
        <v>14.23</v>
      </c>
      <c r="G4">
        <f t="shared" si="2"/>
        <v>0</v>
      </c>
      <c r="H4">
        <f t="shared" si="5"/>
        <v>2.0999999999999996</v>
      </c>
      <c r="I4">
        <f t="shared" si="3"/>
        <v>2.87</v>
      </c>
      <c r="J4">
        <f t="shared" si="4"/>
        <v>9.3800000000000008</v>
      </c>
    </row>
    <row r="5" spans="1:10" ht="13.2" x14ac:dyDescent="0.25">
      <c r="A5" t="s">
        <v>32</v>
      </c>
      <c r="B5" t="s">
        <v>45</v>
      </c>
      <c r="C5" s="10" t="s">
        <v>25</v>
      </c>
      <c r="D5" s="7">
        <v>7.7</v>
      </c>
      <c r="E5">
        <f t="shared" si="0"/>
        <v>6.6</v>
      </c>
      <c r="F5">
        <f t="shared" si="1"/>
        <v>14.23</v>
      </c>
      <c r="G5">
        <f t="shared" si="2"/>
        <v>0</v>
      </c>
      <c r="H5">
        <f t="shared" si="5"/>
        <v>2.4000000000000004</v>
      </c>
      <c r="I5">
        <f t="shared" si="3"/>
        <v>2.87</v>
      </c>
      <c r="J5">
        <f t="shared" si="4"/>
        <v>9.3800000000000008</v>
      </c>
    </row>
    <row r="6" spans="1:10" ht="13.2" x14ac:dyDescent="0.25">
      <c r="A6" t="s">
        <v>32</v>
      </c>
      <c r="B6" t="s">
        <v>45</v>
      </c>
      <c r="C6" s="10" t="s">
        <v>26</v>
      </c>
      <c r="D6" s="7">
        <v>5.6</v>
      </c>
      <c r="E6">
        <f t="shared" si="0"/>
        <v>6.6</v>
      </c>
      <c r="F6">
        <f t="shared" si="1"/>
        <v>14.23</v>
      </c>
      <c r="G6">
        <f t="shared" si="2"/>
        <v>0</v>
      </c>
      <c r="H6">
        <f t="shared" si="5"/>
        <v>2.1000000000000005</v>
      </c>
      <c r="I6">
        <f t="shared" si="3"/>
        <v>2.87</v>
      </c>
      <c r="J6">
        <f t="shared" si="4"/>
        <v>9.3800000000000008</v>
      </c>
    </row>
    <row r="7" spans="1:10" ht="13.2" x14ac:dyDescent="0.25">
      <c r="A7" t="s">
        <v>32</v>
      </c>
      <c r="B7" t="s">
        <v>45</v>
      </c>
      <c r="C7" s="10" t="s">
        <v>27</v>
      </c>
      <c r="D7" s="7">
        <v>7.5</v>
      </c>
      <c r="E7">
        <f t="shared" si="0"/>
        <v>6.6</v>
      </c>
      <c r="F7">
        <f t="shared" si="1"/>
        <v>14.23</v>
      </c>
      <c r="G7">
        <f t="shared" si="2"/>
        <v>0</v>
      </c>
      <c r="H7">
        <f t="shared" si="5"/>
        <v>1.9000000000000004</v>
      </c>
      <c r="I7">
        <f t="shared" si="3"/>
        <v>2.87</v>
      </c>
      <c r="J7">
        <f t="shared" si="4"/>
        <v>9.3800000000000008</v>
      </c>
    </row>
    <row r="8" spans="1:10" ht="13.2" x14ac:dyDescent="0.25">
      <c r="A8" t="s">
        <v>32</v>
      </c>
      <c r="B8" t="s">
        <v>45</v>
      </c>
      <c r="C8" s="10" t="s">
        <v>28</v>
      </c>
      <c r="D8" s="7">
        <v>9.1</v>
      </c>
      <c r="E8">
        <f t="shared" si="0"/>
        <v>6.6</v>
      </c>
      <c r="F8">
        <f t="shared" si="1"/>
        <v>14.23</v>
      </c>
      <c r="G8">
        <f t="shared" si="2"/>
        <v>0</v>
      </c>
      <c r="H8">
        <f t="shared" si="5"/>
        <v>1.5999999999999996</v>
      </c>
      <c r="I8">
        <f t="shared" si="3"/>
        <v>2.87</v>
      </c>
      <c r="J8">
        <f t="shared" si="4"/>
        <v>9.3800000000000008</v>
      </c>
    </row>
    <row r="9" spans="1:10" ht="13.2" x14ac:dyDescent="0.25">
      <c r="A9" t="s">
        <v>32</v>
      </c>
      <c r="B9" t="s">
        <v>45</v>
      </c>
      <c r="C9" s="10" t="s">
        <v>29</v>
      </c>
      <c r="D9" s="7">
        <v>3</v>
      </c>
      <c r="E9">
        <f t="shared" si="0"/>
        <v>6.6</v>
      </c>
      <c r="F9">
        <f t="shared" si="1"/>
        <v>14.23</v>
      </c>
      <c r="G9">
        <f t="shared" si="2"/>
        <v>0</v>
      </c>
      <c r="H9">
        <f t="shared" si="5"/>
        <v>6.1</v>
      </c>
      <c r="I9">
        <f t="shared" si="3"/>
        <v>2.87</v>
      </c>
      <c r="J9">
        <f t="shared" si="4"/>
        <v>9.3800000000000008</v>
      </c>
    </row>
    <row r="10" spans="1:10" ht="13.2" x14ac:dyDescent="0.25">
      <c r="A10" t="s">
        <v>32</v>
      </c>
      <c r="B10" t="s">
        <v>45</v>
      </c>
      <c r="C10" s="10" t="s">
        <v>30</v>
      </c>
      <c r="D10" s="7">
        <v>5.4</v>
      </c>
      <c r="E10">
        <f t="shared" si="0"/>
        <v>6.6</v>
      </c>
      <c r="F10">
        <f t="shared" si="1"/>
        <v>14.23</v>
      </c>
      <c r="G10">
        <f t="shared" si="2"/>
        <v>0</v>
      </c>
      <c r="H10">
        <f t="shared" si="5"/>
        <v>2.4000000000000004</v>
      </c>
      <c r="I10">
        <f t="shared" si="3"/>
        <v>2.87</v>
      </c>
      <c r="J10">
        <f t="shared" si="4"/>
        <v>9.3800000000000008</v>
      </c>
    </row>
    <row r="11" spans="1:10" ht="13.2" x14ac:dyDescent="0.25">
      <c r="A11" t="s">
        <v>32</v>
      </c>
      <c r="B11" t="s">
        <v>45</v>
      </c>
      <c r="C11" s="10" t="s">
        <v>31</v>
      </c>
      <c r="D11" s="7">
        <v>9.1999999999999993</v>
      </c>
      <c r="E11">
        <f t="shared" si="0"/>
        <v>6.6</v>
      </c>
      <c r="F11">
        <f t="shared" si="1"/>
        <v>14.23</v>
      </c>
      <c r="G11">
        <f t="shared" si="2"/>
        <v>0</v>
      </c>
      <c r="H11">
        <f t="shared" si="5"/>
        <v>3.7999999999999989</v>
      </c>
      <c r="I11">
        <f t="shared" si="3"/>
        <v>2.87</v>
      </c>
      <c r="J11">
        <f t="shared" si="4"/>
        <v>9.3800000000000008</v>
      </c>
    </row>
    <row r="12" spans="1:10" ht="13.2" x14ac:dyDescent="0.25"/>
    <row r="13" spans="1:10" ht="13.2" x14ac:dyDescent="0.25"/>
    <row r="14" spans="1:10" ht="13.2" x14ac:dyDescent="0.25"/>
    <row r="15" spans="1:10" ht="13.2" x14ac:dyDescent="0.25"/>
    <row r="16" spans="1:10"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row r="27" ht="13.2" x14ac:dyDescent="0.25"/>
    <row r="28" ht="13.2" x14ac:dyDescent="0.25"/>
    <row r="29" ht="13.2" x14ac:dyDescent="0.25"/>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1AC4BB-1F21-467F-9636-9D006F83FA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F.1. Dublin Period 1</vt:lpstr>
      <vt:lpstr>Fig. F.2. Dublin Period 2</vt:lpstr>
      <vt:lpstr>Fig. F.3. Vienna Period 1</vt:lpstr>
      <vt:lpstr>Fig. F.4. Vienna Period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2026-05-07T17:33:14Z</dcterms:modified>
</cp:coreProperties>
</file>