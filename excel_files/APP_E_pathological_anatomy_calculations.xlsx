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9366A9BA-0CD5-45A9-AE53-D04578F6AE8E}" xr6:coauthVersionLast="47" xr6:coauthVersionMax="47" xr10:uidLastSave="{00000000-0000-0000-0000-000000000000}"/>
  <bookViews>
    <workbookView xWindow="6255" yWindow="-14130" windowWidth="21600" windowHeight="11235" xr2:uid="{00000000-000D-0000-FFFF-FFFF00000000}"/>
  </bookViews>
  <sheets>
    <sheet name="Overview" sheetId="1" r:id="rId1"/>
    <sheet name="Fig. E.1. Before PA" sheetId="2" r:id="rId2"/>
    <sheet name="Fig. E.2. After PA" sheetId="3" r:id="rId3"/>
  </sheets>
  <definedNames>
    <definedName name="ExternalData_1" localSheetId="1" hidden="1">'Fig. E.1. Before PA'!$A$1:$D$40</definedName>
    <definedName name="ExternalData_1" localSheetId="2" hidden="1">'Fig. E.2. After PA'!$A$1:$D$19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H3" i="3"/>
  <c r="H4" i="3"/>
  <c r="H5" i="3"/>
  <c r="H6" i="3"/>
  <c r="H7" i="3"/>
  <c r="H8" i="3"/>
  <c r="H9" i="3"/>
  <c r="H10" i="3"/>
  <c r="H11" i="3"/>
  <c r="H12" i="3"/>
  <c r="H13" i="3"/>
  <c r="H14" i="3"/>
  <c r="H15" i="3"/>
  <c r="H16" i="3"/>
  <c r="H17" i="3"/>
  <c r="H18" i="3"/>
  <c r="H19" i="3"/>
  <c r="E2" i="3"/>
  <c r="E3" i="3"/>
  <c r="E4" i="3"/>
  <c r="E5" i="3"/>
  <c r="E6" i="3"/>
  <c r="E7" i="3"/>
  <c r="E8" i="3"/>
  <c r="E9" i="3"/>
  <c r="E10" i="3"/>
  <c r="E11" i="3"/>
  <c r="E12" i="3"/>
  <c r="E13" i="3"/>
  <c r="E14" i="3"/>
  <c r="E15" i="3"/>
  <c r="E16" i="3"/>
  <c r="E17" i="3"/>
  <c r="E18" i="3"/>
  <c r="E19" i="3"/>
  <c r="I25" i="2" l="1"/>
  <c r="J25" i="2" s="1"/>
  <c r="I28" i="2"/>
  <c r="J28" i="2" s="1"/>
  <c r="I24" i="2"/>
  <c r="J24" i="2" s="1"/>
  <c r="I36" i="2"/>
  <c r="J36" i="2" s="1"/>
  <c r="I33" i="2"/>
  <c r="J33" i="2" s="1"/>
  <c r="I31" i="2"/>
  <c r="J31" i="2" s="1"/>
  <c r="I27" i="2"/>
  <c r="J27" i="2" s="1"/>
  <c r="I30" i="2"/>
  <c r="J30" i="2" s="1"/>
  <c r="I6" i="2"/>
  <c r="J6" i="2" s="1"/>
  <c r="I32" i="2"/>
  <c r="J32" i="2" s="1"/>
  <c r="I34" i="2"/>
  <c r="J34" i="2" s="1"/>
  <c r="I37" i="2"/>
  <c r="J37" i="2" s="1"/>
  <c r="I40" i="2"/>
  <c r="J40" i="2" s="1"/>
  <c r="I29" i="2"/>
  <c r="J29" i="2" s="1"/>
  <c r="I21" i="2"/>
  <c r="J21" i="2" s="1"/>
  <c r="I26" i="2"/>
  <c r="I35" i="2"/>
  <c r="J35" i="2" s="1"/>
  <c r="I23" i="2"/>
  <c r="J23" i="2" s="1"/>
  <c r="I22" i="2"/>
  <c r="J22" i="2" s="1"/>
  <c r="I20" i="2"/>
  <c r="J20" i="2" s="1"/>
  <c r="I19" i="2"/>
  <c r="J19" i="2" s="1"/>
  <c r="I18" i="2"/>
  <c r="J18" i="2" s="1"/>
  <c r="I17" i="2"/>
  <c r="J17" i="2" s="1"/>
  <c r="I16" i="2"/>
  <c r="J16" i="2" s="1"/>
  <c r="I15" i="2"/>
  <c r="J15" i="2" s="1"/>
  <c r="I14" i="2"/>
  <c r="J14" i="2" s="1"/>
  <c r="I13" i="2"/>
  <c r="J13" i="2" s="1"/>
  <c r="I12" i="2"/>
  <c r="J12" i="2" s="1"/>
  <c r="I11" i="2"/>
  <c r="J11" i="2" s="1"/>
  <c r="I10" i="2"/>
  <c r="J10" i="2" s="1"/>
  <c r="I9" i="2"/>
  <c r="J9" i="2" s="1"/>
  <c r="I8" i="2"/>
  <c r="J8" i="2" s="1"/>
  <c r="I7" i="2"/>
  <c r="J7" i="2" s="1"/>
  <c r="I38" i="2"/>
  <c r="J38" i="2" s="1"/>
  <c r="I5" i="2"/>
  <c r="J5" i="2" s="1"/>
  <c r="I4" i="2"/>
  <c r="J4" i="2" s="1"/>
  <c r="I3" i="2"/>
  <c r="J3" i="2" s="1"/>
  <c r="I2" i="2"/>
  <c r="J2" i="2" s="1"/>
  <c r="I39" i="2"/>
  <c r="J39" i="2" s="1"/>
  <c r="G2" i="2"/>
  <c r="F2" i="2"/>
  <c r="G3" i="2"/>
  <c r="F3" i="2"/>
  <c r="G4" i="2"/>
  <c r="F4" i="2"/>
  <c r="G5" i="2"/>
  <c r="F5" i="2"/>
  <c r="G6" i="2"/>
  <c r="F6" i="2"/>
  <c r="G7" i="2"/>
  <c r="F7" i="2"/>
  <c r="G8" i="2"/>
  <c r="F8" i="2"/>
  <c r="G9" i="2"/>
  <c r="F9" i="2"/>
  <c r="G10" i="2"/>
  <c r="F10" i="2"/>
  <c r="G11" i="2"/>
  <c r="F11" i="2"/>
  <c r="G12" i="2"/>
  <c r="F12" i="2"/>
  <c r="G13" i="2"/>
  <c r="F13" i="2"/>
  <c r="G14" i="2"/>
  <c r="F14" i="2"/>
  <c r="G15" i="2"/>
  <c r="F15" i="2"/>
  <c r="F16" i="2"/>
  <c r="G16" i="2"/>
  <c r="F17" i="2"/>
  <c r="G17" i="2"/>
  <c r="F18" i="2"/>
  <c r="G18" i="2"/>
  <c r="F19" i="2"/>
  <c r="G19" i="2"/>
  <c r="F20" i="2"/>
  <c r="G20" i="2"/>
  <c r="F21" i="2"/>
  <c r="G21" i="2"/>
  <c r="F22" i="2"/>
  <c r="G22" i="2"/>
  <c r="F23" i="2"/>
  <c r="G23" i="2"/>
  <c r="F24" i="2"/>
  <c r="G24" i="2"/>
  <c r="F25" i="2"/>
  <c r="G25" i="2"/>
  <c r="F26" i="2"/>
  <c r="F27" i="2"/>
  <c r="G27" i="2"/>
  <c r="F28" i="2"/>
  <c r="G28" i="2"/>
  <c r="G29" i="2"/>
  <c r="F29" i="2"/>
  <c r="G30" i="2"/>
  <c r="F30" i="2"/>
  <c r="G31" i="2"/>
  <c r="F31" i="2"/>
  <c r="G32" i="2"/>
  <c r="F32" i="2"/>
  <c r="G33" i="2"/>
  <c r="F33" i="2"/>
  <c r="G34" i="2"/>
  <c r="F34" i="2"/>
  <c r="G35" i="2"/>
  <c r="F35" i="2"/>
  <c r="G36" i="2"/>
  <c r="F36" i="2"/>
  <c r="G37" i="2"/>
  <c r="F37" i="2"/>
  <c r="G38" i="2"/>
  <c r="F38" i="2"/>
  <c r="G39" i="2"/>
  <c r="F39" i="2"/>
  <c r="G40" i="2"/>
  <c r="F40" i="2"/>
  <c r="I2" i="3"/>
  <c r="J2" i="3" s="1"/>
  <c r="I3" i="3"/>
  <c r="J3" i="3" s="1"/>
  <c r="I4" i="3"/>
  <c r="J4" i="3" s="1"/>
  <c r="I5" i="3"/>
  <c r="J5" i="3" s="1"/>
  <c r="I6" i="3"/>
  <c r="J6" i="3" s="1"/>
  <c r="I7" i="3"/>
  <c r="I8" i="3"/>
  <c r="I9" i="3"/>
  <c r="I10" i="3"/>
  <c r="I11" i="3"/>
  <c r="I12" i="3"/>
  <c r="J12" i="3" s="1"/>
  <c r="I13" i="3"/>
  <c r="J13" i="3" s="1"/>
  <c r="I14" i="3"/>
  <c r="J14" i="3" s="1"/>
  <c r="I15" i="3"/>
  <c r="J15" i="3" s="1"/>
  <c r="I16" i="3"/>
  <c r="J16" i="3" s="1"/>
  <c r="I17" i="3"/>
  <c r="J17" i="3" s="1"/>
  <c r="I18" i="3"/>
  <c r="J18" i="3" s="1"/>
  <c r="I19" i="3"/>
  <c r="J19" i="3" s="1"/>
  <c r="G2" i="3"/>
  <c r="F2" i="3"/>
  <c r="G3" i="3"/>
  <c r="F3" i="3"/>
  <c r="G4" i="3"/>
  <c r="F4" i="3"/>
  <c r="G5" i="3"/>
  <c r="F5" i="3"/>
  <c r="G6" i="3"/>
  <c r="F6" i="3"/>
  <c r="G12" i="3"/>
  <c r="F12" i="3"/>
  <c r="G13" i="3"/>
  <c r="F13" i="3"/>
  <c r="G14" i="3"/>
  <c r="F14" i="3"/>
  <c r="G15" i="3"/>
  <c r="F15" i="3"/>
  <c r="G16" i="3"/>
  <c r="F16" i="3"/>
  <c r="G17" i="3"/>
  <c r="F17" i="3"/>
  <c r="G18" i="3"/>
  <c r="F18" i="3"/>
  <c r="G19" i="3"/>
  <c r="F19" i="3"/>
  <c r="J26" i="2" l="1"/>
  <c r="G26" i="2"/>
  <c r="G7" i="3"/>
  <c r="J7" i="3"/>
  <c r="F7" i="3"/>
  <c r="G8" i="3"/>
  <c r="J8" i="3"/>
  <c r="F8" i="3"/>
  <c r="G9" i="3"/>
  <c r="J9" i="3"/>
  <c r="F9" i="3"/>
  <c r="G10" i="3"/>
  <c r="J10" i="3"/>
  <c r="F10" i="3"/>
  <c r="G11" i="3"/>
  <c r="J11" i="3"/>
  <c r="F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3A40A1-5557-44B8-8238-EB44E6A35B29}" keepAlive="1" name="Query - pathological-anatomy-death-to-birth-rates" description="Connection to the 'pathological-anatomy-death-to-birth-rates' query in the workbook." type="5" refreshedVersion="8" background="1" saveData="1">
    <dbPr connection="Provider=Microsoft.Mashup.OleDb.1;Data Source=$Workbook$;Location=pathological-anatomy-death-to-birth-rates;Extended Properties=&quot;&quot;" command="SELECT * FROM [pathological-anatomy-death-to-birth-rates]"/>
  </connection>
  <connection id="2" xr16:uid="{538AE36E-080F-4C96-9AC2-B2541B24E01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<sst xmlns="http://schemas.openxmlformats.org/spreadsheetml/2006/main" count="203" uniqueCount="82">
  <si>
    <t>Appendix E. The Impact of Pathological Anatomy Calculations</t>
  </si>
  <si>
    <t>Stage</t>
  </si>
  <si>
    <t>Year</t>
  </si>
  <si>
    <t>Rate</t>
  </si>
  <si>
    <t>Mean</t>
  </si>
  <si>
    <t>UPL</t>
  </si>
  <si>
    <t>LPL</t>
  </si>
  <si>
    <t>mR</t>
  </si>
  <si>
    <t>Ave. mR</t>
  </si>
  <si>
    <t>URL</t>
  </si>
  <si>
    <t>Before pathological anatomy</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</si>
  <si>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</si>
  <si>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</si>
  <si>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</si>
  <si>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</si>
  <si>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</si>
  <si>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</si>
  <si>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</si>
  <si>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</si>
  <si>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</si>
  <si>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</si>
  <si>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</si>
  <si>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</si>
  <si>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</si>
  <si>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</si>
  <si>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</si>
  <si>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</si>
  <si>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</si>
  <si>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</si>
  <si>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</si>
  <si>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</si>
  <si>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</si>
  <si>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</si>
  <si>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</si>
  <si>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</si>
  <si>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</si>
  <si>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</si>
  <si>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</si>
  <si>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</si>
  <si>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</si>
  <si>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</si>
  <si>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</si>
  <si>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</si>
  <si>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</si>
  <si>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</si>
  <si>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</si>
  <si>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</si>
  <si>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</si>
  <si>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</si>
  <si>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</si>
  <si>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After pathological anatomy</t>
  </si>
  <si>
    <t>1823</t>
  </si>
  <si>
    <t>1824</t>
  </si>
  <si>
    <t>1825</t>
  </si>
  <si>
    <t>1826</t>
  </si>
  <si>
    <t>1827</t>
  </si>
  <si>
    <t>1828</t>
  </si>
  <si>
    <t>1829</t>
  </si>
  <si>
    <t>1830</t>
  </si>
  <si>
    <t>1831</t>
  </si>
  <si>
    <t>1832</t>
  </si>
  <si>
    <t>1833</t>
  </si>
  <si>
    <t>1834</t>
  </si>
  <si>
    <t>1835</t>
  </si>
  <si>
    <t>1836</t>
  </si>
  <si>
    <t>1837</t>
  </si>
  <si>
    <t>1838</t>
  </si>
  <si>
    <t>1839</t>
  </si>
  <si>
    <t>1840</t>
  </si>
  <si>
    <t>Hospital</t>
  </si>
  <si>
    <t>Vienna General Hospital</t>
  </si>
  <si>
    <t>Link to book:</t>
  </si>
  <si>
    <t>https://www.brokenquality.com/book</t>
  </si>
  <si>
    <t>Link to GitHub:</t>
  </si>
  <si>
    <t>https://github.com/jimlehner/virus-of-variation-book</t>
  </si>
  <si>
    <t>Contact:</t>
  </si>
  <si>
    <t>James.Lehner@gmail.com</t>
  </si>
  <si>
    <t>QualityIsBroken@gmail.com</t>
  </si>
  <si>
    <t>Raw GitHub Data URLs:</t>
  </si>
  <si>
    <t>Fig E.1, E.2</t>
  </si>
  <si>
    <r>
      <t xml:space="preserve">This file serves as a resource for building the figures in Appendix E of in </t>
    </r>
    <r>
      <rPr>
        <i/>
        <sz val="12"/>
        <color theme="1"/>
        <rFont val="Montserrat"/>
      </rPr>
      <t>The Virus of Variation</t>
    </r>
    <r>
      <rPr>
        <sz val="12"/>
        <color theme="1"/>
        <rFont val="Montserrat"/>
      </rPr>
      <t xml:space="preserve"> using Mircosoft Excel or Google Sheets.
The figures included here are:
Figure E.1. XmR chart of death-to-birth rates before pathological anatomy, 1784 to 1822
Figure E.2. XmR chart of death-to-birth rates after pathological anatomy, 1823 to 1840
Each figure has its own tab. The data used in the figures can be found in the Data tab.
For additional details, see Appendix E of </t>
    </r>
    <r>
      <rPr>
        <i/>
        <sz val="12"/>
        <color theme="1"/>
        <rFont val="Montserrat"/>
      </rPr>
      <t>The Virus of Variation</t>
    </r>
    <r>
      <rPr>
        <sz val="12"/>
        <color theme="1"/>
        <rFont val="Montserrat"/>
      </rPr>
      <t xml:space="preserve">
(</t>
    </r>
    <r>
      <rPr>
        <sz val="12"/>
        <rFont val="Montserrat"/>
      </rPr>
      <t>BrokenQuality.com/book</t>
    </r>
    <r>
      <rPr>
        <sz val="12"/>
        <color theme="1"/>
        <rFont val="Montserrat"/>
      </rPr>
      <t xml:space="preserve">).
If you are familiar with Python (or would like to learn), the Python code used to generate the figures in Appendix E, as they appear in </t>
    </r>
    <r>
      <rPr>
        <i/>
        <sz val="12"/>
        <color theme="1"/>
        <rFont val="Montserrat"/>
      </rPr>
      <t>The Virus of Variation</t>
    </r>
    <r>
      <rPr>
        <sz val="12"/>
        <color theme="1"/>
        <rFont val="Montserrat"/>
      </rPr>
      <t xml:space="preserve">, can be found at:
</t>
    </r>
    <r>
      <rPr>
        <b/>
        <sz val="12"/>
        <color theme="1"/>
        <rFont val="Montserrat"/>
      </rPr>
      <t>github.com/jimlehner/the-virus-of-variation</t>
    </r>
    <r>
      <rPr>
        <sz val="12"/>
        <color theme="1"/>
        <rFont val="Montserrat"/>
      </rPr>
      <t xml:space="preserve">
If you have question or feedback email us at:
</t>
    </r>
    <r>
      <rPr>
        <b/>
        <sz val="12"/>
        <rFont val="Montserrat"/>
      </rPr>
      <t>James.Lehner@gmail.com</t>
    </r>
    <r>
      <rPr>
        <sz val="12"/>
        <color theme="1"/>
        <rFont val="Montserrat"/>
      </rPr>
      <t xml:space="preserve"> or </t>
    </r>
    <r>
      <rPr>
        <b/>
        <sz val="12"/>
        <rFont val="Montserrat"/>
      </rPr>
      <t>QualityIsBroken@gmail.com</t>
    </r>
    <r>
      <rPr>
        <sz val="12"/>
        <color theme="1"/>
        <rFont val="Montserrat"/>
      </rPr>
      <t>.</t>
    </r>
  </si>
  <si>
    <t>https://raw.githubusercontent.com/jimlehner/virus-of-variation-book/refs/heads/main/data/pathological-anatomy-death-to-birth-rates.csv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</si>
</sst>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0"/>
      <color theme="1"/>
      <name val="Arial"/>
      <family val="2"/>
    </font>
    <font>
      <sz val="10"/>
      <color theme="1"/>
      <name val="Montserrat"/>
    </font>
    <font>
      <sz val="10"/>
      <color theme="1"/>
      <name val="Arial"/>
      <family val="2"/>
      <scheme val="minor"/>
    </font>
    <font>
      <sz val="12"/>
      <color theme="1"/>
      <name val="Montserrat"/>
    </font>
    <font>
      <i/>
      <sz val="12"/>
      <color theme="1"/>
      <name val="Montserrat"/>
    </font>
    <font>
      <b/>
      <sz val="14"/>
      <color rgb="FFD72323"/>
      <name val="Montserrat"/>
    </font>
    <font>
      <sz val="14"/>
      <name val="Arial"/>
      <family val="2"/>
    </font>
    <font>
      <sz val="10"/>
      <color rgb="FF000000"/>
      <name val="Arial"/>
      <family val="2"/>
      <scheme val="minor"/>
    </font>
    <font>
      <u/>
      <sz val="10"/>
      <color theme="10"/>
      <name val="Arial"/>
      <family val="2"/>
      <scheme val="minor"/>
    </font>
    <font>
      <b/>
      <sz val="10"/>
      <color rgb="FF000000"/>
      <name val="Arial"/>
      <family val="2"/>
      <scheme val="minor"/>
    </font>
    <font>
      <b/>
      <sz val="12"/>
      <color theme="1"/>
      <name val="Montserrat"/>
    </font>
    <font>
      <b/>
      <sz val="12"/>
      <name val="Montserrat"/>
    </font>
    <font>
      <sz val="12"/>
      <name val="Montserrat"/>
    </font>
  </fonts>
  <fills count="2">
    <fill>
      <patternFill patternType="none"/>
    </fill>
    <fill>
      <patternFill patternType="gray125"/>
    </fill>
  </fills>
  <borders count="17">
    <border>
      <left/>
      <right/>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8" fillId="0" borderId="0"/>
    <xf numFmtId="0" fontId="9" fillId="0" borderId="0" applyNumberFormat="0" applyFill="0" applyBorder="0" applyAlignment="0" applyProtection="0"/>
  </cellStyleXfs>
  <cellXfs count="35">
    <xf numFmtId="0" fontId="0" fillId="0" borderId="0" xfId="0"/>
    <xf numFmtId="0" fontId="1" fillId="0" borderId="0" xfId="0" applyFont="1"/>
    <xf numFmtId="1" fontId="1" fillId="0" borderId="0" xfId="0" applyNumberFormat="1" applyFont="1" applyAlignment="1">
      <alignment horizontal="right"/>
    </xf>
    <xf numFmtId="0" fontId="3" fillId="0" borderId="0" xfId="0" applyFont="1"/>
    <xf numFmtId="0" fontId="10" fillId="0" borderId="11" xfId="0" applyFont="1" applyBorder="1"/>
    <xf numFmtId="0" fontId="1" fillId="0" borderId="0" xfId="0" applyFont="1" applyAlignment="1">
      <alignment horizontal="left"/>
    </xf>
    <xf numFmtId="0" fontId="0" fillId="0" borderId="0" xfId="0" applyAlignment="1">
      <alignment horizontal="left"/>
    </xf>
    <xf numFmtId="0" fontId="8" fillId="0" borderId="0" xfId="0" applyFont="1" applyAlignment="1">
      <alignment horizontal="left"/>
    </xf>
    <xf numFmtId="0" fontId="8" fillId="0" borderId="12" xfId="0" applyFont="1" applyBorder="1" applyAlignment="1">
      <alignment horizontal="left"/>
    </xf>
    <xf numFmtId="0" fontId="8" fillId="0" borderId="13" xfId="0" applyFont="1" applyBorder="1" applyAlignment="1">
      <alignment horizontal="left"/>
    </xf>
    <xf numFmtId="0" fontId="9" fillId="0" borderId="9" xfId="2" applyBorder="1" applyAlignment="1">
      <alignment horizontal="center"/>
    </xf>
    <xf numFmtId="0" fontId="9" fillId="0" borderId="0" xfId="2" applyBorder="1" applyAlignment="1">
      <alignment horizontal="center"/>
    </xf>
    <xf numFmtId="0" fontId="9" fillId="0" borderId="10" xfId="2" applyBorder="1" applyAlignment="1">
      <alignment horizontal="center"/>
    </xf>
    <xf numFmtId="0" fontId="10" fillId="0" borderId="9" xfId="0" applyFont="1" applyBorder="1" applyAlignment="1">
      <alignment horizontal="center"/>
    </xf>
    <xf numFmtId="0" fontId="10" fillId="0" borderId="0" xfId="0" applyFont="1" applyAlignment="1">
      <alignment horizontal="center"/>
    </xf>
    <xf numFmtId="0" fontId="10" fillId="0" borderId="10" xfId="0" applyFont="1" applyBorder="1" applyAlignment="1">
      <alignment horizontal="center"/>
    </xf>
    <xf numFmtId="0" fontId="9" fillId="0" borderId="11" xfId="2" applyBorder="1" applyAlignment="1">
      <alignment horizontal="center"/>
    </xf>
    <xf numFmtId="0" fontId="9" fillId="0" borderId="12" xfId="2" applyBorder="1" applyAlignment="1">
      <alignment horizontal="center"/>
    </xf>
    <xf numFmtId="0" fontId="9" fillId="0" borderId="13" xfId="2" applyBorder="1" applyAlignment="1">
      <alignment horizontal="center"/>
    </xf>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6" fillId="0" borderId="14" xfId="0" applyFont="1" applyBorder="1" applyAlignment="1">
      <alignment horizontal="center"/>
    </xf>
    <xf numFmtId="0" fontId="7" fillId="0" borderId="15" xfId="0" applyFont="1" applyBorder="1"/>
    <xf numFmtId="0" fontId="7" fillId="0" borderId="16" xfId="0" applyFont="1" applyBorder="1"/>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0" fillId="0" borderId="6" xfId="0" applyFont="1" applyBorder="1" applyAlignment="1">
      <alignment horizontal="center" wrapText="1"/>
    </xf>
    <xf numFmtId="0" fontId="10" fillId="0" borderId="7" xfId="0" applyFont="1" applyBorder="1" applyAlignment="1">
      <alignment horizontal="center" wrapText="1"/>
    </xf>
    <xf numFmtId="0" fontId="10" fillId="0" borderId="8" xfId="0" applyFont="1" applyBorder="1" applyAlignment="1">
      <alignment horizontal="center" wrapText="1"/>
    </xf>
  </cellXfs>
  <cellStyles count="3">
    <cellStyle name="Hyperlink" xfId="2" builtinId="8"/>
    <cellStyle name="Normal" xfId="0" builtinId="0"/>
    <cellStyle name="Normal 2" xfId="1" xr:uid="{2ABC7F15-1967-4BEE-8847-A1ACD4A063AC}"/>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BBA1CD37-606D-4BE5-8EB3-54CA450480EC}">
      <tableStyleElement type="wholeTable" dxfId="23"/>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E.1. Before PA'!$D$1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E.1. Before PA'!$D$2:$D$40</c:f>
              <c:numCache>
                <c:formatCode>General</c:formatCode>
                <c:ptCount val="39"/>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numCache>
            </c:numRef>
          </c:val>
          <c:smooth val="0"/>
          <c:extLst>
            <c:ext xmlns:c16="http://schemas.microsoft.com/office/drawing/2014/chart" uri="{C3380CC4-5D6E-409C-BE32-E72D297353CC}">
              <c16:uniqueId val="{00000000-329B-41D6-8340-43856FD2F6C5}"/>
            </c:ext>
          </c:extLst>
        </c:ser>
        <c:ser>
          <c:idx val="1"/>
          <c:order val="1"/>
          <c:tx>
            <c:strRef>
              <c:f>'Fig. E.1. Before PA'!$E$1</c:f>
              <c:strCache>
                <c:ptCount val="1"/>
                <c:pt idx="0">
                  <c:v>Mean</c:v>
                </c:pt>
              </c:strCache>
            </c:strRef>
          </c:tx>
          <c:spPr>
            <a:ln w="28575" cap="rnd">
              <a:solidFill>
                <a:schemeClr val="tx1"/>
              </a:solidFill>
              <a:round/>
            </a:ln>
            <a:effectLst/>
          </c:spPr>
          <c:marker>
            <c:symbol val="none"/>
          </c:marker>
          <c:val>
            <c:numRef>
              <c:f>'Fig. E.1. Before PA'!$E$2:$E$40</c:f>
              <c:numCache>
                <c:formatCode>General</c:formatCode>
                <c:ptCount val="39"/>
                <c:pt idx="0">
                  <c:v>1.1599999999999999</c:v>
                </c:pt>
                <c:pt idx="1">
                  <c:v>1.1599999999999999</c:v>
                </c:pt>
                <c:pt idx="2">
                  <c:v>1.1599999999999999</c:v>
                </c:pt>
                <c:pt idx="3">
                  <c:v>1.1599999999999999</c:v>
                </c:pt>
                <c:pt idx="4">
                  <c:v>1.1599999999999999</c:v>
                </c:pt>
                <c:pt idx="5">
                  <c:v>1.1599999999999999</c:v>
                </c:pt>
                <c:pt idx="6">
                  <c:v>1.1599999999999999</c:v>
                </c:pt>
                <c:pt idx="7">
                  <c:v>1.1599999999999999</c:v>
                </c:pt>
                <c:pt idx="8">
                  <c:v>1.1599999999999999</c:v>
                </c:pt>
                <c:pt idx="9">
                  <c:v>1.1599999999999999</c:v>
                </c:pt>
                <c:pt idx="10">
                  <c:v>1.1599999999999999</c:v>
                </c:pt>
                <c:pt idx="11">
                  <c:v>1.1599999999999999</c:v>
                </c:pt>
                <c:pt idx="12">
                  <c:v>1.1599999999999999</c:v>
                </c:pt>
                <c:pt idx="13">
                  <c:v>1.1599999999999999</c:v>
                </c:pt>
                <c:pt idx="14">
                  <c:v>1.1599999999999999</c:v>
                </c:pt>
                <c:pt idx="15">
                  <c:v>1.1599999999999999</c:v>
                </c:pt>
                <c:pt idx="16">
                  <c:v>1.1599999999999999</c:v>
                </c:pt>
                <c:pt idx="17">
                  <c:v>1.1599999999999999</c:v>
                </c:pt>
                <c:pt idx="18">
                  <c:v>1.1599999999999999</c:v>
                </c:pt>
                <c:pt idx="19">
                  <c:v>1.1599999999999999</c:v>
                </c:pt>
                <c:pt idx="20">
                  <c:v>1.1599999999999999</c:v>
                </c:pt>
                <c:pt idx="21">
                  <c:v>1.1599999999999999</c:v>
                </c:pt>
                <c:pt idx="22">
                  <c:v>1.1599999999999999</c:v>
                </c:pt>
                <c:pt idx="23">
                  <c:v>1.1599999999999999</c:v>
                </c:pt>
                <c:pt idx="24">
                  <c:v>1.1599999999999999</c:v>
                </c:pt>
                <c:pt idx="25">
                  <c:v>1.1599999999999999</c:v>
                </c:pt>
                <c:pt idx="26">
                  <c:v>1.1599999999999999</c:v>
                </c:pt>
                <c:pt idx="27">
                  <c:v>1.1599999999999999</c:v>
                </c:pt>
                <c:pt idx="28">
                  <c:v>1.1599999999999999</c:v>
                </c:pt>
                <c:pt idx="29">
                  <c:v>1.1599999999999999</c:v>
                </c:pt>
                <c:pt idx="30">
                  <c:v>1.1599999999999999</c:v>
                </c:pt>
                <c:pt idx="31">
                  <c:v>1.1599999999999999</c:v>
                </c:pt>
                <c:pt idx="32">
                  <c:v>1.1599999999999999</c:v>
                </c:pt>
                <c:pt idx="33">
                  <c:v>1.1599999999999999</c:v>
                </c:pt>
                <c:pt idx="34">
                  <c:v>1.1599999999999999</c:v>
                </c:pt>
                <c:pt idx="35">
                  <c:v>1.1599999999999999</c:v>
                </c:pt>
                <c:pt idx="36">
                  <c:v>1.1599999999999999</c:v>
                </c:pt>
                <c:pt idx="37">
                  <c:v>1.1599999999999999</c:v>
                </c:pt>
                <c:pt idx="38">
                  <c:v>1.1599999999999999</c:v>
                </c:pt>
              </c:numCache>
            </c:numRef>
          </c:val>
          <c:smooth val="0"/>
          <c:extLst>
            <c:ext xmlns:c16="http://schemas.microsoft.com/office/drawing/2014/chart" uri="{C3380CC4-5D6E-409C-BE32-E72D297353CC}">
              <c16:uniqueId val="{00000001-329B-41D6-8340-43856FD2F6C5}"/>
            </c:ext>
          </c:extLst>
        </c:ser>
        <c:ser>
          <c:idx val="2"/>
          <c:order val="2"/>
          <c:tx>
            <c:strRef>
              <c:f>'Fig. E.1. Before PA'!$F$1</c:f>
              <c:strCache>
                <c:ptCount val="1"/>
                <c:pt idx="0">
                  <c:v>UPL</c:v>
                </c:pt>
              </c:strCache>
            </c:strRef>
          </c:tx>
          <c:spPr>
            <a:ln w="28575" cap="rnd">
              <a:solidFill>
                <a:srgbClr val="D72323"/>
              </a:solidFill>
              <a:prstDash val="dash"/>
              <a:round/>
            </a:ln>
            <a:effectLst/>
          </c:spPr>
          <c:marker>
            <c:symbol val="none"/>
          </c:marker>
          <c:val>
            <c:numRef>
              <c:f>'Fig. E.1. Before PA'!$F$2:$F$40</c:f>
              <c:numCache>
                <c:formatCode>General</c:formatCode>
                <c:ptCount val="39"/>
                <c:pt idx="0">
                  <c:v>3.42</c:v>
                </c:pt>
                <c:pt idx="1">
                  <c:v>3.42</c:v>
                </c:pt>
                <c:pt idx="2">
                  <c:v>3.42</c:v>
                </c:pt>
                <c:pt idx="3">
                  <c:v>3.42</c:v>
                </c:pt>
                <c:pt idx="4">
                  <c:v>3.42</c:v>
                </c:pt>
                <c:pt idx="5">
                  <c:v>3.42</c:v>
                </c:pt>
                <c:pt idx="6">
                  <c:v>3.42</c:v>
                </c:pt>
                <c:pt idx="7">
                  <c:v>3.42</c:v>
                </c:pt>
                <c:pt idx="8">
                  <c:v>3.42</c:v>
                </c:pt>
                <c:pt idx="9">
                  <c:v>3.42</c:v>
                </c:pt>
                <c:pt idx="10">
                  <c:v>3.42</c:v>
                </c:pt>
                <c:pt idx="11">
                  <c:v>3.42</c:v>
                </c:pt>
                <c:pt idx="12">
                  <c:v>3.42</c:v>
                </c:pt>
                <c:pt idx="13">
                  <c:v>3.42</c:v>
                </c:pt>
                <c:pt idx="14">
                  <c:v>3.42</c:v>
                </c:pt>
                <c:pt idx="15">
                  <c:v>3.42</c:v>
                </c:pt>
                <c:pt idx="16">
                  <c:v>3.42</c:v>
                </c:pt>
                <c:pt idx="17">
                  <c:v>3.42</c:v>
                </c:pt>
                <c:pt idx="18">
                  <c:v>3.42</c:v>
                </c:pt>
                <c:pt idx="19">
                  <c:v>3.42</c:v>
                </c:pt>
                <c:pt idx="20">
                  <c:v>3.42</c:v>
                </c:pt>
                <c:pt idx="21">
                  <c:v>3.42</c:v>
                </c:pt>
                <c:pt idx="22">
                  <c:v>3.42</c:v>
                </c:pt>
                <c:pt idx="23">
                  <c:v>3.42</c:v>
                </c:pt>
                <c:pt idx="24">
                  <c:v>3.42</c:v>
                </c:pt>
                <c:pt idx="25">
                  <c:v>3.42</c:v>
                </c:pt>
                <c:pt idx="26">
                  <c:v>3.42</c:v>
                </c:pt>
                <c:pt idx="27">
                  <c:v>3.42</c:v>
                </c:pt>
                <c:pt idx="28">
                  <c:v>3.42</c:v>
                </c:pt>
                <c:pt idx="29">
                  <c:v>3.42</c:v>
                </c:pt>
                <c:pt idx="30">
                  <c:v>3.42</c:v>
                </c:pt>
                <c:pt idx="31">
                  <c:v>3.42</c:v>
                </c:pt>
                <c:pt idx="32">
                  <c:v>3.42</c:v>
                </c:pt>
                <c:pt idx="33">
                  <c:v>3.42</c:v>
                </c:pt>
                <c:pt idx="34">
                  <c:v>3.42</c:v>
                </c:pt>
                <c:pt idx="35">
                  <c:v>3.42</c:v>
                </c:pt>
                <c:pt idx="36">
                  <c:v>3.42</c:v>
                </c:pt>
                <c:pt idx="37">
                  <c:v>3.42</c:v>
                </c:pt>
                <c:pt idx="38">
                  <c:v>3.42</c:v>
                </c:pt>
              </c:numCache>
            </c:numRef>
          </c:val>
          <c:smooth val="0"/>
          <c:extLst>
            <c:ext xmlns:c16="http://schemas.microsoft.com/office/drawing/2014/chart" uri="{C3380CC4-5D6E-409C-BE32-E72D297353CC}">
              <c16:uniqueId val="{00000002-329B-41D6-8340-43856FD2F6C5}"/>
            </c:ext>
          </c:extLst>
        </c:ser>
        <c:ser>
          <c:idx val="3"/>
          <c:order val="3"/>
          <c:tx>
            <c:strRef>
              <c:f>'Fig. E.1. Before PA'!$G$1</c:f>
              <c:strCache>
                <c:ptCount val="1"/>
                <c:pt idx="0">
                  <c:v>LPL</c:v>
                </c:pt>
              </c:strCache>
            </c:strRef>
          </c:tx>
          <c:spPr>
            <a:ln w="28575" cap="rnd">
              <a:solidFill>
                <a:srgbClr val="D72323"/>
              </a:solidFill>
              <a:prstDash val="dash"/>
              <a:round/>
            </a:ln>
            <a:effectLst/>
          </c:spPr>
          <c:marker>
            <c:symbol val="none"/>
          </c:marker>
          <c:val>
            <c:numRef>
              <c:f>'Fig. E.1. Before PA'!$G$2:$G$40</c:f>
              <c:numCache>
                <c:formatCode>General</c:formatCode>
                <c:ptCount val="3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E.1. Before PA'!$H$1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E.1. Before PA'!$H$2:$H$40</c:f>
              <c:numCache>
                <c:formatCode>General</c:formatCode>
                <c:ptCount val="39"/>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numCache>
            </c:numRef>
          </c:val>
          <c:smooth val="0"/>
          <c:extLst>
            <c:ext xmlns:c16="http://schemas.microsoft.com/office/drawing/2014/chart" uri="{C3380CC4-5D6E-409C-BE32-E72D297353CC}">
              <c16:uniqueId val="{00000000-5D18-47FA-93F7-2AB89D044415}"/>
            </c:ext>
          </c:extLst>
        </c:ser>
        <c:ser>
          <c:idx val="1"/>
          <c:order val="1"/>
          <c:tx>
            <c:strRef>
              <c:f>'Fig. E.1. Before PA'!$I$1</c:f>
              <c:strCache>
                <c:ptCount val="1"/>
                <c:pt idx="0">
                  <c:v>Ave. mR</c:v>
                </c:pt>
              </c:strCache>
            </c:strRef>
          </c:tx>
          <c:spPr>
            <a:ln w="28575" cap="rnd">
              <a:solidFill>
                <a:schemeClr val="tx1"/>
              </a:solidFill>
              <a:round/>
            </a:ln>
            <a:effectLst/>
          </c:spPr>
          <c:marker>
            <c:symbol val="none"/>
          </c:marker>
          <c:val>
            <c:numRef>
              <c:f>'Fig. E.1. Before PA'!$I$2:$I$40</c:f>
              <c:numCache>
                <c:formatCode>General</c:formatCode>
                <c:ptCount val="39"/>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pt idx="33">
                  <c:v>0.85</c:v>
                </c:pt>
                <c:pt idx="34">
                  <c:v>0.85</c:v>
                </c:pt>
                <c:pt idx="35">
                  <c:v>0.85</c:v>
                </c:pt>
                <c:pt idx="36">
                  <c:v>0.85</c:v>
                </c:pt>
                <c:pt idx="37">
                  <c:v>0.85</c:v>
                </c:pt>
                <c:pt idx="38">
                  <c:v>0.85</c:v>
                </c:pt>
              </c:numCache>
            </c:numRef>
          </c:val>
          <c:smooth val="0"/>
          <c:extLst>
            <c:ext xmlns:c16="http://schemas.microsoft.com/office/drawing/2014/chart" uri="{C3380CC4-5D6E-409C-BE32-E72D297353CC}">
              <c16:uniqueId val="{00000001-5D18-47FA-93F7-2AB89D044415}"/>
            </c:ext>
          </c:extLst>
        </c:ser>
        <c:ser>
          <c:idx val="2"/>
          <c:order val="2"/>
          <c:tx>
            <c:strRef>
              <c:f>'Fig. E.1. Before PA'!$J$1</c:f>
              <c:strCache>
                <c:ptCount val="1"/>
                <c:pt idx="0">
                  <c:v>URL</c:v>
                </c:pt>
              </c:strCache>
            </c:strRef>
          </c:tx>
          <c:spPr>
            <a:ln w="28575" cap="rnd">
              <a:solidFill>
                <a:srgbClr val="D72323"/>
              </a:solidFill>
              <a:prstDash val="dash"/>
              <a:round/>
            </a:ln>
            <a:effectLst/>
          </c:spPr>
          <c:marker>
            <c:symbol val="none"/>
          </c:marker>
          <c:val>
            <c:numRef>
              <c:f>'Fig. E.1. Before PA'!$J$2:$J$40</c:f>
              <c:numCache>
                <c:formatCode>General</c:formatCode>
                <c:ptCount val="39"/>
                <c:pt idx="0">
                  <c:v>2.78</c:v>
                </c:pt>
                <c:pt idx="1">
                  <c:v>2.78</c:v>
                </c:pt>
                <c:pt idx="2">
                  <c:v>2.78</c:v>
                </c:pt>
                <c:pt idx="3">
                  <c:v>2.78</c:v>
                </c:pt>
                <c:pt idx="4">
                  <c:v>2.78</c:v>
                </c:pt>
                <c:pt idx="5">
                  <c:v>2.78</c:v>
                </c:pt>
                <c:pt idx="6">
                  <c:v>2.78</c:v>
                </c:pt>
                <c:pt idx="7">
                  <c:v>2.78</c:v>
                </c:pt>
                <c:pt idx="8">
                  <c:v>2.78</c:v>
                </c:pt>
                <c:pt idx="9">
                  <c:v>2.78</c:v>
                </c:pt>
                <c:pt idx="10">
                  <c:v>2.78</c:v>
                </c:pt>
                <c:pt idx="11">
                  <c:v>2.78</c:v>
                </c:pt>
                <c:pt idx="12">
                  <c:v>2.78</c:v>
                </c:pt>
                <c:pt idx="13">
                  <c:v>2.78</c:v>
                </c:pt>
                <c:pt idx="14">
                  <c:v>2.78</c:v>
                </c:pt>
                <c:pt idx="15">
                  <c:v>2.78</c:v>
                </c:pt>
                <c:pt idx="16">
                  <c:v>2.78</c:v>
                </c:pt>
                <c:pt idx="17">
                  <c:v>2.78</c:v>
                </c:pt>
                <c:pt idx="18">
                  <c:v>2.78</c:v>
                </c:pt>
                <c:pt idx="19">
                  <c:v>2.78</c:v>
                </c:pt>
                <c:pt idx="20">
                  <c:v>2.78</c:v>
                </c:pt>
                <c:pt idx="21">
                  <c:v>2.78</c:v>
                </c:pt>
                <c:pt idx="22">
                  <c:v>2.78</c:v>
                </c:pt>
                <c:pt idx="23">
                  <c:v>2.78</c:v>
                </c:pt>
                <c:pt idx="24">
                  <c:v>2.78</c:v>
                </c:pt>
                <c:pt idx="25">
                  <c:v>2.78</c:v>
                </c:pt>
                <c:pt idx="26">
                  <c:v>2.78</c:v>
                </c:pt>
                <c:pt idx="27">
                  <c:v>2.78</c:v>
                </c:pt>
                <c:pt idx="28">
                  <c:v>2.78</c:v>
                </c:pt>
                <c:pt idx="29">
                  <c:v>2.78</c:v>
                </c:pt>
                <c:pt idx="30">
                  <c:v>2.78</c:v>
                </c:pt>
                <c:pt idx="31">
                  <c:v>2.78</c:v>
                </c:pt>
                <c:pt idx="32">
                  <c:v>2.78</c:v>
                </c:pt>
                <c:pt idx="33">
                  <c:v>2.78</c:v>
                </c:pt>
                <c:pt idx="34">
                  <c:v>2.78</c:v>
                </c:pt>
                <c:pt idx="35">
                  <c:v>2.78</c:v>
                </c:pt>
                <c:pt idx="36">
                  <c:v>2.78</c:v>
                </c:pt>
                <c:pt idx="37">
                  <c:v>2.78</c:v>
                </c:pt>
                <c:pt idx="38">
                  <c:v>2.78</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E.2. After PA'!$D$1</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E.2.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PA'!$D$2:$D$19</c:f>
              <c:numCache>
                <c:formatCode>General</c:formatCode>
                <c:ptCount val="18"/>
                <c:pt idx="0">
                  <c:v>7.5</c:v>
                </c:pt>
                <c:pt idx="1">
                  <c:v>4.9000000000000004</c:v>
                </c:pt>
                <c:pt idx="2">
                  <c:v>8.8000000000000007</c:v>
                </c:pt>
                <c:pt idx="3">
                  <c:v>8.1</c:v>
                </c:pt>
                <c:pt idx="4">
                  <c:v>2.2000000000000002</c:v>
                </c:pt>
                <c:pt idx="5">
                  <c:v>3.6</c:v>
                </c:pt>
                <c:pt idx="6">
                  <c:v>4.5999999999999996</c:v>
                </c:pt>
                <c:pt idx="7">
                  <c:v>4</c:v>
                </c:pt>
                <c:pt idx="8">
                  <c:v>6.6</c:v>
                </c:pt>
                <c:pt idx="9">
                  <c:v>3.2</c:v>
                </c:pt>
                <c:pt idx="10">
                  <c:v>5.3</c:v>
                </c:pt>
                <c:pt idx="11">
                  <c:v>7.7</c:v>
                </c:pt>
                <c:pt idx="12">
                  <c:v>5.6</c:v>
                </c:pt>
                <c:pt idx="13">
                  <c:v>7.5</c:v>
                </c:pt>
                <c:pt idx="14">
                  <c:v>9.1</c:v>
                </c:pt>
                <c:pt idx="15">
                  <c:v>3</c:v>
                </c:pt>
                <c:pt idx="16">
                  <c:v>5.4</c:v>
                </c:pt>
                <c:pt idx="17">
                  <c:v>9.1999999999999993</c:v>
                </c:pt>
              </c:numCache>
            </c:numRef>
          </c:val>
          <c:smooth val="0"/>
          <c:extLst>
            <c:ext xmlns:c16="http://schemas.microsoft.com/office/drawing/2014/chart" uri="{C3380CC4-5D6E-409C-BE32-E72D297353CC}">
              <c16:uniqueId val="{00000000-329B-41D6-8340-43856FD2F6C5}"/>
            </c:ext>
          </c:extLst>
        </c:ser>
        <c:ser>
          <c:idx val="1"/>
          <c:order val="1"/>
          <c:tx>
            <c:strRef>
              <c:f>'Fig. E.2. After PA'!$E$1</c:f>
              <c:strCache>
                <c:ptCount val="1"/>
                <c:pt idx="0">
                  <c:v>Mean</c:v>
                </c:pt>
              </c:strCache>
            </c:strRef>
          </c:tx>
          <c:spPr>
            <a:ln w="28575" cap="rnd">
              <a:solidFill>
                <a:schemeClr val="tx1"/>
              </a:solidFill>
              <a:round/>
            </a:ln>
            <a:effectLst/>
          </c:spPr>
          <c:marker>
            <c:symbol val="none"/>
          </c:marker>
          <c:cat>
            <c:strRef>
              <c:f>'Fig. E.2.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PA'!$E$2:$E$19</c:f>
              <c:numCache>
                <c:formatCode>General</c:formatCode>
                <c:ptCount val="18"/>
                <c:pt idx="0">
                  <c:v>5.91</c:v>
                </c:pt>
                <c:pt idx="1">
                  <c:v>5.91</c:v>
                </c:pt>
                <c:pt idx="2">
                  <c:v>5.91</c:v>
                </c:pt>
                <c:pt idx="3">
                  <c:v>5.91</c:v>
                </c:pt>
                <c:pt idx="4">
                  <c:v>5.91</c:v>
                </c:pt>
                <c:pt idx="5">
                  <c:v>5.91</c:v>
                </c:pt>
                <c:pt idx="6">
                  <c:v>5.91</c:v>
                </c:pt>
                <c:pt idx="7">
                  <c:v>5.91</c:v>
                </c:pt>
                <c:pt idx="8">
                  <c:v>5.91</c:v>
                </c:pt>
                <c:pt idx="9">
                  <c:v>5.91</c:v>
                </c:pt>
                <c:pt idx="10">
                  <c:v>5.91</c:v>
                </c:pt>
                <c:pt idx="11">
                  <c:v>5.91</c:v>
                </c:pt>
                <c:pt idx="12">
                  <c:v>5.91</c:v>
                </c:pt>
                <c:pt idx="13">
                  <c:v>5.91</c:v>
                </c:pt>
                <c:pt idx="14">
                  <c:v>5.91</c:v>
                </c:pt>
                <c:pt idx="15">
                  <c:v>5.91</c:v>
                </c:pt>
                <c:pt idx="16">
                  <c:v>5.91</c:v>
                </c:pt>
                <c:pt idx="17">
                  <c:v>5.91</c:v>
                </c:pt>
              </c:numCache>
            </c:numRef>
          </c:val>
          <c:smooth val="0"/>
          <c:extLst>
            <c:ext xmlns:c16="http://schemas.microsoft.com/office/drawing/2014/chart" uri="{C3380CC4-5D6E-409C-BE32-E72D297353CC}">
              <c16:uniqueId val="{00000001-329B-41D6-8340-43856FD2F6C5}"/>
            </c:ext>
          </c:extLst>
        </c:ser>
        <c:ser>
          <c:idx val="2"/>
          <c:order val="2"/>
          <c:tx>
            <c:strRef>
              <c:f>'Fig. E.2. After PA'!$F$1</c:f>
              <c:strCache>
                <c:ptCount val="1"/>
                <c:pt idx="0">
                  <c:v>UPL</c:v>
                </c:pt>
              </c:strCache>
            </c:strRef>
          </c:tx>
          <c:spPr>
            <a:ln w="28575" cap="rnd">
              <a:solidFill>
                <a:srgbClr val="D72323"/>
              </a:solidFill>
              <a:prstDash val="dash"/>
              <a:round/>
            </a:ln>
            <a:effectLst/>
          </c:spPr>
          <c:marker>
            <c:symbol val="none"/>
          </c:marker>
          <c:cat>
            <c:strRef>
              <c:f>'Fig. E.2.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PA'!$F$2:$F$19</c:f>
              <c:numCache>
                <c:formatCode>General</c:formatCode>
                <c:ptCount val="18"/>
                <c:pt idx="0">
                  <c:v>12.88</c:v>
                </c:pt>
                <c:pt idx="1">
                  <c:v>12.88</c:v>
                </c:pt>
                <c:pt idx="2">
                  <c:v>12.88</c:v>
                </c:pt>
                <c:pt idx="3">
                  <c:v>12.88</c:v>
                </c:pt>
                <c:pt idx="4">
                  <c:v>12.88</c:v>
                </c:pt>
                <c:pt idx="5">
                  <c:v>12.88</c:v>
                </c:pt>
                <c:pt idx="6">
                  <c:v>12.88</c:v>
                </c:pt>
                <c:pt idx="7">
                  <c:v>12.88</c:v>
                </c:pt>
                <c:pt idx="8">
                  <c:v>12.88</c:v>
                </c:pt>
                <c:pt idx="9">
                  <c:v>12.88</c:v>
                </c:pt>
                <c:pt idx="10">
                  <c:v>12.88</c:v>
                </c:pt>
                <c:pt idx="11">
                  <c:v>12.88</c:v>
                </c:pt>
                <c:pt idx="12">
                  <c:v>12.88</c:v>
                </c:pt>
                <c:pt idx="13">
                  <c:v>12.88</c:v>
                </c:pt>
                <c:pt idx="14">
                  <c:v>12.88</c:v>
                </c:pt>
                <c:pt idx="15">
                  <c:v>12.88</c:v>
                </c:pt>
                <c:pt idx="16">
                  <c:v>12.88</c:v>
                </c:pt>
                <c:pt idx="17">
                  <c:v>12.88</c:v>
                </c:pt>
              </c:numCache>
            </c:numRef>
          </c:val>
          <c:smooth val="0"/>
          <c:extLst>
            <c:ext xmlns:c16="http://schemas.microsoft.com/office/drawing/2014/chart" uri="{C3380CC4-5D6E-409C-BE32-E72D297353CC}">
              <c16:uniqueId val="{00000002-329B-41D6-8340-43856FD2F6C5}"/>
            </c:ext>
          </c:extLst>
        </c:ser>
        <c:ser>
          <c:idx val="3"/>
          <c:order val="3"/>
          <c:tx>
            <c:strRef>
              <c:f>'Fig. E.2. After PA'!$G$1</c:f>
              <c:strCache>
                <c:ptCount val="1"/>
                <c:pt idx="0">
                  <c:v>LPL</c:v>
                </c:pt>
              </c:strCache>
            </c:strRef>
          </c:tx>
          <c:spPr>
            <a:ln w="28575" cap="rnd">
              <a:solidFill>
                <a:srgbClr val="D72323"/>
              </a:solidFill>
              <a:prstDash val="dash"/>
              <a:round/>
            </a:ln>
            <a:effectLst/>
          </c:spPr>
          <c:marker>
            <c:symbol val="none"/>
          </c:marker>
          <c:cat>
            <c:strRef>
              <c:f>'Fig. E.2. After PA'!$C$2:$C$19</c:f>
              <c:strCache>
                <c:ptCount val="18"/>
                <c:pt idx="0">
                  <c:v>1823</c:v>
                </c:pt>
                <c:pt idx="1">
                  <c:v>1824</c:v>
                </c:pt>
                <c:pt idx="2">
                  <c:v>1825</c:v>
                </c:pt>
                <c:pt idx="3">
                  <c:v>1826</c:v>
                </c:pt>
                <c:pt idx="4">
                  <c:v>1827</c:v>
                </c:pt>
                <c:pt idx="5">
                  <c:v>1828</c:v>
                </c:pt>
                <c:pt idx="6">
                  <c:v>1829</c:v>
                </c:pt>
                <c:pt idx="7">
                  <c:v>1830</c:v>
                </c:pt>
                <c:pt idx="8">
                  <c:v>1831</c:v>
                </c:pt>
                <c:pt idx="9">
                  <c:v>1832</c:v>
                </c:pt>
                <c:pt idx="10">
                  <c:v>1833</c:v>
                </c:pt>
                <c:pt idx="11">
                  <c:v>1834</c:v>
                </c:pt>
                <c:pt idx="12">
                  <c:v>1835</c:v>
                </c:pt>
                <c:pt idx="13">
                  <c:v>1836</c:v>
                </c:pt>
                <c:pt idx="14">
                  <c:v>1837</c:v>
                </c:pt>
                <c:pt idx="15">
                  <c:v>1838</c:v>
                </c:pt>
                <c:pt idx="16">
                  <c:v>1839</c:v>
                </c:pt>
                <c:pt idx="17">
                  <c:v>1840</c:v>
                </c:pt>
              </c:strCache>
            </c:strRef>
          </c:cat>
          <c:val>
            <c:numRef>
              <c:f>'Fig. E.2. After PA'!$G$2:$G$19</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 Rate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E.2. After PA'!$H$1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E.2. After PA'!$H$2:$H$19</c:f>
              <c:numCache>
                <c:formatCode>General</c:formatCode>
                <c:ptCount val="18"/>
                <c:pt idx="1">
                  <c:v>2.5999999999999996</c:v>
                </c:pt>
                <c:pt idx="2">
                  <c:v>3.9000000000000004</c:v>
                </c:pt>
                <c:pt idx="3">
                  <c:v>0.70000000000000107</c:v>
                </c:pt>
                <c:pt idx="4">
                  <c:v>5.8999999999999995</c:v>
                </c:pt>
                <c:pt idx="5">
                  <c:v>1.4</c:v>
                </c:pt>
                <c:pt idx="6">
                  <c:v>0.99999999999999956</c:v>
                </c:pt>
                <c:pt idx="7">
                  <c:v>0.59999999999999964</c:v>
                </c:pt>
                <c:pt idx="8">
                  <c:v>2.5999999999999996</c:v>
                </c:pt>
                <c:pt idx="9">
                  <c:v>3.3999999999999995</c:v>
                </c:pt>
                <c:pt idx="10">
                  <c:v>2.0999999999999996</c:v>
                </c:pt>
                <c:pt idx="11">
                  <c:v>2.4000000000000004</c:v>
                </c:pt>
                <c:pt idx="12">
                  <c:v>2.1000000000000005</c:v>
                </c:pt>
                <c:pt idx="13">
                  <c:v>1.9000000000000004</c:v>
                </c:pt>
                <c:pt idx="14">
                  <c:v>1.5999999999999996</c:v>
                </c:pt>
                <c:pt idx="15">
                  <c:v>6.1</c:v>
                </c:pt>
                <c:pt idx="16">
                  <c:v>2.4000000000000004</c:v>
                </c:pt>
                <c:pt idx="17">
                  <c:v>3.7999999999999989</c:v>
                </c:pt>
              </c:numCache>
            </c:numRef>
          </c:val>
          <c:smooth val="0"/>
          <c:extLst>
            <c:ext xmlns:c16="http://schemas.microsoft.com/office/drawing/2014/chart" uri="{C3380CC4-5D6E-409C-BE32-E72D297353CC}">
              <c16:uniqueId val="{00000000-5D18-47FA-93F7-2AB89D044415}"/>
            </c:ext>
          </c:extLst>
        </c:ser>
        <c:ser>
          <c:idx val="1"/>
          <c:order val="1"/>
          <c:tx>
            <c:strRef>
              <c:f>'Fig. E.2. After PA'!$I$1</c:f>
              <c:strCache>
                <c:ptCount val="1"/>
                <c:pt idx="0">
                  <c:v>Ave. mR</c:v>
                </c:pt>
              </c:strCache>
            </c:strRef>
          </c:tx>
          <c:spPr>
            <a:ln w="28575" cap="rnd">
              <a:solidFill>
                <a:schemeClr val="tx1"/>
              </a:solidFill>
              <a:round/>
            </a:ln>
            <a:effectLst/>
          </c:spPr>
          <c:marker>
            <c:symbol val="none"/>
          </c:marker>
          <c:val>
            <c:numRef>
              <c:f>'Fig. E.2. After PA'!$I$2:$I$19</c:f>
              <c:numCache>
                <c:formatCode>General</c:formatCode>
                <c:ptCount val="18"/>
                <c:pt idx="0">
                  <c:v>2.62</c:v>
                </c:pt>
                <c:pt idx="1">
                  <c:v>2.62</c:v>
                </c:pt>
                <c:pt idx="2">
                  <c:v>2.62</c:v>
                </c:pt>
                <c:pt idx="3">
                  <c:v>2.62</c:v>
                </c:pt>
                <c:pt idx="4">
                  <c:v>2.62</c:v>
                </c:pt>
                <c:pt idx="5">
                  <c:v>2.62</c:v>
                </c:pt>
                <c:pt idx="6">
                  <c:v>2.62</c:v>
                </c:pt>
                <c:pt idx="7">
                  <c:v>2.62</c:v>
                </c:pt>
                <c:pt idx="8">
                  <c:v>2.62</c:v>
                </c:pt>
                <c:pt idx="9">
                  <c:v>2.62</c:v>
                </c:pt>
                <c:pt idx="10">
                  <c:v>2.62</c:v>
                </c:pt>
                <c:pt idx="11">
                  <c:v>2.62</c:v>
                </c:pt>
                <c:pt idx="12">
                  <c:v>2.62</c:v>
                </c:pt>
                <c:pt idx="13">
                  <c:v>2.62</c:v>
                </c:pt>
                <c:pt idx="14">
                  <c:v>2.62</c:v>
                </c:pt>
                <c:pt idx="15">
                  <c:v>2.62</c:v>
                </c:pt>
                <c:pt idx="16">
                  <c:v>2.62</c:v>
                </c:pt>
                <c:pt idx="17">
                  <c:v>2.62</c:v>
                </c:pt>
              </c:numCache>
            </c:numRef>
          </c:val>
          <c:smooth val="0"/>
          <c:extLst>
            <c:ext xmlns:c16="http://schemas.microsoft.com/office/drawing/2014/chart" uri="{C3380CC4-5D6E-409C-BE32-E72D297353CC}">
              <c16:uniqueId val="{00000001-5D18-47FA-93F7-2AB89D044415}"/>
            </c:ext>
          </c:extLst>
        </c:ser>
        <c:ser>
          <c:idx val="2"/>
          <c:order val="2"/>
          <c:tx>
            <c:strRef>
              <c:f>'Fig. E.2. After PA'!$J$1</c:f>
              <c:strCache>
                <c:ptCount val="1"/>
                <c:pt idx="0">
                  <c:v>URL</c:v>
                </c:pt>
              </c:strCache>
            </c:strRef>
          </c:tx>
          <c:spPr>
            <a:ln w="28575" cap="rnd">
              <a:solidFill>
                <a:srgbClr val="D72323"/>
              </a:solidFill>
              <a:prstDash val="dash"/>
              <a:round/>
            </a:ln>
            <a:effectLst/>
          </c:spPr>
          <c:marker>
            <c:symbol val="none"/>
          </c:marker>
          <c:val>
            <c:numRef>
              <c:f>'Fig. E.2. After PA'!$J$2:$J$19</c:f>
              <c:numCache>
                <c:formatCode>General</c:formatCode>
                <c:ptCount val="18"/>
                <c:pt idx="0">
                  <c:v>8.56</c:v>
                </c:pt>
                <c:pt idx="1">
                  <c:v>8.56</c:v>
                </c:pt>
                <c:pt idx="2">
                  <c:v>8.56</c:v>
                </c:pt>
                <c:pt idx="3">
                  <c:v>8.56</c:v>
                </c:pt>
                <c:pt idx="4">
                  <c:v>8.56</c:v>
                </c:pt>
                <c:pt idx="5">
                  <c:v>8.56</c:v>
                </c:pt>
                <c:pt idx="6">
                  <c:v>8.56</c:v>
                </c:pt>
                <c:pt idx="7">
                  <c:v>8.56</c:v>
                </c:pt>
                <c:pt idx="8">
                  <c:v>8.56</c:v>
                </c:pt>
                <c:pt idx="9">
                  <c:v>8.56</c:v>
                </c:pt>
                <c:pt idx="10">
                  <c:v>8.56</c:v>
                </c:pt>
                <c:pt idx="11">
                  <c:v>8.56</c:v>
                </c:pt>
                <c:pt idx="12">
                  <c:v>8.56</c:v>
                </c:pt>
                <c:pt idx="13">
                  <c:v>8.56</c:v>
                </c:pt>
                <c:pt idx="14">
                  <c:v>8.56</c:v>
                </c:pt>
                <c:pt idx="15">
                  <c:v>8.56</c:v>
                </c:pt>
                <c:pt idx="16">
                  <c:v>8.56</c:v>
                </c:pt>
                <c:pt idx="17">
                  <c:v>8.56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592027BA-A168-430B-B244-D759141C93A4}"/>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xdr:colOff>
      <xdr:row>1</xdr:row>
      <xdr:rowOff>0</xdr:rowOff>
    </xdr:from>
    <xdr:to>
      <xdr:col>19</xdr:col>
      <xdr:colOff>1</xdr:colOff>
      <xdr:row>14</xdr:row>
      <xdr:rowOff>0</xdr:rowOff>
    </xdr:to>
    <xdr:graphicFrame macro="">
      <xdr:nvGraphicFramePr>
        <xdr:cNvPr id="2" name="Chart 1">
          <a:extLst>
            <a:ext uri="{FF2B5EF4-FFF2-40B4-BE49-F238E27FC236}">
              <a16:creationId xmlns:a16="http://schemas.microsoft.com/office/drawing/2014/main" id="{B1B2A5C4-D9CB-30F9-E18B-D9DCDFDB0A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0</xdr:colOff>
      <xdr:row>26</xdr:row>
      <xdr:rowOff>0</xdr:rowOff>
    </xdr:to>
    <xdr:graphicFrame macro="">
      <xdr:nvGraphicFramePr>
        <xdr:cNvPr id="3" name="Chart 2">
          <a:extLst>
            <a:ext uri="{FF2B5EF4-FFF2-40B4-BE49-F238E27FC236}">
              <a16:creationId xmlns:a16="http://schemas.microsoft.com/office/drawing/2014/main" id="{1229D8F1-8F84-8191-F1C2-CA59BEBC6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1</xdr:row>
      <xdr:rowOff>0</xdr:rowOff>
    </xdr:from>
    <xdr:to>
      <xdr:col>19</xdr:col>
      <xdr:colOff>123825</xdr:colOff>
      <xdr:row>14</xdr:row>
      <xdr:rowOff>0</xdr:rowOff>
    </xdr:to>
    <xdr:graphicFrame macro="">
      <xdr:nvGraphicFramePr>
        <xdr:cNvPr id="3" name="Chart 2">
          <a:extLst>
            <a:ext uri="{FF2B5EF4-FFF2-40B4-BE49-F238E27FC236}">
              <a16:creationId xmlns:a16="http://schemas.microsoft.com/office/drawing/2014/main" id="{5F136D8A-D4E5-0187-5959-F1825B747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14</xdr:row>
      <xdr:rowOff>0</xdr:rowOff>
    </xdr:from>
    <xdr:to>
      <xdr:col>19</xdr:col>
      <xdr:colOff>133350</xdr:colOff>
      <xdr:row>27</xdr:row>
      <xdr:rowOff>0</xdr:rowOff>
    </xdr:to>
    <xdr:graphicFrame macro="">
      <xdr:nvGraphicFramePr>
        <xdr:cNvPr id="4" name="Chart 3">
          <a:extLst>
            <a:ext uri="{FF2B5EF4-FFF2-40B4-BE49-F238E27FC236}">
              <a16:creationId xmlns:a16="http://schemas.microsoft.com/office/drawing/2014/main" id="{FDB67318-A4CE-47A5-CA75-A00FCBC9F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68C648D-AD31-4C29-BE76-C6CEF393C674}"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22F5E36-E276-4C22-B13D-104A786D8195}" autoFormatId="16" applyNumberFormats="0" applyBorderFormats="0" applyFontFormats="0" applyPatternFormats="0" applyAlignmentFormats="0" applyWidthHeightFormats="0">
  <queryTableRefresh nextId="11" unboundColumnsRight="6">
    <queryTableFields count="10">
      <queryTableField id="1" name="Hospital" tableColumnId="1"/>
      <queryTableField id="2" name="Stage" tableColumnId="2"/>
      <queryTableField id="3" name="Year" tableColumnId="3"/>
      <queryTableField id="4" name="Rate"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18CAC0-6058-4581-8265-13F497DAFB9E}" name="Query1" displayName="Query1" ref="A1:J40" tableType="queryTable" totalsRowShown="0" headerRowDxfId="9">
  <autoFilter ref="A1:J40" xr:uid="{8F18CAC0-6058-4581-8265-13F497DAFB9E}"/>
  <tableColumns count="10">
    <tableColumn id="1" xr3:uid="{A1EFDA7B-5836-4BFF-94C1-538C7B134D52}" uniqueName="1" name="Hospital" queryTableFieldId="1" dataDxfId="8"/>
    <tableColumn id="2" xr3:uid="{A4E0C0E8-A1FF-440F-B12E-38AA891DAEBC}" uniqueName="2" name="Stage" queryTableFieldId="2" dataDxfId="7"/>
    <tableColumn id="3" xr3:uid="{D20DC025-75B4-4F9E-84BB-34717690C6AF}" uniqueName="3" name="Year" queryTableFieldId="3" dataDxfId="6"/>
    <tableColumn id="4" xr3:uid="{B8B60293-4832-462E-8B48-78042E45717F}" uniqueName="4" name="Rate" queryTableFieldId="4"/>
    <tableColumn id="5" xr3:uid="{A942B265-1BFA-46B3-8455-335609C5BD57}" uniqueName="5" name="Mean" queryTableFieldId="5" dataDxfId="5">
      <calculatedColumnFormula>ROUND(AVERAGE($D$2:$D$40),2)</calculatedColumnFormula>
    </tableColumn>
    <tableColumn id="6" xr3:uid="{28DA6AC0-74BE-4464-83A6-408F7EB2BC4F}" uniqueName="6" name="UPL" queryTableFieldId="6" dataDxfId="4">
      <calculatedColumnFormula>ROUND(E2+(2.66*I2),2)</calculatedColumnFormula>
    </tableColumn>
    <tableColumn id="7" xr3:uid="{8703D471-E59D-4379-9CA4-F5EC0AB2D76B}" uniqueName="7" name="LPL" queryTableFieldId="7" dataDxfId="3">
      <calculatedColumnFormula>ROUND(MAX(0,E2-(2.66*I2)),2)</calculatedColumnFormula>
    </tableColumn>
    <tableColumn id="8" xr3:uid="{AF35F147-7DA6-4D32-8BB0-7906B0BAE349}" uniqueName="8" name="mR" queryTableFieldId="8" dataDxfId="2">
      <calculatedColumnFormula>ABS(D1-D2)</calculatedColumnFormula>
    </tableColumn>
    <tableColumn id="9" xr3:uid="{69CE4446-DE4E-49F1-971F-66A177B0288D}" uniqueName="9" name="Ave. mR" queryTableFieldId="9" dataDxfId="1">
      <calculatedColumnFormula>ROUND(AVERAGE($H$3:H40),2)</calculatedColumnFormula>
    </tableColumn>
    <tableColumn id="10" xr3:uid="{C3F6EA80-18A2-4A18-9DF7-3F4DFC94A7BF}" uniqueName="10" name="URL" queryTableFieldId="10" dataDxfId="0">
      <calculatedColumnFormula>ROUND(3.268*I2,2)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EDFE94-26AD-482D-B286-CE067ECEE6F8}" name="pathological_anatomy_death_to_birth_rates" displayName="pathological_anatomy_death_to_birth_rates" ref="A1:J19" tableType="queryTable" totalsRowShown="0" headerRowDxfId="19">
  <autoFilter ref="A1:J19" xr:uid="{B3EDFE94-26AD-482D-B286-CE067ECEE6F8}"/>
  <tableColumns count="10">
    <tableColumn id="1" xr3:uid="{E789FADF-330A-4BE2-8D45-BC0395E33BA3}" uniqueName="1" name="Hospital" queryTableFieldId="1" dataDxfId="18"/>
    <tableColumn id="2" xr3:uid="{3A86F7B6-0501-4315-8D98-290F558C319A}" uniqueName="2" name="Stage" queryTableFieldId="2" dataDxfId="17"/>
    <tableColumn id="3" xr3:uid="{A9FED212-FEF9-48B3-A58B-DBD7F1FBBB99}" uniqueName="3" name="Year" queryTableFieldId="3" dataDxfId="16"/>
    <tableColumn id="4" xr3:uid="{A9FFADA0-6885-4C47-A4F1-6369A36AB499}" uniqueName="4" name="Rate" queryTableFieldId="4"/>
    <tableColumn id="5" xr3:uid="{2A0B4658-7D70-4624-B19D-8CC22A53A428}" uniqueName="5" name="Mean" queryTableFieldId="5" dataDxfId="15">
      <calculatedColumnFormula>ROUND(AVERAGE($D$2:$D$19),2)</calculatedColumnFormula>
    </tableColumn>
    <tableColumn id="6" xr3:uid="{3CB77BEC-2B37-4726-8FAD-2BF7BD3FEADF}" uniqueName="6" name="UPL" queryTableFieldId="6" dataDxfId="14">
      <calculatedColumnFormula>ROUND(E2+(2.66*I2),2)</calculatedColumnFormula>
    </tableColumn>
    <tableColumn id="7" xr3:uid="{E6214DC1-73D2-4D9A-ABAE-9EA33CEA7CA3}" uniqueName="7" name="LPL" queryTableFieldId="7" dataDxfId="13">
      <calculatedColumnFormula>ROUND(MAX(0,E2-(2.66*I2)),2)</calculatedColumnFormula>
    </tableColumn>
    <tableColumn id="8" xr3:uid="{4BDDEED0-9F82-402D-907A-8C94C25F3398}" uniqueName="8" name="mR" queryTableFieldId="8" dataDxfId="12">
      <calculatedColumnFormula>ABS(D1-D2)</calculatedColumnFormula>
    </tableColumn>
    <tableColumn id="9" xr3:uid="{4D5BC8B0-71AC-4C8D-8C7F-52F614EDF197}" uniqueName="9" name="Ave. mR" queryTableFieldId="9" dataDxfId="11">
      <calculatedColumnFormula>ROUND(AVERAGE($H$3:$H$19),2)</calculatedColumnFormula>
    </tableColumn>
    <tableColumn id="10" xr3:uid="{FB8E4377-5314-4588-8C58-5F32FFBC8E88}" uniqueName="10" name="URL" queryTableFieldId="10" dataDxfId="10">
      <calculatedColumnFormula>ROUND(3.268*I2,2)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8"/>
  <sheetViews>
    <sheetView showGridLines="0" tabSelected="1" workbookViewId="0">
      <selection activeCell="O9" sqref="O9"/>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1.6" x14ac:dyDescent="0.5">
      <c r="A1" s="1"/>
      <c r="B1" s="22" t="s">
        <v>0</v>
      </c>
      <c r="C1" s="23"/>
      <c r="D1" s="23"/>
      <c r="E1" s="23"/>
      <c r="F1" s="23"/>
      <c r="G1" s="23"/>
      <c r="H1" s="24"/>
    </row>
    <row r="2" spans="1:10" ht="15.75" customHeight="1" x14ac:dyDescent="0.25">
      <c r="A2" s="1"/>
      <c r="B2" s="25" t="s">
        <v>80</v>
      </c>
      <c r="C2" s="26"/>
      <c r="D2" s="26"/>
      <c r="E2" s="26"/>
      <c r="F2" s="26"/>
      <c r="G2" s="26"/>
      <c r="H2" s="27"/>
      <c r="J2" s="3"/>
    </row>
    <row r="3" spans="1:10" ht="15.75" customHeight="1" x14ac:dyDescent="0.25">
      <c r="A3" s="1"/>
      <c r="B3" s="28"/>
      <c r="C3" s="26"/>
      <c r="D3" s="26"/>
      <c r="E3" s="26"/>
      <c r="F3" s="26"/>
      <c r="G3" s="26"/>
      <c r="H3" s="27"/>
    </row>
    <row r="4" spans="1:10" ht="15.75" customHeight="1" x14ac:dyDescent="0.25">
      <c r="A4" s="1"/>
      <c r="B4" s="28"/>
      <c r="C4" s="26"/>
      <c r="D4" s="26"/>
      <c r="E4" s="26"/>
      <c r="F4" s="26"/>
      <c r="G4" s="26"/>
      <c r="H4" s="27"/>
    </row>
    <row r="5" spans="1:10" ht="15.75" customHeight="1" x14ac:dyDescent="0.25">
      <c r="A5" s="1"/>
      <c r="B5" s="28"/>
      <c r="C5" s="26"/>
      <c r="D5" s="26"/>
      <c r="E5" s="26"/>
      <c r="F5" s="26"/>
      <c r="G5" s="26"/>
      <c r="H5" s="27"/>
    </row>
    <row r="6" spans="1:10" ht="15.75" customHeight="1" x14ac:dyDescent="0.25">
      <c r="A6" s="1"/>
      <c r="B6" s="28"/>
      <c r="C6" s="26"/>
      <c r="D6" s="26"/>
      <c r="E6" s="26"/>
      <c r="F6" s="26"/>
      <c r="G6" s="26"/>
      <c r="H6" s="27"/>
    </row>
    <row r="7" spans="1:10" ht="15.75" customHeight="1" x14ac:dyDescent="0.25">
      <c r="A7" s="1"/>
      <c r="B7" s="28"/>
      <c r="C7" s="26"/>
      <c r="D7" s="26"/>
      <c r="E7" s="26"/>
      <c r="F7" s="26"/>
      <c r="G7" s="26"/>
      <c r="H7" s="27"/>
    </row>
    <row r="8" spans="1:10" ht="15.75" customHeight="1" x14ac:dyDescent="0.25">
      <c r="A8" s="1"/>
      <c r="B8" s="28"/>
      <c r="C8" s="26"/>
      <c r="D8" s="26"/>
      <c r="E8" s="26"/>
      <c r="F8" s="26"/>
      <c r="G8" s="26"/>
      <c r="H8" s="27"/>
    </row>
    <row r="9" spans="1:10" ht="15.75" customHeight="1" x14ac:dyDescent="0.25">
      <c r="A9" s="1"/>
      <c r="B9" s="28"/>
      <c r="C9" s="26"/>
      <c r="D9" s="26"/>
      <c r="E9" s="26"/>
      <c r="F9" s="26"/>
      <c r="G9" s="26"/>
      <c r="H9" s="27"/>
    </row>
    <row r="10" spans="1:10" ht="15.75" customHeight="1" x14ac:dyDescent="0.25">
      <c r="A10" s="1"/>
      <c r="B10" s="28"/>
      <c r="C10" s="26"/>
      <c r="D10" s="26"/>
      <c r="E10" s="26"/>
      <c r="F10" s="26"/>
      <c r="G10" s="26"/>
      <c r="H10" s="27"/>
    </row>
    <row r="11" spans="1:10" ht="15.75" customHeight="1" x14ac:dyDescent="0.25">
      <c r="A11" s="1"/>
      <c r="B11" s="28"/>
      <c r="C11" s="26"/>
      <c r="D11" s="26"/>
      <c r="E11" s="26"/>
      <c r="F11" s="26"/>
      <c r="G11" s="26"/>
      <c r="H11" s="27"/>
    </row>
    <row r="12" spans="1:10" ht="15.75" customHeight="1" x14ac:dyDescent="0.25">
      <c r="A12" s="1"/>
      <c r="B12" s="28"/>
      <c r="C12" s="26"/>
      <c r="D12" s="26"/>
      <c r="E12" s="26"/>
      <c r="F12" s="26"/>
      <c r="G12" s="26"/>
      <c r="H12" s="27"/>
    </row>
    <row r="13" spans="1:10" ht="15.75" customHeight="1" x14ac:dyDescent="0.25">
      <c r="A13" s="1"/>
      <c r="B13" s="28"/>
      <c r="C13" s="26"/>
      <c r="D13" s="26"/>
      <c r="E13" s="26"/>
      <c r="F13" s="26"/>
      <c r="G13" s="26"/>
      <c r="H13" s="27"/>
    </row>
    <row r="14" spans="1:10" ht="15.75" customHeight="1" x14ac:dyDescent="0.25">
      <c r="A14" s="1"/>
      <c r="B14" s="28"/>
      <c r="C14" s="26"/>
      <c r="D14" s="26"/>
      <c r="E14" s="26"/>
      <c r="F14" s="26"/>
      <c r="G14" s="26"/>
      <c r="H14" s="27"/>
    </row>
    <row r="15" spans="1:10" ht="15.75" customHeight="1" x14ac:dyDescent="0.25">
      <c r="A15" s="1"/>
      <c r="B15" s="28"/>
      <c r="C15" s="26"/>
      <c r="D15" s="26"/>
      <c r="E15" s="26"/>
      <c r="F15" s="26"/>
      <c r="G15" s="26"/>
      <c r="H15" s="27"/>
    </row>
    <row r="16" spans="1:10" ht="15.75" customHeight="1" x14ac:dyDescent="0.25">
      <c r="A16" s="1"/>
      <c r="B16" s="28"/>
      <c r="C16" s="26"/>
      <c r="D16" s="26"/>
      <c r="E16" s="26"/>
      <c r="F16" s="26"/>
      <c r="G16" s="26"/>
      <c r="H16" s="27"/>
    </row>
    <row r="17" spans="1:8" ht="15.75" customHeight="1" x14ac:dyDescent="0.25">
      <c r="A17" s="1"/>
      <c r="B17" s="28"/>
      <c r="C17" s="26"/>
      <c r="D17" s="26"/>
      <c r="E17" s="26"/>
      <c r="F17" s="26"/>
      <c r="G17" s="26"/>
      <c r="H17" s="27"/>
    </row>
    <row r="18" spans="1:8" ht="15.75" customHeight="1" x14ac:dyDescent="0.25">
      <c r="A18" s="1"/>
      <c r="B18" s="28"/>
      <c r="C18" s="26"/>
      <c r="D18" s="26"/>
      <c r="E18" s="26"/>
      <c r="F18" s="26"/>
      <c r="G18" s="26"/>
      <c r="H18" s="27"/>
    </row>
    <row r="19" spans="1:8" ht="15.75" customHeight="1" x14ac:dyDescent="0.25">
      <c r="A19" s="1"/>
      <c r="B19" s="28"/>
      <c r="C19" s="26"/>
      <c r="D19" s="26"/>
      <c r="E19" s="26"/>
      <c r="F19" s="26"/>
      <c r="G19" s="26"/>
      <c r="H19" s="27"/>
    </row>
    <row r="20" spans="1:8" ht="15.75" customHeight="1" x14ac:dyDescent="0.25">
      <c r="A20" s="1"/>
      <c r="B20" s="28"/>
      <c r="C20" s="26"/>
      <c r="D20" s="26"/>
      <c r="E20" s="26"/>
      <c r="F20" s="26"/>
      <c r="G20" s="26"/>
      <c r="H20" s="27"/>
    </row>
    <row r="21" spans="1:8" ht="15.75" customHeight="1" x14ac:dyDescent="0.25">
      <c r="A21" s="1"/>
      <c r="B21" s="28"/>
      <c r="C21" s="26"/>
      <c r="D21" s="26"/>
      <c r="E21" s="26"/>
      <c r="F21" s="26"/>
      <c r="G21" s="26"/>
      <c r="H21" s="27"/>
    </row>
    <row r="22" spans="1:8" ht="15.75" customHeight="1" x14ac:dyDescent="0.25">
      <c r="A22" s="1"/>
      <c r="B22" s="28"/>
      <c r="C22" s="26"/>
      <c r="D22" s="26"/>
      <c r="E22" s="26"/>
      <c r="F22" s="26"/>
      <c r="G22" s="26"/>
      <c r="H22" s="27"/>
    </row>
    <row r="23" spans="1:8" ht="15.75" customHeight="1" x14ac:dyDescent="0.25">
      <c r="A23" s="1"/>
      <c r="B23" s="28"/>
      <c r="C23" s="26"/>
      <c r="D23" s="26"/>
      <c r="E23" s="26"/>
      <c r="F23" s="26"/>
      <c r="G23" s="26"/>
      <c r="H23" s="27"/>
    </row>
    <row r="24" spans="1:8" ht="15.75" customHeight="1" x14ac:dyDescent="0.25">
      <c r="A24" s="1"/>
      <c r="B24" s="28"/>
      <c r="C24" s="26"/>
      <c r="D24" s="26"/>
      <c r="E24" s="26"/>
      <c r="F24" s="26"/>
      <c r="G24" s="26"/>
      <c r="H24" s="27"/>
    </row>
    <row r="25" spans="1:8" ht="15.75" customHeight="1" x14ac:dyDescent="0.25">
      <c r="A25" s="1"/>
      <c r="B25" s="28"/>
      <c r="C25" s="26"/>
      <c r="D25" s="26"/>
      <c r="E25" s="26"/>
      <c r="F25" s="26"/>
      <c r="G25" s="26"/>
      <c r="H25" s="27"/>
    </row>
    <row r="26" spans="1:8" ht="15.75" customHeight="1" x14ac:dyDescent="0.25">
      <c r="A26" s="1"/>
      <c r="B26" s="28"/>
      <c r="C26" s="26"/>
      <c r="D26" s="26"/>
      <c r="E26" s="26"/>
      <c r="F26" s="26"/>
      <c r="G26" s="26"/>
      <c r="H26" s="27"/>
    </row>
    <row r="27" spans="1:8" ht="15.75" customHeight="1" x14ac:dyDescent="0.25">
      <c r="B27" s="28"/>
      <c r="C27" s="26"/>
      <c r="D27" s="26"/>
      <c r="E27" s="26"/>
      <c r="F27" s="26"/>
      <c r="G27" s="26"/>
      <c r="H27" s="27"/>
    </row>
    <row r="28" spans="1:8" ht="15.75" customHeight="1" x14ac:dyDescent="0.25">
      <c r="B28" s="28"/>
      <c r="C28" s="26"/>
      <c r="D28" s="26"/>
      <c r="E28" s="26"/>
      <c r="F28" s="26"/>
      <c r="G28" s="26"/>
      <c r="H28" s="27"/>
    </row>
    <row r="29" spans="1:8" ht="15.75" customHeight="1" x14ac:dyDescent="0.25">
      <c r="B29" s="29"/>
      <c r="C29" s="30"/>
      <c r="D29" s="30"/>
      <c r="E29" s="30"/>
      <c r="F29" s="30"/>
      <c r="G29" s="30"/>
      <c r="H29" s="31"/>
    </row>
    <row r="30" spans="1:8" ht="15.75" customHeight="1" x14ac:dyDescent="0.25">
      <c r="B30" s="32" t="s">
        <v>71</v>
      </c>
      <c r="C30" s="33"/>
      <c r="D30" s="33"/>
      <c r="E30" s="33"/>
      <c r="F30" s="33"/>
      <c r="G30" s="33"/>
      <c r="H30" s="34"/>
    </row>
    <row r="31" spans="1:8" ht="15.75" customHeight="1" x14ac:dyDescent="0.25">
      <c r="B31" s="10" t="s">
        <v>72</v>
      </c>
      <c r="C31" s="11"/>
      <c r="D31" s="11"/>
      <c r="E31" s="11"/>
      <c r="F31" s="11"/>
      <c r="G31" s="11"/>
      <c r="H31" s="12"/>
    </row>
    <row r="32" spans="1:8" ht="15.75" customHeight="1" x14ac:dyDescent="0.25">
      <c r="B32" s="13" t="s">
        <v>73</v>
      </c>
      <c r="C32" s="14"/>
      <c r="D32" s="14"/>
      <c r="E32" s="14"/>
      <c r="F32" s="14"/>
      <c r="G32" s="14"/>
      <c r="H32" s="15"/>
    </row>
    <row r="33" spans="2:8" ht="15.75" customHeight="1" x14ac:dyDescent="0.25">
      <c r="B33" s="10" t="s">
        <v>74</v>
      </c>
      <c r="C33" s="11"/>
      <c r="D33" s="11"/>
      <c r="E33" s="11"/>
      <c r="F33" s="11"/>
      <c r="G33" s="11"/>
      <c r="H33" s="12"/>
    </row>
    <row r="34" spans="2:8" ht="15.75" customHeight="1" x14ac:dyDescent="0.25">
      <c r="B34" s="13" t="s">
        <v>75</v>
      </c>
      <c r="C34" s="14"/>
      <c r="D34" s="14"/>
      <c r="E34" s="14"/>
      <c r="F34" s="14"/>
      <c r="G34" s="14"/>
      <c r="H34" s="15"/>
    </row>
    <row r="35" spans="2:8" ht="15.75" customHeight="1" x14ac:dyDescent="0.25">
      <c r="B35" s="10" t="s">
        <v>76</v>
      </c>
      <c r="C35" s="11"/>
      <c r="D35" s="11"/>
      <c r="E35" s="11"/>
      <c r="F35" s="11"/>
      <c r="G35" s="11"/>
      <c r="H35" s="12"/>
    </row>
    <row r="36" spans="2:8" ht="15.75" customHeight="1" x14ac:dyDescent="0.25">
      <c r="B36" s="16" t="s">
        <v>77</v>
      </c>
      <c r="C36" s="17"/>
      <c r="D36" s="17"/>
      <c r="E36" s="17"/>
      <c r="F36" s="17"/>
      <c r="G36" s="17"/>
      <c r="H36" s="18"/>
    </row>
    <row r="37" spans="2:8" ht="15.75" customHeight="1" x14ac:dyDescent="0.25">
      <c r="B37" s="19" t="s">
        <v>78</v>
      </c>
      <c r="C37" s="20"/>
      <c r="D37" s="20"/>
      <c r="E37" s="20"/>
      <c r="F37" s="20"/>
      <c r="G37" s="20"/>
      <c r="H37" s="21"/>
    </row>
    <row r="38" spans="2:8" ht="15.75" customHeight="1" x14ac:dyDescent="0.25">
      <c r="B38" s="4" t="s">
        <v>79</v>
      </c>
      <c r="C38" s="8" t="s">
        <v>81</v>
      </c>
      <c r="D38" s="8"/>
      <c r="E38" s="8"/>
      <c r="F38" s="8"/>
      <c r="G38" s="8"/>
      <c r="H38" s="9"/>
    </row>
  </sheetData>
  <mergeCells count="11">
    <mergeCell ref="B1:H1"/>
    <mergeCell ref="B2:H29"/>
    <mergeCell ref="B30:H30"/>
    <mergeCell ref="B31:H31"/>
    <mergeCell ref="B32:H32"/>
    <mergeCell ref="C38:H38"/>
    <mergeCell ref="B33:H33"/>
    <mergeCell ref="B34:H34"/>
    <mergeCell ref="B35:H35"/>
    <mergeCell ref="B36:H36"/>
    <mergeCell ref="B37:H37"/>
  </mergeCells>
  <hyperlinks>
    <hyperlink ref="B33" r:id="rId1" xr:uid="{C92650DB-622B-4194-BAEF-CDF5E45395E6}"/>
    <hyperlink ref="B31" r:id="rId2" xr:uid="{922E69FD-11F2-4908-90DA-8E290292ECFC}"/>
    <hyperlink ref="B35" r:id="rId3" xr:uid="{C6E9526D-5E91-4243-AEC5-F77B44436E14}"/>
    <hyperlink ref="B36" r:id="rId4" xr:uid="{82C5527E-4885-4F69-9C7A-057A260EAD6B}"/>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78"/>
  <sheetViews>
    <sheetView workbookViewId="0">
      <selection sqref="A1:J40"/>
    </sheetView>
  </sheetViews>
  <sheetFormatPr defaultColWidth="12.6640625" defaultRowHeight="15.75" customHeight="1" x14ac:dyDescent="0.25"/>
  <cols>
    <col min="1" max="1" width="20.77734375" bestFit="1" customWidth="1"/>
    <col min="2" max="2" width="24.33203125" bestFit="1" customWidth="1"/>
    <col min="3" max="4" width="7.21875" bestFit="1" customWidth="1"/>
  </cols>
  <sheetData>
    <row r="1" spans="1:10" ht="13.2" x14ac:dyDescent="0.25">
      <c r="A1" s="5" t="s">
        <v>69</v>
      </c>
      <c r="B1" s="6" t="s">
        <v>1</v>
      </c>
      <c r="C1" s="6" t="s">
        <v>2</v>
      </c>
      <c r="D1" s="6" t="s">
        <v>3</v>
      </c>
      <c r="E1" s="7" t="s">
        <v>4</v>
      </c>
      <c r="F1" s="7" t="s">
        <v>5</v>
      </c>
      <c r="G1" s="7" t="s">
        <v>6</v>
      </c>
      <c r="H1" s="7" t="s">
        <v>7</v>
      </c>
      <c r="I1" s="7" t="s">
        <v>8</v>
      </c>
      <c r="J1" s="7" t="s">
        <v>9</v>
      </c>
    </row>
    <row r="2" spans="1:10" ht="13.2" x14ac:dyDescent="0.25">
      <c r="A2" t="s">
        <v>70</v>
      </c>
      <c r="B2" t="s">
        <v>10</v>
      </c>
      <c r="C2" t="s">
        <v>11</v>
      </c>
      <c r="D2">
        <v>2.1</v>
      </c>
      <c r="E2">
        <f t="shared" ref="E2:E40" si="0">ROUND(AVERAGE($D$2:$D$40),2)</f>
        <v>1.1599999999999999</v>
      </c>
      <c r="F2">
        <f t="shared" ref="F2:F40" si="1">ROUND(E2+(2.66*I2),2)</f>
        <v>3.42</v>
      </c>
      <c r="G2">
        <f t="shared" ref="G2:G40" si="2">ROUND(MAX(0,E2-(2.66*I2)),2)</f>
        <v>0</v>
      </c>
      <c r="I2">
        <f>ROUND(AVERAGE($H$3:H40),2)</f>
        <v>0.85</v>
      </c>
      <c r="J2">
        <f t="shared" ref="J2:J40" si="3">ROUND(3.268*I2,2)</f>
        <v>2.78</v>
      </c>
    </row>
    <row r="3" spans="1:10" ht="13.2" x14ac:dyDescent="0.25">
      <c r="A3" t="s">
        <v>70</v>
      </c>
      <c r="B3" t="s">
        <v>10</v>
      </c>
      <c r="C3" t="s">
        <v>12</v>
      </c>
      <c r="D3">
        <v>1.4</v>
      </c>
      <c r="E3">
        <f t="shared" si="0"/>
        <v>1.1599999999999999</v>
      </c>
      <c r="F3">
        <f t="shared" si="1"/>
        <v>3.42</v>
      </c>
      <c r="G3">
        <f t="shared" si="2"/>
        <v>0</v>
      </c>
      <c r="H3">
        <f t="shared" ref="H3:H40" si="4">ABS(D2-D3)</f>
        <v>0.70000000000000018</v>
      </c>
      <c r="I3">
        <f>ROUND(AVERAGE($H$3:H41),2)</f>
        <v>0.85</v>
      </c>
      <c r="J3">
        <f t="shared" si="3"/>
        <v>2.78</v>
      </c>
    </row>
    <row r="4" spans="1:10" ht="13.2" x14ac:dyDescent="0.25">
      <c r="A4" t="s">
        <v>70</v>
      </c>
      <c r="B4" t="s">
        <v>10</v>
      </c>
      <c r="C4" t="s">
        <v>13</v>
      </c>
      <c r="D4">
        <v>0.4</v>
      </c>
      <c r="E4">
        <f t="shared" si="0"/>
        <v>1.1599999999999999</v>
      </c>
      <c r="F4">
        <f t="shared" si="1"/>
        <v>3.42</v>
      </c>
      <c r="G4">
        <f t="shared" si="2"/>
        <v>0</v>
      </c>
      <c r="H4">
        <f t="shared" si="4"/>
        <v>0.99999999999999989</v>
      </c>
      <c r="I4">
        <f>ROUND(AVERAGE($H$3:H42),2)</f>
        <v>0.85</v>
      </c>
      <c r="J4">
        <f t="shared" si="3"/>
        <v>2.78</v>
      </c>
    </row>
    <row r="5" spans="1:10" ht="13.2" x14ac:dyDescent="0.25">
      <c r="A5" t="s">
        <v>70</v>
      </c>
      <c r="B5" t="s">
        <v>10</v>
      </c>
      <c r="C5" t="s">
        <v>14</v>
      </c>
      <c r="D5">
        <v>0.4</v>
      </c>
      <c r="E5">
        <f t="shared" si="0"/>
        <v>1.1599999999999999</v>
      </c>
      <c r="F5">
        <f t="shared" si="1"/>
        <v>3.42</v>
      </c>
      <c r="G5">
        <f t="shared" si="2"/>
        <v>0</v>
      </c>
      <c r="H5">
        <f t="shared" si="4"/>
        <v>0</v>
      </c>
      <c r="I5">
        <f>ROUND(AVERAGE($H$3:H43),2)</f>
        <v>0.85</v>
      </c>
      <c r="J5">
        <f t="shared" si="3"/>
        <v>2.78</v>
      </c>
    </row>
    <row r="6" spans="1:10" ht="13.2" x14ac:dyDescent="0.25">
      <c r="A6" t="s">
        <v>70</v>
      </c>
      <c r="B6" t="s">
        <v>10</v>
      </c>
      <c r="C6" t="s">
        <v>15</v>
      </c>
      <c r="D6">
        <v>0.4</v>
      </c>
      <c r="E6">
        <f t="shared" si="0"/>
        <v>1.1599999999999999</v>
      </c>
      <c r="F6">
        <f t="shared" si="1"/>
        <v>3.42</v>
      </c>
      <c r="G6">
        <f t="shared" si="2"/>
        <v>0</v>
      </c>
      <c r="H6">
        <f t="shared" si="4"/>
        <v>0</v>
      </c>
      <c r="I6">
        <f>ROUND(AVERAGE($H$3:H44),2)</f>
        <v>0.85</v>
      </c>
      <c r="J6">
        <f t="shared" si="3"/>
        <v>2.78</v>
      </c>
    </row>
    <row r="7" spans="1:10" ht="13.2" x14ac:dyDescent="0.25">
      <c r="A7" t="s">
        <v>70</v>
      </c>
      <c r="B7" t="s">
        <v>10</v>
      </c>
      <c r="C7" t="s">
        <v>16</v>
      </c>
      <c r="D7">
        <v>0.6</v>
      </c>
      <c r="E7">
        <f t="shared" si="0"/>
        <v>1.1599999999999999</v>
      </c>
      <c r="F7">
        <f t="shared" si="1"/>
        <v>3.42</v>
      </c>
      <c r="G7">
        <f t="shared" si="2"/>
        <v>0</v>
      </c>
      <c r="H7">
        <f t="shared" si="4"/>
        <v>0.19999999999999996</v>
      </c>
      <c r="I7">
        <f>ROUND(AVERAGE($H$3:H45),2)</f>
        <v>0.85</v>
      </c>
      <c r="J7">
        <f t="shared" si="3"/>
        <v>2.78</v>
      </c>
    </row>
    <row r="8" spans="1:10" ht="13.2" x14ac:dyDescent="0.25">
      <c r="A8" t="s">
        <v>70</v>
      </c>
      <c r="B8" t="s">
        <v>10</v>
      </c>
      <c r="C8" t="s">
        <v>17</v>
      </c>
      <c r="D8">
        <v>0.8</v>
      </c>
      <c r="E8">
        <f t="shared" si="0"/>
        <v>1.1599999999999999</v>
      </c>
      <c r="F8">
        <f t="shared" si="1"/>
        <v>3.42</v>
      </c>
      <c r="G8">
        <f t="shared" si="2"/>
        <v>0</v>
      </c>
      <c r="H8">
        <f t="shared" si="4"/>
        <v>0.20000000000000007</v>
      </c>
      <c r="I8">
        <f>ROUND(AVERAGE($H$3:H46),2)</f>
        <v>0.85</v>
      </c>
      <c r="J8">
        <f t="shared" si="3"/>
        <v>2.78</v>
      </c>
    </row>
    <row r="9" spans="1:10" ht="13.2" x14ac:dyDescent="0.25">
      <c r="A9" t="s">
        <v>70</v>
      </c>
      <c r="B9" t="s">
        <v>10</v>
      </c>
      <c r="C9" t="s">
        <v>18</v>
      </c>
      <c r="D9">
        <v>0.6</v>
      </c>
      <c r="E9">
        <f t="shared" si="0"/>
        <v>1.1599999999999999</v>
      </c>
      <c r="F9">
        <f t="shared" si="1"/>
        <v>3.42</v>
      </c>
      <c r="G9">
        <f t="shared" si="2"/>
        <v>0</v>
      </c>
      <c r="H9">
        <f t="shared" si="4"/>
        <v>0.20000000000000007</v>
      </c>
      <c r="I9">
        <f>ROUND(AVERAGE($H$3:H47),2)</f>
        <v>0.85</v>
      </c>
      <c r="J9">
        <f t="shared" si="3"/>
        <v>2.78</v>
      </c>
    </row>
    <row r="10" spans="1:10" ht="13.2" x14ac:dyDescent="0.25">
      <c r="A10" t="s">
        <v>70</v>
      </c>
      <c r="B10" t="s">
        <v>10</v>
      </c>
      <c r="C10" t="s">
        <v>19</v>
      </c>
      <c r="D10">
        <v>0.9</v>
      </c>
      <c r="E10">
        <f t="shared" si="0"/>
        <v>1.1599999999999999</v>
      </c>
      <c r="F10">
        <f t="shared" si="1"/>
        <v>3.42</v>
      </c>
      <c r="G10">
        <f t="shared" si="2"/>
        <v>0</v>
      </c>
      <c r="H10">
        <f t="shared" si="4"/>
        <v>0.30000000000000004</v>
      </c>
      <c r="I10">
        <f>ROUND(AVERAGE($H$3:H48),2)</f>
        <v>0.85</v>
      </c>
      <c r="J10">
        <f t="shared" si="3"/>
        <v>2.78</v>
      </c>
    </row>
    <row r="11" spans="1:10" ht="13.2" x14ac:dyDescent="0.25">
      <c r="A11" t="s">
        <v>70</v>
      </c>
      <c r="B11" t="s">
        <v>10</v>
      </c>
      <c r="C11" t="s">
        <v>20</v>
      </c>
      <c r="D11">
        <v>2.6</v>
      </c>
      <c r="E11">
        <f t="shared" si="0"/>
        <v>1.1599999999999999</v>
      </c>
      <c r="F11">
        <f t="shared" si="1"/>
        <v>3.42</v>
      </c>
      <c r="G11">
        <f t="shared" si="2"/>
        <v>0</v>
      </c>
      <c r="H11">
        <f t="shared" si="4"/>
        <v>1.7000000000000002</v>
      </c>
      <c r="I11">
        <f>ROUND(AVERAGE($H$3:H49),2)</f>
        <v>0.85</v>
      </c>
      <c r="J11">
        <f t="shared" si="3"/>
        <v>2.78</v>
      </c>
    </row>
    <row r="12" spans="1:10" ht="13.2" x14ac:dyDescent="0.25">
      <c r="A12" t="s">
        <v>70</v>
      </c>
      <c r="B12" t="s">
        <v>10</v>
      </c>
      <c r="C12" t="s">
        <v>21</v>
      </c>
      <c r="D12">
        <v>0.4</v>
      </c>
      <c r="E12">
        <f t="shared" si="0"/>
        <v>1.1599999999999999</v>
      </c>
      <c r="F12">
        <f t="shared" si="1"/>
        <v>3.42</v>
      </c>
      <c r="G12">
        <f t="shared" si="2"/>
        <v>0</v>
      </c>
      <c r="H12">
        <f t="shared" si="4"/>
        <v>2.2000000000000002</v>
      </c>
      <c r="I12">
        <f>ROUND(AVERAGE($H$3:H50),2)</f>
        <v>0.85</v>
      </c>
      <c r="J12">
        <f t="shared" si="3"/>
        <v>2.78</v>
      </c>
    </row>
    <row r="13" spans="1:10" ht="13.2" x14ac:dyDescent="0.25">
      <c r="A13" t="s">
        <v>70</v>
      </c>
      <c r="B13" t="s">
        <v>10</v>
      </c>
      <c r="C13" t="s">
        <v>22</v>
      </c>
      <c r="D13">
        <v>2.1</v>
      </c>
      <c r="E13">
        <f t="shared" si="0"/>
        <v>1.1599999999999999</v>
      </c>
      <c r="F13">
        <f t="shared" si="1"/>
        <v>3.42</v>
      </c>
      <c r="G13">
        <f t="shared" si="2"/>
        <v>0</v>
      </c>
      <c r="H13">
        <f t="shared" si="4"/>
        <v>1.7000000000000002</v>
      </c>
      <c r="I13">
        <f>ROUND(AVERAGE($H$3:H51),2)</f>
        <v>0.85</v>
      </c>
      <c r="J13">
        <f t="shared" si="3"/>
        <v>2.78</v>
      </c>
    </row>
    <row r="14" spans="1:10" ht="13.2" x14ac:dyDescent="0.25">
      <c r="A14" t="s">
        <v>70</v>
      </c>
      <c r="B14" t="s">
        <v>10</v>
      </c>
      <c r="C14" t="s">
        <v>23</v>
      </c>
      <c r="D14">
        <v>1.2</v>
      </c>
      <c r="E14">
        <f t="shared" si="0"/>
        <v>1.1599999999999999</v>
      </c>
      <c r="F14">
        <f t="shared" si="1"/>
        <v>3.42</v>
      </c>
      <c r="G14">
        <f t="shared" si="2"/>
        <v>0</v>
      </c>
      <c r="H14">
        <f t="shared" si="4"/>
        <v>0.90000000000000013</v>
      </c>
      <c r="I14">
        <f>ROUND(AVERAGE($H$3:H52),2)</f>
        <v>0.85</v>
      </c>
      <c r="J14">
        <f t="shared" si="3"/>
        <v>2.78</v>
      </c>
    </row>
    <row r="15" spans="1:10" ht="13.2" x14ac:dyDescent="0.25">
      <c r="A15" t="s">
        <v>70</v>
      </c>
      <c r="B15" t="s">
        <v>10</v>
      </c>
      <c r="C15" t="s">
        <v>24</v>
      </c>
      <c r="D15">
        <v>0.2</v>
      </c>
      <c r="E15">
        <f t="shared" si="0"/>
        <v>1.1599999999999999</v>
      </c>
      <c r="F15">
        <f t="shared" si="1"/>
        <v>3.42</v>
      </c>
      <c r="G15">
        <f t="shared" si="2"/>
        <v>0</v>
      </c>
      <c r="H15">
        <f t="shared" si="4"/>
        <v>1</v>
      </c>
      <c r="I15">
        <f>ROUND(AVERAGE($H$3:H53),2)</f>
        <v>0.85</v>
      </c>
      <c r="J15">
        <f t="shared" si="3"/>
        <v>2.78</v>
      </c>
    </row>
    <row r="16" spans="1:10" ht="13.2" x14ac:dyDescent="0.25">
      <c r="A16" t="s">
        <v>70</v>
      </c>
      <c r="B16" t="s">
        <v>10</v>
      </c>
      <c r="C16" t="s">
        <v>25</v>
      </c>
      <c r="D16">
        <v>0.2</v>
      </c>
      <c r="E16">
        <f t="shared" si="0"/>
        <v>1.1599999999999999</v>
      </c>
      <c r="F16">
        <f t="shared" si="1"/>
        <v>3.42</v>
      </c>
      <c r="G16">
        <f t="shared" si="2"/>
        <v>0</v>
      </c>
      <c r="H16">
        <f t="shared" si="4"/>
        <v>0</v>
      </c>
      <c r="I16">
        <f>ROUND(AVERAGE($H$3:H54),2)</f>
        <v>0.85</v>
      </c>
      <c r="J16">
        <f t="shared" si="3"/>
        <v>2.78</v>
      </c>
    </row>
    <row r="17" spans="1:10" ht="13.2" x14ac:dyDescent="0.25">
      <c r="A17" t="s">
        <v>70</v>
      </c>
      <c r="B17" t="s">
        <v>10</v>
      </c>
      <c r="C17" t="s">
        <v>26</v>
      </c>
      <c r="D17">
        <v>1</v>
      </c>
      <c r="E17">
        <f t="shared" si="0"/>
        <v>1.1599999999999999</v>
      </c>
      <c r="F17">
        <f t="shared" si="1"/>
        <v>3.42</v>
      </c>
      <c r="G17">
        <f t="shared" si="2"/>
        <v>0</v>
      </c>
      <c r="H17">
        <f t="shared" si="4"/>
        <v>0.8</v>
      </c>
      <c r="I17">
        <f>ROUND(AVERAGE($H$3:H55),2)</f>
        <v>0.85</v>
      </c>
      <c r="J17">
        <f t="shared" si="3"/>
        <v>2.78</v>
      </c>
    </row>
    <row r="18" spans="1:10" ht="13.2" x14ac:dyDescent="0.25">
      <c r="A18" t="s">
        <v>70</v>
      </c>
      <c r="B18" t="s">
        <v>10</v>
      </c>
      <c r="C18" t="s">
        <v>27</v>
      </c>
      <c r="D18">
        <v>2</v>
      </c>
      <c r="E18">
        <f t="shared" si="0"/>
        <v>1.1599999999999999</v>
      </c>
      <c r="F18">
        <f t="shared" si="1"/>
        <v>3.42</v>
      </c>
      <c r="G18">
        <f t="shared" si="2"/>
        <v>0</v>
      </c>
      <c r="H18">
        <f t="shared" si="4"/>
        <v>1</v>
      </c>
      <c r="I18">
        <f>ROUND(AVERAGE($H$3:H56),2)</f>
        <v>0.85</v>
      </c>
      <c r="J18">
        <f t="shared" si="3"/>
        <v>2.78</v>
      </c>
    </row>
    <row r="19" spans="1:10" ht="13.2" x14ac:dyDescent="0.25">
      <c r="A19" t="s">
        <v>70</v>
      </c>
      <c r="B19" t="s">
        <v>10</v>
      </c>
      <c r="C19" t="s">
        <v>28</v>
      </c>
      <c r="D19">
        <v>0.8</v>
      </c>
      <c r="E19">
        <f t="shared" si="0"/>
        <v>1.1599999999999999</v>
      </c>
      <c r="F19">
        <f t="shared" si="1"/>
        <v>3.42</v>
      </c>
      <c r="G19">
        <f t="shared" si="2"/>
        <v>0</v>
      </c>
      <c r="H19">
        <f t="shared" si="4"/>
        <v>1.2</v>
      </c>
      <c r="I19">
        <f>ROUND(AVERAGE($H$3:H57),2)</f>
        <v>0.85</v>
      </c>
      <c r="J19">
        <f t="shared" si="3"/>
        <v>2.78</v>
      </c>
    </row>
    <row r="20" spans="1:10" ht="13.2" x14ac:dyDescent="0.25">
      <c r="A20" t="s">
        <v>70</v>
      </c>
      <c r="B20" t="s">
        <v>10</v>
      </c>
      <c r="C20" t="s">
        <v>29</v>
      </c>
      <c r="D20">
        <v>0.4</v>
      </c>
      <c r="E20">
        <f t="shared" si="0"/>
        <v>1.1599999999999999</v>
      </c>
      <c r="F20">
        <f t="shared" si="1"/>
        <v>3.42</v>
      </c>
      <c r="G20">
        <f t="shared" si="2"/>
        <v>0</v>
      </c>
      <c r="H20">
        <f t="shared" si="4"/>
        <v>0.4</v>
      </c>
      <c r="I20">
        <f>ROUND(AVERAGE($H$3:H58),2)</f>
        <v>0.85</v>
      </c>
      <c r="J20">
        <f t="shared" si="3"/>
        <v>2.78</v>
      </c>
    </row>
    <row r="21" spans="1:10" ht="13.2" x14ac:dyDescent="0.25">
      <c r="A21" t="s">
        <v>70</v>
      </c>
      <c r="B21" t="s">
        <v>10</v>
      </c>
      <c r="C21" t="s">
        <v>30</v>
      </c>
      <c r="D21">
        <v>0.7</v>
      </c>
      <c r="E21">
        <f t="shared" si="0"/>
        <v>1.1599999999999999</v>
      </c>
      <c r="F21">
        <f t="shared" si="1"/>
        <v>3.42</v>
      </c>
      <c r="G21">
        <f t="shared" si="2"/>
        <v>0</v>
      </c>
      <c r="H21">
        <f t="shared" si="4"/>
        <v>0.29999999999999993</v>
      </c>
      <c r="I21">
        <f>ROUND(AVERAGE($H$3:H59),2)</f>
        <v>0.85</v>
      </c>
      <c r="J21">
        <f t="shared" si="3"/>
        <v>2.78</v>
      </c>
    </row>
    <row r="22" spans="1:10" ht="13.2" x14ac:dyDescent="0.25">
      <c r="A22" t="s">
        <v>70</v>
      </c>
      <c r="B22" t="s">
        <v>10</v>
      </c>
      <c r="C22" t="s">
        <v>31</v>
      </c>
      <c r="D22">
        <v>0.4</v>
      </c>
      <c r="E22">
        <f t="shared" si="0"/>
        <v>1.1599999999999999</v>
      </c>
      <c r="F22">
        <f t="shared" si="1"/>
        <v>3.42</v>
      </c>
      <c r="G22">
        <f t="shared" si="2"/>
        <v>0</v>
      </c>
      <c r="H22">
        <f t="shared" si="4"/>
        <v>0.29999999999999993</v>
      </c>
      <c r="I22">
        <f>ROUND(AVERAGE($H$3:H60),2)</f>
        <v>0.85</v>
      </c>
      <c r="J22">
        <f t="shared" si="3"/>
        <v>2.78</v>
      </c>
    </row>
    <row r="23" spans="1:10" ht="13.2" x14ac:dyDescent="0.25">
      <c r="A23" t="s">
        <v>70</v>
      </c>
      <c r="B23" t="s">
        <v>10</v>
      </c>
      <c r="C23" t="s">
        <v>32</v>
      </c>
      <c r="D23">
        <v>0.4</v>
      </c>
      <c r="E23">
        <f t="shared" si="0"/>
        <v>1.1599999999999999</v>
      </c>
      <c r="F23">
        <f t="shared" si="1"/>
        <v>3.42</v>
      </c>
      <c r="G23">
        <f t="shared" si="2"/>
        <v>0</v>
      </c>
      <c r="H23">
        <f t="shared" si="4"/>
        <v>0</v>
      </c>
      <c r="I23">
        <f>ROUND(AVERAGE($H$3:H61),2)</f>
        <v>0.85</v>
      </c>
      <c r="J23">
        <f t="shared" si="3"/>
        <v>2.78</v>
      </c>
    </row>
    <row r="24" spans="1:10" ht="13.2" x14ac:dyDescent="0.25">
      <c r="A24" t="s">
        <v>70</v>
      </c>
      <c r="B24" t="s">
        <v>10</v>
      </c>
      <c r="C24" t="s">
        <v>33</v>
      </c>
      <c r="D24">
        <v>0.7</v>
      </c>
      <c r="E24">
        <f t="shared" si="0"/>
        <v>1.1599999999999999</v>
      </c>
      <c r="F24">
        <f t="shared" si="1"/>
        <v>3.42</v>
      </c>
      <c r="G24">
        <f t="shared" si="2"/>
        <v>0</v>
      </c>
      <c r="H24">
        <f t="shared" si="4"/>
        <v>0.29999999999999993</v>
      </c>
      <c r="I24">
        <f>ROUND(AVERAGE($H$3:H62),2)</f>
        <v>0.85</v>
      </c>
      <c r="J24">
        <f t="shared" si="3"/>
        <v>2.78</v>
      </c>
    </row>
    <row r="25" spans="1:10" ht="13.2" x14ac:dyDescent="0.25">
      <c r="A25" t="s">
        <v>70</v>
      </c>
      <c r="B25" t="s">
        <v>10</v>
      </c>
      <c r="C25" t="s">
        <v>34</v>
      </c>
      <c r="D25">
        <v>0.6</v>
      </c>
      <c r="E25">
        <f t="shared" si="0"/>
        <v>1.1599999999999999</v>
      </c>
      <c r="F25">
        <f t="shared" si="1"/>
        <v>3.42</v>
      </c>
      <c r="G25">
        <f t="shared" si="2"/>
        <v>0</v>
      </c>
      <c r="H25">
        <f t="shared" si="4"/>
        <v>9.9999999999999978E-2</v>
      </c>
      <c r="I25">
        <f>ROUND(AVERAGE($H$3:H63),2)</f>
        <v>0.85</v>
      </c>
      <c r="J25">
        <f t="shared" si="3"/>
        <v>2.78</v>
      </c>
    </row>
    <row r="26" spans="1:10" ht="13.2" x14ac:dyDescent="0.25">
      <c r="A26" t="s">
        <v>70</v>
      </c>
      <c r="B26" t="s">
        <v>10</v>
      </c>
      <c r="C26" t="s">
        <v>35</v>
      </c>
      <c r="D26">
        <v>0.8</v>
      </c>
      <c r="E26">
        <f t="shared" si="0"/>
        <v>1.1599999999999999</v>
      </c>
      <c r="F26">
        <f t="shared" si="1"/>
        <v>3.42</v>
      </c>
      <c r="G26">
        <f t="shared" si="2"/>
        <v>0</v>
      </c>
      <c r="H26">
        <f t="shared" si="4"/>
        <v>0.20000000000000007</v>
      </c>
      <c r="I26">
        <f>ROUND(AVERAGE($H$3:H64),2)</f>
        <v>0.85</v>
      </c>
      <c r="J26">
        <f t="shared" si="3"/>
        <v>2.78</v>
      </c>
    </row>
    <row r="27" spans="1:10" ht="13.2" x14ac:dyDescent="0.25">
      <c r="A27" t="s">
        <v>70</v>
      </c>
      <c r="B27" t="s">
        <v>10</v>
      </c>
      <c r="C27" t="s">
        <v>36</v>
      </c>
      <c r="D27">
        <v>1.4</v>
      </c>
      <c r="E27">
        <f t="shared" si="0"/>
        <v>1.1599999999999999</v>
      </c>
      <c r="F27">
        <f t="shared" si="1"/>
        <v>3.42</v>
      </c>
      <c r="G27">
        <f t="shared" si="2"/>
        <v>0</v>
      </c>
      <c r="H27">
        <f t="shared" si="4"/>
        <v>0.59999999999999987</v>
      </c>
      <c r="I27">
        <f>ROUND(AVERAGE($H$3:H65),2)</f>
        <v>0.85</v>
      </c>
      <c r="J27">
        <f t="shared" si="3"/>
        <v>2.78</v>
      </c>
    </row>
    <row r="28" spans="1:10" ht="13.2" x14ac:dyDescent="0.25">
      <c r="A28" t="s">
        <v>70</v>
      </c>
      <c r="B28" t="s">
        <v>10</v>
      </c>
      <c r="C28" t="s">
        <v>37</v>
      </c>
      <c r="D28">
        <v>0.8</v>
      </c>
      <c r="E28">
        <f t="shared" si="0"/>
        <v>1.1599999999999999</v>
      </c>
      <c r="F28">
        <f t="shared" si="1"/>
        <v>3.42</v>
      </c>
      <c r="G28">
        <f t="shared" si="2"/>
        <v>0</v>
      </c>
      <c r="H28">
        <f t="shared" si="4"/>
        <v>0.59999999999999987</v>
      </c>
      <c r="I28">
        <f>ROUND(AVERAGE($H$3:H66),2)</f>
        <v>0.85</v>
      </c>
      <c r="J28">
        <f t="shared" si="3"/>
        <v>2.78</v>
      </c>
    </row>
    <row r="29" spans="1:10" ht="13.2" x14ac:dyDescent="0.25">
      <c r="A29" t="s">
        <v>70</v>
      </c>
      <c r="B29" t="s">
        <v>10</v>
      </c>
      <c r="C29" t="s">
        <v>38</v>
      </c>
      <c r="D29">
        <v>1.9</v>
      </c>
      <c r="E29">
        <f t="shared" si="0"/>
        <v>1.1599999999999999</v>
      </c>
      <c r="F29">
        <f t="shared" si="1"/>
        <v>3.42</v>
      </c>
      <c r="G29">
        <f t="shared" si="2"/>
        <v>0</v>
      </c>
      <c r="H29">
        <f t="shared" si="4"/>
        <v>1.0999999999999999</v>
      </c>
      <c r="I29">
        <f>ROUND(AVERAGE($H$3:H67),2)</f>
        <v>0.85</v>
      </c>
      <c r="J29">
        <f t="shared" si="3"/>
        <v>2.78</v>
      </c>
    </row>
    <row r="30" spans="1:10" ht="13.2" x14ac:dyDescent="0.25">
      <c r="A30" t="s">
        <v>70</v>
      </c>
      <c r="B30" t="s">
        <v>10</v>
      </c>
      <c r="C30" t="s">
        <v>39</v>
      </c>
      <c r="D30">
        <v>0.6</v>
      </c>
      <c r="E30">
        <f t="shared" si="0"/>
        <v>1.1599999999999999</v>
      </c>
      <c r="F30">
        <f t="shared" si="1"/>
        <v>3.42</v>
      </c>
      <c r="G30">
        <f t="shared" si="2"/>
        <v>0</v>
      </c>
      <c r="H30">
        <f t="shared" si="4"/>
        <v>1.2999999999999998</v>
      </c>
      <c r="I30">
        <f>ROUND(AVERAGE($H$3:H68),2)</f>
        <v>0.85</v>
      </c>
      <c r="J30">
        <f t="shared" si="3"/>
        <v>2.78</v>
      </c>
    </row>
    <row r="31" spans="1:10" ht="13.2" x14ac:dyDescent="0.25">
      <c r="A31" t="s">
        <v>70</v>
      </c>
      <c r="B31" t="s">
        <v>10</v>
      </c>
      <c r="C31" t="s">
        <v>40</v>
      </c>
      <c r="D31">
        <v>1.1000000000000001</v>
      </c>
      <c r="E31">
        <f t="shared" si="0"/>
        <v>1.1599999999999999</v>
      </c>
      <c r="F31">
        <f t="shared" si="1"/>
        <v>3.42</v>
      </c>
      <c r="G31">
        <f t="shared" si="2"/>
        <v>0</v>
      </c>
      <c r="H31">
        <f t="shared" si="4"/>
        <v>0.50000000000000011</v>
      </c>
      <c r="I31">
        <f>ROUND(AVERAGE($H$3:H69),2)</f>
        <v>0.85</v>
      </c>
      <c r="J31">
        <f t="shared" si="3"/>
        <v>2.78</v>
      </c>
    </row>
    <row r="32" spans="1:10" ht="13.2" x14ac:dyDescent="0.25">
      <c r="A32" t="s">
        <v>70</v>
      </c>
      <c r="B32" t="s">
        <v>10</v>
      </c>
      <c r="C32" t="s">
        <v>41</v>
      </c>
      <c r="D32">
        <v>3.2</v>
      </c>
      <c r="E32">
        <f t="shared" si="0"/>
        <v>1.1599999999999999</v>
      </c>
      <c r="F32">
        <f t="shared" si="1"/>
        <v>3.42</v>
      </c>
      <c r="G32">
        <f t="shared" si="2"/>
        <v>0</v>
      </c>
      <c r="H32">
        <f t="shared" si="4"/>
        <v>2.1</v>
      </c>
      <c r="I32">
        <f>ROUND(AVERAGE($H$3:H70),2)</f>
        <v>0.85</v>
      </c>
      <c r="J32">
        <f t="shared" si="3"/>
        <v>2.78</v>
      </c>
    </row>
    <row r="33" spans="1:10" ht="13.2" x14ac:dyDescent="0.25">
      <c r="A33" t="s">
        <v>70</v>
      </c>
      <c r="B33" t="s">
        <v>10</v>
      </c>
      <c r="C33" t="s">
        <v>42</v>
      </c>
      <c r="D33">
        <v>0.7</v>
      </c>
      <c r="E33">
        <f t="shared" si="0"/>
        <v>1.1599999999999999</v>
      </c>
      <c r="F33">
        <f t="shared" si="1"/>
        <v>3.42</v>
      </c>
      <c r="G33">
        <f t="shared" si="2"/>
        <v>0</v>
      </c>
      <c r="H33">
        <f t="shared" si="4"/>
        <v>2.5</v>
      </c>
      <c r="I33">
        <f>ROUND(AVERAGE($H$3:H71),2)</f>
        <v>0.85</v>
      </c>
      <c r="J33">
        <f t="shared" si="3"/>
        <v>2.78</v>
      </c>
    </row>
    <row r="34" spans="1:10" ht="13.2" x14ac:dyDescent="0.25">
      <c r="A34" t="s">
        <v>70</v>
      </c>
      <c r="B34" t="s">
        <v>10</v>
      </c>
      <c r="C34" t="s">
        <v>43</v>
      </c>
      <c r="D34">
        <v>0.5</v>
      </c>
      <c r="E34">
        <f t="shared" si="0"/>
        <v>1.1599999999999999</v>
      </c>
      <c r="F34">
        <f t="shared" si="1"/>
        <v>3.42</v>
      </c>
      <c r="G34">
        <f t="shared" si="2"/>
        <v>0</v>
      </c>
      <c r="H34">
        <f t="shared" si="4"/>
        <v>0.19999999999999996</v>
      </c>
      <c r="I34">
        <f>ROUND(AVERAGE($H$3:H72),2)</f>
        <v>0.85</v>
      </c>
      <c r="J34">
        <f t="shared" si="3"/>
        <v>2.78</v>
      </c>
    </row>
    <row r="35" spans="1:10" ht="13.2" x14ac:dyDescent="0.25">
      <c r="A35" t="s">
        <v>70</v>
      </c>
      <c r="B35" t="s">
        <v>10</v>
      </c>
      <c r="C35" t="s">
        <v>44</v>
      </c>
      <c r="D35">
        <v>0.9</v>
      </c>
      <c r="E35">
        <f t="shared" si="0"/>
        <v>1.1599999999999999</v>
      </c>
      <c r="F35">
        <f t="shared" si="1"/>
        <v>3.42</v>
      </c>
      <c r="G35">
        <f t="shared" si="2"/>
        <v>0</v>
      </c>
      <c r="H35">
        <f t="shared" si="4"/>
        <v>0.4</v>
      </c>
      <c r="I35">
        <f>ROUND(AVERAGE($H$3:H73),2)</f>
        <v>0.85</v>
      </c>
      <c r="J35">
        <f t="shared" si="3"/>
        <v>2.78</v>
      </c>
    </row>
    <row r="36" spans="1:10" ht="13.2" x14ac:dyDescent="0.25">
      <c r="A36" t="s">
        <v>70</v>
      </c>
      <c r="B36" t="s">
        <v>10</v>
      </c>
      <c r="C36" t="s">
        <v>45</v>
      </c>
      <c r="D36">
        <v>2.2000000000000002</v>
      </c>
      <c r="E36">
        <f t="shared" si="0"/>
        <v>1.1599999999999999</v>
      </c>
      <c r="F36">
        <f t="shared" si="1"/>
        <v>3.42</v>
      </c>
      <c r="G36">
        <f t="shared" si="2"/>
        <v>0</v>
      </c>
      <c r="H36">
        <f t="shared" si="4"/>
        <v>1.3000000000000003</v>
      </c>
      <c r="I36">
        <f>ROUND(AVERAGE($H$3:H74),2)</f>
        <v>0.85</v>
      </c>
      <c r="J36">
        <f t="shared" si="3"/>
        <v>2.78</v>
      </c>
    </row>
    <row r="37" spans="1:10" ht="13.2" x14ac:dyDescent="0.25">
      <c r="A37" t="s">
        <v>70</v>
      </c>
      <c r="B37" t="s">
        <v>10</v>
      </c>
      <c r="C37" t="s">
        <v>46</v>
      </c>
      <c r="D37">
        <v>5</v>
      </c>
      <c r="E37">
        <f t="shared" si="0"/>
        <v>1.1599999999999999</v>
      </c>
      <c r="F37">
        <f t="shared" si="1"/>
        <v>3.42</v>
      </c>
      <c r="G37">
        <f t="shared" si="2"/>
        <v>0</v>
      </c>
      <c r="H37">
        <f t="shared" si="4"/>
        <v>2.8</v>
      </c>
      <c r="I37">
        <f>ROUND(AVERAGE($H$3:H75),2)</f>
        <v>0.85</v>
      </c>
      <c r="J37">
        <f t="shared" si="3"/>
        <v>2.78</v>
      </c>
    </row>
    <row r="38" spans="1:10" ht="13.2" x14ac:dyDescent="0.25">
      <c r="A38" t="s">
        <v>70</v>
      </c>
      <c r="B38" t="s">
        <v>10</v>
      </c>
      <c r="C38" t="s">
        <v>47</v>
      </c>
      <c r="D38">
        <v>2.5</v>
      </c>
      <c r="E38">
        <f t="shared" si="0"/>
        <v>1.1599999999999999</v>
      </c>
      <c r="F38">
        <f t="shared" si="1"/>
        <v>3.42</v>
      </c>
      <c r="G38">
        <f t="shared" si="2"/>
        <v>0</v>
      </c>
      <c r="H38">
        <f t="shared" si="4"/>
        <v>2.5</v>
      </c>
      <c r="I38">
        <f>ROUND(AVERAGE($H$3:H76),2)</f>
        <v>0.85</v>
      </c>
      <c r="J38">
        <f t="shared" si="3"/>
        <v>2.78</v>
      </c>
    </row>
    <row r="39" spans="1:10" ht="13.2" x14ac:dyDescent="0.25">
      <c r="A39" t="s">
        <v>70</v>
      </c>
      <c r="B39" t="s">
        <v>10</v>
      </c>
      <c r="C39" t="s">
        <v>48</v>
      </c>
      <c r="D39">
        <v>1.7</v>
      </c>
      <c r="E39">
        <f t="shared" si="0"/>
        <v>1.1599999999999999</v>
      </c>
      <c r="F39">
        <f t="shared" si="1"/>
        <v>3.42</v>
      </c>
      <c r="G39">
        <f t="shared" si="2"/>
        <v>0</v>
      </c>
      <c r="H39">
        <f t="shared" si="4"/>
        <v>0.8</v>
      </c>
      <c r="I39">
        <f>ROUND(AVERAGE($H$3:H77),2)</f>
        <v>0.85</v>
      </c>
      <c r="J39">
        <f t="shared" si="3"/>
        <v>2.78</v>
      </c>
    </row>
    <row r="40" spans="1:10" ht="13.2" x14ac:dyDescent="0.25">
      <c r="A40" t="s">
        <v>70</v>
      </c>
      <c r="B40" t="s">
        <v>10</v>
      </c>
      <c r="C40" t="s">
        <v>49</v>
      </c>
      <c r="D40">
        <v>0.8</v>
      </c>
      <c r="E40">
        <f t="shared" si="0"/>
        <v>1.1599999999999999</v>
      </c>
      <c r="F40">
        <f t="shared" si="1"/>
        <v>3.42</v>
      </c>
      <c r="G40">
        <f t="shared" si="2"/>
        <v>0</v>
      </c>
      <c r="H40">
        <f t="shared" si="4"/>
        <v>0.89999999999999991</v>
      </c>
      <c r="I40">
        <f>ROUND(AVERAGE($H$3:H78),2)</f>
        <v>0.85</v>
      </c>
      <c r="J40">
        <f t="shared" si="3"/>
        <v>2.78</v>
      </c>
    </row>
    <row r="41" spans="1:10" ht="13.2" x14ac:dyDescent="0.25"/>
    <row r="42" spans="1:10" ht="13.2" x14ac:dyDescent="0.25"/>
    <row r="43" spans="1:10" ht="13.2" x14ac:dyDescent="0.25"/>
    <row r="44" spans="1:10" ht="13.2" x14ac:dyDescent="0.25"/>
    <row r="45" spans="1:10" ht="13.2" x14ac:dyDescent="0.25"/>
    <row r="46" spans="1:10" ht="13.2" x14ac:dyDescent="0.25"/>
    <row r="47" spans="1:10" ht="13.2" x14ac:dyDescent="0.25"/>
    <row r="48" spans="1:10"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9"/>
  <sheetViews>
    <sheetView workbookViewId="0">
      <selection sqref="A1:J19"/>
    </sheetView>
  </sheetViews>
  <sheetFormatPr defaultColWidth="12.6640625" defaultRowHeight="15.75" customHeight="1" x14ac:dyDescent="0.25"/>
  <cols>
    <col min="1" max="1" width="20.77734375" bestFit="1" customWidth="1"/>
    <col min="2" max="2" width="22.77734375" bestFit="1" customWidth="1"/>
    <col min="3" max="4" width="7.21875" bestFit="1" customWidth="1"/>
  </cols>
  <sheetData>
    <row r="1" spans="1:10" ht="13.2" x14ac:dyDescent="0.25">
      <c r="A1" s="5" t="s">
        <v>69</v>
      </c>
      <c r="B1" s="6" t="s">
        <v>1</v>
      </c>
      <c r="C1" s="6" t="s">
        <v>2</v>
      </c>
      <c r="D1" s="6" t="s">
        <v>3</v>
      </c>
      <c r="E1" s="7" t="s">
        <v>4</v>
      </c>
      <c r="F1" s="7" t="s">
        <v>5</v>
      </c>
      <c r="G1" s="7" t="s">
        <v>6</v>
      </c>
      <c r="H1" s="7" t="s">
        <v>7</v>
      </c>
      <c r="I1" s="7" t="s">
        <v>8</v>
      </c>
      <c r="J1" s="7" t="s">
        <v>9</v>
      </c>
    </row>
    <row r="2" spans="1:10" ht="13.2" x14ac:dyDescent="0.25">
      <c r="A2" t="s">
        <v>70</v>
      </c>
      <c r="B2" t="s">
        <v>50</v>
      </c>
      <c r="C2" t="s">
        <v>51</v>
      </c>
      <c r="D2">
        <v>7.5</v>
      </c>
      <c r="E2">
        <f t="shared" ref="E2:E19" si="0">ROUND(AVERAGE($D$2:$D$19),2)</f>
        <v>5.91</v>
      </c>
      <c r="F2">
        <f t="shared" ref="F2:F19" si="1">ROUND(E2+(2.66*I2),2)</f>
        <v>12.88</v>
      </c>
      <c r="G2">
        <f t="shared" ref="G2:G19" si="2">ROUND(MAX(0,E2-(2.66*I2)),2)</f>
        <v>0</v>
      </c>
      <c r="I2">
        <f t="shared" ref="I2:I19" si="3">ROUND(AVERAGE($H$3:$H$19),2)</f>
        <v>2.62</v>
      </c>
      <c r="J2">
        <f t="shared" ref="J2:J19" si="4">ROUND(3.268*I2,2)</f>
        <v>8.56</v>
      </c>
    </row>
    <row r="3" spans="1:10" ht="13.2" x14ac:dyDescent="0.25">
      <c r="A3" t="s">
        <v>70</v>
      </c>
      <c r="B3" t="s">
        <v>50</v>
      </c>
      <c r="C3" t="s">
        <v>52</v>
      </c>
      <c r="D3">
        <v>4.9000000000000004</v>
      </c>
      <c r="E3">
        <f t="shared" si="0"/>
        <v>5.91</v>
      </c>
      <c r="F3">
        <f t="shared" si="1"/>
        <v>12.88</v>
      </c>
      <c r="G3">
        <f t="shared" si="2"/>
        <v>0</v>
      </c>
      <c r="H3">
        <f t="shared" ref="H3:H19" si="5">ABS(D2-D3)</f>
        <v>2.5999999999999996</v>
      </c>
      <c r="I3">
        <f t="shared" si="3"/>
        <v>2.62</v>
      </c>
      <c r="J3">
        <f t="shared" si="4"/>
        <v>8.56</v>
      </c>
    </row>
    <row r="4" spans="1:10" ht="13.2" x14ac:dyDescent="0.25">
      <c r="A4" t="s">
        <v>70</v>
      </c>
      <c r="B4" t="s">
        <v>50</v>
      </c>
      <c r="C4" t="s">
        <v>53</v>
      </c>
      <c r="D4">
        <v>8.8000000000000007</v>
      </c>
      <c r="E4">
        <f t="shared" si="0"/>
        <v>5.91</v>
      </c>
      <c r="F4">
        <f t="shared" si="1"/>
        <v>12.88</v>
      </c>
      <c r="G4">
        <f t="shared" si="2"/>
        <v>0</v>
      </c>
      <c r="H4">
        <f t="shared" si="5"/>
        <v>3.9000000000000004</v>
      </c>
      <c r="I4">
        <f t="shared" si="3"/>
        <v>2.62</v>
      </c>
      <c r="J4">
        <f t="shared" si="4"/>
        <v>8.56</v>
      </c>
    </row>
    <row r="5" spans="1:10" ht="13.2" x14ac:dyDescent="0.25">
      <c r="A5" t="s">
        <v>70</v>
      </c>
      <c r="B5" t="s">
        <v>50</v>
      </c>
      <c r="C5" t="s">
        <v>54</v>
      </c>
      <c r="D5">
        <v>8.1</v>
      </c>
      <c r="E5">
        <f t="shared" si="0"/>
        <v>5.91</v>
      </c>
      <c r="F5">
        <f t="shared" si="1"/>
        <v>12.88</v>
      </c>
      <c r="G5">
        <f t="shared" si="2"/>
        <v>0</v>
      </c>
      <c r="H5">
        <f t="shared" si="5"/>
        <v>0.70000000000000107</v>
      </c>
      <c r="I5">
        <f t="shared" si="3"/>
        <v>2.62</v>
      </c>
      <c r="J5">
        <f t="shared" si="4"/>
        <v>8.56</v>
      </c>
    </row>
    <row r="6" spans="1:10" ht="13.2" x14ac:dyDescent="0.25">
      <c r="A6" t="s">
        <v>70</v>
      </c>
      <c r="B6" t="s">
        <v>50</v>
      </c>
      <c r="C6" t="s">
        <v>55</v>
      </c>
      <c r="D6">
        <v>2.2000000000000002</v>
      </c>
      <c r="E6">
        <f t="shared" si="0"/>
        <v>5.91</v>
      </c>
      <c r="F6">
        <f t="shared" si="1"/>
        <v>12.88</v>
      </c>
      <c r="G6">
        <f t="shared" si="2"/>
        <v>0</v>
      </c>
      <c r="H6">
        <f t="shared" si="5"/>
        <v>5.8999999999999995</v>
      </c>
      <c r="I6">
        <f t="shared" si="3"/>
        <v>2.62</v>
      </c>
      <c r="J6">
        <f t="shared" si="4"/>
        <v>8.56</v>
      </c>
    </row>
    <row r="7" spans="1:10" ht="13.2" x14ac:dyDescent="0.25">
      <c r="A7" t="s">
        <v>70</v>
      </c>
      <c r="B7" t="s">
        <v>50</v>
      </c>
      <c r="C7" t="s">
        <v>56</v>
      </c>
      <c r="D7">
        <v>3.6</v>
      </c>
      <c r="E7">
        <f t="shared" si="0"/>
        <v>5.91</v>
      </c>
      <c r="F7">
        <f t="shared" si="1"/>
        <v>12.88</v>
      </c>
      <c r="G7">
        <f t="shared" si="2"/>
        <v>0</v>
      </c>
      <c r="H7">
        <f t="shared" si="5"/>
        <v>1.4</v>
      </c>
      <c r="I7">
        <f t="shared" si="3"/>
        <v>2.62</v>
      </c>
      <c r="J7">
        <f t="shared" si="4"/>
        <v>8.56</v>
      </c>
    </row>
    <row r="8" spans="1:10" ht="13.2" x14ac:dyDescent="0.25">
      <c r="A8" t="s">
        <v>70</v>
      </c>
      <c r="B8" t="s">
        <v>50</v>
      </c>
      <c r="C8" t="s">
        <v>57</v>
      </c>
      <c r="D8">
        <v>4.5999999999999996</v>
      </c>
      <c r="E8">
        <f t="shared" si="0"/>
        <v>5.91</v>
      </c>
      <c r="F8">
        <f t="shared" si="1"/>
        <v>12.88</v>
      </c>
      <c r="G8">
        <f t="shared" si="2"/>
        <v>0</v>
      </c>
      <c r="H8">
        <f t="shared" si="5"/>
        <v>0.99999999999999956</v>
      </c>
      <c r="I8">
        <f t="shared" si="3"/>
        <v>2.62</v>
      </c>
      <c r="J8">
        <f t="shared" si="4"/>
        <v>8.56</v>
      </c>
    </row>
    <row r="9" spans="1:10" ht="13.2" x14ac:dyDescent="0.25">
      <c r="A9" t="s">
        <v>70</v>
      </c>
      <c r="B9" t="s">
        <v>50</v>
      </c>
      <c r="C9" t="s">
        <v>58</v>
      </c>
      <c r="D9">
        <v>4</v>
      </c>
      <c r="E9">
        <f t="shared" si="0"/>
        <v>5.91</v>
      </c>
      <c r="F9">
        <f t="shared" si="1"/>
        <v>12.88</v>
      </c>
      <c r="G9">
        <f t="shared" si="2"/>
        <v>0</v>
      </c>
      <c r="H9">
        <f t="shared" si="5"/>
        <v>0.59999999999999964</v>
      </c>
      <c r="I9">
        <f t="shared" si="3"/>
        <v>2.62</v>
      </c>
      <c r="J9">
        <f t="shared" si="4"/>
        <v>8.56</v>
      </c>
    </row>
    <row r="10" spans="1:10" ht="13.2" x14ac:dyDescent="0.25">
      <c r="A10" t="s">
        <v>70</v>
      </c>
      <c r="B10" t="s">
        <v>50</v>
      </c>
      <c r="C10" t="s">
        <v>59</v>
      </c>
      <c r="D10">
        <v>6.6</v>
      </c>
      <c r="E10">
        <f t="shared" si="0"/>
        <v>5.91</v>
      </c>
      <c r="F10">
        <f t="shared" si="1"/>
        <v>12.88</v>
      </c>
      <c r="G10">
        <f t="shared" si="2"/>
        <v>0</v>
      </c>
      <c r="H10">
        <f t="shared" si="5"/>
        <v>2.5999999999999996</v>
      </c>
      <c r="I10">
        <f t="shared" si="3"/>
        <v>2.62</v>
      </c>
      <c r="J10">
        <f t="shared" si="4"/>
        <v>8.56</v>
      </c>
    </row>
    <row r="11" spans="1:10" ht="13.2" x14ac:dyDescent="0.25">
      <c r="A11" t="s">
        <v>70</v>
      </c>
      <c r="B11" t="s">
        <v>50</v>
      </c>
      <c r="C11" t="s">
        <v>60</v>
      </c>
      <c r="D11">
        <v>3.2</v>
      </c>
      <c r="E11">
        <f t="shared" si="0"/>
        <v>5.91</v>
      </c>
      <c r="F11">
        <f t="shared" si="1"/>
        <v>12.88</v>
      </c>
      <c r="G11">
        <f t="shared" si="2"/>
        <v>0</v>
      </c>
      <c r="H11">
        <f t="shared" si="5"/>
        <v>3.3999999999999995</v>
      </c>
      <c r="I11">
        <f t="shared" si="3"/>
        <v>2.62</v>
      </c>
      <c r="J11">
        <f t="shared" si="4"/>
        <v>8.56</v>
      </c>
    </row>
    <row r="12" spans="1:10" ht="13.2" x14ac:dyDescent="0.25">
      <c r="A12" t="s">
        <v>70</v>
      </c>
      <c r="B12" t="s">
        <v>50</v>
      </c>
      <c r="C12" t="s">
        <v>61</v>
      </c>
      <c r="D12">
        <v>5.3</v>
      </c>
      <c r="E12">
        <f t="shared" si="0"/>
        <v>5.91</v>
      </c>
      <c r="F12">
        <f t="shared" si="1"/>
        <v>12.88</v>
      </c>
      <c r="G12">
        <f t="shared" si="2"/>
        <v>0</v>
      </c>
      <c r="H12">
        <f t="shared" si="5"/>
        <v>2.0999999999999996</v>
      </c>
      <c r="I12">
        <f t="shared" si="3"/>
        <v>2.62</v>
      </c>
      <c r="J12">
        <f t="shared" si="4"/>
        <v>8.56</v>
      </c>
    </row>
    <row r="13" spans="1:10" ht="13.2" x14ac:dyDescent="0.25">
      <c r="A13" t="s">
        <v>70</v>
      </c>
      <c r="B13" t="s">
        <v>50</v>
      </c>
      <c r="C13" t="s">
        <v>62</v>
      </c>
      <c r="D13">
        <v>7.7</v>
      </c>
      <c r="E13">
        <f t="shared" si="0"/>
        <v>5.91</v>
      </c>
      <c r="F13">
        <f t="shared" si="1"/>
        <v>12.88</v>
      </c>
      <c r="G13">
        <f t="shared" si="2"/>
        <v>0</v>
      </c>
      <c r="H13">
        <f t="shared" si="5"/>
        <v>2.4000000000000004</v>
      </c>
      <c r="I13">
        <f t="shared" si="3"/>
        <v>2.62</v>
      </c>
      <c r="J13">
        <f t="shared" si="4"/>
        <v>8.56</v>
      </c>
    </row>
    <row r="14" spans="1:10" ht="13.2" x14ac:dyDescent="0.25">
      <c r="A14" t="s">
        <v>70</v>
      </c>
      <c r="B14" t="s">
        <v>50</v>
      </c>
      <c r="C14" t="s">
        <v>63</v>
      </c>
      <c r="D14">
        <v>5.6</v>
      </c>
      <c r="E14">
        <f t="shared" si="0"/>
        <v>5.91</v>
      </c>
      <c r="F14">
        <f t="shared" si="1"/>
        <v>12.88</v>
      </c>
      <c r="G14">
        <f t="shared" si="2"/>
        <v>0</v>
      </c>
      <c r="H14">
        <f t="shared" si="5"/>
        <v>2.1000000000000005</v>
      </c>
      <c r="I14">
        <f t="shared" si="3"/>
        <v>2.62</v>
      </c>
      <c r="J14">
        <f t="shared" si="4"/>
        <v>8.56</v>
      </c>
    </row>
    <row r="15" spans="1:10" ht="13.2" x14ac:dyDescent="0.25">
      <c r="A15" t="s">
        <v>70</v>
      </c>
      <c r="B15" t="s">
        <v>50</v>
      </c>
      <c r="C15" t="s">
        <v>64</v>
      </c>
      <c r="D15">
        <v>7.5</v>
      </c>
      <c r="E15">
        <f t="shared" si="0"/>
        <v>5.91</v>
      </c>
      <c r="F15">
        <f t="shared" si="1"/>
        <v>12.88</v>
      </c>
      <c r="G15">
        <f t="shared" si="2"/>
        <v>0</v>
      </c>
      <c r="H15">
        <f t="shared" si="5"/>
        <v>1.9000000000000004</v>
      </c>
      <c r="I15">
        <f t="shared" si="3"/>
        <v>2.62</v>
      </c>
      <c r="J15">
        <f t="shared" si="4"/>
        <v>8.56</v>
      </c>
    </row>
    <row r="16" spans="1:10" ht="13.2" x14ac:dyDescent="0.25">
      <c r="A16" t="s">
        <v>70</v>
      </c>
      <c r="B16" t="s">
        <v>50</v>
      </c>
      <c r="C16" t="s">
        <v>65</v>
      </c>
      <c r="D16">
        <v>9.1</v>
      </c>
      <c r="E16">
        <f t="shared" si="0"/>
        <v>5.91</v>
      </c>
      <c r="F16">
        <f t="shared" si="1"/>
        <v>12.88</v>
      </c>
      <c r="G16">
        <f t="shared" si="2"/>
        <v>0</v>
      </c>
      <c r="H16">
        <f t="shared" si="5"/>
        <v>1.5999999999999996</v>
      </c>
      <c r="I16">
        <f t="shared" si="3"/>
        <v>2.62</v>
      </c>
      <c r="J16">
        <f t="shared" si="4"/>
        <v>8.56</v>
      </c>
    </row>
    <row r="17" spans="1:10" ht="13.2" x14ac:dyDescent="0.25">
      <c r="A17" t="s">
        <v>70</v>
      </c>
      <c r="B17" t="s">
        <v>50</v>
      </c>
      <c r="C17" t="s">
        <v>66</v>
      </c>
      <c r="D17">
        <v>3</v>
      </c>
      <c r="E17">
        <f t="shared" si="0"/>
        <v>5.91</v>
      </c>
      <c r="F17">
        <f t="shared" si="1"/>
        <v>12.88</v>
      </c>
      <c r="G17">
        <f t="shared" si="2"/>
        <v>0</v>
      </c>
      <c r="H17">
        <f t="shared" si="5"/>
        <v>6.1</v>
      </c>
      <c r="I17">
        <f t="shared" si="3"/>
        <v>2.62</v>
      </c>
      <c r="J17">
        <f t="shared" si="4"/>
        <v>8.56</v>
      </c>
    </row>
    <row r="18" spans="1:10" ht="13.2" x14ac:dyDescent="0.25">
      <c r="A18" t="s">
        <v>70</v>
      </c>
      <c r="B18" t="s">
        <v>50</v>
      </c>
      <c r="C18" t="s">
        <v>67</v>
      </c>
      <c r="D18">
        <v>5.4</v>
      </c>
      <c r="E18">
        <f t="shared" si="0"/>
        <v>5.91</v>
      </c>
      <c r="F18">
        <f t="shared" si="1"/>
        <v>12.88</v>
      </c>
      <c r="G18">
        <f t="shared" si="2"/>
        <v>0</v>
      </c>
      <c r="H18">
        <f t="shared" si="5"/>
        <v>2.4000000000000004</v>
      </c>
      <c r="I18">
        <f t="shared" si="3"/>
        <v>2.62</v>
      </c>
      <c r="J18">
        <f t="shared" si="4"/>
        <v>8.56</v>
      </c>
    </row>
    <row r="19" spans="1:10" ht="13.2" x14ac:dyDescent="0.25">
      <c r="A19" t="s">
        <v>70</v>
      </c>
      <c r="B19" t="s">
        <v>50</v>
      </c>
      <c r="C19" t="s">
        <v>68</v>
      </c>
      <c r="D19">
        <v>9.1999999999999993</v>
      </c>
      <c r="E19">
        <f t="shared" si="0"/>
        <v>5.91</v>
      </c>
      <c r="F19">
        <f t="shared" si="1"/>
        <v>12.88</v>
      </c>
      <c r="G19">
        <f t="shared" si="2"/>
        <v>0</v>
      </c>
      <c r="H19">
        <f t="shared" si="5"/>
        <v>3.7999999999999989</v>
      </c>
      <c r="I19">
        <f t="shared" si="3"/>
        <v>2.62</v>
      </c>
      <c r="J19">
        <f t="shared" si="4"/>
        <v>8.56</v>
      </c>
    </row>
    <row r="20" spans="1:10" ht="13.2" x14ac:dyDescent="0.25"/>
    <row r="21" spans="1:10" ht="13.2" x14ac:dyDescent="0.25"/>
    <row r="22" spans="1:10" ht="13.2" x14ac:dyDescent="0.25"/>
    <row r="23" spans="1:10" ht="13.2" x14ac:dyDescent="0.25"/>
    <row r="24" spans="1:10" ht="13.2" x14ac:dyDescent="0.25">
      <c r="A24" s="2"/>
    </row>
    <row r="25" spans="1:10" ht="13.2" x14ac:dyDescent="0.25">
      <c r="A25" s="2"/>
    </row>
    <row r="26" spans="1:10" ht="13.2" x14ac:dyDescent="0.25">
      <c r="A26" s="2"/>
    </row>
    <row r="27" spans="1:10" ht="13.2" x14ac:dyDescent="0.25">
      <c r="A27" s="2"/>
    </row>
    <row r="28" spans="1:10" ht="13.2" x14ac:dyDescent="0.25">
      <c r="A28" s="2"/>
    </row>
    <row r="29" spans="1:10" ht="13.2" x14ac:dyDescent="0.25">
      <c r="A29" s="2"/>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1B8B20-3525-4FB4-8374-18B8903328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Fig. E.1. Before PA</vt:lpstr>
      <vt:lpstr>Fig. E.2. After 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2026-05-07T17:31:19Z</dcterms:modified>
</cp:coreProperties>
</file>