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drawings/drawing4.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9.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0.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1.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2.xml" ContentType="application/vnd.openxmlformats-officedocument.themeOverride+xml"/>
  <Override PartName="/xl/tables/table8.xml" ContentType="application/vnd.openxmlformats-officedocument.spreadsheetml.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34BEB701-8097-484E-AE04-16D94EF8D622}"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19.7. Baseline" sheetId="2" r:id="rId2"/>
    <sheet name="Fig 19.8. Improvement" sheetId="7" r:id="rId3"/>
    <sheet name="Fig 19.9. 1st &amp; 2nd clinics" sheetId="8" r:id="rId4"/>
    <sheet name="Data" sheetId="5" r:id="rId5"/>
  </sheets>
  <definedNames>
    <definedName name="ExternalData_1" localSheetId="4" hidden="1">Data!$A$1:$F$31</definedName>
    <definedName name="ExternalData_1" localSheetId="1" hidden="1">'Fig 19.7. Baseline'!$A$1:$D$19</definedName>
    <definedName name="ExternalData_1" localSheetId="2" hidden="1">'Fig 19.8. Improvement'!$A$1:$D$19</definedName>
    <definedName name="ExternalData_1" localSheetId="3" hidden="1">'Fig 19.9. 1st &amp; 2nd clinics'!$A$1:$D$19</definedName>
    <definedName name="ExternalData_2" localSheetId="2" hidden="1">'Fig 19.8. Improvement'!$A$21:$D$27</definedName>
    <definedName name="ExternalData_2" localSheetId="3" hidden="1">'Fig 19.9. 1st &amp; 2nd clinics'!$A$21:$D$27</definedName>
    <definedName name="ExternalData_3" localSheetId="2" hidden="1">'Fig 19.8. Improvement'!$A$29:$D$35</definedName>
    <definedName name="ExternalData_3" localSheetId="3" hidden="1">'Fig 19.9. 1st &amp; 2nd clinics'!$A$29:$D$35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8" l="1"/>
  <c r="E35" i="8"/>
  <c r="H34" i="8"/>
  <c r="E34" i="8"/>
  <c r="H33" i="8"/>
  <c r="E33" i="8"/>
  <c r="H32" i="8"/>
  <c r="E32" i="8"/>
  <c r="H31" i="8"/>
  <c r="E31" i="8"/>
  <c r="I30" i="8"/>
  <c r="J30" i="8" s="1"/>
  <c r="E30" i="8"/>
  <c r="H27" i="8"/>
  <c r="E27" i="8"/>
  <c r="H26" i="8"/>
  <c r="E26" i="8"/>
  <c r="H25" i="8"/>
  <c r="E25" i="8"/>
  <c r="H24" i="8"/>
  <c r="E24" i="8"/>
  <c r="H23" i="8"/>
  <c r="E23" i="8"/>
  <c r="I22" i="8"/>
  <c r="J22" i="8" s="1"/>
  <c r="E22" i="8"/>
  <c r="H19" i="8"/>
  <c r="E19" i="8"/>
  <c r="H18" i="8"/>
  <c r="E18" i="8"/>
  <c r="H17" i="8"/>
  <c r="E17" i="8"/>
  <c r="H16" i="8"/>
  <c r="E16" i="8"/>
  <c r="H15" i="8"/>
  <c r="E15" i="8"/>
  <c r="H14" i="8"/>
  <c r="E14" i="8"/>
  <c r="H13" i="8"/>
  <c r="E13" i="8"/>
  <c r="H12" i="8"/>
  <c r="E12" i="8"/>
  <c r="H11" i="8"/>
  <c r="E11" i="8"/>
  <c r="H10" i="8"/>
  <c r="E10" i="8"/>
  <c r="H9" i="8"/>
  <c r="E9" i="8"/>
  <c r="H8" i="8"/>
  <c r="E8" i="8"/>
  <c r="H7" i="8"/>
  <c r="E7" i="8"/>
  <c r="H6" i="8"/>
  <c r="E6" i="8"/>
  <c r="H5" i="8"/>
  <c r="E5" i="8"/>
  <c r="H4" i="8"/>
  <c r="E4" i="8"/>
  <c r="H3" i="8"/>
  <c r="E3" i="8"/>
  <c r="I2" i="8"/>
  <c r="J2" i="8" s="1"/>
  <c r="E2" i="8"/>
  <c r="G30" i="7"/>
  <c r="G31" i="7"/>
  <c r="G32" i="7"/>
  <c r="G33" i="7"/>
  <c r="G34" i="7"/>
  <c r="G35" i="7"/>
  <c r="G22" i="7"/>
  <c r="G23" i="7"/>
  <c r="G24" i="7"/>
  <c r="G25" i="7"/>
  <c r="G26" i="7"/>
  <c r="G27" i="7"/>
  <c r="F30" i="7"/>
  <c r="F31" i="7"/>
  <c r="F32" i="7"/>
  <c r="F33" i="7"/>
  <c r="F34" i="7"/>
  <c r="F35" i="7"/>
  <c r="F22" i="7"/>
  <c r="F23" i="7"/>
  <c r="F24" i="7"/>
  <c r="F25" i="7"/>
  <c r="F26" i="7"/>
  <c r="F27" i="7"/>
  <c r="J22" i="7"/>
  <c r="J23" i="7"/>
  <c r="J24" i="7"/>
  <c r="J25" i="7"/>
  <c r="J26" i="7"/>
  <c r="J27" i="7"/>
  <c r="J30" i="7"/>
  <c r="J31" i="7"/>
  <c r="J32" i="7"/>
  <c r="J33" i="7"/>
  <c r="J34" i="7"/>
  <c r="J35" i="7"/>
  <c r="I30" i="7"/>
  <c r="I31" i="7"/>
  <c r="I32" i="7"/>
  <c r="I33" i="7"/>
  <c r="I34" i="7"/>
  <c r="I35" i="7"/>
  <c r="I22" i="7"/>
  <c r="I23" i="7"/>
  <c r="I24" i="7"/>
  <c r="I25" i="7"/>
  <c r="I26" i="7"/>
  <c r="I27" i="7"/>
  <c r="H31" i="7"/>
  <c r="H32" i="7"/>
  <c r="H33" i="7"/>
  <c r="H34" i="7"/>
  <c r="H35" i="7"/>
  <c r="H23" i="7"/>
  <c r="H24" i="7"/>
  <c r="H25" i="7"/>
  <c r="H26" i="7"/>
  <c r="H27" i="7"/>
  <c r="E30" i="7"/>
  <c r="E31" i="7"/>
  <c r="E32" i="7"/>
  <c r="E33" i="7"/>
  <c r="E34" i="7"/>
  <c r="E35" i="7"/>
  <c r="E22" i="7"/>
  <c r="E23" i="7"/>
  <c r="E24" i="7"/>
  <c r="E25" i="7"/>
  <c r="E26" i="7"/>
  <c r="E27" i="7"/>
  <c r="H19" i="7"/>
  <c r="E19" i="7"/>
  <c r="H18" i="7"/>
  <c r="E18" i="7"/>
  <c r="H17" i="7"/>
  <c r="E17" i="7"/>
  <c r="H16" i="7"/>
  <c r="E16" i="7"/>
  <c r="H15" i="7"/>
  <c r="E15" i="7"/>
  <c r="H14" i="7"/>
  <c r="E14" i="7"/>
  <c r="H13" i="7"/>
  <c r="E13" i="7"/>
  <c r="H12" i="7"/>
  <c r="E12" i="7"/>
  <c r="H11" i="7"/>
  <c r="E11" i="7"/>
  <c r="H10" i="7"/>
  <c r="E10" i="7"/>
  <c r="H9" i="7"/>
  <c r="E9" i="7"/>
  <c r="H8" i="7"/>
  <c r="E8" i="7"/>
  <c r="H7" i="7"/>
  <c r="E7" i="7"/>
  <c r="H6" i="7"/>
  <c r="E6" i="7"/>
  <c r="H5" i="7"/>
  <c r="E5" i="7"/>
  <c r="H4" i="7"/>
  <c r="E4" i="7"/>
  <c r="H3" i="7"/>
  <c r="E3" i="7"/>
  <c r="E2" i="7"/>
  <c r="H4" i="2"/>
  <c r="H5" i="2"/>
  <c r="H6" i="2"/>
  <c r="H7" i="2"/>
  <c r="H8" i="2"/>
  <c r="H9" i="2"/>
  <c r="H10" i="2"/>
  <c r="H11" i="2"/>
  <c r="H12" i="2"/>
  <c r="H13" i="2"/>
  <c r="H14" i="2"/>
  <c r="H15" i="2"/>
  <c r="H16" i="2"/>
  <c r="H17" i="2"/>
  <c r="H18" i="2"/>
  <c r="H19" i="2"/>
  <c r="H3" i="2"/>
  <c r="E2" i="2"/>
  <c r="E3" i="2"/>
  <c r="E4" i="2"/>
  <c r="E5" i="2"/>
  <c r="E6" i="2"/>
  <c r="E7" i="2"/>
  <c r="E8" i="2"/>
  <c r="E9" i="2"/>
  <c r="E10" i="2"/>
  <c r="E11" i="2"/>
  <c r="E12" i="2"/>
  <c r="E13" i="2"/>
  <c r="E14" i="2"/>
  <c r="E15" i="2"/>
  <c r="E16" i="2"/>
  <c r="E17" i="2"/>
  <c r="E18" i="2"/>
  <c r="E19" i="2"/>
  <c r="I35" i="8" l="1"/>
  <c r="I34" i="8"/>
  <c r="I31" i="8"/>
  <c r="J31" i="8" s="1"/>
  <c r="I33" i="8"/>
  <c r="I32" i="8"/>
  <c r="G31" i="8"/>
  <c r="F31" i="8"/>
  <c r="G30" i="8"/>
  <c r="F30" i="8"/>
  <c r="I26" i="8"/>
  <c r="I24" i="8"/>
  <c r="I23" i="8"/>
  <c r="J23" i="8" s="1"/>
  <c r="I27" i="8"/>
  <c r="I25" i="8"/>
  <c r="G23" i="8"/>
  <c r="F23" i="8"/>
  <c r="G22" i="8"/>
  <c r="F22" i="8"/>
  <c r="I5" i="8"/>
  <c r="I6" i="8"/>
  <c r="I12" i="8"/>
  <c r="I9" i="8"/>
  <c r="I10" i="8"/>
  <c r="I11" i="8"/>
  <c r="I15" i="8"/>
  <c r="I19" i="8"/>
  <c r="I16" i="8"/>
  <c r="I8" i="8"/>
  <c r="I18" i="8"/>
  <c r="I13" i="8"/>
  <c r="I7" i="8"/>
  <c r="I17" i="8"/>
  <c r="I4" i="8"/>
  <c r="I14" i="8"/>
  <c r="I3" i="8"/>
  <c r="G2" i="8"/>
  <c r="F2" i="8"/>
  <c r="I13" i="7"/>
  <c r="I17" i="7"/>
  <c r="I4" i="7"/>
  <c r="I14" i="7"/>
  <c r="I16" i="7"/>
  <c r="I6" i="7"/>
  <c r="I5" i="7"/>
  <c r="I7" i="7"/>
  <c r="I18" i="7"/>
  <c r="I12" i="7"/>
  <c r="I11" i="7"/>
  <c r="I19" i="7"/>
  <c r="I9" i="7"/>
  <c r="I15" i="7"/>
  <c r="I10" i="7"/>
  <c r="I8" i="7"/>
  <c r="I3" i="7"/>
  <c r="J3" i="7" s="1"/>
  <c r="I2" i="7"/>
  <c r="J2" i="7" s="1"/>
  <c r="G3" i="7"/>
  <c r="F3" i="7"/>
  <c r="G2" i="7"/>
  <c r="F2" i="7"/>
  <c r="I17" i="2"/>
  <c r="J17" i="2" s="1"/>
  <c r="I18" i="2"/>
  <c r="J18" i="2" s="1"/>
  <c r="I16" i="2"/>
  <c r="J16" i="2" s="1"/>
  <c r="I15" i="2"/>
  <c r="J15" i="2" s="1"/>
  <c r="I14" i="2"/>
  <c r="J14" i="2" s="1"/>
  <c r="I13" i="2"/>
  <c r="J13" i="2" s="1"/>
  <c r="I11" i="2"/>
  <c r="J11" i="2" s="1"/>
  <c r="I10" i="2"/>
  <c r="J10" i="2" s="1"/>
  <c r="I9" i="2"/>
  <c r="J9" i="2" s="1"/>
  <c r="I8" i="2"/>
  <c r="J8" i="2" s="1"/>
  <c r="I2" i="2"/>
  <c r="J2" i="2" s="1"/>
  <c r="I7" i="2"/>
  <c r="J7" i="2" s="1"/>
  <c r="I6" i="2"/>
  <c r="J6" i="2" s="1"/>
  <c r="I5" i="2"/>
  <c r="J5" i="2" s="1"/>
  <c r="I4" i="2"/>
  <c r="J4" i="2" s="1"/>
  <c r="I19" i="2"/>
  <c r="J19" i="2" s="1"/>
  <c r="I12" i="2"/>
  <c r="J12" i="2" s="1"/>
  <c r="I3" i="2"/>
  <c r="J3" i="2" s="1"/>
  <c r="G2" i="2"/>
  <c r="F2" i="2"/>
  <c r="F3" i="2"/>
  <c r="G3" i="2"/>
  <c r="F4" i="2"/>
  <c r="G4" i="2"/>
  <c r="F5" i="2"/>
  <c r="G5" i="2"/>
  <c r="G6" i="2"/>
  <c r="F6" i="2"/>
  <c r="G7" i="2"/>
  <c r="F7" i="2"/>
  <c r="G8" i="2"/>
  <c r="F8" i="2"/>
  <c r="G9" i="2"/>
  <c r="F9" i="2"/>
  <c r="F10" i="2"/>
  <c r="G10" i="2"/>
  <c r="F11" i="2"/>
  <c r="G11" i="2"/>
  <c r="F12" i="2"/>
  <c r="G12" i="2"/>
  <c r="F13" i="2"/>
  <c r="G13" i="2"/>
  <c r="G14" i="2"/>
  <c r="F14" i="2"/>
  <c r="G15" i="2"/>
  <c r="F15" i="2"/>
  <c r="G16" i="2"/>
  <c r="F16" i="2"/>
  <c r="G17" i="2"/>
  <c r="F17" i="2"/>
  <c r="G18" i="2"/>
  <c r="F18" i="2"/>
  <c r="G19" i="2"/>
  <c r="F19" i="2"/>
  <c r="G4" i="8" l="1"/>
  <c r="J4" i="8"/>
  <c r="F4" i="8"/>
  <c r="J35" i="8"/>
  <c r="G35" i="8"/>
  <c r="F35" i="8"/>
  <c r="J34" i="8"/>
  <c r="G34" i="8"/>
  <c r="F34" i="8"/>
  <c r="J33" i="8"/>
  <c r="F33" i="8"/>
  <c r="G33" i="8"/>
  <c r="J32" i="8"/>
  <c r="G32" i="8"/>
  <c r="F32" i="8"/>
  <c r="J26" i="8"/>
  <c r="G26" i="8"/>
  <c r="F26" i="8"/>
  <c r="J24" i="8"/>
  <c r="G24" i="8"/>
  <c r="F24" i="8"/>
  <c r="J27" i="8"/>
  <c r="F27" i="8"/>
  <c r="G27" i="8"/>
  <c r="J25" i="8"/>
  <c r="F25" i="8"/>
  <c r="G25" i="8"/>
  <c r="J5" i="8"/>
  <c r="G5" i="8"/>
  <c r="F5" i="8"/>
  <c r="J6" i="8"/>
  <c r="G6" i="8"/>
  <c r="F6" i="8"/>
  <c r="J12" i="8"/>
  <c r="F12" i="8"/>
  <c r="G12" i="8"/>
  <c r="J9" i="8"/>
  <c r="G9" i="8"/>
  <c r="F9" i="8"/>
  <c r="J10" i="8"/>
  <c r="F10" i="8"/>
  <c r="G10" i="8"/>
  <c r="J11" i="8"/>
  <c r="G11" i="8"/>
  <c r="F11" i="8"/>
  <c r="J15" i="8"/>
  <c r="F15" i="8"/>
  <c r="G15" i="8"/>
  <c r="J19" i="8"/>
  <c r="F19" i="8"/>
  <c r="G19" i="8"/>
  <c r="J16" i="8"/>
  <c r="F16" i="8"/>
  <c r="G16" i="8"/>
  <c r="J8" i="8"/>
  <c r="F8" i="8"/>
  <c r="G8" i="8"/>
  <c r="J18" i="8"/>
  <c r="G18" i="8"/>
  <c r="F18" i="8"/>
  <c r="J13" i="8"/>
  <c r="G13" i="8"/>
  <c r="F13" i="8"/>
  <c r="J7" i="8"/>
  <c r="G7" i="8"/>
  <c r="F7" i="8"/>
  <c r="J17" i="8"/>
  <c r="F17" i="8"/>
  <c r="G17" i="8"/>
  <c r="J14" i="8"/>
  <c r="G14" i="8"/>
  <c r="F14" i="8"/>
  <c r="J3" i="8"/>
  <c r="F3" i="8"/>
  <c r="G3" i="8"/>
  <c r="G16" i="7"/>
  <c r="J16" i="7"/>
  <c r="F16" i="7"/>
  <c r="J13" i="7"/>
  <c r="G13" i="7"/>
  <c r="F13" i="7"/>
  <c r="J17" i="7"/>
  <c r="F17" i="7"/>
  <c r="G17" i="7"/>
  <c r="J4" i="7"/>
  <c r="F4" i="7"/>
  <c r="G4" i="7"/>
  <c r="J14" i="7"/>
  <c r="F14" i="7"/>
  <c r="G14" i="7"/>
  <c r="J6" i="7"/>
  <c r="G6" i="7"/>
  <c r="F6" i="7"/>
  <c r="J5" i="7"/>
  <c r="G5" i="7"/>
  <c r="F5" i="7"/>
  <c r="J7" i="7"/>
  <c r="G7" i="7"/>
  <c r="F7" i="7"/>
  <c r="J18" i="7"/>
  <c r="F18" i="7"/>
  <c r="G18" i="7"/>
  <c r="J12" i="7"/>
  <c r="G12" i="7"/>
  <c r="F12" i="7"/>
  <c r="J11" i="7"/>
  <c r="G11" i="7"/>
  <c r="F11" i="7"/>
  <c r="J19" i="7"/>
  <c r="G19" i="7"/>
  <c r="F19" i="7"/>
  <c r="J9" i="7"/>
  <c r="G9" i="7"/>
  <c r="F9" i="7"/>
  <c r="J15" i="7"/>
  <c r="F15" i="7"/>
  <c r="G15" i="7"/>
  <c r="J10" i="7"/>
  <c r="F10" i="7"/>
  <c r="G10" i="7"/>
  <c r="J8" i="7"/>
  <c r="G8" i="7"/>
  <c r="F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8E929E-BCC3-437F-9661-9FE07D5F21FA}" keepAlive="1" name="Query - improvement-death-to-birth-rates" description="Connection to the 'improvement-death-to-birth-rates' query in the workbook." type="5" refreshedVersion="8" background="1" saveData="1">
    <dbPr connection="Provider=Microsoft.Mashup.OleDb.1;Data Source=$Workbook$;Location=improvement-death-to-birth-rates;Extended Properties=&quot;&quot;" command="SELECT * FROM [improvement-death-to-birth-rates]"/>
  </connection>
  <connection id="2" xr16:uid="{E6DE0F94-4D25-42B2-BEC6-49918B3B51FA}" keepAlive="1" name="Query - improvement-death-to-birth-rates (2)" description="Connection to the 'improvement-death-to-birth-rates (2)' query in the workbook." type="5" refreshedVersion="8" background="1" saveData="1">
    <dbPr connection="Provider=Microsoft.Mashup.OleDb.1;Data Source=$Workbook$;Location=&quot;improvement-death-to-birth-rates (2)&quot;;Extended Properties=&quot;&quot;" command="SELECT * FROM [improvement-death-to-birth-rates (2)]"/>
  </connection>
  <connection id="3" xr16:uid="{CD0C827B-61A2-42C6-BB86-65FFAA3AF5B4}" keepAlive="1" name="Query - improvement-death-to-birth-rates (3)" description="Connection to the 'improvement-death-to-birth-rates (3)' query in the workbook." type="5" refreshedVersion="8" background="1" saveData="1">
    <dbPr connection="Provider=Microsoft.Mashup.OleDb.1;Data Source=$Workbook$;Location=&quot;improvement-death-to-birth-rates (3)&quot;;Extended Properties=&quot;&quot;" command="SELECT * FROM [improvement-death-to-birth-rates (3)]"/>
  </connection>
  <connection id="4" xr16:uid="{8A3DA5A0-A9FE-4F64-B1F7-E000E8609841}" keepAlive="1" name="Query - improvement-death-to-birth-rates (4)" description="Connection to the 'improvement-death-to-birth-rates (4)' query in the workbook." type="5" refreshedVersion="8" background="1" saveData="1">
    <dbPr connection="Provider=Microsoft.Mashup.OleDb.1;Data Source=$Workbook$;Location=&quot;improvement-death-to-birth-rates (4)&quot;;Extended Properties=&quot;&quot;" command="SELECT * FROM [improvement-death-to-birth-rates (4)]"/>
  </connection>
  <connection id="5" xr16:uid="{68A2F163-790E-496B-9FC0-DB2249844844}" keepAlive="1" name="Query - improvement-death-to-birth-rates (5)" description="Connection to the 'improvement-death-to-birth-rates (5)' query in the workbook." type="5" refreshedVersion="8" background="1" saveData="1">
    <dbPr connection="Provider=Microsoft.Mashup.OleDb.1;Data Source=$Workbook$;Location=&quot;improvement-death-to-birth-rates (5)&quot;;Extended Properties=&quot;&quot;" command="SELECT * FROM [improvement-death-to-birth-rates (5)]"/>
  </connection>
  <connection id="6" xr16:uid="{7337AAF0-C2A6-44A2-90C9-AA143B39AA01}" keepAlive="1" name="Query - improvement-death-to-birth-rates (6)" description="Connection to the 'improvement-death-to-birth-rates (6)' query in the workbook." type="5" refreshedVersion="8" background="1" saveData="1">
    <dbPr connection="Provider=Microsoft.Mashup.OleDb.1;Data Source=$Workbook$;Location=&quot;improvement-death-to-birth-rates (6)&quot;;Extended Properties=&quot;&quot;" command="SELECT * FROM [improvement-death-to-birth-rates (6)]"/>
  </connection>
  <connection id="7" xr16:uid="{CF84E130-6F69-457B-B7DB-B0C00A11A138}" keepAlive="1" name="Query - improvement-death-to-birth-rates (7)" description="Connection to the 'improvement-death-to-birth-rates (7)' query in the workbook." type="5" refreshedVersion="8" background="1" saveData="1">
    <dbPr connection="Provider=Microsoft.Mashup.OleDb.1;Data Source=$Workbook$;Location=&quot;improvement-death-to-birth-rates (7)&quot;;Extended Properties=&quot;&quot;" command="SELECT * FROM [improvement-death-to-birth-rates (7)]"/>
  </connection>
  <connection id="8" xr16:uid="{18A09FB0-BA96-41C4-BEC4-AA3A2AC6612A}" keepAlive="1" name="Query - improvement-death-to-birth-rates (8)" description="Connection to the 'improvement-death-to-birth-rates (8)' query in the workbook." type="5" refreshedVersion="8" background="1" saveData="1">
    <dbPr connection="Provider=Microsoft.Mashup.OleDb.1;Data Source=$Workbook$;Location=&quot;improvement-death-to-birth-rates (8)&quot;;Extended Properties=&quot;&quot;" command="SELECT * FROM [improvement-death-to-birth-rates (8)]"/>
  </connection>
</connections>
</file>

<file path=xl/sharedStrings.xml><?xml version="1.0" encoding="utf-8"?>
<sst xmlns="http://schemas.openxmlformats.org/spreadsheetml/2006/main" count="382" uniqueCount="52">
  <si>
    <t>Chapter 19. Improvement and Its Principles</t>
  </si>
  <si>
    <t>Hospital</t>
  </si>
  <si>
    <t>Stage</t>
  </si>
  <si>
    <t>Year</t>
  </si>
  <si>
    <t>Rate</t>
  </si>
  <si>
    <t>Mean</t>
  </si>
  <si>
    <t>UPL</t>
  </si>
  <si>
    <t>LPL</t>
  </si>
  <si>
    <t>mR</t>
  </si>
  <si>
    <t>Ave. mR</t>
  </si>
  <si>
    <t>URL</t>
  </si>
  <si>
    <t>Vienna General Hospital</t>
  </si>
  <si>
    <t>After pathological anatomy</t>
  </si>
  <si>
    <t>1823</t>
  </si>
  <si>
    <t>1824</t>
  </si>
  <si>
    <t>1825</t>
  </si>
  <si>
    <t>1826</t>
  </si>
  <si>
    <t>1827</t>
  </si>
  <si>
    <t>1828</t>
  </si>
  <si>
    <t>1829</t>
  </si>
  <si>
    <t>1830</t>
  </si>
  <si>
    <t>1831</t>
  </si>
  <si>
    <t>1832</t>
  </si>
  <si>
    <t>1833</t>
  </si>
  <si>
    <t>1834</t>
  </si>
  <si>
    <t>1835</t>
  </si>
  <si>
    <t>1836</t>
  </si>
  <si>
    <t>1837</t>
  </si>
  <si>
    <t>1838</t>
  </si>
  <si>
    <t>1839</t>
  </si>
  <si>
    <t>1840</t>
  </si>
  <si>
    <t>Only first clinic</t>
  </si>
  <si>
    <t>1841</t>
  </si>
  <si>
    <t>1842</t>
  </si>
  <si>
    <t>1843</t>
  </si>
  <si>
    <t>1844</t>
  </si>
  <si>
    <t>1845</t>
  </si>
  <si>
    <t>1846</t>
  </si>
  <si>
    <t>Only second clinic</t>
  </si>
  <si>
    <t>Link to book:</t>
  </si>
  <si>
    <t>https://www.brokenquality.com/book</t>
  </si>
  <si>
    <t>Link to GitHub:</t>
  </si>
  <si>
    <t>https://github.com/jimlehner/virus-of-variation-book</t>
  </si>
  <si>
    <t>Contact:</t>
  </si>
  <si>
    <t>James.Lehner@gmail.com</t>
  </si>
  <si>
    <t>QualityIsBroken@gmail.com</t>
  </si>
  <si>
    <r>
      <t>This file serves as a resource for building some of the figures in Chapter 19 of The Virus of Variation using Microsoft Excel or Google Sheets.
The figures included here are:
Figure 19.7. XmR chart of baseline
Figure 19.8. XmR charts of baseline, 1st Clininc, &amp; 2nd Clinic
Figure 19.9. XmR charts of clinics
Each figure has its own tab. The data used in the figures can be found in the Data tab.
For additional details regarding each of these figures, see Chapter 19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</si>
  <si>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Fig 19.7, 19.8, 19.9</t>
  </si>
  <si>
    <t>https://raw.githubusercontent.com/jimlehner/virus-of-variation-book/refs/heads/main/data/improvement-death-to-birth-rates.csv</t>
  </si>
  <si>
    <t>Raw Data GitHub URLs:</t>
  </si>
  <si>
    <t>Births</t>
  </si>
  <si>
    <t>Deaths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</si>
</sst>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0.0"/>
  </numFmts>
  <fonts count="9" x14ac:knownFonts="1">
    <font>
      <sz val="10"/>
      <color rgb="FF000000"/>
      <name val="Arial"/>
      <scheme val="minor"/>
    </font>
    <font>
      <b/>
      <sz val="16"/>
      <color rgb="FFD72323"/>
      <name val="Montserrat"/>
    </font>
    <font>
      <sz val="10"/>
      <color theme="1"/>
      <name val="Arial"/>
      <family val="2"/>
    </font>
    <font>
      <sz val="10"/>
      <color theme="1"/>
      <name val="Arial"/>
      <family val="2"/>
      <scheme val="minor"/>
    </font>
    <font>
      <u/>
      <sz val="10"/>
      <color theme="10"/>
      <name val="Arial"/>
      <family val="2"/>
      <scheme val="minor"/>
    </font>
    <font>
      <sz val="10"/>
      <color rgb="FF000000"/>
      <name val="Arial"/>
      <family val="2"/>
      <scheme val="minor"/>
    </font>
    <font>
      <b/>
      <sz val="10"/>
      <color rgb="FF000000"/>
      <name val="Arial"/>
      <family val="2"/>
      <scheme val="minor"/>
    </font>
    <font>
      <sz val="12"/>
      <color rgb="FF000000"/>
      <name val="Montserrat"/>
    </font>
    <font>
      <b/>
      <sz val="12"/>
      <color rgb="FF000000"/>
      <name val="Montserrat"/>
    </font>
  </fonts>
  <fills count="2">
    <fill>
      <patternFill patternType="none"/>
    </fill>
    <fill>
      <patternFill patternType="gray125"/>
    </fill>
  </fills>
  <borders count="18">
    <border>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4" fillId="0" borderId="0" applyNumberFormat="0" applyFill="0" applyBorder="0" applyAlignment="0" applyProtection="0"/>
    <xf numFmtId="0" fontId="5" fillId="0" borderId="0"/>
  </cellStyleXfs>
  <cellXfs count="46">
    <xf numFmtId="0" fontId="0" fillId="0" borderId="0" xfId="0"/>
    <xf numFmtId="0" fontId="2" fillId="0" borderId="0" xfId="0" applyFont="1"/>
    <xf numFmtId="49" fontId="2" fillId="0" borderId="0" xfId="0" applyNumberFormat="1" applyFont="1"/>
    <xf numFmtId="49" fontId="2" fillId="0" borderId="0" xfId="0" applyNumberFormat="1" applyFont="1" applyAlignment="1">
      <alignment horizontal="right"/>
    </xf>
    <xf numFmtId="4" fontId="2" fillId="0" borderId="0" xfId="0" applyNumberFormat="1" applyFont="1" applyAlignment="1">
      <alignment horizontal="right"/>
    </xf>
    <xf numFmtId="1" fontId="3" fillId="0" borderId="0" xfId="0" applyNumberFormat="1" applyFont="1"/>
    <xf numFmtId="165" fontId="3" fillId="0" borderId="0" xfId="0" applyNumberFormat="1" applyFont="1"/>
    <xf numFmtId="0" fontId="2" fillId="0" borderId="0" xfId="0" applyFont="1" applyAlignment="1">
      <alignment horizontal="right"/>
    </xf>
    <xf numFmtId="0" fontId="6" fillId="0" borderId="0" xfId="0" applyFont="1"/>
    <xf numFmtId="49" fontId="2" fillId="0" borderId="0" xfId="0" applyNumberFormat="1" applyFont="1" applyAlignment="1">
      <alignment horizontal="left"/>
    </xf>
    <xf numFmtId="0" fontId="5" fillId="0" borderId="0" xfId="0" applyFont="1"/>
    <xf numFmtId="4" fontId="0" fillId="0" borderId="0" xfId="0" applyNumberFormat="1"/>
    <xf numFmtId="165" fontId="0" fillId="0" borderId="0" xfId="0" applyNumberFormat="1"/>
    <xf numFmtId="0" fontId="2" fillId="0" borderId="0" xfId="0" applyFont="1" applyAlignment="1">
      <alignment horizontal="left"/>
    </xf>
    <xf numFmtId="0" fontId="6" fillId="0" borderId="12" xfId="0" applyFont="1" applyBorder="1" applyAlignment="1">
      <alignment horizontal="left" wrapText="1"/>
    </xf>
    <xf numFmtId="0" fontId="4" fillId="0" borderId="4" xfId="1" applyBorder="1" applyAlignment="1">
      <alignment horizontal="center"/>
    </xf>
    <xf numFmtId="0" fontId="4" fillId="0" borderId="0" xfId="1" applyBorder="1" applyAlignment="1">
      <alignment horizontal="center"/>
    </xf>
    <xf numFmtId="0" fontId="4" fillId="0" borderId="5" xfId="1" applyBorder="1" applyAlignment="1">
      <alignment horizontal="center"/>
    </xf>
    <xf numFmtId="0" fontId="6" fillId="0" borderId="4" xfId="0" applyFont="1" applyBorder="1" applyAlignment="1">
      <alignment horizontal="center"/>
    </xf>
    <xf numFmtId="0" fontId="6" fillId="0" borderId="0" xfId="0" applyFont="1" applyAlignment="1">
      <alignment horizontal="center"/>
    </xf>
    <xf numFmtId="0" fontId="6" fillId="0" borderId="5" xfId="0" applyFont="1" applyBorder="1" applyAlignment="1">
      <alignment horizontal="center"/>
    </xf>
    <xf numFmtId="0" fontId="6" fillId="0" borderId="9" xfId="0" applyFont="1" applyBorder="1" applyAlignment="1">
      <alignment horizontal="center" wrapText="1"/>
    </xf>
    <xf numFmtId="0" fontId="6" fillId="0" borderId="10" xfId="0" applyFont="1" applyBorder="1" applyAlignment="1">
      <alignment horizontal="center" wrapText="1"/>
    </xf>
    <xf numFmtId="0" fontId="6" fillId="0" borderId="11" xfId="0" applyFont="1" applyBorder="1" applyAlignment="1">
      <alignment horizont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6" fillId="0" borderId="1" xfId="0" applyFont="1" applyBorder="1" applyAlignment="1">
      <alignment horizontal="center" wrapText="1"/>
    </xf>
    <xf numFmtId="0" fontId="6" fillId="0" borderId="2" xfId="0" applyFont="1" applyBorder="1" applyAlignment="1">
      <alignment horizontal="center" wrapText="1"/>
    </xf>
    <xf numFmtId="0" fontId="6" fillId="0" borderId="3" xfId="0" applyFont="1" applyBorder="1" applyAlignment="1">
      <alignment horizontal="center" wrapText="1"/>
    </xf>
    <xf numFmtId="0" fontId="5" fillId="0" borderId="13" xfId="0" applyFont="1"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2" fillId="0" borderId="0" xfId="0" applyNumberFormat="1" applyFont="1" applyAlignment="1">
      <alignment horizontal="right"/>
    </xf>
    <xf numFmtId="0" fontId="0" fillId="0" borderId="0" xfId="0" applyNumberFormat="1"/>
    <xf numFmtId="0" fontId="2" fillId="0" borderId="0" xfId="0" applyNumberFormat="1" applyFont="1" applyAlignment="1">
      <alignment horizontal="left"/>
    </xf>
    <xf numFmtId="0" fontId="0" fillId="0" borderId="0" xfId="0" applyNumberFormat="1" applyAlignment="1">
      <alignment horizontal="left"/>
    </xf>
    <xf numFmtId="0" fontId="1" fillId="0" borderId="15" xfId="0" applyFont="1" applyBorder="1" applyAlignment="1">
      <alignment horizontal="center"/>
    </xf>
    <xf numFmtId="0" fontId="0" fillId="0" borderId="16" xfId="0" applyBorder="1"/>
    <xf numFmtId="0" fontId="0" fillId="0" borderId="17" xfId="0" applyBorder="1"/>
  </cellXfs>
  <cellStyles count="3">
    <cellStyle name="Hyperlink" xfId="1" builtinId="8"/>
    <cellStyle name="Normal" xfId="0" builtinId="0"/>
    <cellStyle name="Normal 2" xfId="2" xr:uid="{724E6E56-335A-4675-BFD3-0AAED97164D6}"/>
  </cellStyles>
  <dxfs count="73">
    <dxf>
      <numFmt numFmtId="0" formatCode="General"/>
      <alignment horizontal="left" vertical="bottom" textRotation="0" wrapText="0" indent="0" justifyLastLine="0" shrinkToFit="0" readingOrder="0"/>
    </dxf>
    <dxf>
      <numFmt numFmtId="0" formatCode="General"/>
    </dxf>
    <dxf>
      <font>
        <b val="0"/>
        <i val="0"/>
        <strike val="0"/>
        <condense val="0"/>
        <extend val="0"/>
        <outline val="0"/>
        <shadow val="0"/>
        <u val="none"/>
        <vertAlign val="baseline"/>
        <sz val="10"/>
        <color theme="1"/>
        <name val="Arial"/>
        <family val="2"/>
        <scheme val="none"/>
      </font>
      <numFmt numFmtId="30" formatCode="@"/>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0"/>
    </dxf>
    <dxf>
      <numFmt numFmtId="2" formatCode="0.00"/>
    </dxf>
    <dxf>
      <numFmt numFmtId="1" formatCode="0"/>
    </dxf>
    <dxf>
      <numFmt numFmtId="4" formatCode="#,##0.00"/>
    </dxf>
    <dxf>
      <numFmt numFmtId="4" formatCode="#,##0.00"/>
    </dxf>
    <dxf>
      <numFmt numFmtId="0" formatCode="General"/>
      <alignment horizontal="general" vertical="bottom"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0"/>
        <color theme="1"/>
        <name val="Arial"/>
        <family val="2"/>
        <scheme val="none"/>
      </font>
      <numFmt numFmtId="30" formatCode="@"/>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0"/>
    </dxf>
    <dxf>
      <numFmt numFmtId="2" formatCode="0.00"/>
    </dxf>
    <dxf>
      <numFmt numFmtId="1" formatCode="0"/>
    </dxf>
    <dxf>
      <numFmt numFmtId="4" formatCode="#,##0.00"/>
    </dxf>
    <dxf>
      <numFmt numFmtId="4" formatCode="#,##0.00"/>
    </dxf>
    <dxf>
      <numFmt numFmtId="0" formatCode="General"/>
      <alignment horizontal="general" vertical="bottom"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0"/>
        <color theme="1"/>
        <name val="Arial"/>
        <family val="2"/>
        <scheme val="none"/>
      </font>
      <numFmt numFmtId="30" formatCode="@"/>
      <alignment horizontal="left" vertical="bottom" textRotation="0" wrapText="0" indent="0" justifyLastLine="0" shrinkToFit="0" readingOrder="0"/>
    </dxf>
    <dxf>
      <numFmt numFmtId="0" formatCode="General"/>
    </dxf>
    <dxf>
      <numFmt numFmtId="165" formatCode="0.0"/>
    </dxf>
    <dxf>
      <numFmt numFmtId="2" formatCode="0.00"/>
    </dxf>
    <dxf>
      <numFmt numFmtId="1" formatCode="0"/>
    </dxf>
    <dxf>
      <numFmt numFmtId="4" formatCode="#,##0.00"/>
    </dxf>
    <dxf>
      <numFmt numFmtId="4" formatCode="#,##0.00"/>
    </dxf>
    <dxf>
      <numFmt numFmtId="0" formatCode="General"/>
      <alignment horizontal="general" vertical="bottom"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0"/>
        <color theme="1"/>
        <name val="Arial"/>
        <family val="2"/>
        <scheme val="none"/>
      </font>
      <numFmt numFmtId="30" formatCode="@"/>
      <alignment horizontal="left" vertical="bottom" textRotation="0" wrapText="0" indent="0" justifyLastLine="0" shrinkToFit="0" readingOrder="0"/>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A68A1405-E6CD-4806-984E-695C1BBE0437}">
      <tableStyleElement type="wholeTable" dxfId="72"/>
      <tableStyleElement type="headerRow" dxfId="71"/>
      <tableStyleElement type="firstRowStripe" dxfId="70"/>
      <tableStyleElement type="secondRowStripe" dxfId="6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19.7. Baseline'!$D$1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19.7. Baseline'!$C$2:$C$19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19.7. Baseline'!$D$2:$D$19</c:f>
              <c:numCache>
                <c:formatCode>General</c:formatCode>
                <c:ptCount val="18"/>
                <c:pt idx="0">
                  <c:v>7.5</c:v>
                </c:pt>
                <c:pt idx="1">
                  <c:v>4.9000000000000004</c:v>
                </c:pt>
                <c:pt idx="2">
                  <c:v>8.8000000000000007</c:v>
                </c:pt>
                <c:pt idx="3">
                  <c:v>8.1</c:v>
                </c:pt>
                <c:pt idx="4">
                  <c:v>2.2000000000000002</c:v>
                </c:pt>
                <c:pt idx="5">
                  <c:v>3.6</c:v>
                </c:pt>
                <c:pt idx="6">
                  <c:v>4.5999999999999996</c:v>
                </c:pt>
                <c:pt idx="7">
                  <c:v>4</c:v>
                </c:pt>
                <c:pt idx="8">
                  <c:v>6.6</c:v>
                </c:pt>
                <c:pt idx="9">
                  <c:v>3.2</c:v>
                </c:pt>
                <c:pt idx="10">
                  <c:v>5.3</c:v>
                </c:pt>
                <c:pt idx="11">
                  <c:v>7.7</c:v>
                </c:pt>
                <c:pt idx="12">
                  <c:v>5.6</c:v>
                </c:pt>
                <c:pt idx="13">
                  <c:v>7.5</c:v>
                </c:pt>
                <c:pt idx="14">
                  <c:v>9.1</c:v>
                </c:pt>
                <c:pt idx="15">
                  <c:v>3</c:v>
                </c:pt>
                <c:pt idx="16">
                  <c:v>5.4</c:v>
                </c:pt>
                <c:pt idx="17">
                  <c:v>9.1999999999999993</c:v>
                </c:pt>
              </c:numCache>
            </c:numRef>
          </c:val>
          <c:smooth val="0"/>
          <c:extLst>
            <c:ext xmlns:c16="http://schemas.microsoft.com/office/drawing/2014/chart" uri="{C3380CC4-5D6E-409C-BE32-E72D297353CC}">
              <c16:uniqueId val="{00000000-329B-41D6-8340-43856FD2F6C5}"/>
            </c:ext>
          </c:extLst>
        </c:ser>
        <c:ser>
          <c:idx val="1"/>
          <c:order val="1"/>
          <c:tx>
            <c:strRef>
              <c:f>'Fig 19.7. Baseline'!$E$1</c:f>
              <c:strCache>
                <c:ptCount val="1"/>
                <c:pt idx="0">
                  <c:v>Mean</c:v>
                </c:pt>
              </c:strCache>
            </c:strRef>
          </c:tx>
          <c:spPr>
            <a:ln w="28575" cap="rnd">
              <a:solidFill>
                <a:schemeClr val="tx1"/>
              </a:solidFill>
              <a:round/>
            </a:ln>
            <a:effectLst/>
          </c:spPr>
          <c:marker>
            <c:symbol val="none"/>
          </c:marker>
          <c:cat>
            <c:strRef>
              <c:f>'Fig 19.7. Baseline'!$C$2:$C$19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19.7. Baseline'!$E$2:$E$19</c:f>
              <c:numCache>
                <c:formatCode>#,##0.00</c:formatCode>
                <c:ptCount val="18"/>
                <c:pt idx="0">
                  <c:v>5.91</c:v>
                </c:pt>
                <c:pt idx="1">
                  <c:v>5.91</c:v>
                </c:pt>
                <c:pt idx="2">
                  <c:v>5.91</c:v>
                </c:pt>
                <c:pt idx="3">
                  <c:v>5.91</c:v>
                </c:pt>
                <c:pt idx="4">
                  <c:v>5.91</c:v>
                </c:pt>
                <c:pt idx="5">
                  <c:v>5.91</c:v>
                </c:pt>
                <c:pt idx="6">
                  <c:v>5.91</c:v>
                </c:pt>
                <c:pt idx="7">
                  <c:v>5.91</c:v>
                </c:pt>
                <c:pt idx="8">
                  <c:v>5.91</c:v>
                </c:pt>
                <c:pt idx="9">
                  <c:v>5.91</c:v>
                </c:pt>
                <c:pt idx="10">
                  <c:v>5.91</c:v>
                </c:pt>
                <c:pt idx="11">
                  <c:v>5.91</c:v>
                </c:pt>
                <c:pt idx="12">
                  <c:v>5.91</c:v>
                </c:pt>
                <c:pt idx="13">
                  <c:v>5.91</c:v>
                </c:pt>
                <c:pt idx="14">
                  <c:v>5.91</c:v>
                </c:pt>
                <c:pt idx="15">
                  <c:v>5.91</c:v>
                </c:pt>
                <c:pt idx="16">
                  <c:v>5.91</c:v>
                </c:pt>
                <c:pt idx="17">
                  <c:v>5.91</c:v>
                </c:pt>
              </c:numCache>
            </c:numRef>
          </c:val>
          <c:smooth val="0"/>
          <c:extLst>
            <c:ext xmlns:c16="http://schemas.microsoft.com/office/drawing/2014/chart" uri="{C3380CC4-5D6E-409C-BE32-E72D297353CC}">
              <c16:uniqueId val="{00000001-329B-41D6-8340-43856FD2F6C5}"/>
            </c:ext>
          </c:extLst>
        </c:ser>
        <c:ser>
          <c:idx val="2"/>
          <c:order val="2"/>
          <c:tx>
            <c:strRef>
              <c:f>'Fig 19.7. Baseline'!$F$1</c:f>
              <c:strCache>
                <c:ptCount val="1"/>
                <c:pt idx="0">
                  <c:v>UPL</c:v>
                </c:pt>
              </c:strCache>
            </c:strRef>
          </c:tx>
          <c:spPr>
            <a:ln w="28575" cap="rnd">
              <a:solidFill>
                <a:srgbClr val="D72323"/>
              </a:solidFill>
              <a:prstDash val="dash"/>
              <a:round/>
            </a:ln>
            <a:effectLst/>
          </c:spPr>
          <c:marker>
            <c:symbol val="none"/>
          </c:marker>
          <c:cat>
            <c:strRef>
              <c:f>'Fig 19.7. Baseline'!$C$2:$C$19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19.7. Baseline'!$F$2:$F$19</c:f>
              <c:numCache>
                <c:formatCode>#,##0.00</c:formatCode>
                <c:ptCount val="18"/>
                <c:pt idx="0">
                  <c:v>12.88</c:v>
                </c:pt>
                <c:pt idx="1">
                  <c:v>12.88</c:v>
                </c:pt>
                <c:pt idx="2">
                  <c:v>12.88</c:v>
                </c:pt>
                <c:pt idx="3">
                  <c:v>12.88</c:v>
                </c:pt>
                <c:pt idx="4">
                  <c:v>12.88</c:v>
                </c:pt>
                <c:pt idx="5">
                  <c:v>12.88</c:v>
                </c:pt>
                <c:pt idx="6">
                  <c:v>12.88</c:v>
                </c:pt>
                <c:pt idx="7">
                  <c:v>12.88</c:v>
                </c:pt>
                <c:pt idx="8">
                  <c:v>12.88</c:v>
                </c:pt>
                <c:pt idx="9">
                  <c:v>12.88</c:v>
                </c:pt>
                <c:pt idx="10">
                  <c:v>12.88</c:v>
                </c:pt>
                <c:pt idx="11">
                  <c:v>12.88</c:v>
                </c:pt>
                <c:pt idx="12">
                  <c:v>12.88</c:v>
                </c:pt>
                <c:pt idx="13">
                  <c:v>12.88</c:v>
                </c:pt>
                <c:pt idx="14">
                  <c:v>12.88</c:v>
                </c:pt>
                <c:pt idx="15">
                  <c:v>12.88</c:v>
                </c:pt>
                <c:pt idx="16">
                  <c:v>12.88</c:v>
                </c:pt>
                <c:pt idx="17">
                  <c:v>12.88</c:v>
                </c:pt>
              </c:numCache>
            </c:numRef>
          </c:val>
          <c:smooth val="0"/>
          <c:extLst>
            <c:ext xmlns:c16="http://schemas.microsoft.com/office/drawing/2014/chart" uri="{C3380CC4-5D6E-409C-BE32-E72D297353CC}">
              <c16:uniqueId val="{00000002-329B-41D6-8340-43856FD2F6C5}"/>
            </c:ext>
          </c:extLst>
        </c:ser>
        <c:ser>
          <c:idx val="3"/>
          <c:order val="3"/>
          <c:tx>
            <c:strRef>
              <c:f>'Fig 19.7. Baseline'!$G$1</c:f>
              <c:strCache>
                <c:ptCount val="1"/>
                <c:pt idx="0">
                  <c:v>LPL</c:v>
                </c:pt>
              </c:strCache>
            </c:strRef>
          </c:tx>
          <c:spPr>
            <a:ln w="28575" cap="rnd">
              <a:solidFill>
                <a:srgbClr val="D72323"/>
              </a:solidFill>
              <a:prstDash val="dash"/>
              <a:round/>
            </a:ln>
            <a:effectLst/>
          </c:spPr>
          <c:marker>
            <c:symbol val="none"/>
          </c:marker>
          <c:cat>
            <c:strRef>
              <c:f>'Fig 19.7. Baseline'!$C$2:$C$19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19.7. Baseline'!$G$2:$G$19</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19.7. Baseline'!$H$1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19.7. Baseline'!$H$2:$H$19</c:f>
              <c:numCache>
                <c:formatCode>0.0</c:formatCode>
                <c:ptCount val="18"/>
                <c:pt idx="1">
                  <c:v>2.6</c:v>
                </c:pt>
                <c:pt idx="2">
                  <c:v>3.9</c:v>
                </c:pt>
                <c:pt idx="3">
                  <c:v>0.7</c:v>
                </c:pt>
                <c:pt idx="4">
                  <c:v>5.9</c:v>
                </c:pt>
                <c:pt idx="5">
                  <c:v>1.4</c:v>
                </c:pt>
                <c:pt idx="6">
                  <c:v>1</c:v>
                </c:pt>
                <c:pt idx="7">
                  <c:v>0.6</c:v>
                </c:pt>
                <c:pt idx="8">
                  <c:v>2.6</c:v>
                </c:pt>
                <c:pt idx="9">
                  <c:v>3.4</c:v>
                </c:pt>
                <c:pt idx="10">
                  <c:v>2.1</c:v>
                </c:pt>
                <c:pt idx="11">
                  <c:v>2.4</c:v>
                </c:pt>
                <c:pt idx="12">
                  <c:v>2.1</c:v>
                </c:pt>
                <c:pt idx="13">
                  <c:v>1.9</c:v>
                </c:pt>
                <c:pt idx="14">
                  <c:v>1.6</c:v>
                </c:pt>
                <c:pt idx="15">
                  <c:v>6.1</c:v>
                </c:pt>
                <c:pt idx="16">
                  <c:v>2.4</c:v>
                </c:pt>
                <c:pt idx="17">
                  <c:v>3.8</c:v>
                </c:pt>
              </c:numCache>
            </c:numRef>
          </c:val>
          <c:smooth val="0"/>
          <c:extLst>
            <c:ext xmlns:c16="http://schemas.microsoft.com/office/drawing/2014/chart" uri="{C3380CC4-5D6E-409C-BE32-E72D297353CC}">
              <c16:uniqueId val="{00000000-5D18-47FA-93F7-2AB89D044415}"/>
            </c:ext>
          </c:extLst>
        </c:ser>
        <c:ser>
          <c:idx val="1"/>
          <c:order val="1"/>
          <c:tx>
            <c:strRef>
              <c:f>'Fig 19.7. Baseline'!$I$1</c:f>
              <c:strCache>
                <c:ptCount val="1"/>
                <c:pt idx="0">
                  <c:v>Ave. mR</c:v>
                </c:pt>
              </c:strCache>
            </c:strRef>
          </c:tx>
          <c:spPr>
            <a:ln w="28575" cap="rnd">
              <a:solidFill>
                <a:schemeClr val="tx1"/>
              </a:solidFill>
              <a:round/>
            </a:ln>
            <a:effectLst/>
          </c:spPr>
          <c:marker>
            <c:symbol val="none"/>
          </c:marker>
          <c:val>
            <c:numRef>
              <c:f>'Fig 19.7. Baseline'!$I$2:$I$19</c:f>
              <c:numCache>
                <c:formatCode>0.0</c:formatCode>
                <c:ptCount val="18"/>
                <c:pt idx="0">
                  <c:v>2.62</c:v>
                </c:pt>
                <c:pt idx="1">
                  <c:v>2.62</c:v>
                </c:pt>
                <c:pt idx="2">
                  <c:v>2.62</c:v>
                </c:pt>
                <c:pt idx="3">
                  <c:v>2.62</c:v>
                </c:pt>
                <c:pt idx="4">
                  <c:v>2.62</c:v>
                </c:pt>
                <c:pt idx="5">
                  <c:v>2.62</c:v>
                </c:pt>
                <c:pt idx="6">
                  <c:v>2.62</c:v>
                </c:pt>
                <c:pt idx="7">
                  <c:v>2.62</c:v>
                </c:pt>
                <c:pt idx="8">
                  <c:v>2.62</c:v>
                </c:pt>
                <c:pt idx="9">
                  <c:v>2.62</c:v>
                </c:pt>
                <c:pt idx="10">
                  <c:v>2.62</c:v>
                </c:pt>
                <c:pt idx="11">
                  <c:v>2.62</c:v>
                </c:pt>
                <c:pt idx="12">
                  <c:v>2.62</c:v>
                </c:pt>
                <c:pt idx="13">
                  <c:v>2.62</c:v>
                </c:pt>
                <c:pt idx="14">
                  <c:v>2.62</c:v>
                </c:pt>
                <c:pt idx="15">
                  <c:v>2.62</c:v>
                </c:pt>
                <c:pt idx="16">
                  <c:v>2.62</c:v>
                </c:pt>
                <c:pt idx="17">
                  <c:v>2.62</c:v>
                </c:pt>
              </c:numCache>
            </c:numRef>
          </c:val>
          <c:smooth val="0"/>
          <c:extLst>
            <c:ext xmlns:c16="http://schemas.microsoft.com/office/drawing/2014/chart" uri="{C3380CC4-5D6E-409C-BE32-E72D297353CC}">
              <c16:uniqueId val="{00000001-5D18-47FA-93F7-2AB89D044415}"/>
            </c:ext>
          </c:extLst>
        </c:ser>
        <c:ser>
          <c:idx val="2"/>
          <c:order val="2"/>
          <c:tx>
            <c:strRef>
              <c:f>'Fig 19.7. Baseline'!$J$1</c:f>
              <c:strCache>
                <c:ptCount val="1"/>
                <c:pt idx="0">
                  <c:v>URL</c:v>
                </c:pt>
              </c:strCache>
            </c:strRef>
          </c:tx>
          <c:spPr>
            <a:ln w="28575" cap="rnd">
              <a:solidFill>
                <a:srgbClr val="D72323"/>
              </a:solidFill>
              <a:prstDash val="dash"/>
              <a:round/>
            </a:ln>
            <a:effectLst/>
          </c:spPr>
          <c:marker>
            <c:symbol val="none"/>
          </c:marker>
          <c:val>
            <c:numRef>
              <c:f>'Fig 19.7. Baseline'!$J$2:$J$19</c:f>
              <c:numCache>
                <c:formatCode>General</c:formatCode>
                <c:ptCount val="18"/>
                <c:pt idx="0">
                  <c:v>8.56</c:v>
                </c:pt>
                <c:pt idx="1">
                  <c:v>8.56</c:v>
                </c:pt>
                <c:pt idx="2">
                  <c:v>8.56</c:v>
                </c:pt>
                <c:pt idx="3">
                  <c:v>8.56</c:v>
                </c:pt>
                <c:pt idx="4">
                  <c:v>8.56</c:v>
                </c:pt>
                <c:pt idx="5">
                  <c:v>8.56</c:v>
                </c:pt>
                <c:pt idx="6">
                  <c:v>8.56</c:v>
                </c:pt>
                <c:pt idx="7">
                  <c:v>8.56</c:v>
                </c:pt>
                <c:pt idx="8">
                  <c:v>8.56</c:v>
                </c:pt>
                <c:pt idx="9">
                  <c:v>8.56</c:v>
                </c:pt>
                <c:pt idx="10">
                  <c:v>8.56</c:v>
                </c:pt>
                <c:pt idx="11">
                  <c:v>8.56</c:v>
                </c:pt>
                <c:pt idx="12">
                  <c:v>8.56</c:v>
                </c:pt>
                <c:pt idx="13">
                  <c:v>8.56</c:v>
                </c:pt>
                <c:pt idx="14">
                  <c:v>8.56</c:v>
                </c:pt>
                <c:pt idx="15">
                  <c:v>8.56</c:v>
                </c:pt>
                <c:pt idx="16">
                  <c:v>8.56</c:v>
                </c:pt>
                <c:pt idx="17">
                  <c:v>8.56</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19.8. Improvement'!$D$1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19.8. Improvement'!$C$2:$C$19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19.8. Improvement'!$D$2:$D$19</c:f>
              <c:numCache>
                <c:formatCode>General</c:formatCode>
                <c:ptCount val="18"/>
                <c:pt idx="0">
                  <c:v>7.5</c:v>
                </c:pt>
                <c:pt idx="1">
                  <c:v>4.9000000000000004</c:v>
                </c:pt>
                <c:pt idx="2">
                  <c:v>8.8000000000000007</c:v>
                </c:pt>
                <c:pt idx="3">
                  <c:v>8.1</c:v>
                </c:pt>
                <c:pt idx="4">
                  <c:v>2.2000000000000002</c:v>
                </c:pt>
                <c:pt idx="5">
                  <c:v>3.6</c:v>
                </c:pt>
                <c:pt idx="6">
                  <c:v>4.5999999999999996</c:v>
                </c:pt>
                <c:pt idx="7">
                  <c:v>4</c:v>
                </c:pt>
                <c:pt idx="8">
                  <c:v>6.6</c:v>
                </c:pt>
                <c:pt idx="9">
                  <c:v>3.2</c:v>
                </c:pt>
                <c:pt idx="10">
                  <c:v>5.3</c:v>
                </c:pt>
                <c:pt idx="11">
                  <c:v>7.7</c:v>
                </c:pt>
                <c:pt idx="12">
                  <c:v>5.6</c:v>
                </c:pt>
                <c:pt idx="13">
                  <c:v>7.5</c:v>
                </c:pt>
                <c:pt idx="14">
                  <c:v>9.1</c:v>
                </c:pt>
                <c:pt idx="15">
                  <c:v>3</c:v>
                </c:pt>
                <c:pt idx="16">
                  <c:v>5.4</c:v>
                </c:pt>
                <c:pt idx="17">
                  <c:v>9.1999999999999993</c:v>
                </c:pt>
              </c:numCache>
            </c:numRef>
          </c:val>
          <c:smooth val="0"/>
          <c:extLst>
            <c:ext xmlns:c16="http://schemas.microsoft.com/office/drawing/2014/chart" uri="{C3380CC4-5D6E-409C-BE32-E72D297353CC}">
              <c16:uniqueId val="{00000000-8AC9-4BD9-9B15-EF42894EDCCB}"/>
            </c:ext>
          </c:extLst>
        </c:ser>
        <c:ser>
          <c:idx val="1"/>
          <c:order val="1"/>
          <c:tx>
            <c:strRef>
              <c:f>'Fig 19.8. Improvement'!$E$1</c:f>
              <c:strCache>
                <c:ptCount val="1"/>
                <c:pt idx="0">
                  <c:v>Mean</c:v>
                </c:pt>
              </c:strCache>
            </c:strRef>
          </c:tx>
          <c:spPr>
            <a:ln w="28575" cap="rnd">
              <a:solidFill>
                <a:schemeClr val="tx1"/>
              </a:solidFill>
              <a:round/>
            </a:ln>
            <a:effectLst/>
          </c:spPr>
          <c:marker>
            <c:symbol val="none"/>
          </c:marker>
          <c:cat>
            <c:strRef>
              <c:f>'Fig 19.8. Improvement'!$C$2:$C$19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19.8. Improvement'!$E$2:$E$19</c:f>
              <c:numCache>
                <c:formatCode>#,##0.00</c:formatCode>
                <c:ptCount val="18"/>
                <c:pt idx="0">
                  <c:v>5.91</c:v>
                </c:pt>
                <c:pt idx="1">
                  <c:v>5.91</c:v>
                </c:pt>
                <c:pt idx="2">
                  <c:v>5.91</c:v>
                </c:pt>
                <c:pt idx="3">
                  <c:v>5.91</c:v>
                </c:pt>
                <c:pt idx="4">
                  <c:v>5.91</c:v>
                </c:pt>
                <c:pt idx="5">
                  <c:v>5.91</c:v>
                </c:pt>
                <c:pt idx="6">
                  <c:v>5.91</c:v>
                </c:pt>
                <c:pt idx="7">
                  <c:v>5.91</c:v>
                </c:pt>
                <c:pt idx="8">
                  <c:v>5.91</c:v>
                </c:pt>
                <c:pt idx="9">
                  <c:v>5.91</c:v>
                </c:pt>
                <c:pt idx="10">
                  <c:v>5.91</c:v>
                </c:pt>
                <c:pt idx="11">
                  <c:v>5.91</c:v>
                </c:pt>
                <c:pt idx="12">
                  <c:v>5.91</c:v>
                </c:pt>
                <c:pt idx="13">
                  <c:v>5.91</c:v>
                </c:pt>
                <c:pt idx="14">
                  <c:v>5.91</c:v>
                </c:pt>
                <c:pt idx="15">
                  <c:v>5.91</c:v>
                </c:pt>
                <c:pt idx="16">
                  <c:v>5.91</c:v>
                </c:pt>
                <c:pt idx="17">
                  <c:v>5.91</c:v>
                </c:pt>
              </c:numCache>
            </c:numRef>
          </c:val>
          <c:smooth val="0"/>
          <c:extLst>
            <c:ext xmlns:c16="http://schemas.microsoft.com/office/drawing/2014/chart" uri="{C3380CC4-5D6E-409C-BE32-E72D297353CC}">
              <c16:uniqueId val="{00000001-8AC9-4BD9-9B15-EF42894EDCCB}"/>
            </c:ext>
          </c:extLst>
        </c:ser>
        <c:ser>
          <c:idx val="2"/>
          <c:order val="2"/>
          <c:tx>
            <c:strRef>
              <c:f>'Fig 19.8. Improvement'!$F$1</c:f>
              <c:strCache>
                <c:ptCount val="1"/>
                <c:pt idx="0">
                  <c:v>UPL</c:v>
                </c:pt>
              </c:strCache>
            </c:strRef>
          </c:tx>
          <c:spPr>
            <a:ln w="28575" cap="rnd">
              <a:solidFill>
                <a:srgbClr val="D72323"/>
              </a:solidFill>
              <a:prstDash val="dash"/>
              <a:round/>
            </a:ln>
            <a:effectLst/>
          </c:spPr>
          <c:marker>
            <c:symbol val="none"/>
          </c:marker>
          <c:cat>
            <c:strRef>
              <c:f>'Fig 19.8. Improvement'!$C$2:$C$19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19.8. Improvement'!$F$2:$F$19</c:f>
              <c:numCache>
                <c:formatCode>#,##0.00</c:formatCode>
                <c:ptCount val="18"/>
                <c:pt idx="0">
                  <c:v>12.88</c:v>
                </c:pt>
                <c:pt idx="1">
                  <c:v>12.88</c:v>
                </c:pt>
                <c:pt idx="2">
                  <c:v>12.88</c:v>
                </c:pt>
                <c:pt idx="3">
                  <c:v>12.88</c:v>
                </c:pt>
                <c:pt idx="4">
                  <c:v>12.88</c:v>
                </c:pt>
                <c:pt idx="5">
                  <c:v>12.88</c:v>
                </c:pt>
                <c:pt idx="6">
                  <c:v>12.88</c:v>
                </c:pt>
                <c:pt idx="7">
                  <c:v>12.88</c:v>
                </c:pt>
                <c:pt idx="8">
                  <c:v>12.88</c:v>
                </c:pt>
                <c:pt idx="9">
                  <c:v>12.88</c:v>
                </c:pt>
                <c:pt idx="10">
                  <c:v>12.88</c:v>
                </c:pt>
                <c:pt idx="11">
                  <c:v>12.88</c:v>
                </c:pt>
                <c:pt idx="12">
                  <c:v>12.88</c:v>
                </c:pt>
                <c:pt idx="13">
                  <c:v>12.88</c:v>
                </c:pt>
                <c:pt idx="14">
                  <c:v>12.88</c:v>
                </c:pt>
                <c:pt idx="15">
                  <c:v>12.88</c:v>
                </c:pt>
                <c:pt idx="16">
                  <c:v>12.88</c:v>
                </c:pt>
                <c:pt idx="17">
                  <c:v>12.88</c:v>
                </c:pt>
              </c:numCache>
            </c:numRef>
          </c:val>
          <c:smooth val="0"/>
          <c:extLst>
            <c:ext xmlns:c16="http://schemas.microsoft.com/office/drawing/2014/chart" uri="{C3380CC4-5D6E-409C-BE32-E72D297353CC}">
              <c16:uniqueId val="{00000002-8AC9-4BD9-9B15-EF42894EDCCB}"/>
            </c:ext>
          </c:extLst>
        </c:ser>
        <c:ser>
          <c:idx val="3"/>
          <c:order val="3"/>
          <c:tx>
            <c:strRef>
              <c:f>'Fig 19.8. Improvement'!$G$1</c:f>
              <c:strCache>
                <c:ptCount val="1"/>
                <c:pt idx="0">
                  <c:v>LPL</c:v>
                </c:pt>
              </c:strCache>
            </c:strRef>
          </c:tx>
          <c:spPr>
            <a:ln w="28575" cap="rnd">
              <a:solidFill>
                <a:srgbClr val="D72323"/>
              </a:solidFill>
              <a:prstDash val="dash"/>
              <a:round/>
            </a:ln>
            <a:effectLst/>
          </c:spPr>
          <c:marker>
            <c:symbol val="none"/>
          </c:marker>
          <c:cat>
            <c:strRef>
              <c:f>'Fig 19.8. Improvement'!$C$2:$C$19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19.8. Improvement'!$G$2:$G$19</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3-8AC9-4BD9-9B15-EF42894EDCCB}"/>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ax val="25"/>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19.8. Improvement'!$H$1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19.8. Improvement'!$H$2:$H$19</c:f>
              <c:numCache>
                <c:formatCode>0.0</c:formatCode>
                <c:ptCount val="18"/>
                <c:pt idx="1">
                  <c:v>2.6</c:v>
                </c:pt>
                <c:pt idx="2">
                  <c:v>3.9</c:v>
                </c:pt>
                <c:pt idx="3">
                  <c:v>0.7</c:v>
                </c:pt>
                <c:pt idx="4">
                  <c:v>5.9</c:v>
                </c:pt>
                <c:pt idx="5">
                  <c:v>1.4</c:v>
                </c:pt>
                <c:pt idx="6">
                  <c:v>1</c:v>
                </c:pt>
                <c:pt idx="7">
                  <c:v>0.6</c:v>
                </c:pt>
                <c:pt idx="8">
                  <c:v>2.6</c:v>
                </c:pt>
                <c:pt idx="9">
                  <c:v>3.4</c:v>
                </c:pt>
                <c:pt idx="10">
                  <c:v>2.1</c:v>
                </c:pt>
                <c:pt idx="11">
                  <c:v>2.4</c:v>
                </c:pt>
                <c:pt idx="12">
                  <c:v>2.1</c:v>
                </c:pt>
                <c:pt idx="13">
                  <c:v>1.9</c:v>
                </c:pt>
                <c:pt idx="14">
                  <c:v>1.6</c:v>
                </c:pt>
                <c:pt idx="15">
                  <c:v>6.1</c:v>
                </c:pt>
                <c:pt idx="16">
                  <c:v>2.4</c:v>
                </c:pt>
                <c:pt idx="17">
                  <c:v>3.8</c:v>
                </c:pt>
              </c:numCache>
            </c:numRef>
          </c:val>
          <c:smooth val="0"/>
          <c:extLst>
            <c:ext xmlns:c16="http://schemas.microsoft.com/office/drawing/2014/chart" uri="{C3380CC4-5D6E-409C-BE32-E72D297353CC}">
              <c16:uniqueId val="{00000000-7F04-49E1-B90A-467A9F33ABC6}"/>
            </c:ext>
          </c:extLst>
        </c:ser>
        <c:ser>
          <c:idx val="1"/>
          <c:order val="1"/>
          <c:tx>
            <c:strRef>
              <c:f>'Fig 19.8. Improvement'!$I$1</c:f>
              <c:strCache>
                <c:ptCount val="1"/>
                <c:pt idx="0">
                  <c:v>Ave. mR</c:v>
                </c:pt>
              </c:strCache>
            </c:strRef>
          </c:tx>
          <c:spPr>
            <a:ln w="28575" cap="rnd">
              <a:solidFill>
                <a:schemeClr val="tx1"/>
              </a:solidFill>
              <a:round/>
            </a:ln>
            <a:effectLst/>
          </c:spPr>
          <c:marker>
            <c:symbol val="none"/>
          </c:marker>
          <c:val>
            <c:numRef>
              <c:f>'Fig 19.8. Improvement'!$I$2:$I$19</c:f>
              <c:numCache>
                <c:formatCode>0.0</c:formatCode>
                <c:ptCount val="18"/>
                <c:pt idx="0">
                  <c:v>2.62</c:v>
                </c:pt>
                <c:pt idx="1">
                  <c:v>2.62</c:v>
                </c:pt>
                <c:pt idx="2">
                  <c:v>2.62</c:v>
                </c:pt>
                <c:pt idx="3">
                  <c:v>2.62</c:v>
                </c:pt>
                <c:pt idx="4">
                  <c:v>2.62</c:v>
                </c:pt>
                <c:pt idx="5">
                  <c:v>2.62</c:v>
                </c:pt>
                <c:pt idx="6">
                  <c:v>2.62</c:v>
                </c:pt>
                <c:pt idx="7">
                  <c:v>2.62</c:v>
                </c:pt>
                <c:pt idx="8">
                  <c:v>2.62</c:v>
                </c:pt>
                <c:pt idx="9">
                  <c:v>2.62</c:v>
                </c:pt>
                <c:pt idx="10">
                  <c:v>2.62</c:v>
                </c:pt>
                <c:pt idx="11">
                  <c:v>2.62</c:v>
                </c:pt>
                <c:pt idx="12">
                  <c:v>2.62</c:v>
                </c:pt>
                <c:pt idx="13">
                  <c:v>2.62</c:v>
                </c:pt>
                <c:pt idx="14">
                  <c:v>2.62</c:v>
                </c:pt>
                <c:pt idx="15">
                  <c:v>2.62</c:v>
                </c:pt>
                <c:pt idx="16">
                  <c:v>2.62</c:v>
                </c:pt>
                <c:pt idx="17">
                  <c:v>2.62</c:v>
                </c:pt>
              </c:numCache>
            </c:numRef>
          </c:val>
          <c:smooth val="0"/>
          <c:extLst>
            <c:ext xmlns:c16="http://schemas.microsoft.com/office/drawing/2014/chart" uri="{C3380CC4-5D6E-409C-BE32-E72D297353CC}">
              <c16:uniqueId val="{00000001-7F04-49E1-B90A-467A9F33ABC6}"/>
            </c:ext>
          </c:extLst>
        </c:ser>
        <c:ser>
          <c:idx val="2"/>
          <c:order val="2"/>
          <c:tx>
            <c:strRef>
              <c:f>'Fig 19.8. Improvement'!$J$1</c:f>
              <c:strCache>
                <c:ptCount val="1"/>
                <c:pt idx="0">
                  <c:v>URL</c:v>
                </c:pt>
              </c:strCache>
            </c:strRef>
          </c:tx>
          <c:spPr>
            <a:ln w="28575" cap="rnd">
              <a:solidFill>
                <a:srgbClr val="D72323"/>
              </a:solidFill>
              <a:prstDash val="dash"/>
              <a:round/>
            </a:ln>
            <a:effectLst/>
          </c:spPr>
          <c:marker>
            <c:symbol val="none"/>
          </c:marker>
          <c:val>
            <c:numRef>
              <c:f>'Fig 19.8. Improvement'!$J$2:$J$19</c:f>
              <c:numCache>
                <c:formatCode>General</c:formatCode>
                <c:ptCount val="18"/>
                <c:pt idx="0">
                  <c:v>8.56</c:v>
                </c:pt>
                <c:pt idx="1">
                  <c:v>8.56</c:v>
                </c:pt>
                <c:pt idx="2">
                  <c:v>8.56</c:v>
                </c:pt>
                <c:pt idx="3">
                  <c:v>8.56</c:v>
                </c:pt>
                <c:pt idx="4">
                  <c:v>8.56</c:v>
                </c:pt>
                <c:pt idx="5">
                  <c:v>8.56</c:v>
                </c:pt>
                <c:pt idx="6">
                  <c:v>8.56</c:v>
                </c:pt>
                <c:pt idx="7">
                  <c:v>8.56</c:v>
                </c:pt>
                <c:pt idx="8">
                  <c:v>8.56</c:v>
                </c:pt>
                <c:pt idx="9">
                  <c:v>8.56</c:v>
                </c:pt>
                <c:pt idx="10">
                  <c:v>8.56</c:v>
                </c:pt>
                <c:pt idx="11">
                  <c:v>8.56</c:v>
                </c:pt>
                <c:pt idx="12">
                  <c:v>8.56</c:v>
                </c:pt>
                <c:pt idx="13">
                  <c:v>8.56</c:v>
                </c:pt>
                <c:pt idx="14">
                  <c:v>8.56</c:v>
                </c:pt>
                <c:pt idx="15">
                  <c:v>8.56</c:v>
                </c:pt>
                <c:pt idx="16">
                  <c:v>8.56</c:v>
                </c:pt>
                <c:pt idx="17">
                  <c:v>8.56</c:v>
                </c:pt>
              </c:numCache>
            </c:numRef>
          </c:val>
          <c:smooth val="0"/>
          <c:extLst>
            <c:ext xmlns:c16="http://schemas.microsoft.com/office/drawing/2014/chart" uri="{C3380CC4-5D6E-409C-BE32-E72D297353CC}">
              <c16:uniqueId val="{00000002-7F04-49E1-B90A-467A9F33ABC6}"/>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max val="16"/>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1st</a:t>
            </a:r>
            <a:r>
              <a:rPr lang="en-US" baseline="0"/>
              <a:t> Clinic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19.8. Improvement'!$D$21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19.8. Improvement'!$C$22:$C$27</c:f>
              <c:strCache>
                <c:ptCount val="6"/>
                <c:pt idx="0">
                  <c:v>1841</c:v>
                </c:pt>
                <c:pt idx="1">
                  <c:v>1842</c:v>
                </c:pt>
                <c:pt idx="2">
                  <c:v>1843</c:v>
                </c:pt>
                <c:pt idx="3">
                  <c:v>1844</c:v>
                </c:pt>
                <c:pt idx="4">
                  <c:v>1845</c:v>
                </c:pt>
                <c:pt idx="5">
                  <c:v>1846</c:v>
                </c:pt>
              </c:strCache>
            </c:strRef>
          </c:cat>
          <c:val>
            <c:numRef>
              <c:f>'Fig 19.8. Improvement'!$D$22:$D$27</c:f>
              <c:numCache>
                <c:formatCode>General</c:formatCode>
                <c:ptCount val="6"/>
                <c:pt idx="0">
                  <c:v>7.8</c:v>
                </c:pt>
                <c:pt idx="1">
                  <c:v>15.8</c:v>
                </c:pt>
                <c:pt idx="2">
                  <c:v>9</c:v>
                </c:pt>
                <c:pt idx="3">
                  <c:v>8.1999999999999993</c:v>
                </c:pt>
                <c:pt idx="4">
                  <c:v>6.9</c:v>
                </c:pt>
                <c:pt idx="5">
                  <c:v>11.4</c:v>
                </c:pt>
              </c:numCache>
            </c:numRef>
          </c:val>
          <c:smooth val="0"/>
          <c:extLst>
            <c:ext xmlns:c16="http://schemas.microsoft.com/office/drawing/2014/chart" uri="{C3380CC4-5D6E-409C-BE32-E72D297353CC}">
              <c16:uniqueId val="{00000000-329B-41D6-8340-43856FD2F6C5}"/>
            </c:ext>
          </c:extLst>
        </c:ser>
        <c:ser>
          <c:idx val="1"/>
          <c:order val="1"/>
          <c:tx>
            <c:strRef>
              <c:f>'Fig 19.8. Improvement'!$E$21</c:f>
              <c:strCache>
                <c:ptCount val="1"/>
                <c:pt idx="0">
                  <c:v>Mean</c:v>
                </c:pt>
              </c:strCache>
            </c:strRef>
          </c:tx>
          <c:spPr>
            <a:ln w="28575" cap="rnd">
              <a:solidFill>
                <a:schemeClr val="tx1"/>
              </a:solidFill>
              <a:round/>
            </a:ln>
            <a:effectLst/>
          </c:spPr>
          <c:marker>
            <c:symbol val="none"/>
          </c:marker>
          <c:cat>
            <c:strRef>
              <c:f>'Fig 19.8. Improvement'!$C$22:$C$27</c:f>
              <c:strCache>
                <c:ptCount val="6"/>
                <c:pt idx="0">
                  <c:v>1841</c:v>
                </c:pt>
                <c:pt idx="1">
                  <c:v>1842</c:v>
                </c:pt>
                <c:pt idx="2">
                  <c:v>1843</c:v>
                </c:pt>
                <c:pt idx="3">
                  <c:v>1844</c:v>
                </c:pt>
                <c:pt idx="4">
                  <c:v>1845</c:v>
                </c:pt>
                <c:pt idx="5">
                  <c:v>1846</c:v>
                </c:pt>
              </c:strCache>
            </c:strRef>
          </c:cat>
          <c:val>
            <c:numRef>
              <c:f>'Fig 19.8. Improvement'!$E$22:$E$27</c:f>
              <c:numCache>
                <c:formatCode>General</c:formatCode>
                <c:ptCount val="6"/>
                <c:pt idx="0">
                  <c:v>9.85</c:v>
                </c:pt>
                <c:pt idx="1">
                  <c:v>9.85</c:v>
                </c:pt>
                <c:pt idx="2">
                  <c:v>9.85</c:v>
                </c:pt>
                <c:pt idx="3">
                  <c:v>9.85</c:v>
                </c:pt>
                <c:pt idx="4">
                  <c:v>9.85</c:v>
                </c:pt>
                <c:pt idx="5">
                  <c:v>9.85</c:v>
                </c:pt>
              </c:numCache>
            </c:numRef>
          </c:val>
          <c:smooth val="0"/>
          <c:extLst>
            <c:ext xmlns:c16="http://schemas.microsoft.com/office/drawing/2014/chart" uri="{C3380CC4-5D6E-409C-BE32-E72D297353CC}">
              <c16:uniqueId val="{00000001-329B-41D6-8340-43856FD2F6C5}"/>
            </c:ext>
          </c:extLst>
        </c:ser>
        <c:ser>
          <c:idx val="2"/>
          <c:order val="2"/>
          <c:tx>
            <c:strRef>
              <c:f>'Fig 19.8. Improvement'!$F$21</c:f>
              <c:strCache>
                <c:ptCount val="1"/>
                <c:pt idx="0">
                  <c:v>UPL</c:v>
                </c:pt>
              </c:strCache>
            </c:strRef>
          </c:tx>
          <c:spPr>
            <a:ln w="28575" cap="rnd">
              <a:solidFill>
                <a:srgbClr val="D72323"/>
              </a:solidFill>
              <a:prstDash val="dash"/>
              <a:round/>
            </a:ln>
            <a:effectLst/>
          </c:spPr>
          <c:marker>
            <c:symbol val="none"/>
          </c:marker>
          <c:cat>
            <c:strRef>
              <c:f>'Fig 19.8. Improvement'!$C$22:$C$27</c:f>
              <c:strCache>
                <c:ptCount val="6"/>
                <c:pt idx="0">
                  <c:v>1841</c:v>
                </c:pt>
                <c:pt idx="1">
                  <c:v>1842</c:v>
                </c:pt>
                <c:pt idx="2">
                  <c:v>1843</c:v>
                </c:pt>
                <c:pt idx="3">
                  <c:v>1844</c:v>
                </c:pt>
                <c:pt idx="4">
                  <c:v>1845</c:v>
                </c:pt>
                <c:pt idx="5">
                  <c:v>1846</c:v>
                </c:pt>
              </c:strCache>
            </c:strRef>
          </c:cat>
          <c:val>
            <c:numRef>
              <c:f>'Fig 19.8. Improvement'!$F$22:$F$27</c:f>
              <c:numCache>
                <c:formatCode>General</c:formatCode>
                <c:ptCount val="6"/>
                <c:pt idx="0">
                  <c:v>21.23</c:v>
                </c:pt>
                <c:pt idx="1">
                  <c:v>21.23</c:v>
                </c:pt>
                <c:pt idx="2">
                  <c:v>21.23</c:v>
                </c:pt>
                <c:pt idx="3">
                  <c:v>21.23</c:v>
                </c:pt>
                <c:pt idx="4">
                  <c:v>21.23</c:v>
                </c:pt>
                <c:pt idx="5">
                  <c:v>21.23</c:v>
                </c:pt>
              </c:numCache>
            </c:numRef>
          </c:val>
          <c:smooth val="0"/>
          <c:extLst>
            <c:ext xmlns:c16="http://schemas.microsoft.com/office/drawing/2014/chart" uri="{C3380CC4-5D6E-409C-BE32-E72D297353CC}">
              <c16:uniqueId val="{00000002-329B-41D6-8340-43856FD2F6C5}"/>
            </c:ext>
          </c:extLst>
        </c:ser>
        <c:ser>
          <c:idx val="3"/>
          <c:order val="3"/>
          <c:tx>
            <c:strRef>
              <c:f>'Fig 19.8. Improvement'!$G$21</c:f>
              <c:strCache>
                <c:ptCount val="1"/>
                <c:pt idx="0">
                  <c:v>LPL</c:v>
                </c:pt>
              </c:strCache>
            </c:strRef>
          </c:tx>
          <c:spPr>
            <a:ln w="28575" cap="rnd">
              <a:solidFill>
                <a:srgbClr val="D72323"/>
              </a:solidFill>
              <a:prstDash val="dash"/>
              <a:round/>
            </a:ln>
            <a:effectLst/>
          </c:spPr>
          <c:marker>
            <c:symbol val="none"/>
          </c:marker>
          <c:cat>
            <c:strRef>
              <c:f>'Fig 19.8. Improvement'!$C$22:$C$27</c:f>
              <c:strCache>
                <c:ptCount val="6"/>
                <c:pt idx="0">
                  <c:v>1841</c:v>
                </c:pt>
                <c:pt idx="1">
                  <c:v>1842</c:v>
                </c:pt>
                <c:pt idx="2">
                  <c:v>1843</c:v>
                </c:pt>
                <c:pt idx="3">
                  <c:v>1844</c:v>
                </c:pt>
                <c:pt idx="4">
                  <c:v>1845</c:v>
                </c:pt>
                <c:pt idx="5">
                  <c:v>1846</c:v>
                </c:pt>
              </c:strCache>
            </c:strRef>
          </c:cat>
          <c:val>
            <c:numRef>
              <c:f>'Fig 19.8. Improvement'!$G$22:$G$27</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2nd Clinic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19.8. Improvement'!$D$29</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19.8. Improvement'!$C$30:$C$35</c:f>
              <c:strCache>
                <c:ptCount val="6"/>
                <c:pt idx="0">
                  <c:v>1841</c:v>
                </c:pt>
                <c:pt idx="1">
                  <c:v>1842</c:v>
                </c:pt>
                <c:pt idx="2">
                  <c:v>1843</c:v>
                </c:pt>
                <c:pt idx="3">
                  <c:v>1844</c:v>
                </c:pt>
                <c:pt idx="4">
                  <c:v>1845</c:v>
                </c:pt>
                <c:pt idx="5">
                  <c:v>1846</c:v>
                </c:pt>
              </c:strCache>
            </c:strRef>
          </c:cat>
          <c:val>
            <c:numRef>
              <c:f>'Fig 19.8. Improvement'!$D$30:$D$35</c:f>
              <c:numCache>
                <c:formatCode>General</c:formatCode>
                <c:ptCount val="6"/>
                <c:pt idx="0">
                  <c:v>3.5</c:v>
                </c:pt>
                <c:pt idx="1">
                  <c:v>7.5</c:v>
                </c:pt>
                <c:pt idx="2">
                  <c:v>5.9</c:v>
                </c:pt>
                <c:pt idx="3">
                  <c:v>2.2999999999999998</c:v>
                </c:pt>
                <c:pt idx="4">
                  <c:v>2.0299999999999998</c:v>
                </c:pt>
                <c:pt idx="5">
                  <c:v>2.7</c:v>
                </c:pt>
              </c:numCache>
            </c:numRef>
          </c:val>
          <c:smooth val="0"/>
          <c:extLst>
            <c:ext xmlns:c16="http://schemas.microsoft.com/office/drawing/2014/chart" uri="{C3380CC4-5D6E-409C-BE32-E72D297353CC}">
              <c16:uniqueId val="{00000000-329B-41D6-8340-43856FD2F6C5}"/>
            </c:ext>
          </c:extLst>
        </c:ser>
        <c:ser>
          <c:idx val="1"/>
          <c:order val="1"/>
          <c:tx>
            <c:strRef>
              <c:f>'Fig 19.8. Improvement'!$E$29</c:f>
              <c:strCache>
                <c:ptCount val="1"/>
                <c:pt idx="0">
                  <c:v>Mean</c:v>
                </c:pt>
              </c:strCache>
            </c:strRef>
          </c:tx>
          <c:spPr>
            <a:ln w="28575" cap="rnd">
              <a:solidFill>
                <a:schemeClr val="tx1"/>
              </a:solidFill>
              <a:round/>
            </a:ln>
            <a:effectLst/>
          </c:spPr>
          <c:marker>
            <c:symbol val="none"/>
          </c:marker>
          <c:cat>
            <c:strRef>
              <c:f>'Fig 19.8. Improvement'!$C$30:$C$35</c:f>
              <c:strCache>
                <c:ptCount val="6"/>
                <c:pt idx="0">
                  <c:v>1841</c:v>
                </c:pt>
                <c:pt idx="1">
                  <c:v>1842</c:v>
                </c:pt>
                <c:pt idx="2">
                  <c:v>1843</c:v>
                </c:pt>
                <c:pt idx="3">
                  <c:v>1844</c:v>
                </c:pt>
                <c:pt idx="4">
                  <c:v>1845</c:v>
                </c:pt>
                <c:pt idx="5">
                  <c:v>1846</c:v>
                </c:pt>
              </c:strCache>
            </c:strRef>
          </c:cat>
          <c:val>
            <c:numRef>
              <c:f>'Fig 19.8. Improvement'!$E$30:$E$35</c:f>
              <c:numCache>
                <c:formatCode>General</c:formatCode>
                <c:ptCount val="6"/>
                <c:pt idx="0">
                  <c:v>3.99</c:v>
                </c:pt>
                <c:pt idx="1">
                  <c:v>3.99</c:v>
                </c:pt>
                <c:pt idx="2">
                  <c:v>3.99</c:v>
                </c:pt>
                <c:pt idx="3">
                  <c:v>3.99</c:v>
                </c:pt>
                <c:pt idx="4">
                  <c:v>3.99</c:v>
                </c:pt>
                <c:pt idx="5">
                  <c:v>3.99</c:v>
                </c:pt>
              </c:numCache>
            </c:numRef>
          </c:val>
          <c:smooth val="0"/>
          <c:extLst>
            <c:ext xmlns:c16="http://schemas.microsoft.com/office/drawing/2014/chart" uri="{C3380CC4-5D6E-409C-BE32-E72D297353CC}">
              <c16:uniqueId val="{00000001-329B-41D6-8340-43856FD2F6C5}"/>
            </c:ext>
          </c:extLst>
        </c:ser>
        <c:ser>
          <c:idx val="2"/>
          <c:order val="2"/>
          <c:tx>
            <c:strRef>
              <c:f>'Fig 19.8. Improvement'!$F$29</c:f>
              <c:strCache>
                <c:ptCount val="1"/>
                <c:pt idx="0">
                  <c:v>UPL</c:v>
                </c:pt>
              </c:strCache>
            </c:strRef>
          </c:tx>
          <c:spPr>
            <a:ln w="28575" cap="rnd">
              <a:solidFill>
                <a:srgbClr val="D72323"/>
              </a:solidFill>
              <a:prstDash val="dash"/>
              <a:round/>
            </a:ln>
            <a:effectLst/>
          </c:spPr>
          <c:marker>
            <c:symbol val="none"/>
          </c:marker>
          <c:cat>
            <c:strRef>
              <c:f>'Fig 19.8. Improvement'!$C$30:$C$35</c:f>
              <c:strCache>
                <c:ptCount val="6"/>
                <c:pt idx="0">
                  <c:v>1841</c:v>
                </c:pt>
                <c:pt idx="1">
                  <c:v>1842</c:v>
                </c:pt>
                <c:pt idx="2">
                  <c:v>1843</c:v>
                </c:pt>
                <c:pt idx="3">
                  <c:v>1844</c:v>
                </c:pt>
                <c:pt idx="4">
                  <c:v>1845</c:v>
                </c:pt>
                <c:pt idx="5">
                  <c:v>1846</c:v>
                </c:pt>
              </c:strCache>
            </c:strRef>
          </c:cat>
          <c:val>
            <c:numRef>
              <c:f>'Fig 19.8. Improvement'!$F$30:$F$35</c:f>
              <c:numCache>
                <c:formatCode>General</c:formatCode>
                <c:ptCount val="6"/>
                <c:pt idx="0">
                  <c:v>9.39</c:v>
                </c:pt>
                <c:pt idx="1">
                  <c:v>9.39</c:v>
                </c:pt>
                <c:pt idx="2">
                  <c:v>9.39</c:v>
                </c:pt>
                <c:pt idx="3">
                  <c:v>9.39</c:v>
                </c:pt>
                <c:pt idx="4">
                  <c:v>9.39</c:v>
                </c:pt>
                <c:pt idx="5">
                  <c:v>9.39</c:v>
                </c:pt>
              </c:numCache>
            </c:numRef>
          </c:val>
          <c:smooth val="0"/>
          <c:extLst>
            <c:ext xmlns:c16="http://schemas.microsoft.com/office/drawing/2014/chart" uri="{C3380CC4-5D6E-409C-BE32-E72D297353CC}">
              <c16:uniqueId val="{00000002-329B-41D6-8340-43856FD2F6C5}"/>
            </c:ext>
          </c:extLst>
        </c:ser>
        <c:ser>
          <c:idx val="3"/>
          <c:order val="3"/>
          <c:tx>
            <c:strRef>
              <c:f>'Fig 19.8. Improvement'!$G$29</c:f>
              <c:strCache>
                <c:ptCount val="1"/>
                <c:pt idx="0">
                  <c:v>LPL</c:v>
                </c:pt>
              </c:strCache>
            </c:strRef>
          </c:tx>
          <c:spPr>
            <a:ln w="28575" cap="rnd">
              <a:solidFill>
                <a:srgbClr val="D72323"/>
              </a:solidFill>
              <a:prstDash val="dash"/>
              <a:round/>
            </a:ln>
            <a:effectLst/>
          </c:spPr>
          <c:marker>
            <c:symbol val="none"/>
          </c:marker>
          <c:cat>
            <c:strRef>
              <c:f>'Fig 19.8. Improvement'!$C$30:$C$35</c:f>
              <c:strCache>
                <c:ptCount val="6"/>
                <c:pt idx="0">
                  <c:v>1841</c:v>
                </c:pt>
                <c:pt idx="1">
                  <c:v>1842</c:v>
                </c:pt>
                <c:pt idx="2">
                  <c:v>1843</c:v>
                </c:pt>
                <c:pt idx="3">
                  <c:v>1844</c:v>
                </c:pt>
                <c:pt idx="4">
                  <c:v>1845</c:v>
                </c:pt>
                <c:pt idx="5">
                  <c:v>1846</c:v>
                </c:pt>
              </c:strCache>
            </c:strRef>
          </c:cat>
          <c:val>
            <c:numRef>
              <c:f>'Fig 19.8. Improvement'!$G$30:$G$35</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ax val="2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19.8. Improvement'!$H$29</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19.8. Improvement'!$H$30:$H$35</c:f>
              <c:numCache>
                <c:formatCode>General</c:formatCode>
                <c:ptCount val="6"/>
                <c:pt idx="1">
                  <c:v>4</c:v>
                </c:pt>
                <c:pt idx="2">
                  <c:v>1.6</c:v>
                </c:pt>
                <c:pt idx="3">
                  <c:v>3.6</c:v>
                </c:pt>
                <c:pt idx="4">
                  <c:v>0.27</c:v>
                </c:pt>
                <c:pt idx="5">
                  <c:v>0.67</c:v>
                </c:pt>
              </c:numCache>
            </c:numRef>
          </c:val>
          <c:smooth val="0"/>
          <c:extLst>
            <c:ext xmlns:c16="http://schemas.microsoft.com/office/drawing/2014/chart" uri="{C3380CC4-5D6E-409C-BE32-E72D297353CC}">
              <c16:uniqueId val="{00000000-5D18-47FA-93F7-2AB89D044415}"/>
            </c:ext>
          </c:extLst>
        </c:ser>
        <c:ser>
          <c:idx val="1"/>
          <c:order val="1"/>
          <c:tx>
            <c:strRef>
              <c:f>'Fig 19.8. Improvement'!$I$29</c:f>
              <c:strCache>
                <c:ptCount val="1"/>
                <c:pt idx="0">
                  <c:v>Ave. mR</c:v>
                </c:pt>
              </c:strCache>
            </c:strRef>
          </c:tx>
          <c:spPr>
            <a:ln w="28575" cap="rnd">
              <a:solidFill>
                <a:schemeClr val="tx1"/>
              </a:solidFill>
              <a:round/>
            </a:ln>
            <a:effectLst/>
          </c:spPr>
          <c:marker>
            <c:symbol val="none"/>
          </c:marker>
          <c:val>
            <c:numRef>
              <c:f>'Fig 19.8. Improvement'!$I$30:$I$35</c:f>
              <c:numCache>
                <c:formatCode>General</c:formatCode>
                <c:ptCount val="6"/>
                <c:pt idx="0">
                  <c:v>2.0299999999999998</c:v>
                </c:pt>
                <c:pt idx="1">
                  <c:v>2.0299999999999998</c:v>
                </c:pt>
                <c:pt idx="2">
                  <c:v>2.0299999999999998</c:v>
                </c:pt>
                <c:pt idx="3">
                  <c:v>2.0299999999999998</c:v>
                </c:pt>
                <c:pt idx="4">
                  <c:v>2.0299999999999998</c:v>
                </c:pt>
                <c:pt idx="5">
                  <c:v>2.0299999999999998</c:v>
                </c:pt>
              </c:numCache>
            </c:numRef>
          </c:val>
          <c:smooth val="0"/>
          <c:extLst>
            <c:ext xmlns:c16="http://schemas.microsoft.com/office/drawing/2014/chart" uri="{C3380CC4-5D6E-409C-BE32-E72D297353CC}">
              <c16:uniqueId val="{00000001-5D18-47FA-93F7-2AB89D044415}"/>
            </c:ext>
          </c:extLst>
        </c:ser>
        <c:ser>
          <c:idx val="2"/>
          <c:order val="2"/>
          <c:tx>
            <c:strRef>
              <c:f>'Fig 19.8. Improvement'!$J$29</c:f>
              <c:strCache>
                <c:ptCount val="1"/>
                <c:pt idx="0">
                  <c:v>URL</c:v>
                </c:pt>
              </c:strCache>
            </c:strRef>
          </c:tx>
          <c:spPr>
            <a:ln w="28575" cap="rnd">
              <a:solidFill>
                <a:srgbClr val="D72323"/>
              </a:solidFill>
              <a:prstDash val="dash"/>
              <a:round/>
            </a:ln>
            <a:effectLst/>
          </c:spPr>
          <c:marker>
            <c:symbol val="none"/>
          </c:marker>
          <c:val>
            <c:numRef>
              <c:f>'Fig 19.8. Improvement'!$J$30:$J$35</c:f>
              <c:numCache>
                <c:formatCode>General</c:formatCode>
                <c:ptCount val="6"/>
                <c:pt idx="0">
                  <c:v>6.63</c:v>
                </c:pt>
                <c:pt idx="1">
                  <c:v>6.63</c:v>
                </c:pt>
                <c:pt idx="2">
                  <c:v>6.63</c:v>
                </c:pt>
                <c:pt idx="3">
                  <c:v>6.63</c:v>
                </c:pt>
                <c:pt idx="4">
                  <c:v>6.63</c:v>
                </c:pt>
                <c:pt idx="5">
                  <c:v>6.63</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max val="16"/>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19.8. Improvement'!$H$21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19.8. Improvement'!$H$22:$H$27</c:f>
              <c:numCache>
                <c:formatCode>General</c:formatCode>
                <c:ptCount val="6"/>
                <c:pt idx="1">
                  <c:v>8</c:v>
                </c:pt>
                <c:pt idx="2">
                  <c:v>6.8</c:v>
                </c:pt>
                <c:pt idx="3">
                  <c:v>0.8</c:v>
                </c:pt>
                <c:pt idx="4">
                  <c:v>1.3</c:v>
                </c:pt>
                <c:pt idx="5">
                  <c:v>4.5</c:v>
                </c:pt>
              </c:numCache>
            </c:numRef>
          </c:val>
          <c:smooth val="0"/>
          <c:extLst>
            <c:ext xmlns:c16="http://schemas.microsoft.com/office/drawing/2014/chart" uri="{C3380CC4-5D6E-409C-BE32-E72D297353CC}">
              <c16:uniqueId val="{00000000-5D18-47FA-93F7-2AB89D044415}"/>
            </c:ext>
          </c:extLst>
        </c:ser>
        <c:ser>
          <c:idx val="1"/>
          <c:order val="1"/>
          <c:tx>
            <c:strRef>
              <c:f>'Fig 19.8. Improvement'!$I$21</c:f>
              <c:strCache>
                <c:ptCount val="1"/>
                <c:pt idx="0">
                  <c:v>Ave. mR</c:v>
                </c:pt>
              </c:strCache>
            </c:strRef>
          </c:tx>
          <c:spPr>
            <a:ln w="28575" cap="rnd">
              <a:solidFill>
                <a:schemeClr val="tx1"/>
              </a:solidFill>
              <a:round/>
            </a:ln>
            <a:effectLst/>
          </c:spPr>
          <c:marker>
            <c:symbol val="none"/>
          </c:marker>
          <c:val>
            <c:numRef>
              <c:f>'Fig 19.8. Improvement'!$I$22:$I$27</c:f>
              <c:numCache>
                <c:formatCode>General</c:formatCode>
                <c:ptCount val="6"/>
                <c:pt idx="0">
                  <c:v>4.28</c:v>
                </c:pt>
                <c:pt idx="1">
                  <c:v>4.28</c:v>
                </c:pt>
                <c:pt idx="2">
                  <c:v>4.28</c:v>
                </c:pt>
                <c:pt idx="3">
                  <c:v>4.28</c:v>
                </c:pt>
                <c:pt idx="4">
                  <c:v>4.28</c:v>
                </c:pt>
                <c:pt idx="5">
                  <c:v>4.28</c:v>
                </c:pt>
              </c:numCache>
            </c:numRef>
          </c:val>
          <c:smooth val="0"/>
          <c:extLst>
            <c:ext xmlns:c16="http://schemas.microsoft.com/office/drawing/2014/chart" uri="{C3380CC4-5D6E-409C-BE32-E72D297353CC}">
              <c16:uniqueId val="{00000001-5D18-47FA-93F7-2AB89D044415}"/>
            </c:ext>
          </c:extLst>
        </c:ser>
        <c:ser>
          <c:idx val="2"/>
          <c:order val="2"/>
          <c:tx>
            <c:strRef>
              <c:f>'Fig 19.8. Improvement'!$J$21</c:f>
              <c:strCache>
                <c:ptCount val="1"/>
                <c:pt idx="0">
                  <c:v>URL</c:v>
                </c:pt>
              </c:strCache>
            </c:strRef>
          </c:tx>
          <c:spPr>
            <a:ln w="28575" cap="rnd">
              <a:solidFill>
                <a:srgbClr val="D72323"/>
              </a:solidFill>
              <a:prstDash val="dash"/>
              <a:round/>
            </a:ln>
            <a:effectLst/>
          </c:spPr>
          <c:marker>
            <c:symbol val="none"/>
          </c:marker>
          <c:val>
            <c:numRef>
              <c:f>'Fig 19.8. Improvement'!$J$22:$J$27</c:f>
              <c:numCache>
                <c:formatCode>General</c:formatCode>
                <c:ptCount val="6"/>
                <c:pt idx="0">
                  <c:v>13.99</c:v>
                </c:pt>
                <c:pt idx="1">
                  <c:v>13.99</c:v>
                </c:pt>
                <c:pt idx="2">
                  <c:v>13.99</c:v>
                </c:pt>
                <c:pt idx="3">
                  <c:v>13.99</c:v>
                </c:pt>
                <c:pt idx="4">
                  <c:v>13.99</c:v>
                </c:pt>
                <c:pt idx="5">
                  <c:v>13.99</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1st</a:t>
            </a:r>
            <a:r>
              <a:rPr lang="en-US" baseline="0"/>
              <a:t> Clinic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19.9. 1st &amp; 2nd clinics'!$D$21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19.9. 1st &amp; 2nd clinics'!$C$22:$C$27</c:f>
              <c:strCache>
                <c:ptCount val="6"/>
                <c:pt idx="0">
                  <c:v>1841</c:v>
                </c:pt>
                <c:pt idx="1">
                  <c:v>1842</c:v>
                </c:pt>
                <c:pt idx="2">
                  <c:v>1843</c:v>
                </c:pt>
                <c:pt idx="3">
                  <c:v>1844</c:v>
                </c:pt>
                <c:pt idx="4">
                  <c:v>1845</c:v>
                </c:pt>
                <c:pt idx="5">
                  <c:v>1846</c:v>
                </c:pt>
              </c:strCache>
            </c:strRef>
          </c:cat>
          <c:val>
            <c:numRef>
              <c:f>'Fig 19.9. 1st &amp; 2nd clinics'!$D$22:$D$27</c:f>
              <c:numCache>
                <c:formatCode>General</c:formatCode>
                <c:ptCount val="6"/>
                <c:pt idx="0">
                  <c:v>7.8</c:v>
                </c:pt>
                <c:pt idx="1">
                  <c:v>15.8</c:v>
                </c:pt>
                <c:pt idx="2">
                  <c:v>9</c:v>
                </c:pt>
                <c:pt idx="3">
                  <c:v>8.1999999999999993</c:v>
                </c:pt>
                <c:pt idx="4">
                  <c:v>6.9</c:v>
                </c:pt>
                <c:pt idx="5">
                  <c:v>11.4</c:v>
                </c:pt>
              </c:numCache>
            </c:numRef>
          </c:val>
          <c:smooth val="0"/>
          <c:extLst>
            <c:ext xmlns:c16="http://schemas.microsoft.com/office/drawing/2014/chart" uri="{C3380CC4-5D6E-409C-BE32-E72D297353CC}">
              <c16:uniqueId val="{00000000-78C5-4021-9F72-74C8F2E081FB}"/>
            </c:ext>
          </c:extLst>
        </c:ser>
        <c:ser>
          <c:idx val="1"/>
          <c:order val="1"/>
          <c:tx>
            <c:strRef>
              <c:f>'Fig 19.9. 1st &amp; 2nd clinics'!$E$21</c:f>
              <c:strCache>
                <c:ptCount val="1"/>
                <c:pt idx="0">
                  <c:v>Mean</c:v>
                </c:pt>
              </c:strCache>
            </c:strRef>
          </c:tx>
          <c:spPr>
            <a:ln w="28575" cap="rnd">
              <a:solidFill>
                <a:schemeClr val="tx1"/>
              </a:solidFill>
              <a:round/>
            </a:ln>
            <a:effectLst/>
          </c:spPr>
          <c:marker>
            <c:symbol val="none"/>
          </c:marker>
          <c:cat>
            <c:strRef>
              <c:f>'Fig 19.9. 1st &amp; 2nd clinics'!$C$22:$C$27</c:f>
              <c:strCache>
                <c:ptCount val="6"/>
                <c:pt idx="0">
                  <c:v>1841</c:v>
                </c:pt>
                <c:pt idx="1">
                  <c:v>1842</c:v>
                </c:pt>
                <c:pt idx="2">
                  <c:v>1843</c:v>
                </c:pt>
                <c:pt idx="3">
                  <c:v>1844</c:v>
                </c:pt>
                <c:pt idx="4">
                  <c:v>1845</c:v>
                </c:pt>
                <c:pt idx="5">
                  <c:v>1846</c:v>
                </c:pt>
              </c:strCache>
            </c:strRef>
          </c:cat>
          <c:val>
            <c:numRef>
              <c:f>'Fig 19.9. 1st &amp; 2nd clinics'!$E$22:$E$27</c:f>
              <c:numCache>
                <c:formatCode>General</c:formatCode>
                <c:ptCount val="6"/>
                <c:pt idx="0">
                  <c:v>9.85</c:v>
                </c:pt>
                <c:pt idx="1">
                  <c:v>9.85</c:v>
                </c:pt>
                <c:pt idx="2">
                  <c:v>9.85</c:v>
                </c:pt>
                <c:pt idx="3">
                  <c:v>9.85</c:v>
                </c:pt>
                <c:pt idx="4">
                  <c:v>9.85</c:v>
                </c:pt>
                <c:pt idx="5">
                  <c:v>9.85</c:v>
                </c:pt>
              </c:numCache>
            </c:numRef>
          </c:val>
          <c:smooth val="0"/>
          <c:extLst>
            <c:ext xmlns:c16="http://schemas.microsoft.com/office/drawing/2014/chart" uri="{C3380CC4-5D6E-409C-BE32-E72D297353CC}">
              <c16:uniqueId val="{00000001-78C5-4021-9F72-74C8F2E081FB}"/>
            </c:ext>
          </c:extLst>
        </c:ser>
        <c:ser>
          <c:idx val="2"/>
          <c:order val="2"/>
          <c:tx>
            <c:strRef>
              <c:f>'Fig 19.9. 1st &amp; 2nd clinics'!$F$21</c:f>
              <c:strCache>
                <c:ptCount val="1"/>
                <c:pt idx="0">
                  <c:v>UPL</c:v>
                </c:pt>
              </c:strCache>
            </c:strRef>
          </c:tx>
          <c:spPr>
            <a:ln w="28575" cap="rnd">
              <a:solidFill>
                <a:srgbClr val="D72323"/>
              </a:solidFill>
              <a:prstDash val="dash"/>
              <a:round/>
            </a:ln>
            <a:effectLst/>
          </c:spPr>
          <c:marker>
            <c:symbol val="none"/>
          </c:marker>
          <c:cat>
            <c:strRef>
              <c:f>'Fig 19.9. 1st &amp; 2nd clinics'!$C$22:$C$27</c:f>
              <c:strCache>
                <c:ptCount val="6"/>
                <c:pt idx="0">
                  <c:v>1841</c:v>
                </c:pt>
                <c:pt idx="1">
                  <c:v>1842</c:v>
                </c:pt>
                <c:pt idx="2">
                  <c:v>1843</c:v>
                </c:pt>
                <c:pt idx="3">
                  <c:v>1844</c:v>
                </c:pt>
                <c:pt idx="4">
                  <c:v>1845</c:v>
                </c:pt>
                <c:pt idx="5">
                  <c:v>1846</c:v>
                </c:pt>
              </c:strCache>
            </c:strRef>
          </c:cat>
          <c:val>
            <c:numRef>
              <c:f>'Fig 19.9. 1st &amp; 2nd clinics'!$F$22:$F$27</c:f>
              <c:numCache>
                <c:formatCode>General</c:formatCode>
                <c:ptCount val="6"/>
                <c:pt idx="0">
                  <c:v>21.23</c:v>
                </c:pt>
                <c:pt idx="1">
                  <c:v>21.23</c:v>
                </c:pt>
                <c:pt idx="2">
                  <c:v>21.23</c:v>
                </c:pt>
                <c:pt idx="3">
                  <c:v>21.23</c:v>
                </c:pt>
                <c:pt idx="4">
                  <c:v>21.23</c:v>
                </c:pt>
                <c:pt idx="5">
                  <c:v>21.23</c:v>
                </c:pt>
              </c:numCache>
            </c:numRef>
          </c:val>
          <c:smooth val="0"/>
          <c:extLst>
            <c:ext xmlns:c16="http://schemas.microsoft.com/office/drawing/2014/chart" uri="{C3380CC4-5D6E-409C-BE32-E72D297353CC}">
              <c16:uniqueId val="{00000002-78C5-4021-9F72-74C8F2E081FB}"/>
            </c:ext>
          </c:extLst>
        </c:ser>
        <c:ser>
          <c:idx val="3"/>
          <c:order val="3"/>
          <c:tx>
            <c:strRef>
              <c:f>'Fig 19.9. 1st &amp; 2nd clinics'!$G$21</c:f>
              <c:strCache>
                <c:ptCount val="1"/>
                <c:pt idx="0">
                  <c:v>LPL</c:v>
                </c:pt>
              </c:strCache>
            </c:strRef>
          </c:tx>
          <c:spPr>
            <a:ln w="28575" cap="rnd">
              <a:solidFill>
                <a:srgbClr val="D72323"/>
              </a:solidFill>
              <a:prstDash val="dash"/>
              <a:round/>
            </a:ln>
            <a:effectLst/>
          </c:spPr>
          <c:marker>
            <c:symbol val="none"/>
          </c:marker>
          <c:cat>
            <c:strRef>
              <c:f>'Fig 19.9. 1st &amp; 2nd clinics'!$C$22:$C$27</c:f>
              <c:strCache>
                <c:ptCount val="6"/>
                <c:pt idx="0">
                  <c:v>1841</c:v>
                </c:pt>
                <c:pt idx="1">
                  <c:v>1842</c:v>
                </c:pt>
                <c:pt idx="2">
                  <c:v>1843</c:v>
                </c:pt>
                <c:pt idx="3">
                  <c:v>1844</c:v>
                </c:pt>
                <c:pt idx="4">
                  <c:v>1845</c:v>
                </c:pt>
                <c:pt idx="5">
                  <c:v>1846</c:v>
                </c:pt>
              </c:strCache>
            </c:strRef>
          </c:cat>
          <c:val>
            <c:numRef>
              <c:f>'Fig 19.9. 1st &amp; 2nd clinics'!$G$22:$G$27</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78C5-4021-9F72-74C8F2E081FB}"/>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2nd Clinic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19.9. 1st &amp; 2nd clinics'!$D$29</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19.9. 1st &amp; 2nd clinics'!$C$30:$C$35</c:f>
              <c:strCache>
                <c:ptCount val="6"/>
                <c:pt idx="0">
                  <c:v>1841</c:v>
                </c:pt>
                <c:pt idx="1">
                  <c:v>1842</c:v>
                </c:pt>
                <c:pt idx="2">
                  <c:v>1843</c:v>
                </c:pt>
                <c:pt idx="3">
                  <c:v>1844</c:v>
                </c:pt>
                <c:pt idx="4">
                  <c:v>1845</c:v>
                </c:pt>
                <c:pt idx="5">
                  <c:v>1846</c:v>
                </c:pt>
              </c:strCache>
            </c:strRef>
          </c:cat>
          <c:val>
            <c:numRef>
              <c:f>'Fig 19.9. 1st &amp; 2nd clinics'!$D$30:$D$35</c:f>
              <c:numCache>
                <c:formatCode>General</c:formatCode>
                <c:ptCount val="6"/>
                <c:pt idx="0">
                  <c:v>3.5</c:v>
                </c:pt>
                <c:pt idx="1">
                  <c:v>7.5</c:v>
                </c:pt>
                <c:pt idx="2">
                  <c:v>5.9</c:v>
                </c:pt>
                <c:pt idx="3">
                  <c:v>2.2999999999999998</c:v>
                </c:pt>
                <c:pt idx="4">
                  <c:v>2.0299999999999998</c:v>
                </c:pt>
                <c:pt idx="5">
                  <c:v>2.7</c:v>
                </c:pt>
              </c:numCache>
            </c:numRef>
          </c:val>
          <c:smooth val="0"/>
          <c:extLst>
            <c:ext xmlns:c16="http://schemas.microsoft.com/office/drawing/2014/chart" uri="{C3380CC4-5D6E-409C-BE32-E72D297353CC}">
              <c16:uniqueId val="{00000000-540E-45A0-9F7F-52E6A4FD4370}"/>
            </c:ext>
          </c:extLst>
        </c:ser>
        <c:ser>
          <c:idx val="1"/>
          <c:order val="1"/>
          <c:tx>
            <c:strRef>
              <c:f>'Fig 19.9. 1st &amp; 2nd clinics'!$E$29</c:f>
              <c:strCache>
                <c:ptCount val="1"/>
                <c:pt idx="0">
                  <c:v>Mean</c:v>
                </c:pt>
              </c:strCache>
            </c:strRef>
          </c:tx>
          <c:spPr>
            <a:ln w="28575" cap="rnd">
              <a:solidFill>
                <a:schemeClr val="tx1"/>
              </a:solidFill>
              <a:round/>
            </a:ln>
            <a:effectLst/>
          </c:spPr>
          <c:marker>
            <c:symbol val="none"/>
          </c:marker>
          <c:cat>
            <c:strRef>
              <c:f>'Fig 19.9. 1st &amp; 2nd clinics'!$C$30:$C$35</c:f>
              <c:strCache>
                <c:ptCount val="6"/>
                <c:pt idx="0">
                  <c:v>1841</c:v>
                </c:pt>
                <c:pt idx="1">
                  <c:v>1842</c:v>
                </c:pt>
                <c:pt idx="2">
                  <c:v>1843</c:v>
                </c:pt>
                <c:pt idx="3">
                  <c:v>1844</c:v>
                </c:pt>
                <c:pt idx="4">
                  <c:v>1845</c:v>
                </c:pt>
                <c:pt idx="5">
                  <c:v>1846</c:v>
                </c:pt>
              </c:strCache>
            </c:strRef>
          </c:cat>
          <c:val>
            <c:numRef>
              <c:f>'Fig 19.9. 1st &amp; 2nd clinics'!$E$30:$E$35</c:f>
              <c:numCache>
                <c:formatCode>General</c:formatCode>
                <c:ptCount val="6"/>
                <c:pt idx="0">
                  <c:v>3.99</c:v>
                </c:pt>
                <c:pt idx="1">
                  <c:v>3.99</c:v>
                </c:pt>
                <c:pt idx="2">
                  <c:v>3.99</c:v>
                </c:pt>
                <c:pt idx="3">
                  <c:v>3.99</c:v>
                </c:pt>
                <c:pt idx="4">
                  <c:v>3.99</c:v>
                </c:pt>
                <c:pt idx="5">
                  <c:v>3.99</c:v>
                </c:pt>
              </c:numCache>
            </c:numRef>
          </c:val>
          <c:smooth val="0"/>
          <c:extLst>
            <c:ext xmlns:c16="http://schemas.microsoft.com/office/drawing/2014/chart" uri="{C3380CC4-5D6E-409C-BE32-E72D297353CC}">
              <c16:uniqueId val="{00000001-540E-45A0-9F7F-52E6A4FD4370}"/>
            </c:ext>
          </c:extLst>
        </c:ser>
        <c:ser>
          <c:idx val="2"/>
          <c:order val="2"/>
          <c:tx>
            <c:strRef>
              <c:f>'Fig 19.9. 1st &amp; 2nd clinics'!$F$29</c:f>
              <c:strCache>
                <c:ptCount val="1"/>
                <c:pt idx="0">
                  <c:v>UPL</c:v>
                </c:pt>
              </c:strCache>
            </c:strRef>
          </c:tx>
          <c:spPr>
            <a:ln w="28575" cap="rnd">
              <a:solidFill>
                <a:srgbClr val="D72323"/>
              </a:solidFill>
              <a:prstDash val="dash"/>
              <a:round/>
            </a:ln>
            <a:effectLst/>
          </c:spPr>
          <c:marker>
            <c:symbol val="none"/>
          </c:marker>
          <c:cat>
            <c:strRef>
              <c:f>'Fig 19.9. 1st &amp; 2nd clinics'!$C$30:$C$35</c:f>
              <c:strCache>
                <c:ptCount val="6"/>
                <c:pt idx="0">
                  <c:v>1841</c:v>
                </c:pt>
                <c:pt idx="1">
                  <c:v>1842</c:v>
                </c:pt>
                <c:pt idx="2">
                  <c:v>1843</c:v>
                </c:pt>
                <c:pt idx="3">
                  <c:v>1844</c:v>
                </c:pt>
                <c:pt idx="4">
                  <c:v>1845</c:v>
                </c:pt>
                <c:pt idx="5">
                  <c:v>1846</c:v>
                </c:pt>
              </c:strCache>
            </c:strRef>
          </c:cat>
          <c:val>
            <c:numRef>
              <c:f>'Fig 19.9. 1st &amp; 2nd clinics'!$F$30:$F$35</c:f>
              <c:numCache>
                <c:formatCode>General</c:formatCode>
                <c:ptCount val="6"/>
                <c:pt idx="0">
                  <c:v>9.39</c:v>
                </c:pt>
                <c:pt idx="1">
                  <c:v>9.39</c:v>
                </c:pt>
                <c:pt idx="2">
                  <c:v>9.39</c:v>
                </c:pt>
                <c:pt idx="3">
                  <c:v>9.39</c:v>
                </c:pt>
                <c:pt idx="4">
                  <c:v>9.39</c:v>
                </c:pt>
                <c:pt idx="5">
                  <c:v>9.39</c:v>
                </c:pt>
              </c:numCache>
            </c:numRef>
          </c:val>
          <c:smooth val="0"/>
          <c:extLst>
            <c:ext xmlns:c16="http://schemas.microsoft.com/office/drawing/2014/chart" uri="{C3380CC4-5D6E-409C-BE32-E72D297353CC}">
              <c16:uniqueId val="{00000002-540E-45A0-9F7F-52E6A4FD4370}"/>
            </c:ext>
          </c:extLst>
        </c:ser>
        <c:ser>
          <c:idx val="3"/>
          <c:order val="3"/>
          <c:tx>
            <c:strRef>
              <c:f>'Fig 19.9. 1st &amp; 2nd clinics'!$G$29</c:f>
              <c:strCache>
                <c:ptCount val="1"/>
                <c:pt idx="0">
                  <c:v>LPL</c:v>
                </c:pt>
              </c:strCache>
            </c:strRef>
          </c:tx>
          <c:spPr>
            <a:ln w="28575" cap="rnd">
              <a:solidFill>
                <a:srgbClr val="D72323"/>
              </a:solidFill>
              <a:prstDash val="dash"/>
              <a:round/>
            </a:ln>
            <a:effectLst/>
          </c:spPr>
          <c:marker>
            <c:symbol val="none"/>
          </c:marker>
          <c:cat>
            <c:strRef>
              <c:f>'Fig 19.9. 1st &amp; 2nd clinics'!$C$30:$C$35</c:f>
              <c:strCache>
                <c:ptCount val="6"/>
                <c:pt idx="0">
                  <c:v>1841</c:v>
                </c:pt>
                <c:pt idx="1">
                  <c:v>1842</c:v>
                </c:pt>
                <c:pt idx="2">
                  <c:v>1843</c:v>
                </c:pt>
                <c:pt idx="3">
                  <c:v>1844</c:v>
                </c:pt>
                <c:pt idx="4">
                  <c:v>1845</c:v>
                </c:pt>
                <c:pt idx="5">
                  <c:v>1846</c:v>
                </c:pt>
              </c:strCache>
            </c:strRef>
          </c:cat>
          <c:val>
            <c:numRef>
              <c:f>'Fig 19.9. 1st &amp; 2nd clinics'!$G$30:$G$35</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540E-45A0-9F7F-52E6A4FD4370}"/>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ax val="2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19.9. 1st &amp; 2nd clinics'!$H$29</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19.9. 1st &amp; 2nd clinics'!$H$30:$H$35</c:f>
              <c:numCache>
                <c:formatCode>General</c:formatCode>
                <c:ptCount val="6"/>
                <c:pt idx="1">
                  <c:v>4</c:v>
                </c:pt>
                <c:pt idx="2">
                  <c:v>1.6</c:v>
                </c:pt>
                <c:pt idx="3">
                  <c:v>3.6</c:v>
                </c:pt>
                <c:pt idx="4">
                  <c:v>0.27</c:v>
                </c:pt>
                <c:pt idx="5">
                  <c:v>0.67</c:v>
                </c:pt>
              </c:numCache>
            </c:numRef>
          </c:val>
          <c:smooth val="0"/>
          <c:extLst>
            <c:ext xmlns:c16="http://schemas.microsoft.com/office/drawing/2014/chart" uri="{C3380CC4-5D6E-409C-BE32-E72D297353CC}">
              <c16:uniqueId val="{00000000-F357-4C53-90E9-F9DE0D8CD37C}"/>
            </c:ext>
          </c:extLst>
        </c:ser>
        <c:ser>
          <c:idx val="1"/>
          <c:order val="1"/>
          <c:tx>
            <c:strRef>
              <c:f>'Fig 19.9. 1st &amp; 2nd clinics'!$I$29</c:f>
              <c:strCache>
                <c:ptCount val="1"/>
                <c:pt idx="0">
                  <c:v>Ave. mR</c:v>
                </c:pt>
              </c:strCache>
            </c:strRef>
          </c:tx>
          <c:spPr>
            <a:ln w="28575" cap="rnd">
              <a:solidFill>
                <a:schemeClr val="tx1"/>
              </a:solidFill>
              <a:round/>
            </a:ln>
            <a:effectLst/>
          </c:spPr>
          <c:marker>
            <c:symbol val="none"/>
          </c:marker>
          <c:val>
            <c:numRef>
              <c:f>'Fig 19.9. 1st &amp; 2nd clinics'!$I$30:$I$35</c:f>
              <c:numCache>
                <c:formatCode>General</c:formatCode>
                <c:ptCount val="6"/>
                <c:pt idx="0">
                  <c:v>2.0299999999999998</c:v>
                </c:pt>
                <c:pt idx="1">
                  <c:v>2.0299999999999998</c:v>
                </c:pt>
                <c:pt idx="2">
                  <c:v>2.0299999999999998</c:v>
                </c:pt>
                <c:pt idx="3">
                  <c:v>2.0299999999999998</c:v>
                </c:pt>
                <c:pt idx="4">
                  <c:v>2.0299999999999998</c:v>
                </c:pt>
                <c:pt idx="5">
                  <c:v>2.0299999999999998</c:v>
                </c:pt>
              </c:numCache>
            </c:numRef>
          </c:val>
          <c:smooth val="0"/>
          <c:extLst>
            <c:ext xmlns:c16="http://schemas.microsoft.com/office/drawing/2014/chart" uri="{C3380CC4-5D6E-409C-BE32-E72D297353CC}">
              <c16:uniqueId val="{00000001-F357-4C53-90E9-F9DE0D8CD37C}"/>
            </c:ext>
          </c:extLst>
        </c:ser>
        <c:ser>
          <c:idx val="2"/>
          <c:order val="2"/>
          <c:tx>
            <c:strRef>
              <c:f>'Fig 19.9. 1st &amp; 2nd clinics'!$J$29</c:f>
              <c:strCache>
                <c:ptCount val="1"/>
                <c:pt idx="0">
                  <c:v>URL</c:v>
                </c:pt>
              </c:strCache>
            </c:strRef>
          </c:tx>
          <c:spPr>
            <a:ln w="28575" cap="rnd">
              <a:solidFill>
                <a:srgbClr val="D72323"/>
              </a:solidFill>
              <a:prstDash val="dash"/>
              <a:round/>
            </a:ln>
            <a:effectLst/>
          </c:spPr>
          <c:marker>
            <c:symbol val="none"/>
          </c:marker>
          <c:val>
            <c:numRef>
              <c:f>'Fig 19.9. 1st &amp; 2nd clinics'!$J$30:$J$35</c:f>
              <c:numCache>
                <c:formatCode>General</c:formatCode>
                <c:ptCount val="6"/>
                <c:pt idx="0">
                  <c:v>6.63</c:v>
                </c:pt>
                <c:pt idx="1">
                  <c:v>6.63</c:v>
                </c:pt>
                <c:pt idx="2">
                  <c:v>6.63</c:v>
                </c:pt>
                <c:pt idx="3">
                  <c:v>6.63</c:v>
                </c:pt>
                <c:pt idx="4">
                  <c:v>6.63</c:v>
                </c:pt>
                <c:pt idx="5">
                  <c:v>6.63</c:v>
                </c:pt>
              </c:numCache>
            </c:numRef>
          </c:val>
          <c:smooth val="0"/>
          <c:extLst>
            <c:ext xmlns:c16="http://schemas.microsoft.com/office/drawing/2014/chart" uri="{C3380CC4-5D6E-409C-BE32-E72D297353CC}">
              <c16:uniqueId val="{00000002-F357-4C53-90E9-F9DE0D8CD37C}"/>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max val="16"/>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19.9. 1st &amp; 2nd clinics'!$H$21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19.9. 1st &amp; 2nd clinics'!$H$22:$H$27</c:f>
              <c:numCache>
                <c:formatCode>General</c:formatCode>
                <c:ptCount val="6"/>
                <c:pt idx="1">
                  <c:v>8</c:v>
                </c:pt>
                <c:pt idx="2">
                  <c:v>6.8</c:v>
                </c:pt>
                <c:pt idx="3">
                  <c:v>0.8</c:v>
                </c:pt>
                <c:pt idx="4">
                  <c:v>1.3</c:v>
                </c:pt>
                <c:pt idx="5">
                  <c:v>4.5</c:v>
                </c:pt>
              </c:numCache>
            </c:numRef>
          </c:val>
          <c:smooth val="0"/>
          <c:extLst>
            <c:ext xmlns:c16="http://schemas.microsoft.com/office/drawing/2014/chart" uri="{C3380CC4-5D6E-409C-BE32-E72D297353CC}">
              <c16:uniqueId val="{00000000-FB28-4F33-A08A-681A656322D3}"/>
            </c:ext>
          </c:extLst>
        </c:ser>
        <c:ser>
          <c:idx val="1"/>
          <c:order val="1"/>
          <c:tx>
            <c:strRef>
              <c:f>'Fig 19.9. 1st &amp; 2nd clinics'!$I$21</c:f>
              <c:strCache>
                <c:ptCount val="1"/>
                <c:pt idx="0">
                  <c:v>Ave. mR</c:v>
                </c:pt>
              </c:strCache>
            </c:strRef>
          </c:tx>
          <c:spPr>
            <a:ln w="28575" cap="rnd">
              <a:solidFill>
                <a:schemeClr val="tx1"/>
              </a:solidFill>
              <a:round/>
            </a:ln>
            <a:effectLst/>
          </c:spPr>
          <c:marker>
            <c:symbol val="none"/>
          </c:marker>
          <c:val>
            <c:numRef>
              <c:f>'Fig 19.9. 1st &amp; 2nd clinics'!$I$22:$I$27</c:f>
              <c:numCache>
                <c:formatCode>General</c:formatCode>
                <c:ptCount val="6"/>
                <c:pt idx="0">
                  <c:v>4.28</c:v>
                </c:pt>
                <c:pt idx="1">
                  <c:v>4.28</c:v>
                </c:pt>
                <c:pt idx="2">
                  <c:v>4.28</c:v>
                </c:pt>
                <c:pt idx="3">
                  <c:v>4.28</c:v>
                </c:pt>
                <c:pt idx="4">
                  <c:v>4.28</c:v>
                </c:pt>
                <c:pt idx="5">
                  <c:v>4.28</c:v>
                </c:pt>
              </c:numCache>
            </c:numRef>
          </c:val>
          <c:smooth val="0"/>
          <c:extLst>
            <c:ext xmlns:c16="http://schemas.microsoft.com/office/drawing/2014/chart" uri="{C3380CC4-5D6E-409C-BE32-E72D297353CC}">
              <c16:uniqueId val="{00000001-FB28-4F33-A08A-681A656322D3}"/>
            </c:ext>
          </c:extLst>
        </c:ser>
        <c:ser>
          <c:idx val="2"/>
          <c:order val="2"/>
          <c:tx>
            <c:strRef>
              <c:f>'Fig 19.9. 1st &amp; 2nd clinics'!$J$21</c:f>
              <c:strCache>
                <c:ptCount val="1"/>
                <c:pt idx="0">
                  <c:v>URL</c:v>
                </c:pt>
              </c:strCache>
            </c:strRef>
          </c:tx>
          <c:spPr>
            <a:ln w="28575" cap="rnd">
              <a:solidFill>
                <a:srgbClr val="D72323"/>
              </a:solidFill>
              <a:prstDash val="dash"/>
              <a:round/>
            </a:ln>
            <a:effectLst/>
          </c:spPr>
          <c:marker>
            <c:symbol val="none"/>
          </c:marker>
          <c:val>
            <c:numRef>
              <c:f>'Fig 19.9. 1st &amp; 2nd clinics'!$J$22:$J$27</c:f>
              <c:numCache>
                <c:formatCode>General</c:formatCode>
                <c:ptCount val="6"/>
                <c:pt idx="0">
                  <c:v>13.99</c:v>
                </c:pt>
                <c:pt idx="1">
                  <c:v>13.99</c:v>
                </c:pt>
                <c:pt idx="2">
                  <c:v>13.99</c:v>
                </c:pt>
                <c:pt idx="3">
                  <c:v>13.99</c:v>
                </c:pt>
                <c:pt idx="4">
                  <c:v>13.99</c:v>
                </c:pt>
                <c:pt idx="5">
                  <c:v>13.99</c:v>
                </c:pt>
              </c:numCache>
            </c:numRef>
          </c:val>
          <c:smooth val="0"/>
          <c:extLst>
            <c:ext xmlns:c16="http://schemas.microsoft.com/office/drawing/2014/chart" uri="{C3380CC4-5D6E-409C-BE32-E72D297353CC}">
              <c16:uniqueId val="{00000002-FB28-4F33-A08A-681A656322D3}"/>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41698</xdr:colOff>
      <xdr:row>21</xdr:row>
      <xdr:rowOff>58420</xdr:rowOff>
    </xdr:to>
    <xdr:pic>
      <xdr:nvPicPr>
        <xdr:cNvPr id="3" name="image1.jpg">
          <a:extLst>
            <a:ext uri="{FF2B5EF4-FFF2-40B4-BE49-F238E27FC236}">
              <a16:creationId xmlns:a16="http://schemas.microsoft.com/office/drawing/2014/main" id="{AE5C3EF5-A843-4A04-B36F-3D5EE1213ECD}"/>
            </a:ext>
          </a:extLst>
        </xdr:cNvPr>
        <xdr:cNvPicPr preferRelativeResize="0"/>
      </xdr:nvPicPr>
      <xdr:blipFill>
        <a:blip xmlns:r="http://schemas.openxmlformats.org/officeDocument/2006/relationships" r:embed="rId1" cstate="print"/>
        <a:stretch>
          <a:fillRect/>
        </a:stretch>
      </xdr:blipFill>
      <xdr:spPr>
        <a:xfrm>
          <a:off x="6162675" y="200025"/>
          <a:ext cx="2642023" cy="405892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0</xdr:row>
      <xdr:rowOff>0</xdr:rowOff>
    </xdr:from>
    <xdr:to>
      <xdr:col>19</xdr:col>
      <xdr:colOff>0</xdr:colOff>
      <xdr:row>14</xdr:row>
      <xdr:rowOff>0</xdr:rowOff>
    </xdr:to>
    <xdr:graphicFrame macro="">
      <xdr:nvGraphicFramePr>
        <xdr:cNvPr id="2" name="Chart 1">
          <a:extLst>
            <a:ext uri="{FF2B5EF4-FFF2-40B4-BE49-F238E27FC236}">
              <a16:creationId xmlns:a16="http://schemas.microsoft.com/office/drawing/2014/main" id="{9A79618B-2332-A088-FB51-F57651739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14</xdr:row>
      <xdr:rowOff>1</xdr:rowOff>
    </xdr:from>
    <xdr:to>
      <xdr:col>19</xdr:col>
      <xdr:colOff>0</xdr:colOff>
      <xdr:row>26</xdr:row>
      <xdr:rowOff>142876</xdr:rowOff>
    </xdr:to>
    <xdr:graphicFrame macro="">
      <xdr:nvGraphicFramePr>
        <xdr:cNvPr id="3" name="Chart 2">
          <a:extLst>
            <a:ext uri="{FF2B5EF4-FFF2-40B4-BE49-F238E27FC236}">
              <a16:creationId xmlns:a16="http://schemas.microsoft.com/office/drawing/2014/main" id="{02365195-89C9-A85B-D6CE-2A7D04807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0</xdr:row>
      <xdr:rowOff>0</xdr:rowOff>
    </xdr:from>
    <xdr:to>
      <xdr:col>15</xdr:col>
      <xdr:colOff>0</xdr:colOff>
      <xdr:row>14</xdr:row>
      <xdr:rowOff>0</xdr:rowOff>
    </xdr:to>
    <xdr:graphicFrame macro="">
      <xdr:nvGraphicFramePr>
        <xdr:cNvPr id="2" name="Chart 1">
          <a:extLst>
            <a:ext uri="{FF2B5EF4-FFF2-40B4-BE49-F238E27FC236}">
              <a16:creationId xmlns:a16="http://schemas.microsoft.com/office/drawing/2014/main" id="{A1FD4B79-BB47-4DC6-9D7D-9C5D4B4B7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14</xdr:row>
      <xdr:rowOff>1</xdr:rowOff>
    </xdr:from>
    <xdr:to>
      <xdr:col>15</xdr:col>
      <xdr:colOff>0</xdr:colOff>
      <xdr:row>25</xdr:row>
      <xdr:rowOff>0</xdr:rowOff>
    </xdr:to>
    <xdr:graphicFrame macro="">
      <xdr:nvGraphicFramePr>
        <xdr:cNvPr id="3" name="Chart 2">
          <a:extLst>
            <a:ext uri="{FF2B5EF4-FFF2-40B4-BE49-F238E27FC236}">
              <a16:creationId xmlns:a16="http://schemas.microsoft.com/office/drawing/2014/main" id="{812E3D7C-2E9F-4924-80F9-AE005A273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0</xdr:row>
      <xdr:rowOff>1</xdr:rowOff>
    </xdr:from>
    <xdr:to>
      <xdr:col>19</xdr:col>
      <xdr:colOff>0</xdr:colOff>
      <xdr:row>14</xdr:row>
      <xdr:rowOff>1</xdr:rowOff>
    </xdr:to>
    <xdr:graphicFrame macro="">
      <xdr:nvGraphicFramePr>
        <xdr:cNvPr id="4" name="Chart 3">
          <a:extLst>
            <a:ext uri="{FF2B5EF4-FFF2-40B4-BE49-F238E27FC236}">
              <a16:creationId xmlns:a16="http://schemas.microsoft.com/office/drawing/2014/main" id="{34BCB586-3005-FCBB-76D6-73ADE6694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0</xdr:row>
      <xdr:rowOff>1905</xdr:rowOff>
    </xdr:from>
    <xdr:to>
      <xdr:col>23</xdr:col>
      <xdr:colOff>0</xdr:colOff>
      <xdr:row>14</xdr:row>
      <xdr:rowOff>0</xdr:rowOff>
    </xdr:to>
    <xdr:graphicFrame macro="">
      <xdr:nvGraphicFramePr>
        <xdr:cNvPr id="5" name="Chart 4">
          <a:extLst>
            <a:ext uri="{FF2B5EF4-FFF2-40B4-BE49-F238E27FC236}">
              <a16:creationId xmlns:a16="http://schemas.microsoft.com/office/drawing/2014/main" id="{DCA031DC-AB58-B321-1BA1-718D4AC5C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14</xdr:row>
      <xdr:rowOff>0</xdr:rowOff>
    </xdr:from>
    <xdr:to>
      <xdr:col>23</xdr:col>
      <xdr:colOff>0</xdr:colOff>
      <xdr:row>25</xdr:row>
      <xdr:rowOff>0</xdr:rowOff>
    </xdr:to>
    <xdr:graphicFrame macro="">
      <xdr:nvGraphicFramePr>
        <xdr:cNvPr id="6" name="Chart 5">
          <a:extLst>
            <a:ext uri="{FF2B5EF4-FFF2-40B4-BE49-F238E27FC236}">
              <a16:creationId xmlns:a16="http://schemas.microsoft.com/office/drawing/2014/main" id="{1B3A382B-CFCF-2BC9-71DD-7D82B1CB0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14</xdr:row>
      <xdr:rowOff>0</xdr:rowOff>
    </xdr:from>
    <xdr:to>
      <xdr:col>19</xdr:col>
      <xdr:colOff>0</xdr:colOff>
      <xdr:row>25</xdr:row>
      <xdr:rowOff>0</xdr:rowOff>
    </xdr:to>
    <xdr:graphicFrame macro="">
      <xdr:nvGraphicFramePr>
        <xdr:cNvPr id="7" name="Chart 6">
          <a:extLst>
            <a:ext uri="{FF2B5EF4-FFF2-40B4-BE49-F238E27FC236}">
              <a16:creationId xmlns:a16="http://schemas.microsoft.com/office/drawing/2014/main" id="{A3D042DA-7728-5664-AD69-6B55B4B2F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0</xdr:row>
      <xdr:rowOff>0</xdr:rowOff>
    </xdr:from>
    <xdr:to>
      <xdr:col>17</xdr:col>
      <xdr:colOff>0</xdr:colOff>
      <xdr:row>14</xdr:row>
      <xdr:rowOff>0</xdr:rowOff>
    </xdr:to>
    <xdr:graphicFrame macro="">
      <xdr:nvGraphicFramePr>
        <xdr:cNvPr id="4" name="Chart 3">
          <a:extLst>
            <a:ext uri="{FF2B5EF4-FFF2-40B4-BE49-F238E27FC236}">
              <a16:creationId xmlns:a16="http://schemas.microsoft.com/office/drawing/2014/main" id="{9C83846E-2A09-4D8E-B93E-8700B4012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0</xdr:row>
      <xdr:rowOff>1905</xdr:rowOff>
    </xdr:from>
    <xdr:to>
      <xdr:col>23</xdr:col>
      <xdr:colOff>0</xdr:colOff>
      <xdr:row>14</xdr:row>
      <xdr:rowOff>0</xdr:rowOff>
    </xdr:to>
    <xdr:graphicFrame macro="">
      <xdr:nvGraphicFramePr>
        <xdr:cNvPr id="5" name="Chart 4">
          <a:extLst>
            <a:ext uri="{FF2B5EF4-FFF2-40B4-BE49-F238E27FC236}">
              <a16:creationId xmlns:a16="http://schemas.microsoft.com/office/drawing/2014/main" id="{8D66DF3C-C41A-40ED-9FD7-E0A70C4AB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14</xdr:row>
      <xdr:rowOff>0</xdr:rowOff>
    </xdr:from>
    <xdr:to>
      <xdr:col>23</xdr:col>
      <xdr:colOff>0</xdr:colOff>
      <xdr:row>25</xdr:row>
      <xdr:rowOff>0</xdr:rowOff>
    </xdr:to>
    <xdr:graphicFrame macro="">
      <xdr:nvGraphicFramePr>
        <xdr:cNvPr id="6" name="Chart 5">
          <a:extLst>
            <a:ext uri="{FF2B5EF4-FFF2-40B4-BE49-F238E27FC236}">
              <a16:creationId xmlns:a16="http://schemas.microsoft.com/office/drawing/2014/main" id="{BEC5BACC-FB23-49F6-A5B1-4D5431285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14</xdr:row>
      <xdr:rowOff>0</xdr:rowOff>
    </xdr:from>
    <xdr:to>
      <xdr:col>17</xdr:col>
      <xdr:colOff>0</xdr:colOff>
      <xdr:row>25</xdr:row>
      <xdr:rowOff>0</xdr:rowOff>
    </xdr:to>
    <xdr:graphicFrame macro="">
      <xdr:nvGraphicFramePr>
        <xdr:cNvPr id="7" name="Chart 6">
          <a:extLst>
            <a:ext uri="{FF2B5EF4-FFF2-40B4-BE49-F238E27FC236}">
              <a16:creationId xmlns:a16="http://schemas.microsoft.com/office/drawing/2014/main" id="{B757E695-C030-459F-A312-5023361A4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A14D036-CBBF-4235-8FC7-DA2DB83E7A8C}"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239E610-3517-41B6-AE3D-2014DD6CB4ED}"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8D74DD7D-C47D-4ED0-894F-2B647DE9E2F5}" autoFormatId="16" applyNumberFormats="0" applyBorderFormats="0" applyFontFormats="0" applyPatternFormats="0" applyAlignmentFormats="0" applyWidthHeightFormats="0">
  <queryTableRefresh nextId="13" unboundColumnsRight="6">
    <queryTableFields count="10">
      <queryTableField id="1" name="Hospital" tableColumnId="1"/>
      <queryTableField id="2" name="Stage" tableColumnId="2"/>
      <queryTableField id="3" name="Year" tableColumnId="3"/>
      <queryTableField id="6" name="Rate"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6D5B94D9-B42F-478F-9E4A-50B3E6BDE521}"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7" xr16:uid="{BC27D8A7-137B-4650-ADBB-E829F637E59F}"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6" xr16:uid="{D200BE6C-664C-49DF-9B52-F7DB8912723F}" autoFormatId="16" applyNumberFormats="0" applyBorderFormats="0" applyFontFormats="0" applyPatternFormats="0" applyAlignmentFormats="0" applyWidthHeightFormats="0">
  <queryTableRefresh nextId="13" unboundColumnsRight="6">
    <queryTableFields count="10">
      <queryTableField id="1" name="Hospital" tableColumnId="1"/>
      <queryTableField id="2" name="Stage" tableColumnId="2"/>
      <queryTableField id="3" name="Year" tableColumnId="3"/>
      <queryTableField id="6" name="Rate"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5" xr16:uid="{36AD699F-C5A7-4C86-92EA-45560E733E5D}"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8" xr16:uid="{EF34CD28-9F5E-4F92-8F0E-B13FA36FE2F6}" autoFormatId="16" applyNumberFormats="0" applyBorderFormats="0" applyFontFormats="0" applyPatternFormats="0" applyAlignmentFormats="0" applyWidthHeightFormats="0">
  <queryTableRefresh nextId="7">
    <queryTableFields count="6">
      <queryTableField id="1" name="Hospital" tableColumnId="1"/>
      <queryTableField id="2" name="Stage" tableColumnId="2"/>
      <queryTableField id="3" name="Year" tableColumnId="3"/>
      <queryTableField id="4" name="Births" tableColumnId="4"/>
      <queryTableField id="5" name="Deaths" tableColumnId="5"/>
      <queryTableField id="6" name="Rate"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2ABCD6-B887-407A-B628-9A22DFA8485D}" name="improvement_death_to_birth_rates" displayName="improvement_death_to_birth_rates" ref="A1:J19" tableType="queryTable" totalsRowShown="0" headerRowDxfId="68">
  <autoFilter ref="A1:J19" xr:uid="{902ABCD6-B887-407A-B628-9A22DFA8485D}"/>
  <tableColumns count="10">
    <tableColumn id="1" xr3:uid="{C471DA97-2D75-436F-AF6A-A64551B58C6D}" uniqueName="1" name="Hospital" queryTableFieldId="1" dataDxfId="67"/>
    <tableColumn id="2" xr3:uid="{6EEF639C-2160-4C45-A814-C8912F593CFB}" uniqueName="2" name="Stage" queryTableFieldId="2" dataDxfId="66"/>
    <tableColumn id="3" xr3:uid="{A2EC9B4C-447C-409D-ADF6-9FF45A68F41C}" uniqueName="3" name="Year" queryTableFieldId="3" dataDxfId="65"/>
    <tableColumn id="4" xr3:uid="{E1708D7A-1F0C-4AD5-ADF9-B6DB2D197B0F}" uniqueName="4" name="Rate" queryTableFieldId="4"/>
    <tableColumn id="5" xr3:uid="{2280DF16-1D16-4546-98D9-8B7BC8054747}" uniqueName="5" name="Mean" queryTableFieldId="5" dataDxfId="64">
      <calculatedColumnFormula>ROUND(AVERAGE($D$2:$D$19),2)</calculatedColumnFormula>
    </tableColumn>
    <tableColumn id="6" xr3:uid="{9D5810F5-B978-4191-8900-722DFE2B24D9}" uniqueName="6" name="UPL" queryTableFieldId="6" dataDxfId="63">
      <calculatedColumnFormula>ROUND(E2+(2.66*I2),2)</calculatedColumnFormula>
    </tableColumn>
    <tableColumn id="7" xr3:uid="{3A625AC8-7EF0-4C97-B386-1764304583BD}" uniqueName="7" name="LPL" queryTableFieldId="7" dataDxfId="62">
      <calculatedColumnFormula>ROUND(MAX(0,E2-(2.66*I2)),2)</calculatedColumnFormula>
    </tableColumn>
    <tableColumn id="8" xr3:uid="{6401ED65-1FC9-4847-83B2-DD5D28BEB1AB}" uniqueName="8" name="mR" queryTableFieldId="8" dataDxfId="61">
      <calculatedColumnFormula>ROUND(ABS(D1-D2),2)</calculatedColumnFormula>
    </tableColumn>
    <tableColumn id="9" xr3:uid="{11702514-1269-4B39-B703-EB48B4CE6205}" uniqueName="9" name="Ave. mR" queryTableFieldId="9" dataDxfId="60">
      <calculatedColumnFormula>ROUND(AVERAGE($H$3:$H$19),2)</calculatedColumnFormula>
    </tableColumn>
    <tableColumn id="10" xr3:uid="{B1F18FEA-E7A4-4287-845E-245D95324A83}" uniqueName="10" name="URL" queryTableFieldId="10" dataDxfId="59">
      <calculatedColumnFormula>ROUND(3.268*I2,2)</calculatedColumnFormula>
    </tableColumn>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2C3F12-2BDB-43C9-9272-A763166FFBE0}" name="improvement_death_to_birth_rates4" displayName="improvement_death_to_birth_rates4" ref="A1:J19" tableType="queryTable" totalsRowShown="0" headerRowDxfId="58">
  <autoFilter ref="A1:J19" xr:uid="{902ABCD6-B887-407A-B628-9A22DFA8485D}"/>
  <tableColumns count="10">
    <tableColumn id="1" xr3:uid="{624805E1-E3A4-4858-8C3C-144FF024C4D1}" uniqueName="1" name="Hospital" queryTableFieldId="1" dataDxfId="57"/>
    <tableColumn id="2" xr3:uid="{A03B5572-AC9A-453E-B2C2-4A489E1FCBD4}" uniqueName="2" name="Stage" queryTableFieldId="2" dataDxfId="56"/>
    <tableColumn id="3" xr3:uid="{08AFB4D7-9883-4044-BC7F-F4EBC1460C3B}" uniqueName="3" name="Year" queryTableFieldId="3" dataDxfId="55"/>
    <tableColumn id="4" xr3:uid="{57479DE0-2BC4-41DC-8660-CEFC6A6F068A}" uniqueName="4" name="Rate" queryTableFieldId="4"/>
    <tableColumn id="5" xr3:uid="{175DDA98-D3AB-488E-B8D3-E7C7B31CE75E}" uniqueName="5" name="Mean" queryTableFieldId="5" dataDxfId="54">
      <calculatedColumnFormula>ROUND(AVERAGE($D$2:$D$19),2)</calculatedColumnFormula>
    </tableColumn>
    <tableColumn id="6" xr3:uid="{13128B52-96E1-4163-BEF7-8CD11E1F1474}" uniqueName="6" name="UPL" queryTableFieldId="6" dataDxfId="53">
      <calculatedColumnFormula>ROUND(E2+(2.66*I2),2)</calculatedColumnFormula>
    </tableColumn>
    <tableColumn id="7" xr3:uid="{E20B16E1-3286-4184-8788-C28F28388BBE}" uniqueName="7" name="LPL" queryTableFieldId="7" dataDxfId="52">
      <calculatedColumnFormula>ROUND(MAX(0,E2-(2.66*I2)),2)</calculatedColumnFormula>
    </tableColumn>
    <tableColumn id="8" xr3:uid="{8FF4766A-FD7F-46AA-AF89-4F01D5A2FCC0}" uniqueName="8" name="mR" queryTableFieldId="8" dataDxfId="51">
      <calculatedColumnFormula>ROUND(ABS(D1-D2),2)</calculatedColumnFormula>
    </tableColumn>
    <tableColumn id="9" xr3:uid="{123BE363-9448-49CF-9DE4-1258E5BDC728}" uniqueName="9" name="Ave. mR" queryTableFieldId="9" dataDxfId="50">
      <calculatedColumnFormula>ROUND(AVERAGE($H$3:$H$19),2)</calculatedColumnFormula>
    </tableColumn>
    <tableColumn id="10" xr3:uid="{BB6005D5-314C-46B2-9D68-4D4011B455D4}" uniqueName="10" name="URL" queryTableFieldId="10" dataDxfId="49">
      <calculatedColumnFormula>ROUND(3.268*I2,2)</calculatedColumnFormula>
    </tableColumn>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25DD00-5922-4228-9EDE-21D9FD807091}" name="improvement_death_to_birth_rates__3" displayName="improvement_death_to_birth_rates__3" ref="A21:J27" tableType="queryTable" totalsRowShown="0">
  <autoFilter ref="A21:J27" xr:uid="{E325DD00-5922-4228-9EDE-21D9FD807091}"/>
  <tableColumns count="10">
    <tableColumn id="1" xr3:uid="{63E7D5D7-8E54-439B-932D-28BE800F9FD2}" uniqueName="1" name="Hospital" queryTableFieldId="1" dataDxfId="48"/>
    <tableColumn id="2" xr3:uid="{502B178E-3008-4223-BE2B-DB0A34AFA6D9}" uniqueName="2" name="Stage" queryTableFieldId="2" dataDxfId="47"/>
    <tableColumn id="3" xr3:uid="{A4FFD409-D521-49FC-BA64-A8B4F1126060}" uniqueName="3" name="Year" queryTableFieldId="3" dataDxfId="46"/>
    <tableColumn id="6" xr3:uid="{2E8BD2DB-1CF7-4E2C-9315-9503E46399B0}" uniqueName="6" name="Rate" queryTableFieldId="6"/>
    <tableColumn id="7" xr3:uid="{6E5E9C8D-1EDC-4DCC-BCF4-061F4F76DBAD}" uniqueName="7" name="Mean" queryTableFieldId="7" dataDxfId="45">
      <calculatedColumnFormula>ROUND(AVERAGE($D$22:$D$27),2)</calculatedColumnFormula>
    </tableColumn>
    <tableColumn id="8" xr3:uid="{70B91F59-C068-4416-91BE-F3B1A702AAEC}" uniqueName="8" name="UPL" queryTableFieldId="8" dataDxfId="44">
      <calculatedColumnFormula>ROUND(E22+(2.66*I22),2)</calculatedColumnFormula>
    </tableColumn>
    <tableColumn id="9" xr3:uid="{585BAB56-7E84-419F-9714-8BAC3135BC9D}" uniqueName="9" name="LPL" queryTableFieldId="9" dataDxfId="43">
      <calculatedColumnFormula>ROUND(MAX(0,E22-(2.66*I22)),2)</calculatedColumnFormula>
    </tableColumn>
    <tableColumn id="10" xr3:uid="{3C2D14E1-1705-4F44-B0AF-F7A5A28604DD}" uniqueName="10" name="mR" queryTableFieldId="10" dataDxfId="42">
      <calculatedColumnFormula>ROUND(ABS(D21-D22),2)</calculatedColumnFormula>
    </tableColumn>
    <tableColumn id="11" xr3:uid="{0C198A6A-9CA8-4AA3-BFD2-9D146DF97535}" uniqueName="11" name="Ave. mR" queryTableFieldId="11" dataDxfId="41">
      <calculatedColumnFormula>ROUND(AVERAGE($H$23:$H$27),2)</calculatedColumnFormula>
    </tableColumn>
    <tableColumn id="12" xr3:uid="{B51AF209-EC31-40F9-8A2A-CE9ED804E304}" uniqueName="12" name="URL" queryTableFieldId="12" dataDxfId="40">
      <calculatedColumnFormula>ROUND(3.268*I22,2)</calculatedColumnFormula>
    </tableColumn>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F6D65D-3E08-44B2-A8A9-F2508E7208C9}" name="improvement_death_to_birth_rates__4" displayName="improvement_death_to_birth_rates__4" ref="A29:J35" tableType="queryTable" totalsRowShown="0">
  <autoFilter ref="A29:J35" xr:uid="{07F6D65D-3E08-44B2-A8A9-F2508E7208C9}"/>
  <tableColumns count="10">
    <tableColumn id="1" xr3:uid="{1ABC62E8-B5BA-4003-BBFB-B931FB04EE5F}" uniqueName="1" name="Hospital" queryTableFieldId="1" dataDxfId="39"/>
    <tableColumn id="2" xr3:uid="{9CA62D7F-BCD9-49DF-93DF-69CFB0D7CD51}" uniqueName="2" name="Stage" queryTableFieldId="2" dataDxfId="38"/>
    <tableColumn id="3" xr3:uid="{3712A8EC-0252-4819-9F9B-1EBCD3B56B0B}" uniqueName="3" name="Year" queryTableFieldId="3" dataDxfId="37"/>
    <tableColumn id="4" xr3:uid="{DC711081-9D1A-4730-AD11-53760BD2F555}" uniqueName="4" name="Rate" queryTableFieldId="4"/>
    <tableColumn id="5" xr3:uid="{F46E62FD-096E-40AA-8E2C-CAA70A465F0E}" uniqueName="5" name="Mean" queryTableFieldId="5" dataDxfId="36">
      <calculatedColumnFormula>ROUND(AVERAGE($D$30:$D$35),2)</calculatedColumnFormula>
    </tableColumn>
    <tableColumn id="6" xr3:uid="{FE427493-0D49-4A2D-945F-8A1C7B8DBC57}" uniqueName="6" name="UPL" queryTableFieldId="6" dataDxfId="35">
      <calculatedColumnFormula>ROUND(E30+(2.66*I30),2)</calculatedColumnFormula>
    </tableColumn>
    <tableColumn id="7" xr3:uid="{9C928920-141B-45C1-BDE4-EDB757334F04}" uniqueName="7" name="LPL" queryTableFieldId="7" dataDxfId="34">
      <calculatedColumnFormula>ROUND(MAX(0,E30-(2.66*I30)),2)</calculatedColumnFormula>
    </tableColumn>
    <tableColumn id="8" xr3:uid="{12F9F273-0618-4299-AA77-247B27054D8D}" uniqueName="8" name="mR" queryTableFieldId="8" dataDxfId="33">
      <calculatedColumnFormula>ROUND(ABS(D29-D30),2)</calculatedColumnFormula>
    </tableColumn>
    <tableColumn id="9" xr3:uid="{9735B774-98D2-4D0A-B174-189CD869AFC4}" uniqueName="9" name="Ave. mR" queryTableFieldId="9" dataDxfId="32">
      <calculatedColumnFormula>ROUND(AVERAGE($H$31:$H$35),2)</calculatedColumnFormula>
    </tableColumn>
    <tableColumn id="10" xr3:uid="{556220AC-FA22-4025-9936-FFDD17CAD2D9}" uniqueName="10" name="URL" queryTableFieldId="10" dataDxfId="31">
      <calculatedColumnFormula>ROUND(3.268*I30,2)</calculatedColumnFormula>
    </tableColumn>
  </tableColumns>
  <tableStyleInfo name="The Virus of Variatio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696D3AA-1A9B-4F71-AE26-B43F1D8C1279}" name="improvement_death_to_birth_rates47" displayName="improvement_death_to_birth_rates47" ref="A1:J19" tableType="queryTable" totalsRowShown="0" headerRowDxfId="30">
  <autoFilter ref="A1:J19" xr:uid="{902ABCD6-B887-407A-B628-9A22DFA8485D}"/>
  <tableColumns count="10">
    <tableColumn id="1" xr3:uid="{49E6C293-501E-4F79-AB71-EF1562DD4735}" uniqueName="1" name="Hospital" queryTableFieldId="1" dataDxfId="29"/>
    <tableColumn id="2" xr3:uid="{CE62889F-F13C-40A5-A726-CA2520A16F2A}" uniqueName="2" name="Stage" queryTableFieldId="2" dataDxfId="28"/>
    <tableColumn id="3" xr3:uid="{6D3C47F8-DDDE-412F-ADA6-6F37B233A407}" uniqueName="3" name="Year" queryTableFieldId="3" dataDxfId="27"/>
    <tableColumn id="4" xr3:uid="{A2478006-058F-4D48-9718-1BEE8F649149}" uniqueName="4" name="Rate" queryTableFieldId="4"/>
    <tableColumn id="5" xr3:uid="{5FCE9478-44F3-4F0A-9467-F502444A6EAC}" uniqueName="5" name="Mean" queryTableFieldId="5" dataDxfId="26">
      <calculatedColumnFormula>ROUND(AVERAGE($D$2:$D$19),2)</calculatedColumnFormula>
    </tableColumn>
    <tableColumn id="6" xr3:uid="{D8D05E0D-D9A9-45EA-AEC9-7E09EB0D90BF}" uniqueName="6" name="UPL" queryTableFieldId="6" dataDxfId="25">
      <calculatedColumnFormula>ROUND(E2+(2.66*I2),2)</calculatedColumnFormula>
    </tableColumn>
    <tableColumn id="7" xr3:uid="{081CFDC2-7BCB-48D6-A9EE-E93155EA71A3}" uniqueName="7" name="LPL" queryTableFieldId="7" dataDxfId="24">
      <calculatedColumnFormula>ROUND(MAX(0,E2-(2.66*I2)),2)</calculatedColumnFormula>
    </tableColumn>
    <tableColumn id="8" xr3:uid="{A5D3F52B-64FC-4ACD-8C0E-1DC8186681C3}" uniqueName="8" name="mR" queryTableFieldId="8" dataDxfId="23">
      <calculatedColumnFormula>ROUND(ABS(D1-D2),2)</calculatedColumnFormula>
    </tableColumn>
    <tableColumn id="9" xr3:uid="{169E2FB8-0B6E-4E01-81F8-4188E75F0774}" uniqueName="9" name="Ave. mR" queryTableFieldId="9" dataDxfId="22">
      <calculatedColumnFormula>ROUND(AVERAGE($H$3:$H$19),2)</calculatedColumnFormula>
    </tableColumn>
    <tableColumn id="10" xr3:uid="{6E23B974-21BF-404D-8625-24A180DAFE85}" uniqueName="10" name="URL" queryTableFieldId="10" dataDxfId="21">
      <calculatedColumnFormula>ROUND(3.268*I2,2)</calculatedColumnFormula>
    </tableColumn>
  </tableColumns>
  <tableStyleInfo name="The Virus of Variatio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29F27F-DF67-463B-A3CD-4D6064253ABB}" name="improvement_death_to_birth_rates__38" displayName="improvement_death_to_birth_rates__38" ref="A21:J27" tableType="queryTable" totalsRowShown="0">
  <autoFilter ref="A21:J27" xr:uid="{E325DD00-5922-4228-9EDE-21D9FD807091}"/>
  <tableColumns count="10">
    <tableColumn id="1" xr3:uid="{A434BB67-07B0-48A7-B50A-35AE754335DC}" uniqueName="1" name="Hospital" queryTableFieldId="1" dataDxfId="20"/>
    <tableColumn id="2" xr3:uid="{DBF20700-964F-492F-994F-F890CA6BFA69}" uniqueName="2" name="Stage" queryTableFieldId="2" dataDxfId="19"/>
    <tableColumn id="3" xr3:uid="{28E36475-D3E8-445C-BFCB-F9EA0459302E}" uniqueName="3" name="Year" queryTableFieldId="3" dataDxfId="18"/>
    <tableColumn id="6" xr3:uid="{DF858BED-E89A-4D49-A26F-74081FCABBAF}" uniqueName="6" name="Rate" queryTableFieldId="6"/>
    <tableColumn id="7" xr3:uid="{9F745F45-21DE-4CEB-9DBF-F0FE1E89D8EA}" uniqueName="7" name="Mean" queryTableFieldId="7" dataDxfId="17">
      <calculatedColumnFormula>ROUND(AVERAGE($D$22:$D$27),2)</calculatedColumnFormula>
    </tableColumn>
    <tableColumn id="8" xr3:uid="{17E4C449-A24C-419A-8BD6-0DB63B776942}" uniqueName="8" name="UPL" queryTableFieldId="8" dataDxfId="16">
      <calculatedColumnFormula>ROUND(E22+(2.66*I22),2)</calculatedColumnFormula>
    </tableColumn>
    <tableColumn id="9" xr3:uid="{BF5C74A7-C89B-413E-974F-439AD2959405}" uniqueName="9" name="LPL" queryTableFieldId="9" dataDxfId="15">
      <calculatedColumnFormula>ROUND(MAX(0,E22-(2.66*I22)),2)</calculatedColumnFormula>
    </tableColumn>
    <tableColumn id="10" xr3:uid="{1E34E84F-1FD3-4AE8-B14E-199874F2AD03}" uniqueName="10" name="mR" queryTableFieldId="10" dataDxfId="14">
      <calculatedColumnFormula>ROUND(ABS(D21-D22),2)</calculatedColumnFormula>
    </tableColumn>
    <tableColumn id="11" xr3:uid="{8CB97027-4932-45FD-9232-3D70A743EE33}" uniqueName="11" name="Ave. mR" queryTableFieldId="11" dataDxfId="13">
      <calculatedColumnFormula>ROUND(AVERAGE($H$23:$H$27),2)</calculatedColumnFormula>
    </tableColumn>
    <tableColumn id="12" xr3:uid="{350BA0EB-0E91-4090-AD08-7A89A35260F0}" uniqueName="12" name="URL" queryTableFieldId="12" dataDxfId="12">
      <calculatedColumnFormula>ROUND(3.268*I22,2)</calculatedColumnFormula>
    </tableColumn>
  </tableColumns>
  <tableStyleInfo name="The Virus of Variation"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A7C39D8-564B-4F9C-A5B6-9C6FC0525B55}" name="improvement_death_to_birth_rates__49" displayName="improvement_death_to_birth_rates__49" ref="A29:J35" tableType="queryTable" totalsRowShown="0">
  <autoFilter ref="A29:J35" xr:uid="{07F6D65D-3E08-44B2-A8A9-F2508E7208C9}"/>
  <tableColumns count="10">
    <tableColumn id="1" xr3:uid="{F68BA59B-839F-46DF-8612-5072AD6976B3}" uniqueName="1" name="Hospital" queryTableFieldId="1" dataDxfId="11"/>
    <tableColumn id="2" xr3:uid="{CFD57682-909D-405C-AD43-404BFC2679DE}" uniqueName="2" name="Stage" queryTableFieldId="2" dataDxfId="10"/>
    <tableColumn id="3" xr3:uid="{6E44F0AA-A7D5-4106-87FA-C13B417B3570}" uniqueName="3" name="Year" queryTableFieldId="3" dataDxfId="9"/>
    <tableColumn id="4" xr3:uid="{3C9EDBBA-EFB3-4CCE-80DF-74A1097B50E1}" uniqueName="4" name="Rate" queryTableFieldId="4"/>
    <tableColumn id="5" xr3:uid="{3224FFE3-680B-4E24-9CD3-2D22AF6C54AC}" uniqueName="5" name="Mean" queryTableFieldId="5" dataDxfId="8">
      <calculatedColumnFormula>ROUND(AVERAGE($D$30:$D$35),2)</calculatedColumnFormula>
    </tableColumn>
    <tableColumn id="6" xr3:uid="{CDF6F66B-207D-4DAD-9347-1B200E17BA0B}" uniqueName="6" name="UPL" queryTableFieldId="6" dataDxfId="7">
      <calculatedColumnFormula>ROUND(E30+(2.66*I30),2)</calculatedColumnFormula>
    </tableColumn>
    <tableColumn id="7" xr3:uid="{23B272CF-6013-425C-9822-9D8D736AD9F6}" uniqueName="7" name="LPL" queryTableFieldId="7" dataDxfId="6">
      <calculatedColumnFormula>ROUND(MAX(0,E30-(2.66*I30)),2)</calculatedColumnFormula>
    </tableColumn>
    <tableColumn id="8" xr3:uid="{B73994B3-BCD3-4A6D-A0E5-F81296EB8BF2}" uniqueName="8" name="mR" queryTableFieldId="8" dataDxfId="5">
      <calculatedColumnFormula>ROUND(ABS(D29-D30),2)</calculatedColumnFormula>
    </tableColumn>
    <tableColumn id="9" xr3:uid="{8C97FE16-BB42-4DFA-ADD2-06267DCB0932}" uniqueName="9" name="Ave. mR" queryTableFieldId="9" dataDxfId="4">
      <calculatedColumnFormula>ROUND(AVERAGE($H$31:$H$35),2)</calculatedColumnFormula>
    </tableColumn>
    <tableColumn id="10" xr3:uid="{2102622F-7607-4F60-AE11-73EC311B6347}" uniqueName="10" name="URL" queryTableFieldId="10" dataDxfId="3">
      <calculatedColumnFormula>ROUND(3.268*I30,2)</calculatedColumnFormula>
    </tableColumn>
  </tableColumns>
  <tableStyleInfo name="The Virus of Variation"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3CBDDF-788D-41A7-A03F-FCEB87C40E61}" name="improvement_death_to_birth_rates__8" displayName="improvement_death_to_birth_rates__8" ref="A1:F31" tableType="queryTable" totalsRowShown="0" headerRowDxfId="2">
  <autoFilter ref="A1:F31" xr:uid="{453CBDDF-788D-41A7-A03F-FCEB87C40E61}"/>
  <tableColumns count="6">
    <tableColumn id="1" xr3:uid="{0A56A2D8-963D-4336-B76A-C85FD20C7B1F}" uniqueName="1" name="Hospital" queryTableFieldId="1" dataDxfId="1"/>
    <tableColumn id="2" xr3:uid="{6EDECE4B-9860-47D8-8FA1-B4286DC6881F}" uniqueName="2" name="Stage" queryTableFieldId="2" dataDxfId="0"/>
    <tableColumn id="3" xr3:uid="{B1FB1121-8596-4A08-A99C-92841E4E8E5A}" uniqueName="3" name="Year" queryTableFieldId="3"/>
    <tableColumn id="4" xr3:uid="{D04B936C-3C65-4EFA-8008-B4396B67914F}" uniqueName="4" name="Births" queryTableFieldId="4"/>
    <tableColumn id="5" xr3:uid="{E8AD9B0F-109E-438F-B385-CEBF1F0376B7}" uniqueName="5" name="Deaths" queryTableFieldId="5"/>
    <tableColumn id="6" xr3:uid="{4A540C3A-6237-4D6F-B5CB-009B0CB4CDAC}" uniqueName="6" name="Rate" queryTableFieldId="6"/>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3.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4.xml"/><Relationship Id="rId4"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8"/>
  <sheetViews>
    <sheetView showGridLines="0" tabSelected="1" workbookViewId="0">
      <selection activeCell="O10" sqref="O10"/>
    </sheetView>
  </sheetViews>
  <sheetFormatPr defaultColWidth="12.6640625" defaultRowHeight="15.75" customHeight="1" x14ac:dyDescent="0.25"/>
  <cols>
    <col min="8" max="8" width="1.33203125" customWidth="1"/>
    <col min="13" max="13" width="1.33203125" customWidth="1"/>
  </cols>
  <sheetData>
    <row r="1" spans="1:12" ht="24.6" x14ac:dyDescent="0.55000000000000004">
      <c r="A1" s="43" t="s">
        <v>0</v>
      </c>
      <c r="B1" s="44"/>
      <c r="C1" s="44"/>
      <c r="D1" s="44"/>
      <c r="E1" s="44"/>
      <c r="F1" s="44"/>
      <c r="G1" s="45"/>
      <c r="H1" s="1"/>
      <c r="I1" s="1"/>
      <c r="J1" s="1"/>
      <c r="K1" s="1"/>
      <c r="L1" s="1"/>
    </row>
    <row r="2" spans="1:12" ht="15.75" customHeight="1" x14ac:dyDescent="0.25">
      <c r="A2" s="24" t="s">
        <v>46</v>
      </c>
      <c r="B2" s="25"/>
      <c r="C2" s="25"/>
      <c r="D2" s="25"/>
      <c r="E2" s="25"/>
      <c r="F2" s="25"/>
      <c r="G2" s="26"/>
      <c r="H2" s="1"/>
      <c r="I2" s="1"/>
    </row>
    <row r="3" spans="1:12" ht="15.75" customHeight="1" x14ac:dyDescent="0.25">
      <c r="A3" s="27"/>
      <c r="B3" s="28"/>
      <c r="C3" s="28"/>
      <c r="D3" s="28"/>
      <c r="E3" s="28"/>
      <c r="F3" s="28"/>
      <c r="G3" s="29"/>
      <c r="H3" s="1"/>
    </row>
    <row r="4" spans="1:12" ht="15.75" customHeight="1" x14ac:dyDescent="0.25">
      <c r="A4" s="27"/>
      <c r="B4" s="28"/>
      <c r="C4" s="28"/>
      <c r="D4" s="28"/>
      <c r="E4" s="28"/>
      <c r="F4" s="28"/>
      <c r="G4" s="29"/>
      <c r="H4" s="1"/>
    </row>
    <row r="5" spans="1:12" ht="15.75" customHeight="1" x14ac:dyDescent="0.25">
      <c r="A5" s="27"/>
      <c r="B5" s="28"/>
      <c r="C5" s="28"/>
      <c r="D5" s="28"/>
      <c r="E5" s="28"/>
      <c r="F5" s="28"/>
      <c r="G5" s="29"/>
      <c r="H5" s="1"/>
    </row>
    <row r="6" spans="1:12" ht="15.75" customHeight="1" x14ac:dyDescent="0.25">
      <c r="A6" s="27"/>
      <c r="B6" s="28"/>
      <c r="C6" s="28"/>
      <c r="D6" s="28"/>
      <c r="E6" s="28"/>
      <c r="F6" s="28"/>
      <c r="G6" s="29"/>
      <c r="H6" s="1"/>
    </row>
    <row r="7" spans="1:12" ht="15.75" customHeight="1" x14ac:dyDescent="0.25">
      <c r="A7" s="27"/>
      <c r="B7" s="28"/>
      <c r="C7" s="28"/>
      <c r="D7" s="28"/>
      <c r="E7" s="28"/>
      <c r="F7" s="28"/>
      <c r="G7" s="29"/>
      <c r="H7" s="1"/>
    </row>
    <row r="8" spans="1:12" ht="15.75" customHeight="1" x14ac:dyDescent="0.25">
      <c r="A8" s="27"/>
      <c r="B8" s="28"/>
      <c r="C8" s="28"/>
      <c r="D8" s="28"/>
      <c r="E8" s="28"/>
      <c r="F8" s="28"/>
      <c r="G8" s="29"/>
      <c r="H8" s="1"/>
    </row>
    <row r="9" spans="1:12" ht="15.75" customHeight="1" x14ac:dyDescent="0.25">
      <c r="A9" s="27"/>
      <c r="B9" s="28"/>
      <c r="C9" s="28"/>
      <c r="D9" s="28"/>
      <c r="E9" s="28"/>
      <c r="F9" s="28"/>
      <c r="G9" s="29"/>
      <c r="H9" s="1"/>
    </row>
    <row r="10" spans="1:12" ht="15.75" customHeight="1" x14ac:dyDescent="0.25">
      <c r="A10" s="27"/>
      <c r="B10" s="28"/>
      <c r="C10" s="28"/>
      <c r="D10" s="28"/>
      <c r="E10" s="28"/>
      <c r="F10" s="28"/>
      <c r="G10" s="29"/>
      <c r="H10" s="1"/>
    </row>
    <row r="11" spans="1:12" ht="15.75" customHeight="1" x14ac:dyDescent="0.25">
      <c r="A11" s="27"/>
      <c r="B11" s="28"/>
      <c r="C11" s="28"/>
      <c r="D11" s="28"/>
      <c r="E11" s="28"/>
      <c r="F11" s="28"/>
      <c r="G11" s="29"/>
      <c r="H11" s="1"/>
    </row>
    <row r="12" spans="1:12" ht="15.75" customHeight="1" x14ac:dyDescent="0.25">
      <c r="A12" s="27"/>
      <c r="B12" s="28"/>
      <c r="C12" s="28"/>
      <c r="D12" s="28"/>
      <c r="E12" s="28"/>
      <c r="F12" s="28"/>
      <c r="G12" s="29"/>
      <c r="H12" s="1"/>
    </row>
    <row r="13" spans="1:12" ht="15.75" customHeight="1" x14ac:dyDescent="0.25">
      <c r="A13" s="27"/>
      <c r="B13" s="28"/>
      <c r="C13" s="28"/>
      <c r="D13" s="28"/>
      <c r="E13" s="28"/>
      <c r="F13" s="28"/>
      <c r="G13" s="29"/>
      <c r="H13" s="1"/>
    </row>
    <row r="14" spans="1:12" ht="15.75" customHeight="1" x14ac:dyDescent="0.25">
      <c r="A14" s="27"/>
      <c r="B14" s="28"/>
      <c r="C14" s="28"/>
      <c r="D14" s="28"/>
      <c r="E14" s="28"/>
      <c r="F14" s="28"/>
      <c r="G14" s="29"/>
      <c r="H14" s="1"/>
    </row>
    <row r="15" spans="1:12" ht="15.75" customHeight="1" x14ac:dyDescent="0.25">
      <c r="A15" s="27"/>
      <c r="B15" s="28"/>
      <c r="C15" s="28"/>
      <c r="D15" s="28"/>
      <c r="E15" s="28"/>
      <c r="F15" s="28"/>
      <c r="G15" s="29"/>
      <c r="H15" s="1"/>
    </row>
    <row r="16" spans="1:12" ht="15.75" customHeight="1" x14ac:dyDescent="0.25">
      <c r="A16" s="27"/>
      <c r="B16" s="28"/>
      <c r="C16" s="28"/>
      <c r="D16" s="28"/>
      <c r="E16" s="28"/>
      <c r="F16" s="28"/>
      <c r="G16" s="29"/>
      <c r="H16" s="1"/>
    </row>
    <row r="17" spans="1:8" ht="15.75" customHeight="1" x14ac:dyDescent="0.25">
      <c r="A17" s="27"/>
      <c r="B17" s="28"/>
      <c r="C17" s="28"/>
      <c r="D17" s="28"/>
      <c r="E17" s="28"/>
      <c r="F17" s="28"/>
      <c r="G17" s="29"/>
      <c r="H17" s="1"/>
    </row>
    <row r="18" spans="1:8" ht="15.75" customHeight="1" x14ac:dyDescent="0.25">
      <c r="A18" s="27"/>
      <c r="B18" s="28"/>
      <c r="C18" s="28"/>
      <c r="D18" s="28"/>
      <c r="E18" s="28"/>
      <c r="F18" s="28"/>
      <c r="G18" s="29"/>
      <c r="H18" s="1"/>
    </row>
    <row r="19" spans="1:8" ht="15.75" customHeight="1" x14ac:dyDescent="0.25">
      <c r="A19" s="27"/>
      <c r="B19" s="28"/>
      <c r="C19" s="28"/>
      <c r="D19" s="28"/>
      <c r="E19" s="28"/>
      <c r="F19" s="28"/>
      <c r="G19" s="29"/>
      <c r="H19" s="1"/>
    </row>
    <row r="20" spans="1:8" ht="15.75" customHeight="1" x14ac:dyDescent="0.25">
      <c r="A20" s="27"/>
      <c r="B20" s="28"/>
      <c r="C20" s="28"/>
      <c r="D20" s="28"/>
      <c r="E20" s="28"/>
      <c r="F20" s="28"/>
      <c r="G20" s="29"/>
      <c r="H20" s="1"/>
    </row>
    <row r="21" spans="1:8" ht="15.75" customHeight="1" x14ac:dyDescent="0.25">
      <c r="A21" s="27"/>
      <c r="B21" s="28"/>
      <c r="C21" s="28"/>
      <c r="D21" s="28"/>
      <c r="E21" s="28"/>
      <c r="F21" s="28"/>
      <c r="G21" s="29"/>
      <c r="H21" s="1"/>
    </row>
    <row r="22" spans="1:8" ht="15.75" customHeight="1" x14ac:dyDescent="0.25">
      <c r="A22" s="27"/>
      <c r="B22" s="28"/>
      <c r="C22" s="28"/>
      <c r="D22" s="28"/>
      <c r="E22" s="28"/>
      <c r="F22" s="28"/>
      <c r="G22" s="29"/>
      <c r="H22" s="1"/>
    </row>
    <row r="23" spans="1:8" ht="15.75" customHeight="1" x14ac:dyDescent="0.25">
      <c r="A23" s="27"/>
      <c r="B23" s="28"/>
      <c r="C23" s="28"/>
      <c r="D23" s="28"/>
      <c r="E23" s="28"/>
      <c r="F23" s="28"/>
      <c r="G23" s="29"/>
      <c r="H23" s="1"/>
    </row>
    <row r="24" spans="1:8" ht="15.75" customHeight="1" x14ac:dyDescent="0.25">
      <c r="A24" s="27"/>
      <c r="B24" s="28"/>
      <c r="C24" s="28"/>
      <c r="D24" s="28"/>
      <c r="E24" s="28"/>
      <c r="F24" s="28"/>
      <c r="G24" s="29"/>
      <c r="H24" s="1"/>
    </row>
    <row r="25" spans="1:8" ht="15.75" customHeight="1" x14ac:dyDescent="0.25">
      <c r="A25" s="27"/>
      <c r="B25" s="28"/>
      <c r="C25" s="28"/>
      <c r="D25" s="28"/>
      <c r="E25" s="28"/>
      <c r="F25" s="28"/>
      <c r="G25" s="29"/>
      <c r="H25" s="1"/>
    </row>
    <row r="26" spans="1:8" ht="15.75" customHeight="1" x14ac:dyDescent="0.25">
      <c r="A26" s="27"/>
      <c r="B26" s="28"/>
      <c r="C26" s="28"/>
      <c r="D26" s="28"/>
      <c r="E26" s="28"/>
      <c r="F26" s="28"/>
      <c r="G26" s="29"/>
      <c r="H26" s="1"/>
    </row>
    <row r="27" spans="1:8" ht="15.75" customHeight="1" x14ac:dyDescent="0.25">
      <c r="A27" s="27"/>
      <c r="B27" s="28"/>
      <c r="C27" s="28"/>
      <c r="D27" s="28"/>
      <c r="E27" s="28"/>
      <c r="F27" s="28"/>
      <c r="G27" s="29"/>
      <c r="H27" s="1"/>
    </row>
    <row r="28" spans="1:8" ht="15.75" customHeight="1" x14ac:dyDescent="0.25">
      <c r="A28" s="30"/>
      <c r="B28" s="31"/>
      <c r="C28" s="31"/>
      <c r="D28" s="31"/>
      <c r="E28" s="31"/>
      <c r="F28" s="31"/>
      <c r="G28" s="32"/>
    </row>
    <row r="29" spans="1:8" ht="15.75" customHeight="1" x14ac:dyDescent="0.25">
      <c r="A29" s="33" t="s">
        <v>39</v>
      </c>
      <c r="B29" s="34"/>
      <c r="C29" s="34"/>
      <c r="D29" s="34"/>
      <c r="E29" s="34"/>
      <c r="F29" s="34"/>
      <c r="G29" s="35"/>
    </row>
    <row r="30" spans="1:8" ht="15.75" customHeight="1" x14ac:dyDescent="0.25">
      <c r="A30" s="15" t="s">
        <v>40</v>
      </c>
      <c r="B30" s="16"/>
      <c r="C30" s="16"/>
      <c r="D30" s="16"/>
      <c r="E30" s="16"/>
      <c r="F30" s="16"/>
      <c r="G30" s="17"/>
    </row>
    <row r="31" spans="1:8" ht="15.75" customHeight="1" x14ac:dyDescent="0.25">
      <c r="A31" s="18" t="s">
        <v>41</v>
      </c>
      <c r="B31" s="19"/>
      <c r="C31" s="19"/>
      <c r="D31" s="19"/>
      <c r="E31" s="19"/>
      <c r="F31" s="19"/>
      <c r="G31" s="20"/>
    </row>
    <row r="32" spans="1:8" ht="15.75" customHeight="1" x14ac:dyDescent="0.25">
      <c r="A32" s="15" t="s">
        <v>42</v>
      </c>
      <c r="B32" s="16"/>
      <c r="C32" s="16"/>
      <c r="D32" s="16"/>
      <c r="E32" s="16"/>
      <c r="F32" s="16"/>
      <c r="G32" s="17"/>
    </row>
    <row r="33" spans="1:7" ht="15.75" customHeight="1" x14ac:dyDescent="0.25">
      <c r="A33" s="18" t="s">
        <v>43</v>
      </c>
      <c r="B33" s="19"/>
      <c r="C33" s="19"/>
      <c r="D33" s="19"/>
      <c r="E33" s="19"/>
      <c r="F33" s="19"/>
      <c r="G33" s="20"/>
    </row>
    <row r="34" spans="1:7" ht="15.75" customHeight="1" x14ac:dyDescent="0.25">
      <c r="A34" s="15" t="s">
        <v>44</v>
      </c>
      <c r="B34" s="16"/>
      <c r="C34" s="16"/>
      <c r="D34" s="16"/>
      <c r="E34" s="16"/>
      <c r="F34" s="16"/>
      <c r="G34" s="17"/>
    </row>
    <row r="35" spans="1:7" ht="15.75" customHeight="1" x14ac:dyDescent="0.25">
      <c r="A35" s="15" t="s">
        <v>45</v>
      </c>
      <c r="B35" s="16"/>
      <c r="C35" s="16"/>
      <c r="D35" s="16"/>
      <c r="E35" s="16"/>
      <c r="F35" s="16"/>
      <c r="G35" s="17"/>
    </row>
    <row r="36" spans="1:7" ht="15.75" customHeight="1" x14ac:dyDescent="0.25">
      <c r="A36" s="21" t="s">
        <v>49</v>
      </c>
      <c r="B36" s="22"/>
      <c r="C36" s="22"/>
      <c r="D36" s="22"/>
      <c r="E36" s="22"/>
      <c r="F36" s="22"/>
      <c r="G36" s="23"/>
    </row>
    <row r="37" spans="1:7" ht="26.4" x14ac:dyDescent="0.25">
      <c r="A37" s="14" t="s">
        <v>47</v>
      </c>
      <c r="B37" s="36" t="s">
        <v>48</v>
      </c>
      <c r="C37" s="37"/>
      <c r="D37" s="37"/>
      <c r="E37" s="37"/>
      <c r="F37" s="37"/>
      <c r="G37" s="38"/>
    </row>
    <row r="38" spans="1:7" ht="15.75" customHeight="1" x14ac:dyDescent="0.25">
      <c r="A38" s="8"/>
    </row>
  </sheetData>
  <mergeCells count="11">
    <mergeCell ref="A1:G1"/>
    <mergeCell ref="A2:G28"/>
    <mergeCell ref="A29:G29"/>
    <mergeCell ref="A30:G30"/>
    <mergeCell ref="A31:G31"/>
    <mergeCell ref="B37:G37"/>
    <mergeCell ref="A32:G32"/>
    <mergeCell ref="A33:G33"/>
    <mergeCell ref="A34:G34"/>
    <mergeCell ref="A35:G35"/>
    <mergeCell ref="A36:G36"/>
  </mergeCells>
  <hyperlinks>
    <hyperlink ref="A32" r:id="rId1" xr:uid="{38D95CA8-0BFB-4CC6-96A0-8FE3B8D878E0}"/>
    <hyperlink ref="A30" r:id="rId2" xr:uid="{82E1D237-EF72-45A7-AED4-2A31F02DDFCF}"/>
    <hyperlink ref="A34" r:id="rId3" xr:uid="{878CEAAD-211C-491E-939F-B63B02EA5EA4}"/>
    <hyperlink ref="A35" r:id="rId4" xr:uid="{98360A8A-B1E0-4B41-841B-FA90DB96912D}"/>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9"/>
  <sheetViews>
    <sheetView workbookViewId="0">
      <selection activeCell="N34" sqref="N34"/>
    </sheetView>
  </sheetViews>
  <sheetFormatPr defaultColWidth="12.6640625" defaultRowHeight="15.75" customHeight="1" x14ac:dyDescent="0.25"/>
  <cols>
    <col min="1" max="1" width="20.77734375" bestFit="1" customWidth="1"/>
    <col min="2" max="2" width="22.77734375" bestFit="1" customWidth="1"/>
    <col min="3" max="3" width="7.21875" bestFit="1" customWidth="1"/>
    <col min="4" max="4" width="6.88671875" bestFit="1" customWidth="1"/>
    <col min="5" max="5" width="7.6640625" bestFit="1" customWidth="1"/>
    <col min="6" max="6" width="6.6640625" bestFit="1" customWidth="1"/>
    <col min="7" max="7" width="6.44140625" bestFit="1" customWidth="1"/>
    <col min="8" max="8" width="6" bestFit="1" customWidth="1"/>
    <col min="9" max="9" width="10" bestFit="1" customWidth="1"/>
    <col min="10" max="10" width="6.6640625" bestFit="1" customWidth="1"/>
  </cols>
  <sheetData>
    <row r="1" spans="1:10" ht="13.2" x14ac:dyDescent="0.25">
      <c r="A1" s="9" t="s">
        <v>1</v>
      </c>
      <c r="B1" s="9" t="s">
        <v>2</v>
      </c>
      <c r="C1" s="2" t="s">
        <v>3</v>
      </c>
      <c r="D1" s="9" t="s">
        <v>4</v>
      </c>
      <c r="E1" s="9" t="s">
        <v>5</v>
      </c>
      <c r="F1" s="9" t="s">
        <v>6</v>
      </c>
      <c r="G1" s="9" t="s">
        <v>7</v>
      </c>
      <c r="H1" s="9" t="s">
        <v>8</v>
      </c>
      <c r="I1" s="9" t="s">
        <v>9</v>
      </c>
      <c r="J1" s="9" t="s">
        <v>10</v>
      </c>
    </row>
    <row r="2" spans="1:10" ht="13.2" x14ac:dyDescent="0.25">
      <c r="A2" s="1" t="s">
        <v>11</v>
      </c>
      <c r="B2" s="7" t="s">
        <v>12</v>
      </c>
      <c r="C2" s="1" t="s">
        <v>13</v>
      </c>
      <c r="D2">
        <v>7.5</v>
      </c>
      <c r="E2" s="4">
        <f t="shared" ref="E2:E19" si="0">ROUND(AVERAGE($D$2:$D$19),2)</f>
        <v>5.91</v>
      </c>
      <c r="F2" s="4">
        <f t="shared" ref="F2:F19" si="1">ROUND(E2+(2.66*I2),2)</f>
        <v>12.88</v>
      </c>
      <c r="G2" s="5">
        <f t="shared" ref="G2:G19" si="2">ROUND(MAX(0,E2-(2.66*I2)),2)</f>
        <v>0</v>
      </c>
      <c r="H2" s="6"/>
      <c r="I2" s="12">
        <f t="shared" ref="I2:I19" si="3">ROUND(AVERAGE($H$3:$H$19),2)</f>
        <v>2.62</v>
      </c>
      <c r="J2">
        <f t="shared" ref="J2:J19" si="4">ROUND(3.268*I2,2)</f>
        <v>8.56</v>
      </c>
    </row>
    <row r="3" spans="1:10" ht="13.2" x14ac:dyDescent="0.25">
      <c r="A3" s="1" t="s">
        <v>11</v>
      </c>
      <c r="B3" s="7" t="s">
        <v>12</v>
      </c>
      <c r="C3" s="1" t="s">
        <v>14</v>
      </c>
      <c r="D3">
        <v>4.9000000000000004</v>
      </c>
      <c r="E3" s="4">
        <f t="shared" si="0"/>
        <v>5.91</v>
      </c>
      <c r="F3" s="4">
        <f t="shared" si="1"/>
        <v>12.88</v>
      </c>
      <c r="G3" s="5">
        <f t="shared" si="2"/>
        <v>0</v>
      </c>
      <c r="H3" s="6">
        <f>ROUND(ABS(D2-D3),1)</f>
        <v>2.6</v>
      </c>
      <c r="I3" s="12">
        <f t="shared" si="3"/>
        <v>2.62</v>
      </c>
      <c r="J3">
        <f t="shared" si="4"/>
        <v>8.56</v>
      </c>
    </row>
    <row r="4" spans="1:10" ht="13.2" x14ac:dyDescent="0.25">
      <c r="A4" s="1" t="s">
        <v>11</v>
      </c>
      <c r="B4" s="7" t="s">
        <v>12</v>
      </c>
      <c r="C4" s="1" t="s">
        <v>15</v>
      </c>
      <c r="D4">
        <v>8.8000000000000007</v>
      </c>
      <c r="E4" s="4">
        <f t="shared" si="0"/>
        <v>5.91</v>
      </c>
      <c r="F4" s="4">
        <f t="shared" si="1"/>
        <v>12.88</v>
      </c>
      <c r="G4" s="5">
        <f t="shared" si="2"/>
        <v>0</v>
      </c>
      <c r="H4" s="6">
        <f t="shared" ref="H4:H19" si="5">ROUND(ABS(D3-D4),1)</f>
        <v>3.9</v>
      </c>
      <c r="I4" s="12">
        <f t="shared" si="3"/>
        <v>2.62</v>
      </c>
      <c r="J4">
        <f t="shared" si="4"/>
        <v>8.56</v>
      </c>
    </row>
    <row r="5" spans="1:10" ht="13.2" x14ac:dyDescent="0.25">
      <c r="A5" s="1" t="s">
        <v>11</v>
      </c>
      <c r="B5" s="7" t="s">
        <v>12</v>
      </c>
      <c r="C5" s="1" t="s">
        <v>16</v>
      </c>
      <c r="D5">
        <v>8.1</v>
      </c>
      <c r="E5" s="4">
        <f t="shared" si="0"/>
        <v>5.91</v>
      </c>
      <c r="F5" s="4">
        <f t="shared" si="1"/>
        <v>12.88</v>
      </c>
      <c r="G5" s="5">
        <f t="shared" si="2"/>
        <v>0</v>
      </c>
      <c r="H5" s="6">
        <f t="shared" si="5"/>
        <v>0.7</v>
      </c>
      <c r="I5" s="12">
        <f t="shared" si="3"/>
        <v>2.62</v>
      </c>
      <c r="J5">
        <f t="shared" si="4"/>
        <v>8.56</v>
      </c>
    </row>
    <row r="6" spans="1:10" ht="13.2" x14ac:dyDescent="0.25">
      <c r="A6" t="s">
        <v>11</v>
      </c>
      <c r="B6" t="s">
        <v>12</v>
      </c>
      <c r="C6" t="s">
        <v>17</v>
      </c>
      <c r="D6">
        <v>2.2000000000000002</v>
      </c>
      <c r="E6" s="11">
        <f t="shared" si="0"/>
        <v>5.91</v>
      </c>
      <c r="F6" s="4">
        <f t="shared" si="1"/>
        <v>12.88</v>
      </c>
      <c r="G6" s="5">
        <f t="shared" si="2"/>
        <v>0</v>
      </c>
      <c r="H6" s="6">
        <f t="shared" si="5"/>
        <v>5.9</v>
      </c>
      <c r="I6" s="12">
        <f t="shared" si="3"/>
        <v>2.62</v>
      </c>
      <c r="J6">
        <f t="shared" si="4"/>
        <v>8.56</v>
      </c>
    </row>
    <row r="7" spans="1:10" ht="13.2" x14ac:dyDescent="0.25">
      <c r="A7" t="s">
        <v>11</v>
      </c>
      <c r="B7" t="s">
        <v>12</v>
      </c>
      <c r="C7" t="s">
        <v>18</v>
      </c>
      <c r="D7">
        <v>3.6</v>
      </c>
      <c r="E7" s="11">
        <f t="shared" si="0"/>
        <v>5.91</v>
      </c>
      <c r="F7" s="4">
        <f t="shared" si="1"/>
        <v>12.88</v>
      </c>
      <c r="G7" s="5">
        <f t="shared" si="2"/>
        <v>0</v>
      </c>
      <c r="H7" s="6">
        <f t="shared" si="5"/>
        <v>1.4</v>
      </c>
      <c r="I7" s="12">
        <f t="shared" si="3"/>
        <v>2.62</v>
      </c>
      <c r="J7">
        <f t="shared" si="4"/>
        <v>8.56</v>
      </c>
    </row>
    <row r="8" spans="1:10" ht="13.2" x14ac:dyDescent="0.25">
      <c r="A8" t="s">
        <v>11</v>
      </c>
      <c r="B8" t="s">
        <v>12</v>
      </c>
      <c r="C8" t="s">
        <v>19</v>
      </c>
      <c r="D8">
        <v>4.5999999999999996</v>
      </c>
      <c r="E8" s="11">
        <f t="shared" si="0"/>
        <v>5.91</v>
      </c>
      <c r="F8" s="4">
        <f t="shared" si="1"/>
        <v>12.88</v>
      </c>
      <c r="G8" s="5">
        <f t="shared" si="2"/>
        <v>0</v>
      </c>
      <c r="H8" s="6">
        <f t="shared" si="5"/>
        <v>1</v>
      </c>
      <c r="I8" s="12">
        <f t="shared" si="3"/>
        <v>2.62</v>
      </c>
      <c r="J8">
        <f t="shared" si="4"/>
        <v>8.56</v>
      </c>
    </row>
    <row r="9" spans="1:10" ht="13.2" x14ac:dyDescent="0.25">
      <c r="A9" t="s">
        <v>11</v>
      </c>
      <c r="B9" t="s">
        <v>12</v>
      </c>
      <c r="C9" t="s">
        <v>20</v>
      </c>
      <c r="D9">
        <v>4</v>
      </c>
      <c r="E9" s="11">
        <f t="shared" si="0"/>
        <v>5.91</v>
      </c>
      <c r="F9" s="4">
        <f t="shared" si="1"/>
        <v>12.88</v>
      </c>
      <c r="G9" s="5">
        <f t="shared" si="2"/>
        <v>0</v>
      </c>
      <c r="H9" s="6">
        <f t="shared" si="5"/>
        <v>0.6</v>
      </c>
      <c r="I9" s="12">
        <f t="shared" si="3"/>
        <v>2.62</v>
      </c>
      <c r="J9">
        <f t="shared" si="4"/>
        <v>8.56</v>
      </c>
    </row>
    <row r="10" spans="1:10" ht="13.2" x14ac:dyDescent="0.25">
      <c r="A10" t="s">
        <v>11</v>
      </c>
      <c r="B10" t="s">
        <v>12</v>
      </c>
      <c r="C10" t="s">
        <v>21</v>
      </c>
      <c r="D10">
        <v>6.6</v>
      </c>
      <c r="E10" s="11">
        <f t="shared" si="0"/>
        <v>5.91</v>
      </c>
      <c r="F10" s="4">
        <f t="shared" si="1"/>
        <v>12.88</v>
      </c>
      <c r="G10" s="5">
        <f t="shared" si="2"/>
        <v>0</v>
      </c>
      <c r="H10" s="6">
        <f t="shared" si="5"/>
        <v>2.6</v>
      </c>
      <c r="I10" s="12">
        <f t="shared" si="3"/>
        <v>2.62</v>
      </c>
      <c r="J10">
        <f t="shared" si="4"/>
        <v>8.56</v>
      </c>
    </row>
    <row r="11" spans="1:10" ht="13.2" x14ac:dyDescent="0.25">
      <c r="A11" t="s">
        <v>11</v>
      </c>
      <c r="B11" t="s">
        <v>12</v>
      </c>
      <c r="C11" t="s">
        <v>22</v>
      </c>
      <c r="D11">
        <v>3.2</v>
      </c>
      <c r="E11" s="11">
        <f t="shared" si="0"/>
        <v>5.91</v>
      </c>
      <c r="F11" s="4">
        <f t="shared" si="1"/>
        <v>12.88</v>
      </c>
      <c r="G11" s="5">
        <f t="shared" si="2"/>
        <v>0</v>
      </c>
      <c r="H11" s="6">
        <f t="shared" si="5"/>
        <v>3.4</v>
      </c>
      <c r="I11" s="12">
        <f t="shared" si="3"/>
        <v>2.62</v>
      </c>
      <c r="J11">
        <f t="shared" si="4"/>
        <v>8.56</v>
      </c>
    </row>
    <row r="12" spans="1:10" ht="13.2" x14ac:dyDescent="0.25">
      <c r="A12" t="s">
        <v>11</v>
      </c>
      <c r="B12" t="s">
        <v>12</v>
      </c>
      <c r="C12" t="s">
        <v>23</v>
      </c>
      <c r="D12">
        <v>5.3</v>
      </c>
      <c r="E12" s="11">
        <f t="shared" si="0"/>
        <v>5.91</v>
      </c>
      <c r="F12" s="4">
        <f t="shared" si="1"/>
        <v>12.88</v>
      </c>
      <c r="G12" s="5">
        <f t="shared" si="2"/>
        <v>0</v>
      </c>
      <c r="H12" s="6">
        <f t="shared" si="5"/>
        <v>2.1</v>
      </c>
      <c r="I12" s="12">
        <f t="shared" si="3"/>
        <v>2.62</v>
      </c>
      <c r="J12">
        <f t="shared" si="4"/>
        <v>8.56</v>
      </c>
    </row>
    <row r="13" spans="1:10" ht="13.2" x14ac:dyDescent="0.25">
      <c r="A13" t="s">
        <v>11</v>
      </c>
      <c r="B13" t="s">
        <v>12</v>
      </c>
      <c r="C13" t="s">
        <v>24</v>
      </c>
      <c r="D13">
        <v>7.7</v>
      </c>
      <c r="E13" s="11">
        <f t="shared" si="0"/>
        <v>5.91</v>
      </c>
      <c r="F13" s="4">
        <f t="shared" si="1"/>
        <v>12.88</v>
      </c>
      <c r="G13" s="5">
        <f t="shared" si="2"/>
        <v>0</v>
      </c>
      <c r="H13" s="6">
        <f t="shared" si="5"/>
        <v>2.4</v>
      </c>
      <c r="I13" s="12">
        <f t="shared" si="3"/>
        <v>2.62</v>
      </c>
      <c r="J13">
        <f t="shared" si="4"/>
        <v>8.56</v>
      </c>
    </row>
    <row r="14" spans="1:10" ht="13.2" x14ac:dyDescent="0.25">
      <c r="A14" t="s">
        <v>11</v>
      </c>
      <c r="B14" t="s">
        <v>12</v>
      </c>
      <c r="C14" t="s">
        <v>25</v>
      </c>
      <c r="D14">
        <v>5.6</v>
      </c>
      <c r="E14" s="11">
        <f t="shared" si="0"/>
        <v>5.91</v>
      </c>
      <c r="F14" s="4">
        <f t="shared" si="1"/>
        <v>12.88</v>
      </c>
      <c r="G14" s="5">
        <f t="shared" si="2"/>
        <v>0</v>
      </c>
      <c r="H14" s="6">
        <f t="shared" si="5"/>
        <v>2.1</v>
      </c>
      <c r="I14" s="12">
        <f t="shared" si="3"/>
        <v>2.62</v>
      </c>
      <c r="J14">
        <f t="shared" si="4"/>
        <v>8.56</v>
      </c>
    </row>
    <row r="15" spans="1:10" ht="13.2" x14ac:dyDescent="0.25">
      <c r="A15" t="s">
        <v>11</v>
      </c>
      <c r="B15" t="s">
        <v>12</v>
      </c>
      <c r="C15" t="s">
        <v>26</v>
      </c>
      <c r="D15">
        <v>7.5</v>
      </c>
      <c r="E15" s="11">
        <f t="shared" si="0"/>
        <v>5.91</v>
      </c>
      <c r="F15" s="4">
        <f t="shared" si="1"/>
        <v>12.88</v>
      </c>
      <c r="G15" s="5">
        <f t="shared" si="2"/>
        <v>0</v>
      </c>
      <c r="H15" s="6">
        <f t="shared" si="5"/>
        <v>1.9</v>
      </c>
      <c r="I15" s="12">
        <f t="shared" si="3"/>
        <v>2.62</v>
      </c>
      <c r="J15">
        <f t="shared" si="4"/>
        <v>8.56</v>
      </c>
    </row>
    <row r="16" spans="1:10" ht="13.2" x14ac:dyDescent="0.25">
      <c r="A16" t="s">
        <v>11</v>
      </c>
      <c r="B16" t="s">
        <v>12</v>
      </c>
      <c r="C16" t="s">
        <v>27</v>
      </c>
      <c r="D16">
        <v>9.1</v>
      </c>
      <c r="E16" s="11">
        <f t="shared" si="0"/>
        <v>5.91</v>
      </c>
      <c r="F16" s="4">
        <f t="shared" si="1"/>
        <v>12.88</v>
      </c>
      <c r="G16" s="5">
        <f t="shared" si="2"/>
        <v>0</v>
      </c>
      <c r="H16" s="6">
        <f t="shared" si="5"/>
        <v>1.6</v>
      </c>
      <c r="I16" s="12">
        <f t="shared" si="3"/>
        <v>2.62</v>
      </c>
      <c r="J16">
        <f t="shared" si="4"/>
        <v>8.56</v>
      </c>
    </row>
    <row r="17" spans="1:10" ht="13.2" x14ac:dyDescent="0.25">
      <c r="A17" t="s">
        <v>11</v>
      </c>
      <c r="B17" t="s">
        <v>12</v>
      </c>
      <c r="C17" t="s">
        <v>28</v>
      </c>
      <c r="D17">
        <v>3</v>
      </c>
      <c r="E17" s="11">
        <f t="shared" si="0"/>
        <v>5.91</v>
      </c>
      <c r="F17" s="4">
        <f t="shared" si="1"/>
        <v>12.88</v>
      </c>
      <c r="G17" s="5">
        <f t="shared" si="2"/>
        <v>0</v>
      </c>
      <c r="H17" s="6">
        <f t="shared" si="5"/>
        <v>6.1</v>
      </c>
      <c r="I17" s="12">
        <f t="shared" si="3"/>
        <v>2.62</v>
      </c>
      <c r="J17">
        <f t="shared" si="4"/>
        <v>8.56</v>
      </c>
    </row>
    <row r="18" spans="1:10" ht="13.2" x14ac:dyDescent="0.25">
      <c r="A18" t="s">
        <v>11</v>
      </c>
      <c r="B18" t="s">
        <v>12</v>
      </c>
      <c r="C18" t="s">
        <v>29</v>
      </c>
      <c r="D18">
        <v>5.4</v>
      </c>
      <c r="E18" s="11">
        <f t="shared" si="0"/>
        <v>5.91</v>
      </c>
      <c r="F18" s="4">
        <f t="shared" si="1"/>
        <v>12.88</v>
      </c>
      <c r="G18" s="5">
        <f t="shared" si="2"/>
        <v>0</v>
      </c>
      <c r="H18" s="6">
        <f t="shared" si="5"/>
        <v>2.4</v>
      </c>
      <c r="I18" s="12">
        <f t="shared" si="3"/>
        <v>2.62</v>
      </c>
      <c r="J18">
        <f t="shared" si="4"/>
        <v>8.56</v>
      </c>
    </row>
    <row r="19" spans="1:10" ht="13.2" x14ac:dyDescent="0.25">
      <c r="A19" t="s">
        <v>11</v>
      </c>
      <c r="B19" t="s">
        <v>12</v>
      </c>
      <c r="C19" t="s">
        <v>30</v>
      </c>
      <c r="D19">
        <v>9.1999999999999993</v>
      </c>
      <c r="E19" s="11">
        <f t="shared" si="0"/>
        <v>5.91</v>
      </c>
      <c r="F19" s="4">
        <f t="shared" si="1"/>
        <v>12.88</v>
      </c>
      <c r="G19" s="5">
        <f t="shared" si="2"/>
        <v>0</v>
      </c>
      <c r="H19" s="6">
        <f t="shared" si="5"/>
        <v>3.8</v>
      </c>
      <c r="I19" s="12">
        <f t="shared" si="3"/>
        <v>2.62</v>
      </c>
      <c r="J19">
        <f t="shared" si="4"/>
        <v>8.56</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EEDB7-0B7D-42E3-89F5-9D494665B9A7}">
  <sheetPr>
    <outlinePr summaryBelow="0" summaryRight="0"/>
  </sheetPr>
  <dimension ref="A1:J35"/>
  <sheetViews>
    <sheetView workbookViewId="0">
      <selection activeCell="J38" sqref="J38"/>
    </sheetView>
  </sheetViews>
  <sheetFormatPr defaultColWidth="12.6640625" defaultRowHeight="15.75" customHeight="1" x14ac:dyDescent="0.25"/>
  <cols>
    <col min="1" max="1" width="20.88671875" bestFit="1" customWidth="1"/>
    <col min="2" max="2" width="16.109375" bestFit="1" customWidth="1"/>
    <col min="3" max="3" width="7.109375" bestFit="1" customWidth="1"/>
    <col min="4" max="4" width="6.88671875" bestFit="1" customWidth="1"/>
    <col min="5" max="5" width="9.33203125" bestFit="1" customWidth="1"/>
    <col min="6" max="6" width="7.21875" bestFit="1" customWidth="1"/>
    <col min="7" max="7" width="6.44140625" bestFit="1" customWidth="1"/>
    <col min="8" max="8" width="6" bestFit="1" customWidth="1"/>
    <col min="9" max="9" width="10" bestFit="1" customWidth="1"/>
    <col min="10" max="10" width="6.6640625" bestFit="1" customWidth="1"/>
  </cols>
  <sheetData>
    <row r="1" spans="1:10" ht="13.2" x14ac:dyDescent="0.25">
      <c r="A1" s="9" t="s">
        <v>1</v>
      </c>
      <c r="B1" s="9" t="s">
        <v>2</v>
      </c>
      <c r="C1" s="2" t="s">
        <v>3</v>
      </c>
      <c r="D1" s="9" t="s">
        <v>4</v>
      </c>
      <c r="E1" s="9" t="s">
        <v>5</v>
      </c>
      <c r="F1" s="9" t="s">
        <v>6</v>
      </c>
      <c r="G1" s="9" t="s">
        <v>7</v>
      </c>
      <c r="H1" s="9" t="s">
        <v>8</v>
      </c>
      <c r="I1" s="9" t="s">
        <v>9</v>
      </c>
      <c r="J1" s="9" t="s">
        <v>10</v>
      </c>
    </row>
    <row r="2" spans="1:10" ht="13.2" x14ac:dyDescent="0.25">
      <c r="A2" s="1" t="s">
        <v>11</v>
      </c>
      <c r="B2" s="13" t="s">
        <v>12</v>
      </c>
      <c r="C2" s="1" t="s">
        <v>13</v>
      </c>
      <c r="D2">
        <v>7.5</v>
      </c>
      <c r="E2" s="4">
        <f t="shared" ref="E2:E19" si="0">ROUND(AVERAGE($D$2:$D$19),2)</f>
        <v>5.91</v>
      </c>
      <c r="F2" s="4">
        <f t="shared" ref="F2:F19" si="1">ROUND(E2+(2.66*I2),2)</f>
        <v>12.88</v>
      </c>
      <c r="G2" s="5">
        <f t="shared" ref="G2:G19" si="2">ROUND(MAX(0,E2-(2.66*I2)),2)</f>
        <v>0</v>
      </c>
      <c r="H2" s="6"/>
      <c r="I2" s="12">
        <f t="shared" ref="I2:I19" si="3">ROUND(AVERAGE($H$3:$H$19),2)</f>
        <v>2.62</v>
      </c>
      <c r="J2">
        <f t="shared" ref="J2:J19" si="4">ROUND(3.268*I2,2)</f>
        <v>8.56</v>
      </c>
    </row>
    <row r="3" spans="1:10" ht="13.2" x14ac:dyDescent="0.25">
      <c r="A3" s="1" t="s">
        <v>11</v>
      </c>
      <c r="B3" s="13" t="s">
        <v>12</v>
      </c>
      <c r="C3" s="1" t="s">
        <v>14</v>
      </c>
      <c r="D3">
        <v>4.9000000000000004</v>
      </c>
      <c r="E3" s="4">
        <f t="shared" si="0"/>
        <v>5.91</v>
      </c>
      <c r="F3" s="4">
        <f t="shared" si="1"/>
        <v>12.88</v>
      </c>
      <c r="G3" s="5">
        <f t="shared" si="2"/>
        <v>0</v>
      </c>
      <c r="H3" s="6">
        <f>ROUND(ABS(D2-D3),1)</f>
        <v>2.6</v>
      </c>
      <c r="I3" s="12">
        <f t="shared" si="3"/>
        <v>2.62</v>
      </c>
      <c r="J3">
        <f t="shared" si="4"/>
        <v>8.56</v>
      </c>
    </row>
    <row r="4" spans="1:10" ht="13.2" x14ac:dyDescent="0.25">
      <c r="A4" s="1" t="s">
        <v>11</v>
      </c>
      <c r="B4" s="13" t="s">
        <v>12</v>
      </c>
      <c r="C4" s="1" t="s">
        <v>15</v>
      </c>
      <c r="D4">
        <v>8.8000000000000007</v>
      </c>
      <c r="E4" s="4">
        <f t="shared" si="0"/>
        <v>5.91</v>
      </c>
      <c r="F4" s="4">
        <f t="shared" si="1"/>
        <v>12.88</v>
      </c>
      <c r="G4" s="5">
        <f t="shared" si="2"/>
        <v>0</v>
      </c>
      <c r="H4" s="6">
        <f t="shared" ref="H4:H19" si="5">ROUND(ABS(D3-D4),1)</f>
        <v>3.9</v>
      </c>
      <c r="I4" s="12">
        <f t="shared" si="3"/>
        <v>2.62</v>
      </c>
      <c r="J4">
        <f t="shared" si="4"/>
        <v>8.56</v>
      </c>
    </row>
    <row r="5" spans="1:10" ht="13.2" x14ac:dyDescent="0.25">
      <c r="A5" s="1" t="s">
        <v>11</v>
      </c>
      <c r="B5" s="7" t="s">
        <v>12</v>
      </c>
      <c r="C5" s="1" t="s">
        <v>16</v>
      </c>
      <c r="D5">
        <v>8.1</v>
      </c>
      <c r="E5" s="4">
        <f t="shared" si="0"/>
        <v>5.91</v>
      </c>
      <c r="F5" s="4">
        <f t="shared" si="1"/>
        <v>12.88</v>
      </c>
      <c r="G5" s="5">
        <f t="shared" si="2"/>
        <v>0</v>
      </c>
      <c r="H5" s="6">
        <f t="shared" si="5"/>
        <v>0.7</v>
      </c>
      <c r="I5" s="12">
        <f t="shared" si="3"/>
        <v>2.62</v>
      </c>
      <c r="J5">
        <f t="shared" si="4"/>
        <v>8.56</v>
      </c>
    </row>
    <row r="6" spans="1:10" ht="13.2" x14ac:dyDescent="0.25">
      <c r="A6" t="s">
        <v>11</v>
      </c>
      <c r="B6" t="s">
        <v>12</v>
      </c>
      <c r="C6" t="s">
        <v>17</v>
      </c>
      <c r="D6">
        <v>2.2000000000000002</v>
      </c>
      <c r="E6" s="11">
        <f t="shared" si="0"/>
        <v>5.91</v>
      </c>
      <c r="F6" s="4">
        <f t="shared" si="1"/>
        <v>12.88</v>
      </c>
      <c r="G6" s="5">
        <f t="shared" si="2"/>
        <v>0</v>
      </c>
      <c r="H6" s="6">
        <f t="shared" si="5"/>
        <v>5.9</v>
      </c>
      <c r="I6" s="12">
        <f t="shared" si="3"/>
        <v>2.62</v>
      </c>
      <c r="J6">
        <f t="shared" si="4"/>
        <v>8.56</v>
      </c>
    </row>
    <row r="7" spans="1:10" ht="13.2" x14ac:dyDescent="0.25">
      <c r="A7" t="s">
        <v>11</v>
      </c>
      <c r="B7" t="s">
        <v>12</v>
      </c>
      <c r="C7" t="s">
        <v>18</v>
      </c>
      <c r="D7">
        <v>3.6</v>
      </c>
      <c r="E7" s="11">
        <f t="shared" si="0"/>
        <v>5.91</v>
      </c>
      <c r="F7" s="4">
        <f t="shared" si="1"/>
        <v>12.88</v>
      </c>
      <c r="G7" s="5">
        <f t="shared" si="2"/>
        <v>0</v>
      </c>
      <c r="H7" s="6">
        <f t="shared" si="5"/>
        <v>1.4</v>
      </c>
      <c r="I7" s="12">
        <f t="shared" si="3"/>
        <v>2.62</v>
      </c>
      <c r="J7">
        <f t="shared" si="4"/>
        <v>8.56</v>
      </c>
    </row>
    <row r="8" spans="1:10" ht="13.2" x14ac:dyDescent="0.25">
      <c r="A8" t="s">
        <v>11</v>
      </c>
      <c r="B8" t="s">
        <v>12</v>
      </c>
      <c r="C8" t="s">
        <v>19</v>
      </c>
      <c r="D8">
        <v>4.5999999999999996</v>
      </c>
      <c r="E8" s="11">
        <f t="shared" si="0"/>
        <v>5.91</v>
      </c>
      <c r="F8" s="4">
        <f t="shared" si="1"/>
        <v>12.88</v>
      </c>
      <c r="G8" s="5">
        <f t="shared" si="2"/>
        <v>0</v>
      </c>
      <c r="H8" s="6">
        <f t="shared" si="5"/>
        <v>1</v>
      </c>
      <c r="I8" s="12">
        <f t="shared" si="3"/>
        <v>2.62</v>
      </c>
      <c r="J8">
        <f t="shared" si="4"/>
        <v>8.56</v>
      </c>
    </row>
    <row r="9" spans="1:10" ht="13.2" x14ac:dyDescent="0.25">
      <c r="A9" t="s">
        <v>11</v>
      </c>
      <c r="B9" t="s">
        <v>12</v>
      </c>
      <c r="C9" t="s">
        <v>20</v>
      </c>
      <c r="D9">
        <v>4</v>
      </c>
      <c r="E9" s="11">
        <f t="shared" si="0"/>
        <v>5.91</v>
      </c>
      <c r="F9" s="4">
        <f t="shared" si="1"/>
        <v>12.88</v>
      </c>
      <c r="G9" s="5">
        <f t="shared" si="2"/>
        <v>0</v>
      </c>
      <c r="H9" s="6">
        <f t="shared" si="5"/>
        <v>0.6</v>
      </c>
      <c r="I9" s="12">
        <f t="shared" si="3"/>
        <v>2.62</v>
      </c>
      <c r="J9">
        <f t="shared" si="4"/>
        <v>8.56</v>
      </c>
    </row>
    <row r="10" spans="1:10" ht="13.2" x14ac:dyDescent="0.25">
      <c r="A10" t="s">
        <v>11</v>
      </c>
      <c r="B10" t="s">
        <v>12</v>
      </c>
      <c r="C10" t="s">
        <v>21</v>
      </c>
      <c r="D10">
        <v>6.6</v>
      </c>
      <c r="E10" s="11">
        <f t="shared" si="0"/>
        <v>5.91</v>
      </c>
      <c r="F10" s="4">
        <f t="shared" si="1"/>
        <v>12.88</v>
      </c>
      <c r="G10" s="5">
        <f t="shared" si="2"/>
        <v>0</v>
      </c>
      <c r="H10" s="6">
        <f t="shared" si="5"/>
        <v>2.6</v>
      </c>
      <c r="I10" s="12">
        <f t="shared" si="3"/>
        <v>2.62</v>
      </c>
      <c r="J10">
        <f t="shared" si="4"/>
        <v>8.56</v>
      </c>
    </row>
    <row r="11" spans="1:10" ht="13.2" x14ac:dyDescent="0.25">
      <c r="A11" t="s">
        <v>11</v>
      </c>
      <c r="B11" t="s">
        <v>12</v>
      </c>
      <c r="C11" t="s">
        <v>22</v>
      </c>
      <c r="D11">
        <v>3.2</v>
      </c>
      <c r="E11" s="11">
        <f t="shared" si="0"/>
        <v>5.91</v>
      </c>
      <c r="F11" s="4">
        <f t="shared" si="1"/>
        <v>12.88</v>
      </c>
      <c r="G11" s="5">
        <f t="shared" si="2"/>
        <v>0</v>
      </c>
      <c r="H11" s="6">
        <f t="shared" si="5"/>
        <v>3.4</v>
      </c>
      <c r="I11" s="12">
        <f t="shared" si="3"/>
        <v>2.62</v>
      </c>
      <c r="J11">
        <f t="shared" si="4"/>
        <v>8.56</v>
      </c>
    </row>
    <row r="12" spans="1:10" ht="13.2" x14ac:dyDescent="0.25">
      <c r="A12" t="s">
        <v>11</v>
      </c>
      <c r="B12" t="s">
        <v>12</v>
      </c>
      <c r="C12" t="s">
        <v>23</v>
      </c>
      <c r="D12">
        <v>5.3</v>
      </c>
      <c r="E12" s="11">
        <f t="shared" si="0"/>
        <v>5.91</v>
      </c>
      <c r="F12" s="4">
        <f t="shared" si="1"/>
        <v>12.88</v>
      </c>
      <c r="G12" s="5">
        <f t="shared" si="2"/>
        <v>0</v>
      </c>
      <c r="H12" s="6">
        <f t="shared" si="5"/>
        <v>2.1</v>
      </c>
      <c r="I12" s="12">
        <f t="shared" si="3"/>
        <v>2.62</v>
      </c>
      <c r="J12">
        <f t="shared" si="4"/>
        <v>8.56</v>
      </c>
    </row>
    <row r="13" spans="1:10" ht="13.2" x14ac:dyDescent="0.25">
      <c r="A13" t="s">
        <v>11</v>
      </c>
      <c r="B13" t="s">
        <v>12</v>
      </c>
      <c r="C13" t="s">
        <v>24</v>
      </c>
      <c r="D13">
        <v>7.7</v>
      </c>
      <c r="E13" s="11">
        <f t="shared" si="0"/>
        <v>5.91</v>
      </c>
      <c r="F13" s="4">
        <f t="shared" si="1"/>
        <v>12.88</v>
      </c>
      <c r="G13" s="5">
        <f t="shared" si="2"/>
        <v>0</v>
      </c>
      <c r="H13" s="6">
        <f t="shared" si="5"/>
        <v>2.4</v>
      </c>
      <c r="I13" s="12">
        <f t="shared" si="3"/>
        <v>2.62</v>
      </c>
      <c r="J13">
        <f t="shared" si="4"/>
        <v>8.56</v>
      </c>
    </row>
    <row r="14" spans="1:10" ht="13.2" x14ac:dyDescent="0.25">
      <c r="A14" t="s">
        <v>11</v>
      </c>
      <c r="B14" t="s">
        <v>12</v>
      </c>
      <c r="C14" t="s">
        <v>25</v>
      </c>
      <c r="D14">
        <v>5.6</v>
      </c>
      <c r="E14" s="11">
        <f t="shared" si="0"/>
        <v>5.91</v>
      </c>
      <c r="F14" s="4">
        <f t="shared" si="1"/>
        <v>12.88</v>
      </c>
      <c r="G14" s="5">
        <f t="shared" si="2"/>
        <v>0</v>
      </c>
      <c r="H14" s="6">
        <f t="shared" si="5"/>
        <v>2.1</v>
      </c>
      <c r="I14" s="12">
        <f t="shared" si="3"/>
        <v>2.62</v>
      </c>
      <c r="J14">
        <f t="shared" si="4"/>
        <v>8.56</v>
      </c>
    </row>
    <row r="15" spans="1:10" ht="13.2" x14ac:dyDescent="0.25">
      <c r="A15" t="s">
        <v>11</v>
      </c>
      <c r="B15" t="s">
        <v>12</v>
      </c>
      <c r="C15" t="s">
        <v>26</v>
      </c>
      <c r="D15">
        <v>7.5</v>
      </c>
      <c r="E15" s="11">
        <f t="shared" si="0"/>
        <v>5.91</v>
      </c>
      <c r="F15" s="4">
        <f t="shared" si="1"/>
        <v>12.88</v>
      </c>
      <c r="G15" s="5">
        <f t="shared" si="2"/>
        <v>0</v>
      </c>
      <c r="H15" s="6">
        <f t="shared" si="5"/>
        <v>1.9</v>
      </c>
      <c r="I15" s="12">
        <f t="shared" si="3"/>
        <v>2.62</v>
      </c>
      <c r="J15">
        <f t="shared" si="4"/>
        <v>8.56</v>
      </c>
    </row>
    <row r="16" spans="1:10" ht="13.2" x14ac:dyDescent="0.25">
      <c r="A16" t="s">
        <v>11</v>
      </c>
      <c r="B16" t="s">
        <v>12</v>
      </c>
      <c r="C16" t="s">
        <v>27</v>
      </c>
      <c r="D16">
        <v>9.1</v>
      </c>
      <c r="E16" s="11">
        <f t="shared" si="0"/>
        <v>5.91</v>
      </c>
      <c r="F16" s="4">
        <f t="shared" si="1"/>
        <v>12.88</v>
      </c>
      <c r="G16" s="5">
        <f t="shared" si="2"/>
        <v>0</v>
      </c>
      <c r="H16" s="6">
        <f t="shared" si="5"/>
        <v>1.6</v>
      </c>
      <c r="I16" s="12">
        <f t="shared" si="3"/>
        <v>2.62</v>
      </c>
      <c r="J16">
        <f t="shared" si="4"/>
        <v>8.56</v>
      </c>
    </row>
    <row r="17" spans="1:10" ht="13.2" x14ac:dyDescent="0.25">
      <c r="A17" t="s">
        <v>11</v>
      </c>
      <c r="B17" t="s">
        <v>12</v>
      </c>
      <c r="C17" t="s">
        <v>28</v>
      </c>
      <c r="D17">
        <v>3</v>
      </c>
      <c r="E17" s="11">
        <f t="shared" si="0"/>
        <v>5.91</v>
      </c>
      <c r="F17" s="4">
        <f t="shared" si="1"/>
        <v>12.88</v>
      </c>
      <c r="G17" s="5">
        <f t="shared" si="2"/>
        <v>0</v>
      </c>
      <c r="H17" s="6">
        <f t="shared" si="5"/>
        <v>6.1</v>
      </c>
      <c r="I17" s="12">
        <f t="shared" si="3"/>
        <v>2.62</v>
      </c>
      <c r="J17">
        <f t="shared" si="4"/>
        <v>8.56</v>
      </c>
    </row>
    <row r="18" spans="1:10" ht="13.2" x14ac:dyDescent="0.25">
      <c r="A18" t="s">
        <v>11</v>
      </c>
      <c r="B18" t="s">
        <v>12</v>
      </c>
      <c r="C18" t="s">
        <v>29</v>
      </c>
      <c r="D18">
        <v>5.4</v>
      </c>
      <c r="E18" s="11">
        <f t="shared" si="0"/>
        <v>5.91</v>
      </c>
      <c r="F18" s="4">
        <f t="shared" si="1"/>
        <v>12.88</v>
      </c>
      <c r="G18" s="5">
        <f t="shared" si="2"/>
        <v>0</v>
      </c>
      <c r="H18" s="6">
        <f t="shared" si="5"/>
        <v>2.4</v>
      </c>
      <c r="I18" s="12">
        <f t="shared" si="3"/>
        <v>2.62</v>
      </c>
      <c r="J18">
        <f t="shared" si="4"/>
        <v>8.56</v>
      </c>
    </row>
    <row r="19" spans="1:10" ht="13.2" x14ac:dyDescent="0.25">
      <c r="A19" t="s">
        <v>11</v>
      </c>
      <c r="B19" t="s">
        <v>12</v>
      </c>
      <c r="C19" t="s">
        <v>30</v>
      </c>
      <c r="D19">
        <v>9.1999999999999993</v>
      </c>
      <c r="E19" s="11">
        <f t="shared" si="0"/>
        <v>5.91</v>
      </c>
      <c r="F19" s="4">
        <f t="shared" si="1"/>
        <v>12.88</v>
      </c>
      <c r="G19" s="5">
        <f t="shared" si="2"/>
        <v>0</v>
      </c>
      <c r="H19" s="6">
        <f t="shared" si="5"/>
        <v>3.8</v>
      </c>
      <c r="I19" s="12">
        <f t="shared" si="3"/>
        <v>2.62</v>
      </c>
      <c r="J19">
        <f t="shared" si="4"/>
        <v>8.56</v>
      </c>
    </row>
    <row r="21" spans="1:10" ht="13.2" x14ac:dyDescent="0.25">
      <c r="A21" t="s">
        <v>1</v>
      </c>
      <c r="B21" t="s">
        <v>2</v>
      </c>
      <c r="C21" t="s">
        <v>3</v>
      </c>
      <c r="D21" t="s">
        <v>4</v>
      </c>
      <c r="E21" s="10" t="s">
        <v>5</v>
      </c>
      <c r="F21" s="10" t="s">
        <v>6</v>
      </c>
      <c r="G21" s="10" t="s">
        <v>7</v>
      </c>
      <c r="H21" s="10" t="s">
        <v>8</v>
      </c>
      <c r="I21" s="10" t="s">
        <v>9</v>
      </c>
      <c r="J21" s="10" t="s">
        <v>10</v>
      </c>
    </row>
    <row r="22" spans="1:10" ht="13.2" x14ac:dyDescent="0.25">
      <c r="A22" t="s">
        <v>11</v>
      </c>
      <c r="B22" t="s">
        <v>31</v>
      </c>
      <c r="C22" t="s">
        <v>32</v>
      </c>
      <c r="D22">
        <v>7.8</v>
      </c>
      <c r="E22">
        <f t="shared" ref="E22:E27" si="6">ROUND(AVERAGE($D$22:$D$27),2)</f>
        <v>9.85</v>
      </c>
      <c r="F22">
        <f t="shared" ref="F22:F27" si="7">ROUND(E22+(2.66*I22),2)</f>
        <v>21.23</v>
      </c>
      <c r="G22">
        <f t="shared" ref="G22:G27" si="8">ROUND(MAX(0,E22-(2.66*I22)),2)</f>
        <v>0</v>
      </c>
      <c r="I22">
        <f t="shared" ref="I22:I27" si="9">ROUND(AVERAGE($H$23:$H$27),2)</f>
        <v>4.28</v>
      </c>
      <c r="J22">
        <f t="shared" ref="J22:J27" si="10">ROUND(3.268*I22,2)</f>
        <v>13.99</v>
      </c>
    </row>
    <row r="23" spans="1:10" ht="13.2" x14ac:dyDescent="0.25">
      <c r="A23" t="s">
        <v>11</v>
      </c>
      <c r="B23" t="s">
        <v>31</v>
      </c>
      <c r="C23" t="s">
        <v>33</v>
      </c>
      <c r="D23">
        <v>15.8</v>
      </c>
      <c r="E23">
        <f t="shared" si="6"/>
        <v>9.85</v>
      </c>
      <c r="F23">
        <f t="shared" si="7"/>
        <v>21.23</v>
      </c>
      <c r="G23">
        <f t="shared" si="8"/>
        <v>0</v>
      </c>
      <c r="H23">
        <f t="shared" ref="H23:H27" si="11">ROUND(ABS(D22-D23),2)</f>
        <v>8</v>
      </c>
      <c r="I23">
        <f t="shared" si="9"/>
        <v>4.28</v>
      </c>
      <c r="J23">
        <f t="shared" si="10"/>
        <v>13.99</v>
      </c>
    </row>
    <row r="24" spans="1:10" ht="13.2" x14ac:dyDescent="0.25">
      <c r="A24" t="s">
        <v>11</v>
      </c>
      <c r="B24" t="s">
        <v>31</v>
      </c>
      <c r="C24" t="s">
        <v>34</v>
      </c>
      <c r="D24">
        <v>9</v>
      </c>
      <c r="E24">
        <f t="shared" si="6"/>
        <v>9.85</v>
      </c>
      <c r="F24">
        <f t="shared" si="7"/>
        <v>21.23</v>
      </c>
      <c r="G24">
        <f t="shared" si="8"/>
        <v>0</v>
      </c>
      <c r="H24">
        <f t="shared" si="11"/>
        <v>6.8</v>
      </c>
      <c r="I24">
        <f t="shared" si="9"/>
        <v>4.28</v>
      </c>
      <c r="J24">
        <f t="shared" si="10"/>
        <v>13.99</v>
      </c>
    </row>
    <row r="25" spans="1:10" ht="13.2" x14ac:dyDescent="0.25">
      <c r="A25" t="s">
        <v>11</v>
      </c>
      <c r="B25" t="s">
        <v>31</v>
      </c>
      <c r="C25" t="s">
        <v>35</v>
      </c>
      <c r="D25">
        <v>8.1999999999999993</v>
      </c>
      <c r="E25">
        <f t="shared" si="6"/>
        <v>9.85</v>
      </c>
      <c r="F25">
        <f t="shared" si="7"/>
        <v>21.23</v>
      </c>
      <c r="G25">
        <f t="shared" si="8"/>
        <v>0</v>
      </c>
      <c r="H25">
        <f t="shared" si="11"/>
        <v>0.8</v>
      </c>
      <c r="I25">
        <f t="shared" si="9"/>
        <v>4.28</v>
      </c>
      <c r="J25">
        <f t="shared" si="10"/>
        <v>13.99</v>
      </c>
    </row>
    <row r="26" spans="1:10" ht="13.2" x14ac:dyDescent="0.25">
      <c r="A26" t="s">
        <v>11</v>
      </c>
      <c r="B26" t="s">
        <v>31</v>
      </c>
      <c r="C26" t="s">
        <v>36</v>
      </c>
      <c r="D26">
        <v>6.9</v>
      </c>
      <c r="E26">
        <f t="shared" si="6"/>
        <v>9.85</v>
      </c>
      <c r="F26">
        <f t="shared" si="7"/>
        <v>21.23</v>
      </c>
      <c r="G26">
        <f t="shared" si="8"/>
        <v>0</v>
      </c>
      <c r="H26">
        <f t="shared" si="11"/>
        <v>1.3</v>
      </c>
      <c r="I26">
        <f t="shared" si="9"/>
        <v>4.28</v>
      </c>
      <c r="J26">
        <f t="shared" si="10"/>
        <v>13.99</v>
      </c>
    </row>
    <row r="27" spans="1:10" ht="13.2" x14ac:dyDescent="0.25">
      <c r="A27" t="s">
        <v>11</v>
      </c>
      <c r="B27" t="s">
        <v>31</v>
      </c>
      <c r="C27" t="s">
        <v>37</v>
      </c>
      <c r="D27">
        <v>11.4</v>
      </c>
      <c r="E27">
        <f t="shared" si="6"/>
        <v>9.85</v>
      </c>
      <c r="F27">
        <f t="shared" si="7"/>
        <v>21.23</v>
      </c>
      <c r="G27">
        <f t="shared" si="8"/>
        <v>0</v>
      </c>
      <c r="H27">
        <f t="shared" si="11"/>
        <v>4.5</v>
      </c>
      <c r="I27">
        <f t="shared" si="9"/>
        <v>4.28</v>
      </c>
      <c r="J27">
        <f t="shared" si="10"/>
        <v>13.99</v>
      </c>
    </row>
    <row r="29" spans="1:10" ht="13.2" x14ac:dyDescent="0.25">
      <c r="A29" t="s">
        <v>1</v>
      </c>
      <c r="B29" t="s">
        <v>2</v>
      </c>
      <c r="C29" t="s">
        <v>3</v>
      </c>
      <c r="D29" t="s">
        <v>4</v>
      </c>
      <c r="E29" s="10" t="s">
        <v>5</v>
      </c>
      <c r="F29" s="10" t="s">
        <v>6</v>
      </c>
      <c r="G29" s="10" t="s">
        <v>7</v>
      </c>
      <c r="H29" s="10" t="s">
        <v>8</v>
      </c>
      <c r="I29" s="10" t="s">
        <v>9</v>
      </c>
      <c r="J29" s="10" t="s">
        <v>10</v>
      </c>
    </row>
    <row r="30" spans="1:10" ht="13.2" x14ac:dyDescent="0.25">
      <c r="A30" t="s">
        <v>11</v>
      </c>
      <c r="B30" t="s">
        <v>38</v>
      </c>
      <c r="C30" t="s">
        <v>32</v>
      </c>
      <c r="D30">
        <v>3.5</v>
      </c>
      <c r="E30">
        <f t="shared" ref="E30:E35" si="12">ROUND(AVERAGE($D$30:$D$35),2)</f>
        <v>3.99</v>
      </c>
      <c r="F30">
        <f t="shared" ref="F30:F35" si="13">ROUND(E30+(2.66*I30),2)</f>
        <v>9.39</v>
      </c>
      <c r="G30">
        <f t="shared" ref="G30:G35" si="14">ROUND(MAX(0,E30-(2.66*I30)),2)</f>
        <v>0</v>
      </c>
      <c r="I30">
        <f t="shared" ref="I30:I35" si="15">ROUND(AVERAGE($H$31:$H$35),2)</f>
        <v>2.0299999999999998</v>
      </c>
      <c r="J30">
        <f t="shared" ref="J30:J35" si="16">ROUND(3.268*I30,2)</f>
        <v>6.63</v>
      </c>
    </row>
    <row r="31" spans="1:10" ht="13.2" x14ac:dyDescent="0.25">
      <c r="A31" t="s">
        <v>11</v>
      </c>
      <c r="B31" t="s">
        <v>38</v>
      </c>
      <c r="C31" t="s">
        <v>33</v>
      </c>
      <c r="D31">
        <v>7.5</v>
      </c>
      <c r="E31">
        <f t="shared" si="12"/>
        <v>3.99</v>
      </c>
      <c r="F31">
        <f t="shared" si="13"/>
        <v>9.39</v>
      </c>
      <c r="G31">
        <f t="shared" si="14"/>
        <v>0</v>
      </c>
      <c r="H31">
        <f t="shared" ref="H31:H35" si="17">ROUND(ABS(D30-D31),2)</f>
        <v>4</v>
      </c>
      <c r="I31">
        <f t="shared" si="15"/>
        <v>2.0299999999999998</v>
      </c>
      <c r="J31">
        <f t="shared" si="16"/>
        <v>6.63</v>
      </c>
    </row>
    <row r="32" spans="1:10" ht="13.2" x14ac:dyDescent="0.25">
      <c r="A32" t="s">
        <v>11</v>
      </c>
      <c r="B32" t="s">
        <v>38</v>
      </c>
      <c r="C32" t="s">
        <v>34</v>
      </c>
      <c r="D32">
        <v>5.9</v>
      </c>
      <c r="E32">
        <f t="shared" si="12"/>
        <v>3.99</v>
      </c>
      <c r="F32">
        <f t="shared" si="13"/>
        <v>9.39</v>
      </c>
      <c r="G32">
        <f t="shared" si="14"/>
        <v>0</v>
      </c>
      <c r="H32">
        <f t="shared" si="17"/>
        <v>1.6</v>
      </c>
      <c r="I32">
        <f t="shared" si="15"/>
        <v>2.0299999999999998</v>
      </c>
      <c r="J32">
        <f t="shared" si="16"/>
        <v>6.63</v>
      </c>
    </row>
    <row r="33" spans="1:10" ht="13.2" x14ac:dyDescent="0.25">
      <c r="A33" t="s">
        <v>11</v>
      </c>
      <c r="B33" t="s">
        <v>38</v>
      </c>
      <c r="C33" t="s">
        <v>35</v>
      </c>
      <c r="D33">
        <v>2.2999999999999998</v>
      </c>
      <c r="E33">
        <f t="shared" si="12"/>
        <v>3.99</v>
      </c>
      <c r="F33">
        <f t="shared" si="13"/>
        <v>9.39</v>
      </c>
      <c r="G33">
        <f t="shared" si="14"/>
        <v>0</v>
      </c>
      <c r="H33">
        <f t="shared" si="17"/>
        <v>3.6</v>
      </c>
      <c r="I33">
        <f t="shared" si="15"/>
        <v>2.0299999999999998</v>
      </c>
      <c r="J33">
        <f t="shared" si="16"/>
        <v>6.63</v>
      </c>
    </row>
    <row r="34" spans="1:10" ht="13.2" x14ac:dyDescent="0.25">
      <c r="A34" t="s">
        <v>11</v>
      </c>
      <c r="B34" t="s">
        <v>38</v>
      </c>
      <c r="C34" t="s">
        <v>36</v>
      </c>
      <c r="D34">
        <v>2.0299999999999998</v>
      </c>
      <c r="E34">
        <f t="shared" si="12"/>
        <v>3.99</v>
      </c>
      <c r="F34">
        <f t="shared" si="13"/>
        <v>9.39</v>
      </c>
      <c r="G34">
        <f t="shared" si="14"/>
        <v>0</v>
      </c>
      <c r="H34">
        <f t="shared" si="17"/>
        <v>0.27</v>
      </c>
      <c r="I34">
        <f t="shared" si="15"/>
        <v>2.0299999999999998</v>
      </c>
      <c r="J34">
        <f t="shared" si="16"/>
        <v>6.63</v>
      </c>
    </row>
    <row r="35" spans="1:10" ht="13.2" x14ac:dyDescent="0.25">
      <c r="A35" t="s">
        <v>11</v>
      </c>
      <c r="B35" t="s">
        <v>38</v>
      </c>
      <c r="C35" t="s">
        <v>37</v>
      </c>
      <c r="D35">
        <v>2.7</v>
      </c>
      <c r="E35">
        <f t="shared" si="12"/>
        <v>3.99</v>
      </c>
      <c r="F35">
        <f t="shared" si="13"/>
        <v>9.39</v>
      </c>
      <c r="G35">
        <f t="shared" si="14"/>
        <v>0</v>
      </c>
      <c r="H35">
        <f t="shared" si="17"/>
        <v>0.67</v>
      </c>
      <c r="I35">
        <f t="shared" si="15"/>
        <v>2.0299999999999998</v>
      </c>
      <c r="J35">
        <f t="shared" si="16"/>
        <v>6.63</v>
      </c>
    </row>
  </sheetData>
  <pageMargins left="0.7" right="0.7" top="0.75" bottom="0.75"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10B30-AD01-43F4-989F-1C0BDA7C999E}">
  <sheetPr>
    <outlinePr summaryBelow="0" summaryRight="0"/>
  </sheetPr>
  <dimension ref="A1:J35"/>
  <sheetViews>
    <sheetView workbookViewId="0">
      <selection activeCell="O34" sqref="O34"/>
    </sheetView>
  </sheetViews>
  <sheetFormatPr defaultColWidth="12.6640625" defaultRowHeight="15.75" customHeight="1" x14ac:dyDescent="0.25"/>
  <cols>
    <col min="1" max="1" width="20.88671875" bestFit="1" customWidth="1"/>
    <col min="2" max="2" width="16.109375" bestFit="1" customWidth="1"/>
    <col min="3" max="3" width="7.109375" bestFit="1" customWidth="1"/>
    <col min="4" max="4" width="6.88671875" bestFit="1" customWidth="1"/>
    <col min="5" max="5" width="9.33203125" bestFit="1" customWidth="1"/>
    <col min="6" max="6" width="7.21875" bestFit="1" customWidth="1"/>
    <col min="7" max="7" width="6.44140625" bestFit="1" customWidth="1"/>
    <col min="8" max="8" width="6" bestFit="1" customWidth="1"/>
    <col min="9" max="9" width="10" bestFit="1" customWidth="1"/>
    <col min="10" max="10" width="6.6640625" bestFit="1" customWidth="1"/>
  </cols>
  <sheetData>
    <row r="1" spans="1:10" ht="13.2" x14ac:dyDescent="0.25">
      <c r="A1" s="9" t="s">
        <v>1</v>
      </c>
      <c r="B1" s="9" t="s">
        <v>2</v>
      </c>
      <c r="C1" s="2" t="s">
        <v>3</v>
      </c>
      <c r="D1" s="9" t="s">
        <v>4</v>
      </c>
      <c r="E1" s="9" t="s">
        <v>5</v>
      </c>
      <c r="F1" s="9" t="s">
        <v>6</v>
      </c>
      <c r="G1" s="9" t="s">
        <v>7</v>
      </c>
      <c r="H1" s="9" t="s">
        <v>8</v>
      </c>
      <c r="I1" s="9" t="s">
        <v>9</v>
      </c>
      <c r="J1" s="9" t="s">
        <v>10</v>
      </c>
    </row>
    <row r="2" spans="1:10" ht="13.2" x14ac:dyDescent="0.25">
      <c r="A2" s="1" t="s">
        <v>11</v>
      </c>
      <c r="B2" s="13" t="s">
        <v>12</v>
      </c>
      <c r="C2" s="1" t="s">
        <v>13</v>
      </c>
      <c r="D2">
        <v>7.5</v>
      </c>
      <c r="E2" s="4">
        <f t="shared" ref="E2:E19" si="0">ROUND(AVERAGE($D$2:$D$19),2)</f>
        <v>5.91</v>
      </c>
      <c r="F2" s="4">
        <f t="shared" ref="F2:F19" si="1">ROUND(E2+(2.66*I2),2)</f>
        <v>12.88</v>
      </c>
      <c r="G2" s="5">
        <f t="shared" ref="G2:G19" si="2">ROUND(MAX(0,E2-(2.66*I2)),2)</f>
        <v>0</v>
      </c>
      <c r="H2" s="6"/>
      <c r="I2" s="12">
        <f t="shared" ref="I2:I19" si="3">ROUND(AVERAGE($H$3:$H$19),2)</f>
        <v>2.62</v>
      </c>
      <c r="J2">
        <f t="shared" ref="J2:J19" si="4">ROUND(3.268*I2,2)</f>
        <v>8.56</v>
      </c>
    </row>
    <row r="3" spans="1:10" ht="13.2" x14ac:dyDescent="0.25">
      <c r="A3" s="1" t="s">
        <v>11</v>
      </c>
      <c r="B3" s="13" t="s">
        <v>12</v>
      </c>
      <c r="C3" s="1" t="s">
        <v>14</v>
      </c>
      <c r="D3">
        <v>4.9000000000000004</v>
      </c>
      <c r="E3" s="4">
        <f t="shared" si="0"/>
        <v>5.91</v>
      </c>
      <c r="F3" s="4">
        <f t="shared" si="1"/>
        <v>12.88</v>
      </c>
      <c r="G3" s="5">
        <f t="shared" si="2"/>
        <v>0</v>
      </c>
      <c r="H3" s="6">
        <f>ROUND(ABS(D2-D3),1)</f>
        <v>2.6</v>
      </c>
      <c r="I3" s="12">
        <f t="shared" si="3"/>
        <v>2.62</v>
      </c>
      <c r="J3">
        <f t="shared" si="4"/>
        <v>8.56</v>
      </c>
    </row>
    <row r="4" spans="1:10" ht="13.2" x14ac:dyDescent="0.25">
      <c r="A4" s="1" t="s">
        <v>11</v>
      </c>
      <c r="B4" s="13" t="s">
        <v>12</v>
      </c>
      <c r="C4" s="1" t="s">
        <v>15</v>
      </c>
      <c r="D4">
        <v>8.8000000000000007</v>
      </c>
      <c r="E4" s="4">
        <f t="shared" si="0"/>
        <v>5.91</v>
      </c>
      <c r="F4" s="4">
        <f t="shared" si="1"/>
        <v>12.88</v>
      </c>
      <c r="G4" s="5">
        <f t="shared" si="2"/>
        <v>0</v>
      </c>
      <c r="H4" s="6">
        <f t="shared" ref="H4:H19" si="5">ROUND(ABS(D3-D4),1)</f>
        <v>3.9</v>
      </c>
      <c r="I4" s="12">
        <f t="shared" si="3"/>
        <v>2.62</v>
      </c>
      <c r="J4">
        <f t="shared" si="4"/>
        <v>8.56</v>
      </c>
    </row>
    <row r="5" spans="1:10" ht="13.2" x14ac:dyDescent="0.25">
      <c r="A5" s="1" t="s">
        <v>11</v>
      </c>
      <c r="B5" s="7" t="s">
        <v>12</v>
      </c>
      <c r="C5" s="1" t="s">
        <v>16</v>
      </c>
      <c r="D5">
        <v>8.1</v>
      </c>
      <c r="E5" s="4">
        <f t="shared" si="0"/>
        <v>5.91</v>
      </c>
      <c r="F5" s="4">
        <f t="shared" si="1"/>
        <v>12.88</v>
      </c>
      <c r="G5" s="5">
        <f t="shared" si="2"/>
        <v>0</v>
      </c>
      <c r="H5" s="6">
        <f t="shared" si="5"/>
        <v>0.7</v>
      </c>
      <c r="I5" s="12">
        <f t="shared" si="3"/>
        <v>2.62</v>
      </c>
      <c r="J5">
        <f t="shared" si="4"/>
        <v>8.56</v>
      </c>
    </row>
    <row r="6" spans="1:10" ht="13.2" x14ac:dyDescent="0.25">
      <c r="A6" t="s">
        <v>11</v>
      </c>
      <c r="B6" t="s">
        <v>12</v>
      </c>
      <c r="C6" t="s">
        <v>17</v>
      </c>
      <c r="D6">
        <v>2.2000000000000002</v>
      </c>
      <c r="E6" s="11">
        <f t="shared" si="0"/>
        <v>5.91</v>
      </c>
      <c r="F6" s="4">
        <f t="shared" si="1"/>
        <v>12.88</v>
      </c>
      <c r="G6" s="5">
        <f t="shared" si="2"/>
        <v>0</v>
      </c>
      <c r="H6" s="6">
        <f t="shared" si="5"/>
        <v>5.9</v>
      </c>
      <c r="I6" s="12">
        <f t="shared" si="3"/>
        <v>2.62</v>
      </c>
      <c r="J6">
        <f t="shared" si="4"/>
        <v>8.56</v>
      </c>
    </row>
    <row r="7" spans="1:10" ht="13.2" x14ac:dyDescent="0.25">
      <c r="A7" t="s">
        <v>11</v>
      </c>
      <c r="B7" t="s">
        <v>12</v>
      </c>
      <c r="C7" t="s">
        <v>18</v>
      </c>
      <c r="D7">
        <v>3.6</v>
      </c>
      <c r="E7" s="11">
        <f t="shared" si="0"/>
        <v>5.91</v>
      </c>
      <c r="F7" s="4">
        <f t="shared" si="1"/>
        <v>12.88</v>
      </c>
      <c r="G7" s="5">
        <f t="shared" si="2"/>
        <v>0</v>
      </c>
      <c r="H7" s="6">
        <f t="shared" si="5"/>
        <v>1.4</v>
      </c>
      <c r="I7" s="12">
        <f t="shared" si="3"/>
        <v>2.62</v>
      </c>
      <c r="J7">
        <f t="shared" si="4"/>
        <v>8.56</v>
      </c>
    </row>
    <row r="8" spans="1:10" ht="13.2" x14ac:dyDescent="0.25">
      <c r="A8" t="s">
        <v>11</v>
      </c>
      <c r="B8" t="s">
        <v>12</v>
      </c>
      <c r="C8" t="s">
        <v>19</v>
      </c>
      <c r="D8">
        <v>4.5999999999999996</v>
      </c>
      <c r="E8" s="11">
        <f t="shared" si="0"/>
        <v>5.91</v>
      </c>
      <c r="F8" s="4">
        <f t="shared" si="1"/>
        <v>12.88</v>
      </c>
      <c r="G8" s="5">
        <f t="shared" si="2"/>
        <v>0</v>
      </c>
      <c r="H8" s="6">
        <f t="shared" si="5"/>
        <v>1</v>
      </c>
      <c r="I8" s="12">
        <f t="shared" si="3"/>
        <v>2.62</v>
      </c>
      <c r="J8">
        <f t="shared" si="4"/>
        <v>8.56</v>
      </c>
    </row>
    <row r="9" spans="1:10" ht="13.2" x14ac:dyDescent="0.25">
      <c r="A9" t="s">
        <v>11</v>
      </c>
      <c r="B9" t="s">
        <v>12</v>
      </c>
      <c r="C9" t="s">
        <v>20</v>
      </c>
      <c r="D9">
        <v>4</v>
      </c>
      <c r="E9" s="11">
        <f t="shared" si="0"/>
        <v>5.91</v>
      </c>
      <c r="F9" s="4">
        <f t="shared" si="1"/>
        <v>12.88</v>
      </c>
      <c r="G9" s="5">
        <f t="shared" si="2"/>
        <v>0</v>
      </c>
      <c r="H9" s="6">
        <f t="shared" si="5"/>
        <v>0.6</v>
      </c>
      <c r="I9" s="12">
        <f t="shared" si="3"/>
        <v>2.62</v>
      </c>
      <c r="J9">
        <f t="shared" si="4"/>
        <v>8.56</v>
      </c>
    </row>
    <row r="10" spans="1:10" ht="13.2" x14ac:dyDescent="0.25">
      <c r="A10" t="s">
        <v>11</v>
      </c>
      <c r="B10" t="s">
        <v>12</v>
      </c>
      <c r="C10" t="s">
        <v>21</v>
      </c>
      <c r="D10">
        <v>6.6</v>
      </c>
      <c r="E10" s="11">
        <f t="shared" si="0"/>
        <v>5.91</v>
      </c>
      <c r="F10" s="4">
        <f t="shared" si="1"/>
        <v>12.88</v>
      </c>
      <c r="G10" s="5">
        <f t="shared" si="2"/>
        <v>0</v>
      </c>
      <c r="H10" s="6">
        <f t="shared" si="5"/>
        <v>2.6</v>
      </c>
      <c r="I10" s="12">
        <f t="shared" si="3"/>
        <v>2.62</v>
      </c>
      <c r="J10">
        <f t="shared" si="4"/>
        <v>8.56</v>
      </c>
    </row>
    <row r="11" spans="1:10" ht="13.2" x14ac:dyDescent="0.25">
      <c r="A11" t="s">
        <v>11</v>
      </c>
      <c r="B11" t="s">
        <v>12</v>
      </c>
      <c r="C11" t="s">
        <v>22</v>
      </c>
      <c r="D11">
        <v>3.2</v>
      </c>
      <c r="E11" s="11">
        <f t="shared" si="0"/>
        <v>5.91</v>
      </c>
      <c r="F11" s="4">
        <f t="shared" si="1"/>
        <v>12.88</v>
      </c>
      <c r="G11" s="5">
        <f t="shared" si="2"/>
        <v>0</v>
      </c>
      <c r="H11" s="6">
        <f t="shared" si="5"/>
        <v>3.4</v>
      </c>
      <c r="I11" s="12">
        <f t="shared" si="3"/>
        <v>2.62</v>
      </c>
      <c r="J11">
        <f t="shared" si="4"/>
        <v>8.56</v>
      </c>
    </row>
    <row r="12" spans="1:10" ht="13.2" x14ac:dyDescent="0.25">
      <c r="A12" t="s">
        <v>11</v>
      </c>
      <c r="B12" t="s">
        <v>12</v>
      </c>
      <c r="C12" t="s">
        <v>23</v>
      </c>
      <c r="D12">
        <v>5.3</v>
      </c>
      <c r="E12" s="11">
        <f t="shared" si="0"/>
        <v>5.91</v>
      </c>
      <c r="F12" s="4">
        <f t="shared" si="1"/>
        <v>12.88</v>
      </c>
      <c r="G12" s="5">
        <f t="shared" si="2"/>
        <v>0</v>
      </c>
      <c r="H12" s="6">
        <f t="shared" si="5"/>
        <v>2.1</v>
      </c>
      <c r="I12" s="12">
        <f t="shared" si="3"/>
        <v>2.62</v>
      </c>
      <c r="J12">
        <f t="shared" si="4"/>
        <v>8.56</v>
      </c>
    </row>
    <row r="13" spans="1:10" ht="13.2" x14ac:dyDescent="0.25">
      <c r="A13" t="s">
        <v>11</v>
      </c>
      <c r="B13" t="s">
        <v>12</v>
      </c>
      <c r="C13" t="s">
        <v>24</v>
      </c>
      <c r="D13">
        <v>7.7</v>
      </c>
      <c r="E13" s="11">
        <f t="shared" si="0"/>
        <v>5.91</v>
      </c>
      <c r="F13" s="4">
        <f t="shared" si="1"/>
        <v>12.88</v>
      </c>
      <c r="G13" s="5">
        <f t="shared" si="2"/>
        <v>0</v>
      </c>
      <c r="H13" s="6">
        <f t="shared" si="5"/>
        <v>2.4</v>
      </c>
      <c r="I13" s="12">
        <f t="shared" si="3"/>
        <v>2.62</v>
      </c>
      <c r="J13">
        <f t="shared" si="4"/>
        <v>8.56</v>
      </c>
    </row>
    <row r="14" spans="1:10" ht="13.2" x14ac:dyDescent="0.25">
      <c r="A14" t="s">
        <v>11</v>
      </c>
      <c r="B14" t="s">
        <v>12</v>
      </c>
      <c r="C14" t="s">
        <v>25</v>
      </c>
      <c r="D14">
        <v>5.6</v>
      </c>
      <c r="E14" s="11">
        <f t="shared" si="0"/>
        <v>5.91</v>
      </c>
      <c r="F14" s="4">
        <f t="shared" si="1"/>
        <v>12.88</v>
      </c>
      <c r="G14" s="5">
        <f t="shared" si="2"/>
        <v>0</v>
      </c>
      <c r="H14" s="6">
        <f t="shared" si="5"/>
        <v>2.1</v>
      </c>
      <c r="I14" s="12">
        <f t="shared" si="3"/>
        <v>2.62</v>
      </c>
      <c r="J14">
        <f t="shared" si="4"/>
        <v>8.56</v>
      </c>
    </row>
    <row r="15" spans="1:10" ht="13.2" x14ac:dyDescent="0.25">
      <c r="A15" t="s">
        <v>11</v>
      </c>
      <c r="B15" t="s">
        <v>12</v>
      </c>
      <c r="C15" t="s">
        <v>26</v>
      </c>
      <c r="D15">
        <v>7.5</v>
      </c>
      <c r="E15" s="11">
        <f t="shared" si="0"/>
        <v>5.91</v>
      </c>
      <c r="F15" s="4">
        <f t="shared" si="1"/>
        <v>12.88</v>
      </c>
      <c r="G15" s="5">
        <f t="shared" si="2"/>
        <v>0</v>
      </c>
      <c r="H15" s="6">
        <f t="shared" si="5"/>
        <v>1.9</v>
      </c>
      <c r="I15" s="12">
        <f t="shared" si="3"/>
        <v>2.62</v>
      </c>
      <c r="J15">
        <f t="shared" si="4"/>
        <v>8.56</v>
      </c>
    </row>
    <row r="16" spans="1:10" ht="13.2" x14ac:dyDescent="0.25">
      <c r="A16" t="s">
        <v>11</v>
      </c>
      <c r="B16" t="s">
        <v>12</v>
      </c>
      <c r="C16" t="s">
        <v>27</v>
      </c>
      <c r="D16">
        <v>9.1</v>
      </c>
      <c r="E16" s="11">
        <f t="shared" si="0"/>
        <v>5.91</v>
      </c>
      <c r="F16" s="4">
        <f t="shared" si="1"/>
        <v>12.88</v>
      </c>
      <c r="G16" s="5">
        <f t="shared" si="2"/>
        <v>0</v>
      </c>
      <c r="H16" s="6">
        <f t="shared" si="5"/>
        <v>1.6</v>
      </c>
      <c r="I16" s="12">
        <f t="shared" si="3"/>
        <v>2.62</v>
      </c>
      <c r="J16">
        <f t="shared" si="4"/>
        <v>8.56</v>
      </c>
    </row>
    <row r="17" spans="1:10" ht="13.2" x14ac:dyDescent="0.25">
      <c r="A17" t="s">
        <v>11</v>
      </c>
      <c r="B17" t="s">
        <v>12</v>
      </c>
      <c r="C17" t="s">
        <v>28</v>
      </c>
      <c r="D17">
        <v>3</v>
      </c>
      <c r="E17" s="11">
        <f t="shared" si="0"/>
        <v>5.91</v>
      </c>
      <c r="F17" s="4">
        <f t="shared" si="1"/>
        <v>12.88</v>
      </c>
      <c r="G17" s="5">
        <f t="shared" si="2"/>
        <v>0</v>
      </c>
      <c r="H17" s="6">
        <f t="shared" si="5"/>
        <v>6.1</v>
      </c>
      <c r="I17" s="12">
        <f t="shared" si="3"/>
        <v>2.62</v>
      </c>
      <c r="J17">
        <f t="shared" si="4"/>
        <v>8.56</v>
      </c>
    </row>
    <row r="18" spans="1:10" ht="13.2" x14ac:dyDescent="0.25">
      <c r="A18" t="s">
        <v>11</v>
      </c>
      <c r="B18" t="s">
        <v>12</v>
      </c>
      <c r="C18" t="s">
        <v>29</v>
      </c>
      <c r="D18">
        <v>5.4</v>
      </c>
      <c r="E18" s="11">
        <f t="shared" si="0"/>
        <v>5.91</v>
      </c>
      <c r="F18" s="4">
        <f t="shared" si="1"/>
        <v>12.88</v>
      </c>
      <c r="G18" s="5">
        <f t="shared" si="2"/>
        <v>0</v>
      </c>
      <c r="H18" s="6">
        <f t="shared" si="5"/>
        <v>2.4</v>
      </c>
      <c r="I18" s="12">
        <f t="shared" si="3"/>
        <v>2.62</v>
      </c>
      <c r="J18">
        <f t="shared" si="4"/>
        <v>8.56</v>
      </c>
    </row>
    <row r="19" spans="1:10" ht="13.2" x14ac:dyDescent="0.25">
      <c r="A19" t="s">
        <v>11</v>
      </c>
      <c r="B19" t="s">
        <v>12</v>
      </c>
      <c r="C19" t="s">
        <v>30</v>
      </c>
      <c r="D19">
        <v>9.1999999999999993</v>
      </c>
      <c r="E19" s="11">
        <f t="shared" si="0"/>
        <v>5.91</v>
      </c>
      <c r="F19" s="4">
        <f t="shared" si="1"/>
        <v>12.88</v>
      </c>
      <c r="G19" s="5">
        <f t="shared" si="2"/>
        <v>0</v>
      </c>
      <c r="H19" s="6">
        <f t="shared" si="5"/>
        <v>3.8</v>
      </c>
      <c r="I19" s="12">
        <f t="shared" si="3"/>
        <v>2.62</v>
      </c>
      <c r="J19">
        <f t="shared" si="4"/>
        <v>8.56</v>
      </c>
    </row>
    <row r="21" spans="1:10" ht="13.2" x14ac:dyDescent="0.25">
      <c r="A21" t="s">
        <v>1</v>
      </c>
      <c r="B21" t="s">
        <v>2</v>
      </c>
      <c r="C21" t="s">
        <v>3</v>
      </c>
      <c r="D21" t="s">
        <v>4</v>
      </c>
      <c r="E21" s="10" t="s">
        <v>5</v>
      </c>
      <c r="F21" s="10" t="s">
        <v>6</v>
      </c>
      <c r="G21" s="10" t="s">
        <v>7</v>
      </c>
      <c r="H21" s="10" t="s">
        <v>8</v>
      </c>
      <c r="I21" s="10" t="s">
        <v>9</v>
      </c>
      <c r="J21" s="10" t="s">
        <v>10</v>
      </c>
    </row>
    <row r="22" spans="1:10" ht="13.2" x14ac:dyDescent="0.25">
      <c r="A22" t="s">
        <v>11</v>
      </c>
      <c r="B22" t="s">
        <v>31</v>
      </c>
      <c r="C22" t="s">
        <v>32</v>
      </c>
      <c r="D22">
        <v>7.8</v>
      </c>
      <c r="E22">
        <f t="shared" ref="E22:E27" si="6">ROUND(AVERAGE($D$22:$D$27),2)</f>
        <v>9.85</v>
      </c>
      <c r="F22">
        <f t="shared" ref="F22:F27" si="7">ROUND(E22+(2.66*I22),2)</f>
        <v>21.23</v>
      </c>
      <c r="G22">
        <f t="shared" ref="G22:G27" si="8">ROUND(MAX(0,E22-(2.66*I22)),2)</f>
        <v>0</v>
      </c>
      <c r="I22">
        <f t="shared" ref="I22:I27" si="9">ROUND(AVERAGE($H$23:$H$27),2)</f>
        <v>4.28</v>
      </c>
      <c r="J22">
        <f t="shared" ref="J22:J27" si="10">ROUND(3.268*I22,2)</f>
        <v>13.99</v>
      </c>
    </row>
    <row r="23" spans="1:10" ht="13.2" x14ac:dyDescent="0.25">
      <c r="A23" t="s">
        <v>11</v>
      </c>
      <c r="B23" t="s">
        <v>31</v>
      </c>
      <c r="C23" t="s">
        <v>33</v>
      </c>
      <c r="D23">
        <v>15.8</v>
      </c>
      <c r="E23">
        <f t="shared" si="6"/>
        <v>9.85</v>
      </c>
      <c r="F23">
        <f t="shared" si="7"/>
        <v>21.23</v>
      </c>
      <c r="G23">
        <f t="shared" si="8"/>
        <v>0</v>
      </c>
      <c r="H23">
        <f t="shared" ref="H23:H27" si="11">ROUND(ABS(D22-D23),2)</f>
        <v>8</v>
      </c>
      <c r="I23">
        <f t="shared" si="9"/>
        <v>4.28</v>
      </c>
      <c r="J23">
        <f t="shared" si="10"/>
        <v>13.99</v>
      </c>
    </row>
    <row r="24" spans="1:10" ht="13.2" x14ac:dyDescent="0.25">
      <c r="A24" t="s">
        <v>11</v>
      </c>
      <c r="B24" t="s">
        <v>31</v>
      </c>
      <c r="C24" t="s">
        <v>34</v>
      </c>
      <c r="D24">
        <v>9</v>
      </c>
      <c r="E24">
        <f t="shared" si="6"/>
        <v>9.85</v>
      </c>
      <c r="F24">
        <f t="shared" si="7"/>
        <v>21.23</v>
      </c>
      <c r="G24">
        <f t="shared" si="8"/>
        <v>0</v>
      </c>
      <c r="H24">
        <f t="shared" si="11"/>
        <v>6.8</v>
      </c>
      <c r="I24">
        <f t="shared" si="9"/>
        <v>4.28</v>
      </c>
      <c r="J24">
        <f t="shared" si="10"/>
        <v>13.99</v>
      </c>
    </row>
    <row r="25" spans="1:10" ht="13.2" x14ac:dyDescent="0.25">
      <c r="A25" t="s">
        <v>11</v>
      </c>
      <c r="B25" t="s">
        <v>31</v>
      </c>
      <c r="C25" t="s">
        <v>35</v>
      </c>
      <c r="D25">
        <v>8.1999999999999993</v>
      </c>
      <c r="E25">
        <f t="shared" si="6"/>
        <v>9.85</v>
      </c>
      <c r="F25">
        <f t="shared" si="7"/>
        <v>21.23</v>
      </c>
      <c r="G25">
        <f t="shared" si="8"/>
        <v>0</v>
      </c>
      <c r="H25">
        <f t="shared" si="11"/>
        <v>0.8</v>
      </c>
      <c r="I25">
        <f t="shared" si="9"/>
        <v>4.28</v>
      </c>
      <c r="J25">
        <f t="shared" si="10"/>
        <v>13.99</v>
      </c>
    </row>
    <row r="26" spans="1:10" ht="13.2" x14ac:dyDescent="0.25">
      <c r="A26" t="s">
        <v>11</v>
      </c>
      <c r="B26" t="s">
        <v>31</v>
      </c>
      <c r="C26" t="s">
        <v>36</v>
      </c>
      <c r="D26">
        <v>6.9</v>
      </c>
      <c r="E26">
        <f t="shared" si="6"/>
        <v>9.85</v>
      </c>
      <c r="F26">
        <f t="shared" si="7"/>
        <v>21.23</v>
      </c>
      <c r="G26">
        <f t="shared" si="8"/>
        <v>0</v>
      </c>
      <c r="H26">
        <f t="shared" si="11"/>
        <v>1.3</v>
      </c>
      <c r="I26">
        <f t="shared" si="9"/>
        <v>4.28</v>
      </c>
      <c r="J26">
        <f t="shared" si="10"/>
        <v>13.99</v>
      </c>
    </row>
    <row r="27" spans="1:10" ht="13.2" x14ac:dyDescent="0.25">
      <c r="A27" t="s">
        <v>11</v>
      </c>
      <c r="B27" t="s">
        <v>31</v>
      </c>
      <c r="C27" t="s">
        <v>37</v>
      </c>
      <c r="D27">
        <v>11.4</v>
      </c>
      <c r="E27">
        <f t="shared" si="6"/>
        <v>9.85</v>
      </c>
      <c r="F27">
        <f t="shared" si="7"/>
        <v>21.23</v>
      </c>
      <c r="G27">
        <f t="shared" si="8"/>
        <v>0</v>
      </c>
      <c r="H27">
        <f t="shared" si="11"/>
        <v>4.5</v>
      </c>
      <c r="I27">
        <f t="shared" si="9"/>
        <v>4.28</v>
      </c>
      <c r="J27">
        <f t="shared" si="10"/>
        <v>13.99</v>
      </c>
    </row>
    <row r="29" spans="1:10" ht="13.2" x14ac:dyDescent="0.25">
      <c r="A29" t="s">
        <v>1</v>
      </c>
      <c r="B29" t="s">
        <v>2</v>
      </c>
      <c r="C29" t="s">
        <v>3</v>
      </c>
      <c r="D29" t="s">
        <v>4</v>
      </c>
      <c r="E29" s="10" t="s">
        <v>5</v>
      </c>
      <c r="F29" s="10" t="s">
        <v>6</v>
      </c>
      <c r="G29" s="10" t="s">
        <v>7</v>
      </c>
      <c r="H29" s="10" t="s">
        <v>8</v>
      </c>
      <c r="I29" s="10" t="s">
        <v>9</v>
      </c>
      <c r="J29" s="10" t="s">
        <v>10</v>
      </c>
    </row>
    <row r="30" spans="1:10" ht="13.2" x14ac:dyDescent="0.25">
      <c r="A30" t="s">
        <v>11</v>
      </c>
      <c r="B30" t="s">
        <v>38</v>
      </c>
      <c r="C30" t="s">
        <v>32</v>
      </c>
      <c r="D30">
        <v>3.5</v>
      </c>
      <c r="E30">
        <f t="shared" ref="E30:E35" si="12">ROUND(AVERAGE($D$30:$D$35),2)</f>
        <v>3.99</v>
      </c>
      <c r="F30">
        <f t="shared" ref="F30:F35" si="13">ROUND(E30+(2.66*I30),2)</f>
        <v>9.39</v>
      </c>
      <c r="G30">
        <f t="shared" ref="G30:G35" si="14">ROUND(MAX(0,E30-(2.66*I30)),2)</f>
        <v>0</v>
      </c>
      <c r="I30">
        <f t="shared" ref="I30:I35" si="15">ROUND(AVERAGE($H$31:$H$35),2)</f>
        <v>2.0299999999999998</v>
      </c>
      <c r="J30">
        <f t="shared" ref="J30:J35" si="16">ROUND(3.268*I30,2)</f>
        <v>6.63</v>
      </c>
    </row>
    <row r="31" spans="1:10" ht="13.2" x14ac:dyDescent="0.25">
      <c r="A31" t="s">
        <v>11</v>
      </c>
      <c r="B31" t="s">
        <v>38</v>
      </c>
      <c r="C31" t="s">
        <v>33</v>
      </c>
      <c r="D31">
        <v>7.5</v>
      </c>
      <c r="E31">
        <f t="shared" si="12"/>
        <v>3.99</v>
      </c>
      <c r="F31">
        <f t="shared" si="13"/>
        <v>9.39</v>
      </c>
      <c r="G31">
        <f t="shared" si="14"/>
        <v>0</v>
      </c>
      <c r="H31">
        <f t="shared" ref="H31:H35" si="17">ROUND(ABS(D30-D31),2)</f>
        <v>4</v>
      </c>
      <c r="I31">
        <f t="shared" si="15"/>
        <v>2.0299999999999998</v>
      </c>
      <c r="J31">
        <f t="shared" si="16"/>
        <v>6.63</v>
      </c>
    </row>
    <row r="32" spans="1:10" ht="13.2" x14ac:dyDescent="0.25">
      <c r="A32" t="s">
        <v>11</v>
      </c>
      <c r="B32" t="s">
        <v>38</v>
      </c>
      <c r="C32" t="s">
        <v>34</v>
      </c>
      <c r="D32">
        <v>5.9</v>
      </c>
      <c r="E32">
        <f t="shared" si="12"/>
        <v>3.99</v>
      </c>
      <c r="F32">
        <f t="shared" si="13"/>
        <v>9.39</v>
      </c>
      <c r="G32">
        <f t="shared" si="14"/>
        <v>0</v>
      </c>
      <c r="H32">
        <f t="shared" si="17"/>
        <v>1.6</v>
      </c>
      <c r="I32">
        <f t="shared" si="15"/>
        <v>2.0299999999999998</v>
      </c>
      <c r="J32">
        <f t="shared" si="16"/>
        <v>6.63</v>
      </c>
    </row>
    <row r="33" spans="1:10" ht="13.2" x14ac:dyDescent="0.25">
      <c r="A33" t="s">
        <v>11</v>
      </c>
      <c r="B33" t="s">
        <v>38</v>
      </c>
      <c r="C33" t="s">
        <v>35</v>
      </c>
      <c r="D33">
        <v>2.2999999999999998</v>
      </c>
      <c r="E33">
        <f t="shared" si="12"/>
        <v>3.99</v>
      </c>
      <c r="F33">
        <f t="shared" si="13"/>
        <v>9.39</v>
      </c>
      <c r="G33">
        <f t="shared" si="14"/>
        <v>0</v>
      </c>
      <c r="H33">
        <f t="shared" si="17"/>
        <v>3.6</v>
      </c>
      <c r="I33">
        <f t="shared" si="15"/>
        <v>2.0299999999999998</v>
      </c>
      <c r="J33">
        <f t="shared" si="16"/>
        <v>6.63</v>
      </c>
    </row>
    <row r="34" spans="1:10" ht="13.2" x14ac:dyDescent="0.25">
      <c r="A34" t="s">
        <v>11</v>
      </c>
      <c r="B34" t="s">
        <v>38</v>
      </c>
      <c r="C34" t="s">
        <v>36</v>
      </c>
      <c r="D34">
        <v>2.0299999999999998</v>
      </c>
      <c r="E34">
        <f t="shared" si="12"/>
        <v>3.99</v>
      </c>
      <c r="F34">
        <f t="shared" si="13"/>
        <v>9.39</v>
      </c>
      <c r="G34">
        <f t="shared" si="14"/>
        <v>0</v>
      </c>
      <c r="H34">
        <f t="shared" si="17"/>
        <v>0.27</v>
      </c>
      <c r="I34">
        <f t="shared" si="15"/>
        <v>2.0299999999999998</v>
      </c>
      <c r="J34">
        <f t="shared" si="16"/>
        <v>6.63</v>
      </c>
    </row>
    <row r="35" spans="1:10" ht="13.2" x14ac:dyDescent="0.25">
      <c r="A35" t="s">
        <v>11</v>
      </c>
      <c r="B35" t="s">
        <v>38</v>
      </c>
      <c r="C35" t="s">
        <v>37</v>
      </c>
      <c r="D35">
        <v>2.7</v>
      </c>
      <c r="E35">
        <f t="shared" si="12"/>
        <v>3.99</v>
      </c>
      <c r="F35">
        <f t="shared" si="13"/>
        <v>9.39</v>
      </c>
      <c r="G35">
        <f t="shared" si="14"/>
        <v>0</v>
      </c>
      <c r="H35">
        <f t="shared" si="17"/>
        <v>0.67</v>
      </c>
      <c r="I35">
        <f t="shared" si="15"/>
        <v>2.0299999999999998</v>
      </c>
      <c r="J35">
        <f t="shared" si="16"/>
        <v>6.63</v>
      </c>
    </row>
  </sheetData>
  <pageMargins left="0.7" right="0.7" top="0.75" bottom="0.75" header="0.3" footer="0.3"/>
  <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31"/>
  <sheetViews>
    <sheetView showGridLines="0" workbookViewId="0">
      <selection activeCell="K12" sqref="K12"/>
    </sheetView>
  </sheetViews>
  <sheetFormatPr defaultColWidth="12.6640625" defaultRowHeight="15.75" customHeight="1" x14ac:dyDescent="0.25"/>
  <cols>
    <col min="1" max="1" width="20.77734375" bestFit="1" customWidth="1"/>
    <col min="2" max="2" width="22.77734375" bestFit="1" customWidth="1"/>
    <col min="3" max="3" width="7.21875" bestFit="1" customWidth="1"/>
    <col min="4" max="4" width="8.5546875" bestFit="1" customWidth="1"/>
    <col min="5" max="5" width="9.33203125" bestFit="1" customWidth="1"/>
    <col min="6" max="6" width="7.21875" bestFit="1" customWidth="1"/>
    <col min="7" max="7" width="19.44140625" customWidth="1"/>
    <col min="8" max="8" width="4.77734375" customWidth="1"/>
    <col min="9" max="9" width="4.44140625" customWidth="1"/>
  </cols>
  <sheetData>
    <row r="1" spans="1:9" ht="13.2" x14ac:dyDescent="0.25">
      <c r="A1" s="9" t="s">
        <v>1</v>
      </c>
      <c r="B1" s="9" t="s">
        <v>2</v>
      </c>
      <c r="C1" s="9" t="s">
        <v>3</v>
      </c>
      <c r="D1" s="9" t="s">
        <v>50</v>
      </c>
      <c r="E1" s="9" t="s">
        <v>51</v>
      </c>
      <c r="F1" s="9" t="s">
        <v>4</v>
      </c>
      <c r="G1" s="2"/>
      <c r="H1" s="3"/>
      <c r="I1" s="3"/>
    </row>
    <row r="2" spans="1:9" ht="13.2" x14ac:dyDescent="0.25">
      <c r="A2" s="39" t="s">
        <v>11</v>
      </c>
      <c r="B2" s="41" t="s">
        <v>12</v>
      </c>
      <c r="C2">
        <v>1823</v>
      </c>
      <c r="D2">
        <v>2872</v>
      </c>
      <c r="E2">
        <v>214</v>
      </c>
      <c r="F2">
        <v>7.5</v>
      </c>
      <c r="G2" s="2"/>
      <c r="H2" s="3"/>
      <c r="I2" s="3"/>
    </row>
    <row r="3" spans="1:9" ht="13.2" x14ac:dyDescent="0.25">
      <c r="A3" s="39" t="s">
        <v>11</v>
      </c>
      <c r="B3" s="41" t="s">
        <v>12</v>
      </c>
      <c r="C3">
        <v>1824</v>
      </c>
      <c r="D3">
        <v>2911</v>
      </c>
      <c r="E3">
        <v>144</v>
      </c>
      <c r="F3">
        <v>4.9000000000000004</v>
      </c>
      <c r="G3" s="2"/>
      <c r="H3" s="3"/>
      <c r="I3" s="3"/>
    </row>
    <row r="4" spans="1:9" ht="13.2" x14ac:dyDescent="0.25">
      <c r="A4" s="39" t="s">
        <v>11</v>
      </c>
      <c r="B4" s="41" t="s">
        <v>12</v>
      </c>
      <c r="C4">
        <v>1825</v>
      </c>
      <c r="D4">
        <v>2594</v>
      </c>
      <c r="E4">
        <v>229</v>
      </c>
      <c r="F4">
        <v>8.8000000000000007</v>
      </c>
      <c r="G4" s="2"/>
      <c r="H4" s="3"/>
      <c r="I4" s="3"/>
    </row>
    <row r="5" spans="1:9" ht="13.2" x14ac:dyDescent="0.25">
      <c r="A5" s="39" t="s">
        <v>11</v>
      </c>
      <c r="B5" s="41" t="s">
        <v>12</v>
      </c>
      <c r="C5">
        <v>1826</v>
      </c>
      <c r="D5">
        <v>2359</v>
      </c>
      <c r="E5">
        <v>192</v>
      </c>
      <c r="F5">
        <v>8.1</v>
      </c>
      <c r="G5" s="2"/>
      <c r="H5" s="3"/>
      <c r="I5" s="3"/>
    </row>
    <row r="6" spans="1:9" ht="13.2" x14ac:dyDescent="0.25">
      <c r="A6" s="39" t="s">
        <v>11</v>
      </c>
      <c r="B6" s="41" t="s">
        <v>12</v>
      </c>
      <c r="C6">
        <v>1827</v>
      </c>
      <c r="D6">
        <v>2367</v>
      </c>
      <c r="E6">
        <v>51</v>
      </c>
      <c r="F6">
        <v>2.2000000000000002</v>
      </c>
      <c r="G6" s="2"/>
      <c r="H6" s="3"/>
      <c r="I6" s="3"/>
    </row>
    <row r="7" spans="1:9" ht="13.2" x14ac:dyDescent="0.25">
      <c r="A7" s="39" t="s">
        <v>11</v>
      </c>
      <c r="B7" s="41" t="s">
        <v>12</v>
      </c>
      <c r="C7">
        <v>1828</v>
      </c>
      <c r="D7">
        <v>2833</v>
      </c>
      <c r="E7">
        <v>101</v>
      </c>
      <c r="F7">
        <v>3.6</v>
      </c>
      <c r="G7" s="2"/>
      <c r="H7" s="3"/>
      <c r="I7" s="3"/>
    </row>
    <row r="8" spans="1:9" ht="13.2" x14ac:dyDescent="0.25">
      <c r="A8" s="39" t="s">
        <v>11</v>
      </c>
      <c r="B8" s="41" t="s">
        <v>12</v>
      </c>
      <c r="C8">
        <v>1829</v>
      </c>
      <c r="D8">
        <v>3012</v>
      </c>
      <c r="E8">
        <v>140</v>
      </c>
      <c r="F8">
        <v>4.5999999999999996</v>
      </c>
      <c r="G8" s="2"/>
      <c r="H8" s="3"/>
      <c r="I8" s="3"/>
    </row>
    <row r="9" spans="1:9" ht="13.2" x14ac:dyDescent="0.25">
      <c r="A9" s="39" t="s">
        <v>11</v>
      </c>
      <c r="B9" s="41" t="s">
        <v>12</v>
      </c>
      <c r="C9">
        <v>1830</v>
      </c>
      <c r="D9">
        <v>2797</v>
      </c>
      <c r="E9">
        <v>111</v>
      </c>
      <c r="F9">
        <v>4</v>
      </c>
      <c r="G9" s="2"/>
      <c r="H9" s="3"/>
      <c r="I9" s="3"/>
    </row>
    <row r="10" spans="1:9" ht="13.2" x14ac:dyDescent="0.25">
      <c r="A10" s="39" t="s">
        <v>11</v>
      </c>
      <c r="B10" s="41" t="s">
        <v>12</v>
      </c>
      <c r="C10">
        <v>1831</v>
      </c>
      <c r="D10">
        <v>3353</v>
      </c>
      <c r="E10">
        <v>222</v>
      </c>
      <c r="F10">
        <v>6.6</v>
      </c>
      <c r="G10" s="2"/>
      <c r="H10" s="3"/>
      <c r="I10" s="3"/>
    </row>
    <row r="11" spans="1:9" ht="13.2" x14ac:dyDescent="0.25">
      <c r="A11" s="39" t="s">
        <v>11</v>
      </c>
      <c r="B11" s="41" t="s">
        <v>12</v>
      </c>
      <c r="C11">
        <v>1832</v>
      </c>
      <c r="D11">
        <v>3331</v>
      </c>
      <c r="E11">
        <v>105</v>
      </c>
      <c r="F11">
        <v>3.2</v>
      </c>
      <c r="G11" s="2"/>
      <c r="H11" s="3"/>
      <c r="I11" s="3"/>
    </row>
    <row r="12" spans="1:9" ht="13.2" x14ac:dyDescent="0.25">
      <c r="A12" s="39" t="s">
        <v>11</v>
      </c>
      <c r="B12" s="41" t="s">
        <v>12</v>
      </c>
      <c r="C12">
        <v>1833</v>
      </c>
      <c r="D12">
        <v>3737</v>
      </c>
      <c r="E12">
        <v>197</v>
      </c>
      <c r="F12">
        <v>5.3</v>
      </c>
      <c r="G12" s="2"/>
      <c r="H12" s="3"/>
      <c r="I12" s="3"/>
    </row>
    <row r="13" spans="1:9" ht="13.2" x14ac:dyDescent="0.25">
      <c r="A13" s="39" t="s">
        <v>11</v>
      </c>
      <c r="B13" s="41" t="s">
        <v>12</v>
      </c>
      <c r="C13">
        <v>1834</v>
      </c>
      <c r="D13">
        <v>2657</v>
      </c>
      <c r="E13">
        <v>205</v>
      </c>
      <c r="F13">
        <v>7.7</v>
      </c>
      <c r="G13" s="2"/>
      <c r="H13" s="3"/>
      <c r="I13" s="3"/>
    </row>
    <row r="14" spans="1:9" ht="13.2" x14ac:dyDescent="0.25">
      <c r="A14" s="39" t="s">
        <v>11</v>
      </c>
      <c r="B14" s="41" t="s">
        <v>12</v>
      </c>
      <c r="C14">
        <v>1835</v>
      </c>
      <c r="D14">
        <v>2573</v>
      </c>
      <c r="E14">
        <v>143</v>
      </c>
      <c r="F14">
        <v>5.6</v>
      </c>
      <c r="G14" s="2"/>
      <c r="H14" s="3"/>
      <c r="I14" s="3"/>
    </row>
    <row r="15" spans="1:9" ht="13.2" x14ac:dyDescent="0.25">
      <c r="A15" s="39" t="s">
        <v>11</v>
      </c>
      <c r="B15" s="41" t="s">
        <v>12</v>
      </c>
      <c r="C15">
        <v>1836</v>
      </c>
      <c r="D15">
        <v>2677</v>
      </c>
      <c r="E15">
        <v>200</v>
      </c>
      <c r="F15">
        <v>7.5</v>
      </c>
      <c r="G15" s="2"/>
      <c r="H15" s="3"/>
      <c r="I15" s="3"/>
    </row>
    <row r="16" spans="1:9" ht="13.2" x14ac:dyDescent="0.25">
      <c r="A16" s="39" t="s">
        <v>11</v>
      </c>
      <c r="B16" s="41" t="s">
        <v>12</v>
      </c>
      <c r="C16">
        <v>1837</v>
      </c>
      <c r="D16">
        <v>2765</v>
      </c>
      <c r="E16">
        <v>251</v>
      </c>
      <c r="F16">
        <v>9.1</v>
      </c>
      <c r="G16" s="2"/>
      <c r="H16" s="3"/>
      <c r="I16" s="3"/>
    </row>
    <row r="17" spans="1:9" ht="13.2" x14ac:dyDescent="0.25">
      <c r="A17" s="39" t="s">
        <v>11</v>
      </c>
      <c r="B17" s="41" t="s">
        <v>12</v>
      </c>
      <c r="C17">
        <v>1838</v>
      </c>
      <c r="D17">
        <v>2987</v>
      </c>
      <c r="E17">
        <v>91</v>
      </c>
      <c r="F17">
        <v>3</v>
      </c>
      <c r="G17" s="2"/>
      <c r="H17" s="3"/>
      <c r="I17" s="3"/>
    </row>
    <row r="18" spans="1:9" ht="13.2" x14ac:dyDescent="0.25">
      <c r="A18" s="39" t="s">
        <v>11</v>
      </c>
      <c r="B18" s="41" t="s">
        <v>12</v>
      </c>
      <c r="C18">
        <v>1839</v>
      </c>
      <c r="D18">
        <v>2781</v>
      </c>
      <c r="E18">
        <v>151</v>
      </c>
      <c r="F18">
        <v>5.4</v>
      </c>
      <c r="G18" s="2"/>
      <c r="H18" s="3"/>
      <c r="I18" s="3"/>
    </row>
    <row r="19" spans="1:9" ht="13.2" x14ac:dyDescent="0.25">
      <c r="A19" s="39" t="s">
        <v>11</v>
      </c>
      <c r="B19" s="41" t="s">
        <v>12</v>
      </c>
      <c r="C19">
        <v>1840</v>
      </c>
      <c r="D19">
        <v>2889</v>
      </c>
      <c r="E19">
        <v>267</v>
      </c>
      <c r="F19">
        <v>9.1999999999999993</v>
      </c>
      <c r="G19" s="2"/>
      <c r="H19" s="3"/>
      <c r="I19" s="3"/>
    </row>
    <row r="20" spans="1:9" ht="13.2" x14ac:dyDescent="0.25">
      <c r="A20" s="39" t="s">
        <v>11</v>
      </c>
      <c r="B20" s="41" t="s">
        <v>31</v>
      </c>
      <c r="C20">
        <v>1841</v>
      </c>
      <c r="D20">
        <v>3036</v>
      </c>
      <c r="E20">
        <v>237</v>
      </c>
      <c r="F20">
        <v>7.8</v>
      </c>
      <c r="G20" s="2"/>
      <c r="H20" s="3"/>
      <c r="I20" s="3"/>
    </row>
    <row r="21" spans="1:9" ht="13.2" x14ac:dyDescent="0.25">
      <c r="A21" s="39" t="s">
        <v>11</v>
      </c>
      <c r="B21" s="41" t="s">
        <v>31</v>
      </c>
      <c r="C21">
        <v>1842</v>
      </c>
      <c r="D21">
        <v>3287</v>
      </c>
      <c r="E21">
        <v>518</v>
      </c>
      <c r="F21">
        <v>15.8</v>
      </c>
      <c r="G21" s="2"/>
      <c r="H21" s="3"/>
      <c r="I21" s="3"/>
    </row>
    <row r="22" spans="1:9" ht="13.2" x14ac:dyDescent="0.25">
      <c r="A22" s="39" t="s">
        <v>11</v>
      </c>
      <c r="B22" s="41" t="s">
        <v>31</v>
      </c>
      <c r="C22">
        <v>1843</v>
      </c>
      <c r="D22">
        <v>3060</v>
      </c>
      <c r="E22">
        <v>274</v>
      </c>
      <c r="F22">
        <v>9</v>
      </c>
      <c r="G22" s="2"/>
      <c r="H22" s="3"/>
      <c r="I22" s="3"/>
    </row>
    <row r="23" spans="1:9" ht="13.2" x14ac:dyDescent="0.25">
      <c r="A23" s="40" t="s">
        <v>11</v>
      </c>
      <c r="B23" s="42" t="s">
        <v>31</v>
      </c>
      <c r="C23">
        <v>1844</v>
      </c>
      <c r="D23">
        <v>3157</v>
      </c>
      <c r="E23">
        <v>260</v>
      </c>
      <c r="F23">
        <v>8.1999999999999993</v>
      </c>
    </row>
    <row r="24" spans="1:9" ht="13.2" x14ac:dyDescent="0.25">
      <c r="A24" s="40" t="s">
        <v>11</v>
      </c>
      <c r="B24" s="42" t="s">
        <v>31</v>
      </c>
      <c r="C24">
        <v>1845</v>
      </c>
      <c r="D24">
        <v>3492</v>
      </c>
      <c r="E24">
        <v>241</v>
      </c>
      <c r="F24">
        <v>6.9</v>
      </c>
    </row>
    <row r="25" spans="1:9" ht="13.2" x14ac:dyDescent="0.25">
      <c r="A25" s="40" t="s">
        <v>11</v>
      </c>
      <c r="B25" s="42" t="s">
        <v>31</v>
      </c>
      <c r="C25">
        <v>1846</v>
      </c>
      <c r="D25">
        <v>4010</v>
      </c>
      <c r="E25">
        <v>459</v>
      </c>
      <c r="F25">
        <v>11.4</v>
      </c>
    </row>
    <row r="26" spans="1:9" ht="13.2" x14ac:dyDescent="0.25">
      <c r="A26" s="40" t="s">
        <v>11</v>
      </c>
      <c r="B26" s="42" t="s">
        <v>38</v>
      </c>
      <c r="C26">
        <v>1841</v>
      </c>
      <c r="D26">
        <v>2442</v>
      </c>
      <c r="E26">
        <v>86</v>
      </c>
      <c r="F26">
        <v>3.5</v>
      </c>
    </row>
    <row r="27" spans="1:9" ht="13.2" x14ac:dyDescent="0.25">
      <c r="A27" s="40" t="s">
        <v>11</v>
      </c>
      <c r="B27" s="42" t="s">
        <v>38</v>
      </c>
      <c r="C27">
        <v>1842</v>
      </c>
      <c r="D27">
        <v>2659</v>
      </c>
      <c r="E27">
        <v>202</v>
      </c>
      <c r="F27">
        <v>7.5</v>
      </c>
    </row>
    <row r="28" spans="1:9" ht="13.2" x14ac:dyDescent="0.25">
      <c r="A28" s="40" t="s">
        <v>11</v>
      </c>
      <c r="B28" s="42" t="s">
        <v>38</v>
      </c>
      <c r="C28">
        <v>1843</v>
      </c>
      <c r="D28">
        <v>2739</v>
      </c>
      <c r="E28">
        <v>164</v>
      </c>
      <c r="F28">
        <v>5.9</v>
      </c>
    </row>
    <row r="29" spans="1:9" ht="13.2" x14ac:dyDescent="0.25">
      <c r="A29" s="40" t="s">
        <v>11</v>
      </c>
      <c r="B29" s="42" t="s">
        <v>38</v>
      </c>
      <c r="C29">
        <v>1844</v>
      </c>
      <c r="D29">
        <v>2956</v>
      </c>
      <c r="E29">
        <v>68</v>
      </c>
      <c r="F29">
        <v>2.2999999999999998</v>
      </c>
    </row>
    <row r="30" spans="1:9" ht="13.2" x14ac:dyDescent="0.25">
      <c r="A30" s="40" t="s">
        <v>11</v>
      </c>
      <c r="B30" s="42" t="s">
        <v>38</v>
      </c>
      <c r="C30">
        <v>1845</v>
      </c>
      <c r="D30">
        <v>3241</v>
      </c>
      <c r="E30">
        <v>66</v>
      </c>
      <c r="F30">
        <v>2.0299999999999998</v>
      </c>
    </row>
    <row r="31" spans="1:9" ht="13.2" x14ac:dyDescent="0.25">
      <c r="A31" s="40" t="s">
        <v>11</v>
      </c>
      <c r="B31" s="42" t="s">
        <v>38</v>
      </c>
      <c r="C31">
        <v>1846</v>
      </c>
      <c r="D31">
        <v>3754</v>
      </c>
      <c r="E31">
        <v>105</v>
      </c>
      <c r="F31">
        <v>2.7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534639-FB66-440F-AA19-5550FEEAB8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Fig 19.7. Baseline</vt:lpstr>
      <vt:lpstr>Fig 19.8. Improvement</vt:lpstr>
      <vt:lpstr>Fig 19.9. 1st &amp; 2nd clinics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2026-05-07T17:22:47Z</dcterms:modified>
</cp:coreProperties>
</file>