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E04C806F-38B1-453D-8EE0-84FBFF5AA56F}"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16.1. East Region" sheetId="2" r:id="rId2"/>
    <sheet name="Fig 16.2. West Region" sheetId="3" r:id="rId3"/>
    <sheet name="Data" sheetId="4" r:id="rId4"/>
  </sheets>
  <definedNames>
    <definedName name="ExternalData_1" localSheetId="3" hidden="1">Data!$A$1:$C$13</definedName>
    <definedName name="ExternalData_1" localSheetId="1" hidden="1">'Fig 16.1. East Region'!$C$1:$D$13</definedName>
    <definedName name="ExternalData_1" localSheetId="2" hidden="1">'Fig 16.2. West Region'!$C$1:$D$13</definedName>
    <definedName name="ExternalData_2" localSheetId="1" hidden="1">'Fig 16.1. East Region'!$C$15:$D$27</definedName>
    <definedName name="ExternalData_2" localSheetId="2" hidden="1">'Fig 16.2. West Region'!$C$15:$D$27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3" l="1"/>
  <c r="H17" i="3"/>
  <c r="H18" i="3"/>
  <c r="H19" i="3"/>
  <c r="H20" i="3"/>
  <c r="H21" i="3"/>
  <c r="H22" i="3"/>
  <c r="H23" i="3"/>
  <c r="H24" i="3"/>
  <c r="H25" i="3"/>
  <c r="H26" i="3"/>
  <c r="H27" i="3"/>
  <c r="E16" i="3"/>
  <c r="E17" i="3"/>
  <c r="E18" i="3"/>
  <c r="E19" i="3"/>
  <c r="E20" i="3"/>
  <c r="E21" i="3"/>
  <c r="E22" i="3"/>
  <c r="E23" i="3"/>
  <c r="E24" i="3"/>
  <c r="E25" i="3"/>
  <c r="E26" i="3"/>
  <c r="E27" i="3"/>
  <c r="E2" i="3"/>
  <c r="E3" i="3"/>
  <c r="E4" i="3"/>
  <c r="E5" i="3"/>
  <c r="E6" i="3"/>
  <c r="E7" i="3"/>
  <c r="E8" i="3"/>
  <c r="E9" i="3"/>
  <c r="E10" i="3"/>
  <c r="E11" i="3"/>
  <c r="E12" i="3"/>
  <c r="E13" i="3"/>
  <c r="H13" i="3"/>
  <c r="H12" i="3"/>
  <c r="H11" i="3"/>
  <c r="H10" i="3"/>
  <c r="H9" i="3"/>
  <c r="H8" i="3"/>
  <c r="H7" i="3"/>
  <c r="H6" i="3"/>
  <c r="H5" i="3"/>
  <c r="H4" i="3"/>
  <c r="H3" i="3"/>
  <c r="G3" i="2"/>
  <c r="G4" i="2"/>
  <c r="G5" i="2"/>
  <c r="G6" i="2"/>
  <c r="G7" i="2"/>
  <c r="G8" i="2"/>
  <c r="G9" i="2"/>
  <c r="G10" i="2"/>
  <c r="G11" i="2"/>
  <c r="G12" i="2"/>
  <c r="G13" i="2"/>
  <c r="G2" i="2"/>
  <c r="H3" i="2"/>
  <c r="H4" i="2"/>
  <c r="H5" i="2"/>
  <c r="H6" i="2"/>
  <c r="H7" i="2"/>
  <c r="H8" i="2"/>
  <c r="H9" i="2"/>
  <c r="H10" i="2"/>
  <c r="H11" i="2"/>
  <c r="H12" i="2"/>
  <c r="H13" i="2"/>
  <c r="E2" i="2"/>
  <c r="E3" i="2"/>
  <c r="E4" i="2"/>
  <c r="E5" i="2"/>
  <c r="E6" i="2"/>
  <c r="E7" i="2"/>
  <c r="E8" i="2"/>
  <c r="E9" i="2"/>
  <c r="E10" i="2"/>
  <c r="E11" i="2"/>
  <c r="E12" i="2"/>
  <c r="E13" i="2"/>
  <c r="E16" i="2"/>
  <c r="E17" i="2"/>
  <c r="E18" i="2"/>
  <c r="E19" i="2"/>
  <c r="F19" i="2" s="1"/>
  <c r="E20" i="2"/>
  <c r="F20" i="2" s="1"/>
  <c r="E21" i="2"/>
  <c r="F21" i="2" s="1"/>
  <c r="E22" i="2"/>
  <c r="F22" i="2" s="1"/>
  <c r="E23" i="2"/>
  <c r="F23" i="2" s="1"/>
  <c r="E24" i="2"/>
  <c r="F24" i="2" s="1"/>
  <c r="E25" i="2"/>
  <c r="E26" i="2"/>
  <c r="E27" i="2"/>
  <c r="H16" i="2"/>
  <c r="H17" i="2"/>
  <c r="H18" i="2"/>
  <c r="H19" i="2"/>
  <c r="G19" i="2" s="1"/>
  <c r="H20" i="2"/>
  <c r="G20" i="2" s="1"/>
  <c r="H21" i="2"/>
  <c r="G21" i="2" s="1"/>
  <c r="H22" i="2"/>
  <c r="G22" i="2" s="1"/>
  <c r="H23" i="2"/>
  <c r="G23" i="2" s="1"/>
  <c r="H24" i="2"/>
  <c r="G24" i="2" s="1"/>
  <c r="H25" i="2"/>
  <c r="H26" i="2"/>
  <c r="H27" i="2"/>
  <c r="I2" i="3" l="1"/>
  <c r="J2" i="3" s="1"/>
  <c r="I3" i="3"/>
  <c r="J3" i="3" s="1"/>
  <c r="I4" i="3"/>
  <c r="J4" i="3" s="1"/>
  <c r="I5" i="3"/>
  <c r="J5" i="3" s="1"/>
  <c r="I6" i="3"/>
  <c r="J6" i="3" s="1"/>
  <c r="I7" i="3"/>
  <c r="J7" i="3" s="1"/>
  <c r="I8" i="3"/>
  <c r="J8" i="3" s="1"/>
  <c r="I9" i="3"/>
  <c r="J9" i="3" s="1"/>
  <c r="I10" i="3"/>
  <c r="I11" i="3"/>
  <c r="J11" i="3" s="1"/>
  <c r="I12" i="3"/>
  <c r="J12" i="3" s="1"/>
  <c r="I13" i="3"/>
  <c r="F27" i="3"/>
  <c r="G27" i="3"/>
  <c r="G26" i="3"/>
  <c r="F26" i="3"/>
  <c r="F25" i="3"/>
  <c r="G25" i="3"/>
  <c r="G24" i="3"/>
  <c r="F24" i="3"/>
  <c r="G23" i="3"/>
  <c r="F23" i="3"/>
  <c r="G22" i="3"/>
  <c r="F22" i="3"/>
  <c r="G21" i="3"/>
  <c r="F21" i="3"/>
  <c r="G20" i="3"/>
  <c r="F20" i="3"/>
  <c r="G19" i="3"/>
  <c r="F19" i="3"/>
  <c r="G18" i="3"/>
  <c r="F18" i="3"/>
  <c r="G17" i="3"/>
  <c r="F17" i="3"/>
  <c r="G16" i="3"/>
  <c r="F16" i="3"/>
  <c r="F10" i="3"/>
  <c r="F12" i="3"/>
  <c r="G12" i="3"/>
  <c r="F11" i="3"/>
  <c r="G11" i="3"/>
  <c r="G9" i="3"/>
  <c r="F9" i="3"/>
  <c r="F8" i="3"/>
  <c r="G8" i="3"/>
  <c r="G7" i="3"/>
  <c r="F7" i="3"/>
  <c r="G6" i="3"/>
  <c r="F6" i="3"/>
  <c r="F5" i="3"/>
  <c r="G5" i="3"/>
  <c r="F4" i="3"/>
  <c r="G4" i="3"/>
  <c r="F3" i="3"/>
  <c r="G3" i="3"/>
  <c r="G2" i="3"/>
  <c r="F2" i="3"/>
  <c r="I11" i="2"/>
  <c r="J11" i="2" s="1"/>
  <c r="I7" i="2"/>
  <c r="J7" i="2" s="1"/>
  <c r="I2" i="2"/>
  <c r="J2" i="2" s="1"/>
  <c r="I9" i="2"/>
  <c r="J9" i="2" s="1"/>
  <c r="I13" i="2"/>
  <c r="J13" i="2" s="1"/>
  <c r="I5" i="2"/>
  <c r="J5" i="2" s="1"/>
  <c r="I3" i="2"/>
  <c r="J3" i="2" s="1"/>
  <c r="I4" i="2"/>
  <c r="J4" i="2" s="1"/>
  <c r="I6" i="2"/>
  <c r="J6" i="2" s="1"/>
  <c r="I8" i="2"/>
  <c r="J8" i="2" s="1"/>
  <c r="I10" i="2"/>
  <c r="J10" i="2" s="1"/>
  <c r="I12" i="2"/>
  <c r="J12" i="2" s="1"/>
  <c r="F2" i="2"/>
  <c r="F3" i="2"/>
  <c r="F4" i="2"/>
  <c r="F5" i="2"/>
  <c r="F6" i="2"/>
  <c r="F7" i="2"/>
  <c r="F8" i="2"/>
  <c r="F9" i="2"/>
  <c r="F10" i="2"/>
  <c r="F11" i="2"/>
  <c r="F12" i="2"/>
  <c r="F13" i="2"/>
  <c r="G25" i="2"/>
  <c r="F25" i="2"/>
  <c r="G26" i="2"/>
  <c r="F26" i="2"/>
  <c r="G27" i="2"/>
  <c r="F27" i="2"/>
  <c r="F16" i="2"/>
  <c r="G16" i="2"/>
  <c r="G17" i="2"/>
  <c r="F17" i="2"/>
  <c r="G18" i="2"/>
  <c r="F18" i="2"/>
  <c r="J10" i="3" l="1"/>
  <c r="G10" i="3"/>
  <c r="J13" i="3"/>
  <c r="F13" i="3"/>
  <c r="G1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72041B-151A-43FF-9AF1-99A3D38E1397}" keepAlive="1" name="Query - sales-by-regions" description="Connection to the 'sales-by-regions' query in the workbook." type="5" refreshedVersion="8" background="1" saveData="1">
    <dbPr connection="Provider=Microsoft.Mashup.OleDb.1;Data Source=$Workbook$;Location=sales-by-regions;Extended Properties=&quot;&quot;" command="SELECT * FROM [sales-by-regions]"/>
  </connection>
  <connection id="2" xr16:uid="{B3637DC4-8C63-41B1-91F3-06EC59926B5A}" keepAlive="1" name="Query - sales-by-regions (2)" description="Connection to the 'sales-by-regions (2)' query in the workbook." type="5" refreshedVersion="8" background="1" saveData="1">
    <dbPr connection="Provider=Microsoft.Mashup.OleDb.1;Data Source=$Workbook$;Location=&quot;sales-by-regions (2)&quot;;Extended Properties=&quot;&quot;" command="SELECT * FROM [sales-by-regions (2)]"/>
  </connection>
  <connection id="3" xr16:uid="{84D58A6F-E958-4FA4-BEB3-B499FA9F7133}" keepAlive="1" name="Query - sales-by-regions (3)" description="Connection to the 'sales-by-regions (3)' query in the workbook." type="5" refreshedVersion="8" background="1" saveData="1">
    <dbPr connection="Provider=Microsoft.Mashup.OleDb.1;Data Source=$Workbook$;Location=&quot;sales-by-regions (3)&quot;;Extended Properties=&quot;&quot;" command="SELECT * FROM [sales-by-regions (3)]"/>
  </connection>
  <connection id="4" xr16:uid="{9AC4CD79-66FC-449A-8996-B397CF199F0D}" keepAlive="1" name="Query - sales-by-regions (4)" description="Connection to the 'sales-by-regions (4)' query in the workbook." type="5" refreshedVersion="8" background="1" saveData="1">
    <dbPr connection="Provider=Microsoft.Mashup.OleDb.1;Data Source=$Workbook$;Location=&quot;sales-by-regions (4)&quot;;Extended Properties=&quot;&quot;" command="SELECT * FROM [sales-by-regions (4)]"/>
  </connection>
  <connection id="5" xr16:uid="{D6BAA644-848E-46A1-B03D-F12760D48149}" keepAlive="1" name="Query - sales-by-regions (5)" description="Connection to the 'sales-by-regions (5)' query in the workbook." type="5" refreshedVersion="8" background="1" saveData="1">
    <dbPr connection="Provider=Microsoft.Mashup.OleDb.1;Data Source=$Workbook$;Location=&quot;sales-by-regions (5)&quot;;Extended Properties=&quot;&quot;" command="SELECT * FROM [sales-by-regions (5)]"/>
  </connection>
</connections>
</file>

<file path=xl/sharedStrings.xml><?xml version="1.0" encoding="utf-8"?>
<sst xmlns="http://schemas.openxmlformats.org/spreadsheetml/2006/main" count="207" uniqueCount="43">
  <si>
    <t>Chapter 16. Are Shewhart's Limits Different?</t>
  </si>
  <si>
    <t>Region</t>
  </si>
  <si>
    <t>Method</t>
  </si>
  <si>
    <t>Month</t>
  </si>
  <si>
    <t>Mean</t>
  </si>
  <si>
    <t>UPL</t>
  </si>
  <si>
    <t>LPL</t>
  </si>
  <si>
    <t>mR</t>
  </si>
  <si>
    <t>Ave. mR</t>
  </si>
  <si>
    <t>URL</t>
  </si>
  <si>
    <t>East Region</t>
  </si>
  <si>
    <t>2.660*Ave. mR</t>
  </si>
  <si>
    <t>Jan</t>
  </si>
  <si>
    <t>Feb</t>
  </si>
  <si>
    <t>Mar</t>
  </si>
  <si>
    <t>Apr</t>
  </si>
  <si>
    <t>May</t>
  </si>
  <si>
    <t>Jun</t>
  </si>
  <si>
    <t>Jul</t>
  </si>
  <si>
    <t>Aug</t>
  </si>
  <si>
    <t>Sep</t>
  </si>
  <si>
    <t>Oct</t>
  </si>
  <si>
    <t>Nov</t>
  </si>
  <si>
    <t>Dec</t>
  </si>
  <si>
    <t>3*s</t>
  </si>
  <si>
    <t>West Region</t>
  </si>
  <si>
    <t>Link to book:</t>
  </si>
  <si>
    <t>https://www.brokenquality.com/book</t>
  </si>
  <si>
    <t>Link to GitHub:</t>
  </si>
  <si>
    <t>https://github.com/jimlehner/virus-of-variation-book</t>
  </si>
  <si>
    <t>Contact:</t>
  </si>
  <si>
    <t>James.Lehner@gmail.com</t>
  </si>
  <si>
    <t>QualityIsBroken@gmail.com</t>
  </si>
  <si>
    <r>
      <t>This file serves as a resource for building some of the figures in Chapter 16 of The Virus of Variation using Microsoft Excel or Google Sheets.
The figures included here are:
Figure 16.1. Charts for sales in the East Region
Figure 16.2. Charts for sales in the West Region
Each figure has its own tab. The data used in the figures can be found in the Data tab.
For additional details regarding each of these figures, see Chapter 16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as they appear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</si>
  <si>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Raw Data GitHub URLs</t>
  </si>
  <si>
    <t>https://raw.githubusercontent.com/jimlehner/virus-of-variation-book/refs/heads/main/data/sales-by-regions.csv</t>
  </si>
  <si>
    <t>East</t>
  </si>
  <si>
    <t>Stdev</t>
  </si>
  <si>
    <t>West</t>
  </si>
  <si>
    <t>Mean +/- 3*s</t>
  </si>
  <si>
    <t>Mean +/- 2.660* Ave. mR</t>
  </si>
  <si>
    <t>Sales</t>
  </si>
  <si>
    <t>Fig 16.1, 16.2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</si>
</sst>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9" x14ac:knownFonts="1">
    <font>
      <sz val="10"/>
      <color rgb="FF000000"/>
      <name val="Arial"/>
      <scheme val="minor"/>
    </font>
    <font>
      <b/>
      <sz val="16"/>
      <color rgb="FFD72323"/>
      <name val="Montserrat"/>
    </font>
    <font>
      <sz val="10"/>
      <color theme="1"/>
      <name val="Arial"/>
      <family val="2"/>
    </font>
    <font>
      <u/>
      <sz val="10"/>
      <color theme="10"/>
      <name val="Arial"/>
      <family val="2"/>
      <scheme val="minor"/>
    </font>
    <font>
      <sz val="10"/>
      <color rgb="FF000000"/>
      <name val="Arial"/>
      <family val="2"/>
      <scheme val="minor"/>
    </font>
    <font>
      <b/>
      <sz val="10"/>
      <color rgb="FF000000"/>
      <name val="Arial"/>
      <family val="2"/>
      <scheme val="minor"/>
    </font>
    <font>
      <sz val="12"/>
      <color rgb="FF000000"/>
      <name val="Montserrat"/>
    </font>
    <font>
      <b/>
      <sz val="12"/>
      <color rgb="FF000000"/>
      <name val="Montserrat"/>
    </font>
    <font>
      <sz val="8"/>
      <name val="Arial"/>
      <family val="2"/>
      <scheme val="minor"/>
    </font>
  </fonts>
  <fills count="2">
    <fill>
      <patternFill patternType="none"/>
    </fill>
    <fill>
      <patternFill patternType="gray125"/>
    </fill>
  </fills>
  <borders count="12">
    <border>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3" fillId="0" borderId="0" applyNumberFormat="0" applyFill="0" applyBorder="0" applyAlignment="0" applyProtection="0"/>
    <xf numFmtId="0" fontId="4" fillId="0" borderId="0"/>
  </cellStyleXfs>
  <cellXfs count="34">
    <xf numFmtId="0" fontId="0" fillId="0" borderId="0" xfId="0"/>
    <xf numFmtId="0" fontId="2" fillId="0" borderId="0" xfId="0" applyFont="1"/>
    <xf numFmtId="164" fontId="2" fillId="0" borderId="0" xfId="0" applyNumberFormat="1" applyFont="1" applyAlignment="1">
      <alignment horizontal="right"/>
    </xf>
    <xf numFmtId="49" fontId="2" fillId="0" borderId="0" xfId="0" applyNumberFormat="1" applyFont="1"/>
    <xf numFmtId="49" fontId="2" fillId="0" borderId="0" xfId="0" applyNumberFormat="1" applyFont="1" applyAlignment="1">
      <alignment horizontal="right"/>
    </xf>
    <xf numFmtId="0" fontId="4" fillId="0" borderId="0" xfId="0" applyFont="1"/>
    <xf numFmtId="0" fontId="3" fillId="0" borderId="4" xfId="1" applyBorder="1" applyAlignment="1">
      <alignment horizontal="center"/>
    </xf>
    <xf numFmtId="0" fontId="3" fillId="0" borderId="0" xfId="1" applyBorder="1" applyAlignment="1">
      <alignment horizontal="center"/>
    </xf>
    <xf numFmtId="0" fontId="3" fillId="0" borderId="5" xfId="1" applyBorder="1" applyAlignment="1">
      <alignment horizontal="center"/>
    </xf>
    <xf numFmtId="0" fontId="5" fillId="0" borderId="4" xfId="0" applyFont="1" applyBorder="1" applyAlignment="1">
      <alignment horizontal="center"/>
    </xf>
    <xf numFmtId="0" fontId="5" fillId="0" borderId="0" xfId="0" applyFont="1" applyAlignment="1">
      <alignment horizontal="center"/>
    </xf>
    <xf numFmtId="0" fontId="5" fillId="0" borderId="5" xfId="0" applyFont="1" applyBorder="1" applyAlignment="1">
      <alignment horizontal="center"/>
    </xf>
    <xf numFmtId="0" fontId="3" fillId="0" borderId="6" xfId="1" applyBorder="1" applyAlignment="1">
      <alignment horizontal="center"/>
    </xf>
    <xf numFmtId="0" fontId="3" fillId="0" borderId="7" xfId="1" applyBorder="1" applyAlignment="1">
      <alignment horizontal="center"/>
    </xf>
    <xf numFmtId="0" fontId="3" fillId="0" borderId="8" xfId="1" applyBorder="1" applyAlignment="1">
      <alignment horizontal="center"/>
    </xf>
    <xf numFmtId="0" fontId="5" fillId="0" borderId="2" xfId="0" applyFont="1" applyBorder="1" applyAlignment="1">
      <alignment horizont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0" xfId="0" applyFont="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5" fillId="0" borderId="1" xfId="0" applyFont="1" applyBorder="1" applyAlignment="1">
      <alignment horizontal="center" wrapText="1"/>
    </xf>
    <xf numFmtId="0" fontId="5" fillId="0" borderId="3" xfId="0" applyFont="1" applyBorder="1" applyAlignment="1">
      <alignment horizontal="center" wrapText="1"/>
    </xf>
    <xf numFmtId="0" fontId="4" fillId="0" borderId="7" xfId="0" applyFont="1" applyBorder="1" applyAlignment="1">
      <alignment horizontal="left"/>
    </xf>
    <xf numFmtId="0" fontId="4" fillId="0" borderId="8" xfId="0" applyFont="1" applyBorder="1" applyAlignment="1">
      <alignment horizontal="left"/>
    </xf>
    <xf numFmtId="0" fontId="1" fillId="0" borderId="9" xfId="0" applyFont="1" applyBorder="1" applyAlignment="1">
      <alignment horizontal="center"/>
    </xf>
    <xf numFmtId="0" fontId="0" fillId="0" borderId="10" xfId="0" applyBorder="1"/>
    <xf numFmtId="0" fontId="0" fillId="0" borderId="11" xfId="0" applyBorder="1"/>
    <xf numFmtId="0" fontId="5" fillId="0" borderId="6" xfId="0" applyFont="1" applyBorder="1"/>
    <xf numFmtId="0" fontId="0" fillId="0" borderId="0" xfId="0" applyNumberFormat="1"/>
  </cellXfs>
  <cellStyles count="3">
    <cellStyle name="Hyperlink" xfId="1" builtinId="8"/>
    <cellStyle name="Normal" xfId="0" builtinId="0"/>
    <cellStyle name="Normal 2" xfId="2" xr:uid="{ABE04896-0DD6-469D-9EF5-00F6AB7A5FB9}"/>
  </cellStyles>
  <dxfs count="3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BDA1766D-31E6-4AC7-A981-FA27D74C7320}">
      <tableStyleElement type="wholeTable" dxfId="36"/>
      <tableStyleElement type="headerRow" dxfId="35"/>
      <tableStyleElement type="firstRowStripe" dxfId="34"/>
      <tableStyleElement type="secondRowStripe" dxfId="3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Mean +/- 3*s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16.1. East Region'!$D$15</c:f>
              <c:strCache>
                <c:ptCount val="1"/>
                <c:pt idx="0">
                  <c:v>Sales</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16.1. East Region'!$C$16:$C$27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16.1. East Region'!$D$16:$D$27</c:f>
              <c:numCache>
                <c:formatCode>General</c:formatCode>
                <c:ptCount val="12"/>
                <c:pt idx="0">
                  <c:v>10.7</c:v>
                </c:pt>
                <c:pt idx="1">
                  <c:v>13</c:v>
                </c:pt>
                <c:pt idx="2">
                  <c:v>11.4</c:v>
                </c:pt>
                <c:pt idx="3">
                  <c:v>11.5</c:v>
                </c:pt>
                <c:pt idx="4">
                  <c:v>12.5</c:v>
                </c:pt>
                <c:pt idx="5">
                  <c:v>14.1</c:v>
                </c:pt>
                <c:pt idx="6">
                  <c:v>14.8</c:v>
                </c:pt>
                <c:pt idx="7">
                  <c:v>14.1</c:v>
                </c:pt>
                <c:pt idx="8">
                  <c:v>12.6</c:v>
                </c:pt>
                <c:pt idx="9">
                  <c:v>16</c:v>
                </c:pt>
                <c:pt idx="10">
                  <c:v>11.7</c:v>
                </c:pt>
                <c:pt idx="11">
                  <c:v>10.6</c:v>
                </c:pt>
              </c:numCache>
            </c:numRef>
          </c:val>
          <c:smooth val="0"/>
          <c:extLst>
            <c:ext xmlns:c16="http://schemas.microsoft.com/office/drawing/2014/chart" uri="{C3380CC4-5D6E-409C-BE32-E72D297353CC}">
              <c16:uniqueId val="{00000000-329B-41D6-8340-43856FD2F6C5}"/>
            </c:ext>
          </c:extLst>
        </c:ser>
        <c:ser>
          <c:idx val="1"/>
          <c:order val="1"/>
          <c:tx>
            <c:strRef>
              <c:f>'Fig 16.1. East Region'!$E$15</c:f>
              <c:strCache>
                <c:ptCount val="1"/>
                <c:pt idx="0">
                  <c:v>Mean</c:v>
                </c:pt>
              </c:strCache>
            </c:strRef>
          </c:tx>
          <c:spPr>
            <a:ln w="28575" cap="rnd">
              <a:solidFill>
                <a:schemeClr val="tx1"/>
              </a:solidFill>
              <a:round/>
            </a:ln>
            <a:effectLst/>
          </c:spPr>
          <c:marker>
            <c:symbol val="none"/>
          </c:marker>
          <c:cat>
            <c:strRef>
              <c:f>'Fig 16.1. East Region'!$C$16:$C$27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16.1. East Region'!$E$16:$E$27</c:f>
              <c:numCache>
                <c:formatCode>General</c:formatCode>
                <c:ptCount val="12"/>
                <c:pt idx="0">
                  <c:v>12.8</c:v>
                </c:pt>
                <c:pt idx="1">
                  <c:v>12.8</c:v>
                </c:pt>
                <c:pt idx="2">
                  <c:v>12.8</c:v>
                </c:pt>
                <c:pt idx="3">
                  <c:v>12.8</c:v>
                </c:pt>
                <c:pt idx="4">
                  <c:v>12.8</c:v>
                </c:pt>
                <c:pt idx="5">
                  <c:v>12.8</c:v>
                </c:pt>
                <c:pt idx="6">
                  <c:v>12.8</c:v>
                </c:pt>
                <c:pt idx="7">
                  <c:v>12.8</c:v>
                </c:pt>
                <c:pt idx="8">
                  <c:v>12.8</c:v>
                </c:pt>
                <c:pt idx="9">
                  <c:v>12.8</c:v>
                </c:pt>
                <c:pt idx="10">
                  <c:v>12.8</c:v>
                </c:pt>
                <c:pt idx="11">
                  <c:v>12.8</c:v>
                </c:pt>
              </c:numCache>
            </c:numRef>
          </c:val>
          <c:smooth val="0"/>
          <c:extLst>
            <c:ext xmlns:c16="http://schemas.microsoft.com/office/drawing/2014/chart" uri="{C3380CC4-5D6E-409C-BE32-E72D297353CC}">
              <c16:uniqueId val="{00000001-329B-41D6-8340-43856FD2F6C5}"/>
            </c:ext>
          </c:extLst>
        </c:ser>
        <c:ser>
          <c:idx val="2"/>
          <c:order val="2"/>
          <c:tx>
            <c:strRef>
              <c:f>'Fig 16.1. East Region'!$F$15</c:f>
              <c:strCache>
                <c:ptCount val="1"/>
                <c:pt idx="0">
                  <c:v>UPL</c:v>
                </c:pt>
              </c:strCache>
            </c:strRef>
          </c:tx>
          <c:spPr>
            <a:ln w="28575" cap="rnd">
              <a:solidFill>
                <a:srgbClr val="D72323"/>
              </a:solidFill>
              <a:prstDash val="dash"/>
              <a:round/>
            </a:ln>
            <a:effectLst/>
          </c:spPr>
          <c:marker>
            <c:symbol val="none"/>
          </c:marker>
          <c:cat>
            <c:strRef>
              <c:f>'Fig 16.1. East Region'!$C$16:$C$27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16.1. East Region'!$F$16:$F$27</c:f>
              <c:numCache>
                <c:formatCode>General</c:formatCode>
                <c:ptCount val="12"/>
                <c:pt idx="0">
                  <c:v>17.899999999999999</c:v>
                </c:pt>
                <c:pt idx="1">
                  <c:v>17.899999999999999</c:v>
                </c:pt>
                <c:pt idx="2">
                  <c:v>17.899999999999999</c:v>
                </c:pt>
                <c:pt idx="3">
                  <c:v>17.899999999999999</c:v>
                </c:pt>
                <c:pt idx="4">
                  <c:v>17.899999999999999</c:v>
                </c:pt>
                <c:pt idx="5">
                  <c:v>17.899999999999999</c:v>
                </c:pt>
                <c:pt idx="6">
                  <c:v>17.899999999999999</c:v>
                </c:pt>
                <c:pt idx="7">
                  <c:v>17.899999999999999</c:v>
                </c:pt>
                <c:pt idx="8">
                  <c:v>17.899999999999999</c:v>
                </c:pt>
                <c:pt idx="9">
                  <c:v>17.899999999999999</c:v>
                </c:pt>
                <c:pt idx="10">
                  <c:v>17.899999999999999</c:v>
                </c:pt>
                <c:pt idx="11">
                  <c:v>17.899999999999999</c:v>
                </c:pt>
              </c:numCache>
            </c:numRef>
          </c:val>
          <c:smooth val="0"/>
          <c:extLst>
            <c:ext xmlns:c16="http://schemas.microsoft.com/office/drawing/2014/chart" uri="{C3380CC4-5D6E-409C-BE32-E72D297353CC}">
              <c16:uniqueId val="{00000002-329B-41D6-8340-43856FD2F6C5}"/>
            </c:ext>
          </c:extLst>
        </c:ser>
        <c:ser>
          <c:idx val="3"/>
          <c:order val="3"/>
          <c:tx>
            <c:strRef>
              <c:f>'Fig 16.1. East Region'!$G$15</c:f>
              <c:strCache>
                <c:ptCount val="1"/>
                <c:pt idx="0">
                  <c:v>LPL</c:v>
                </c:pt>
              </c:strCache>
            </c:strRef>
          </c:tx>
          <c:spPr>
            <a:ln w="28575" cap="rnd">
              <a:solidFill>
                <a:srgbClr val="D72323"/>
              </a:solidFill>
              <a:prstDash val="dash"/>
              <a:round/>
            </a:ln>
            <a:effectLst/>
          </c:spPr>
          <c:marker>
            <c:symbol val="none"/>
          </c:marker>
          <c:cat>
            <c:strRef>
              <c:f>'Fig 16.1. East Region'!$C$16:$C$27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16.1. East Region'!$G$16:$G$27</c:f>
              <c:numCache>
                <c:formatCode>General</c:formatCode>
                <c:ptCount val="12"/>
                <c:pt idx="0">
                  <c:v>7.7</c:v>
                </c:pt>
                <c:pt idx="1">
                  <c:v>7.7</c:v>
                </c:pt>
                <c:pt idx="2">
                  <c:v>7.7</c:v>
                </c:pt>
                <c:pt idx="3">
                  <c:v>7.7</c:v>
                </c:pt>
                <c:pt idx="4">
                  <c:v>7.7</c:v>
                </c:pt>
                <c:pt idx="5">
                  <c:v>7.7</c:v>
                </c:pt>
                <c:pt idx="6">
                  <c:v>7.7</c:v>
                </c:pt>
                <c:pt idx="7">
                  <c:v>7.7</c:v>
                </c:pt>
                <c:pt idx="8">
                  <c:v>7.7</c:v>
                </c:pt>
                <c:pt idx="9">
                  <c:v>7.7</c:v>
                </c:pt>
                <c:pt idx="10">
                  <c:v>7.7</c:v>
                </c:pt>
                <c:pt idx="11">
                  <c:v>7.7</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in val="7"/>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Mean +/-</a:t>
            </a:r>
            <a:r>
              <a:rPr lang="en-US" baseline="0"/>
              <a:t> 2.660*Ave. mR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16.1. East Region'!$D$1</c:f>
              <c:strCache>
                <c:ptCount val="1"/>
                <c:pt idx="0">
                  <c:v>Sales</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16.1. East Region'!$C$2:$C$13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16.1. East Region'!$D$2:$D$13</c:f>
              <c:numCache>
                <c:formatCode>General</c:formatCode>
                <c:ptCount val="12"/>
                <c:pt idx="0">
                  <c:v>10.7</c:v>
                </c:pt>
                <c:pt idx="1">
                  <c:v>13</c:v>
                </c:pt>
                <c:pt idx="2">
                  <c:v>11.4</c:v>
                </c:pt>
                <c:pt idx="3">
                  <c:v>11.5</c:v>
                </c:pt>
                <c:pt idx="4">
                  <c:v>12.5</c:v>
                </c:pt>
                <c:pt idx="5">
                  <c:v>14.1</c:v>
                </c:pt>
                <c:pt idx="6">
                  <c:v>14.8</c:v>
                </c:pt>
                <c:pt idx="7">
                  <c:v>14.1</c:v>
                </c:pt>
                <c:pt idx="8">
                  <c:v>12.6</c:v>
                </c:pt>
                <c:pt idx="9">
                  <c:v>16</c:v>
                </c:pt>
                <c:pt idx="10">
                  <c:v>11.7</c:v>
                </c:pt>
                <c:pt idx="11">
                  <c:v>10.6</c:v>
                </c:pt>
              </c:numCache>
            </c:numRef>
          </c:val>
          <c:smooth val="0"/>
          <c:extLst>
            <c:ext xmlns:c16="http://schemas.microsoft.com/office/drawing/2014/chart" uri="{C3380CC4-5D6E-409C-BE32-E72D297353CC}">
              <c16:uniqueId val="{00000000-329B-41D6-8340-43856FD2F6C5}"/>
            </c:ext>
          </c:extLst>
        </c:ser>
        <c:ser>
          <c:idx val="1"/>
          <c:order val="1"/>
          <c:tx>
            <c:strRef>
              <c:f>'Fig 16.1. East Region'!$E$1</c:f>
              <c:strCache>
                <c:ptCount val="1"/>
                <c:pt idx="0">
                  <c:v>Mean</c:v>
                </c:pt>
              </c:strCache>
            </c:strRef>
          </c:tx>
          <c:spPr>
            <a:ln w="28575" cap="rnd">
              <a:solidFill>
                <a:schemeClr val="tx1"/>
              </a:solidFill>
              <a:round/>
            </a:ln>
            <a:effectLst/>
          </c:spPr>
          <c:marker>
            <c:symbol val="none"/>
          </c:marker>
          <c:cat>
            <c:strRef>
              <c:f>'Fig 16.1. East Region'!$C$2:$C$13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16.1. East Region'!$E$2:$E$13</c:f>
              <c:numCache>
                <c:formatCode>General</c:formatCode>
                <c:ptCount val="12"/>
                <c:pt idx="0">
                  <c:v>12.8</c:v>
                </c:pt>
                <c:pt idx="1">
                  <c:v>12.8</c:v>
                </c:pt>
                <c:pt idx="2">
                  <c:v>12.8</c:v>
                </c:pt>
                <c:pt idx="3">
                  <c:v>12.8</c:v>
                </c:pt>
                <c:pt idx="4">
                  <c:v>12.8</c:v>
                </c:pt>
                <c:pt idx="5">
                  <c:v>12.8</c:v>
                </c:pt>
                <c:pt idx="6">
                  <c:v>12.8</c:v>
                </c:pt>
                <c:pt idx="7">
                  <c:v>12.8</c:v>
                </c:pt>
                <c:pt idx="8">
                  <c:v>12.8</c:v>
                </c:pt>
                <c:pt idx="9">
                  <c:v>12.8</c:v>
                </c:pt>
                <c:pt idx="10">
                  <c:v>12.8</c:v>
                </c:pt>
                <c:pt idx="11">
                  <c:v>12.8</c:v>
                </c:pt>
              </c:numCache>
            </c:numRef>
          </c:val>
          <c:smooth val="0"/>
          <c:extLst>
            <c:ext xmlns:c16="http://schemas.microsoft.com/office/drawing/2014/chart" uri="{C3380CC4-5D6E-409C-BE32-E72D297353CC}">
              <c16:uniqueId val="{00000001-329B-41D6-8340-43856FD2F6C5}"/>
            </c:ext>
          </c:extLst>
        </c:ser>
        <c:ser>
          <c:idx val="2"/>
          <c:order val="2"/>
          <c:tx>
            <c:strRef>
              <c:f>'Fig 16.1. East Region'!$F$1</c:f>
              <c:strCache>
                <c:ptCount val="1"/>
                <c:pt idx="0">
                  <c:v>UPL</c:v>
                </c:pt>
              </c:strCache>
            </c:strRef>
          </c:tx>
          <c:spPr>
            <a:ln w="28575" cap="rnd">
              <a:solidFill>
                <a:srgbClr val="D72323"/>
              </a:solidFill>
              <a:prstDash val="dash"/>
              <a:round/>
            </a:ln>
            <a:effectLst/>
          </c:spPr>
          <c:marker>
            <c:symbol val="none"/>
          </c:marker>
          <c:cat>
            <c:strRef>
              <c:f>'Fig 16.1. East Region'!$C$2:$C$13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16.1. East Region'!$F$2:$F$13</c:f>
              <c:numCache>
                <c:formatCode>General</c:formatCode>
                <c:ptCount val="12"/>
                <c:pt idx="0">
                  <c:v>17.3</c:v>
                </c:pt>
                <c:pt idx="1">
                  <c:v>17.3</c:v>
                </c:pt>
                <c:pt idx="2">
                  <c:v>17.3</c:v>
                </c:pt>
                <c:pt idx="3">
                  <c:v>17.3</c:v>
                </c:pt>
                <c:pt idx="4">
                  <c:v>17.3</c:v>
                </c:pt>
                <c:pt idx="5">
                  <c:v>17.3</c:v>
                </c:pt>
                <c:pt idx="6">
                  <c:v>17.3</c:v>
                </c:pt>
                <c:pt idx="7">
                  <c:v>17.3</c:v>
                </c:pt>
                <c:pt idx="8">
                  <c:v>17.3</c:v>
                </c:pt>
                <c:pt idx="9">
                  <c:v>17.3</c:v>
                </c:pt>
                <c:pt idx="10">
                  <c:v>17.3</c:v>
                </c:pt>
                <c:pt idx="11">
                  <c:v>17.3</c:v>
                </c:pt>
              </c:numCache>
            </c:numRef>
          </c:val>
          <c:smooth val="0"/>
          <c:extLst>
            <c:ext xmlns:c16="http://schemas.microsoft.com/office/drawing/2014/chart" uri="{C3380CC4-5D6E-409C-BE32-E72D297353CC}">
              <c16:uniqueId val="{00000002-329B-41D6-8340-43856FD2F6C5}"/>
            </c:ext>
          </c:extLst>
        </c:ser>
        <c:ser>
          <c:idx val="3"/>
          <c:order val="3"/>
          <c:tx>
            <c:strRef>
              <c:f>'Fig 16.1. East Region'!$G$1</c:f>
              <c:strCache>
                <c:ptCount val="1"/>
                <c:pt idx="0">
                  <c:v>LPL</c:v>
                </c:pt>
              </c:strCache>
            </c:strRef>
          </c:tx>
          <c:spPr>
            <a:ln w="28575" cap="rnd">
              <a:solidFill>
                <a:srgbClr val="D72323"/>
              </a:solidFill>
              <a:prstDash val="dash"/>
              <a:round/>
            </a:ln>
            <a:effectLst/>
          </c:spPr>
          <c:marker>
            <c:symbol val="none"/>
          </c:marker>
          <c:cat>
            <c:strRef>
              <c:f>'Fig 16.1. East Region'!$C$2:$C$13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16.1. East Region'!$G$2:$G$13</c:f>
              <c:numCache>
                <c:formatCode>General</c:formatCode>
                <c:ptCount val="12"/>
                <c:pt idx="0">
                  <c:v>8.3000000000000007</c:v>
                </c:pt>
                <c:pt idx="1">
                  <c:v>8.3000000000000007</c:v>
                </c:pt>
                <c:pt idx="2">
                  <c:v>8.3000000000000007</c:v>
                </c:pt>
                <c:pt idx="3">
                  <c:v>8.3000000000000007</c:v>
                </c:pt>
                <c:pt idx="4">
                  <c:v>8.3000000000000007</c:v>
                </c:pt>
                <c:pt idx="5">
                  <c:v>8.3000000000000007</c:v>
                </c:pt>
                <c:pt idx="6">
                  <c:v>8.3000000000000007</c:v>
                </c:pt>
                <c:pt idx="7">
                  <c:v>8.3000000000000007</c:v>
                </c:pt>
                <c:pt idx="8">
                  <c:v>8.3000000000000007</c:v>
                </c:pt>
                <c:pt idx="9">
                  <c:v>8.3000000000000007</c:v>
                </c:pt>
                <c:pt idx="10">
                  <c:v>8.3000000000000007</c:v>
                </c:pt>
                <c:pt idx="11">
                  <c:v>8.3000000000000007</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in val="7"/>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Mean +/- 2.660*Ave. mR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16.2. West Region'!$D$1</c:f>
              <c:strCache>
                <c:ptCount val="1"/>
                <c:pt idx="0">
                  <c:v>Sales</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16.2. West Region'!$C$2:$C$13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16.2. West Region'!$D$2:$D$13</c:f>
              <c:numCache>
                <c:formatCode>General</c:formatCode>
                <c:ptCount val="12"/>
                <c:pt idx="0">
                  <c:v>6.9</c:v>
                </c:pt>
                <c:pt idx="1">
                  <c:v>11.3</c:v>
                </c:pt>
                <c:pt idx="2">
                  <c:v>9.3000000000000007</c:v>
                </c:pt>
                <c:pt idx="3">
                  <c:v>9.8000000000000007</c:v>
                </c:pt>
                <c:pt idx="4">
                  <c:v>18.7</c:v>
                </c:pt>
                <c:pt idx="5">
                  <c:v>12.6</c:v>
                </c:pt>
                <c:pt idx="6">
                  <c:v>11.6</c:v>
                </c:pt>
                <c:pt idx="7">
                  <c:v>9.1</c:v>
                </c:pt>
                <c:pt idx="8">
                  <c:v>10.8</c:v>
                </c:pt>
                <c:pt idx="9">
                  <c:v>9.6</c:v>
                </c:pt>
                <c:pt idx="10">
                  <c:v>11.7</c:v>
                </c:pt>
                <c:pt idx="11">
                  <c:v>10.1</c:v>
                </c:pt>
              </c:numCache>
            </c:numRef>
          </c:val>
          <c:smooth val="0"/>
          <c:extLst>
            <c:ext xmlns:c16="http://schemas.microsoft.com/office/drawing/2014/chart" uri="{C3380CC4-5D6E-409C-BE32-E72D297353CC}">
              <c16:uniqueId val="{00000000-329B-41D6-8340-43856FD2F6C5}"/>
            </c:ext>
          </c:extLst>
        </c:ser>
        <c:ser>
          <c:idx val="1"/>
          <c:order val="1"/>
          <c:tx>
            <c:strRef>
              <c:f>'Fig 16.2. West Region'!$E$1</c:f>
              <c:strCache>
                <c:ptCount val="1"/>
                <c:pt idx="0">
                  <c:v>Mean</c:v>
                </c:pt>
              </c:strCache>
            </c:strRef>
          </c:tx>
          <c:spPr>
            <a:ln w="28575" cap="rnd">
              <a:solidFill>
                <a:schemeClr val="tx1"/>
              </a:solidFill>
              <a:round/>
            </a:ln>
            <a:effectLst/>
          </c:spPr>
          <c:marker>
            <c:symbol val="none"/>
          </c:marker>
          <c:cat>
            <c:strRef>
              <c:f>'Fig 16.2. West Region'!$C$2:$C$13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16.2. West Region'!$E$2:$E$13</c:f>
              <c:numCache>
                <c:formatCode>General</c:formatCode>
                <c:ptCount val="12"/>
                <c:pt idx="0">
                  <c:v>11</c:v>
                </c:pt>
                <c:pt idx="1">
                  <c:v>11</c:v>
                </c:pt>
                <c:pt idx="2">
                  <c:v>11</c:v>
                </c:pt>
                <c:pt idx="3">
                  <c:v>11</c:v>
                </c:pt>
                <c:pt idx="4">
                  <c:v>11</c:v>
                </c:pt>
                <c:pt idx="5">
                  <c:v>11</c:v>
                </c:pt>
                <c:pt idx="6">
                  <c:v>11</c:v>
                </c:pt>
                <c:pt idx="7">
                  <c:v>11</c:v>
                </c:pt>
                <c:pt idx="8">
                  <c:v>11</c:v>
                </c:pt>
                <c:pt idx="9">
                  <c:v>11</c:v>
                </c:pt>
                <c:pt idx="10">
                  <c:v>11</c:v>
                </c:pt>
                <c:pt idx="11">
                  <c:v>11</c:v>
                </c:pt>
              </c:numCache>
            </c:numRef>
          </c:val>
          <c:smooth val="0"/>
          <c:extLst>
            <c:ext xmlns:c16="http://schemas.microsoft.com/office/drawing/2014/chart" uri="{C3380CC4-5D6E-409C-BE32-E72D297353CC}">
              <c16:uniqueId val="{00000001-329B-41D6-8340-43856FD2F6C5}"/>
            </c:ext>
          </c:extLst>
        </c:ser>
        <c:ser>
          <c:idx val="2"/>
          <c:order val="2"/>
          <c:tx>
            <c:strRef>
              <c:f>'Fig 16.2. West Region'!$F$1</c:f>
              <c:strCache>
                <c:ptCount val="1"/>
                <c:pt idx="0">
                  <c:v>UPL</c:v>
                </c:pt>
              </c:strCache>
            </c:strRef>
          </c:tx>
          <c:spPr>
            <a:ln w="28575" cap="rnd">
              <a:solidFill>
                <a:srgbClr val="D72323"/>
              </a:solidFill>
              <a:prstDash val="dash"/>
              <a:round/>
            </a:ln>
            <a:effectLst/>
          </c:spPr>
          <c:marker>
            <c:symbol val="none"/>
          </c:marker>
          <c:cat>
            <c:strRef>
              <c:f>'Fig 16.2. West Region'!$C$2:$C$13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16.2. West Region'!$F$2:$F$13</c:f>
              <c:numCache>
                <c:formatCode>General</c:formatCode>
                <c:ptCount val="12"/>
                <c:pt idx="0">
                  <c:v>18.7</c:v>
                </c:pt>
                <c:pt idx="1">
                  <c:v>18.7</c:v>
                </c:pt>
                <c:pt idx="2">
                  <c:v>18.7</c:v>
                </c:pt>
                <c:pt idx="3">
                  <c:v>18.7</c:v>
                </c:pt>
                <c:pt idx="4">
                  <c:v>18.7</c:v>
                </c:pt>
                <c:pt idx="5">
                  <c:v>18.7</c:v>
                </c:pt>
                <c:pt idx="6">
                  <c:v>18.7</c:v>
                </c:pt>
                <c:pt idx="7">
                  <c:v>18.7</c:v>
                </c:pt>
                <c:pt idx="8">
                  <c:v>18.7</c:v>
                </c:pt>
                <c:pt idx="9">
                  <c:v>18.7</c:v>
                </c:pt>
                <c:pt idx="10">
                  <c:v>18.7</c:v>
                </c:pt>
                <c:pt idx="11">
                  <c:v>18.7</c:v>
                </c:pt>
              </c:numCache>
            </c:numRef>
          </c:val>
          <c:smooth val="0"/>
          <c:extLst>
            <c:ext xmlns:c16="http://schemas.microsoft.com/office/drawing/2014/chart" uri="{C3380CC4-5D6E-409C-BE32-E72D297353CC}">
              <c16:uniqueId val="{00000002-329B-41D6-8340-43856FD2F6C5}"/>
            </c:ext>
          </c:extLst>
        </c:ser>
        <c:ser>
          <c:idx val="3"/>
          <c:order val="3"/>
          <c:tx>
            <c:strRef>
              <c:f>'Fig 16.2. West Region'!$G$1</c:f>
              <c:strCache>
                <c:ptCount val="1"/>
                <c:pt idx="0">
                  <c:v>LPL</c:v>
                </c:pt>
              </c:strCache>
            </c:strRef>
          </c:tx>
          <c:spPr>
            <a:ln w="28575" cap="rnd">
              <a:solidFill>
                <a:srgbClr val="D72323"/>
              </a:solidFill>
              <a:prstDash val="dash"/>
              <a:round/>
            </a:ln>
            <a:effectLst/>
          </c:spPr>
          <c:marker>
            <c:symbol val="none"/>
          </c:marker>
          <c:cat>
            <c:strRef>
              <c:f>'Fig 16.2. West Region'!$C$2:$C$13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16.2. West Region'!$G$2:$G$13</c:f>
              <c:numCache>
                <c:formatCode>General</c:formatCode>
                <c:ptCount val="12"/>
                <c:pt idx="0">
                  <c:v>3.3</c:v>
                </c:pt>
                <c:pt idx="1">
                  <c:v>3.3</c:v>
                </c:pt>
                <c:pt idx="2">
                  <c:v>3.3</c:v>
                </c:pt>
                <c:pt idx="3">
                  <c:v>3.3</c:v>
                </c:pt>
                <c:pt idx="4">
                  <c:v>3.3</c:v>
                </c:pt>
                <c:pt idx="5">
                  <c:v>3.3</c:v>
                </c:pt>
                <c:pt idx="6">
                  <c:v>3.3</c:v>
                </c:pt>
                <c:pt idx="7">
                  <c:v>3.3</c:v>
                </c:pt>
                <c:pt idx="8">
                  <c:v>3.3</c:v>
                </c:pt>
                <c:pt idx="9">
                  <c:v>3.3</c:v>
                </c:pt>
                <c:pt idx="10">
                  <c:v>3.3</c:v>
                </c:pt>
                <c:pt idx="11">
                  <c:v>3.3</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ax val="25"/>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Mean +/- 3*s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16.2. West Region'!$D$15</c:f>
              <c:strCache>
                <c:ptCount val="1"/>
                <c:pt idx="0">
                  <c:v>Sales</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16.2. West Region'!$C$16:$C$27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16.2. West Region'!$D$16:$D$27</c:f>
              <c:numCache>
                <c:formatCode>General</c:formatCode>
                <c:ptCount val="12"/>
                <c:pt idx="0">
                  <c:v>6.9</c:v>
                </c:pt>
                <c:pt idx="1">
                  <c:v>11.3</c:v>
                </c:pt>
                <c:pt idx="2">
                  <c:v>9.3000000000000007</c:v>
                </c:pt>
                <c:pt idx="3">
                  <c:v>9.8000000000000007</c:v>
                </c:pt>
                <c:pt idx="4">
                  <c:v>18.7</c:v>
                </c:pt>
                <c:pt idx="5">
                  <c:v>12.6</c:v>
                </c:pt>
                <c:pt idx="6">
                  <c:v>11.6</c:v>
                </c:pt>
                <c:pt idx="7">
                  <c:v>9.1</c:v>
                </c:pt>
                <c:pt idx="8">
                  <c:v>10.8</c:v>
                </c:pt>
                <c:pt idx="9">
                  <c:v>9.6</c:v>
                </c:pt>
                <c:pt idx="10">
                  <c:v>11.7</c:v>
                </c:pt>
                <c:pt idx="11">
                  <c:v>10.1</c:v>
                </c:pt>
              </c:numCache>
            </c:numRef>
          </c:val>
          <c:smooth val="0"/>
          <c:extLst>
            <c:ext xmlns:c16="http://schemas.microsoft.com/office/drawing/2014/chart" uri="{C3380CC4-5D6E-409C-BE32-E72D297353CC}">
              <c16:uniqueId val="{00000000-329B-41D6-8340-43856FD2F6C5}"/>
            </c:ext>
          </c:extLst>
        </c:ser>
        <c:ser>
          <c:idx val="1"/>
          <c:order val="1"/>
          <c:tx>
            <c:strRef>
              <c:f>'Fig 16.2. West Region'!$E$15</c:f>
              <c:strCache>
                <c:ptCount val="1"/>
                <c:pt idx="0">
                  <c:v>Mean</c:v>
                </c:pt>
              </c:strCache>
            </c:strRef>
          </c:tx>
          <c:spPr>
            <a:ln w="28575" cap="rnd">
              <a:solidFill>
                <a:schemeClr val="tx1"/>
              </a:solidFill>
              <a:round/>
            </a:ln>
            <a:effectLst/>
          </c:spPr>
          <c:marker>
            <c:symbol val="none"/>
          </c:marker>
          <c:cat>
            <c:strRef>
              <c:f>'Fig 16.2. West Region'!$C$16:$C$27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16.2. West Region'!$E$16:$E$27</c:f>
              <c:numCache>
                <c:formatCode>General</c:formatCode>
                <c:ptCount val="12"/>
                <c:pt idx="0">
                  <c:v>11</c:v>
                </c:pt>
                <c:pt idx="1">
                  <c:v>11</c:v>
                </c:pt>
                <c:pt idx="2">
                  <c:v>11</c:v>
                </c:pt>
                <c:pt idx="3">
                  <c:v>11</c:v>
                </c:pt>
                <c:pt idx="4">
                  <c:v>11</c:v>
                </c:pt>
                <c:pt idx="5">
                  <c:v>11</c:v>
                </c:pt>
                <c:pt idx="6">
                  <c:v>11</c:v>
                </c:pt>
                <c:pt idx="7">
                  <c:v>11</c:v>
                </c:pt>
                <c:pt idx="8">
                  <c:v>11</c:v>
                </c:pt>
                <c:pt idx="9">
                  <c:v>11</c:v>
                </c:pt>
                <c:pt idx="10">
                  <c:v>11</c:v>
                </c:pt>
                <c:pt idx="11">
                  <c:v>11</c:v>
                </c:pt>
              </c:numCache>
            </c:numRef>
          </c:val>
          <c:smooth val="0"/>
          <c:extLst>
            <c:ext xmlns:c16="http://schemas.microsoft.com/office/drawing/2014/chart" uri="{C3380CC4-5D6E-409C-BE32-E72D297353CC}">
              <c16:uniqueId val="{00000001-329B-41D6-8340-43856FD2F6C5}"/>
            </c:ext>
          </c:extLst>
        </c:ser>
        <c:ser>
          <c:idx val="2"/>
          <c:order val="2"/>
          <c:tx>
            <c:strRef>
              <c:f>'Fig 16.2. West Region'!$F$15</c:f>
              <c:strCache>
                <c:ptCount val="1"/>
                <c:pt idx="0">
                  <c:v>UPL</c:v>
                </c:pt>
              </c:strCache>
            </c:strRef>
          </c:tx>
          <c:spPr>
            <a:ln w="28575" cap="rnd">
              <a:solidFill>
                <a:srgbClr val="D72323"/>
              </a:solidFill>
              <a:prstDash val="dash"/>
              <a:round/>
            </a:ln>
            <a:effectLst/>
          </c:spPr>
          <c:marker>
            <c:symbol val="none"/>
          </c:marker>
          <c:cat>
            <c:strRef>
              <c:f>'Fig 16.2. West Region'!$C$16:$C$27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16.2. West Region'!$F$16:$F$27</c:f>
              <c:numCache>
                <c:formatCode>General</c:formatCode>
                <c:ptCount val="12"/>
                <c:pt idx="0">
                  <c:v>19.7</c:v>
                </c:pt>
                <c:pt idx="1">
                  <c:v>19.7</c:v>
                </c:pt>
                <c:pt idx="2">
                  <c:v>19.7</c:v>
                </c:pt>
                <c:pt idx="3">
                  <c:v>19.7</c:v>
                </c:pt>
                <c:pt idx="4">
                  <c:v>19.7</c:v>
                </c:pt>
                <c:pt idx="5">
                  <c:v>19.7</c:v>
                </c:pt>
                <c:pt idx="6">
                  <c:v>19.7</c:v>
                </c:pt>
                <c:pt idx="7">
                  <c:v>19.7</c:v>
                </c:pt>
                <c:pt idx="8">
                  <c:v>19.7</c:v>
                </c:pt>
                <c:pt idx="9">
                  <c:v>19.7</c:v>
                </c:pt>
                <c:pt idx="10">
                  <c:v>19.7</c:v>
                </c:pt>
                <c:pt idx="11">
                  <c:v>19.7</c:v>
                </c:pt>
              </c:numCache>
            </c:numRef>
          </c:val>
          <c:smooth val="0"/>
          <c:extLst>
            <c:ext xmlns:c16="http://schemas.microsoft.com/office/drawing/2014/chart" uri="{C3380CC4-5D6E-409C-BE32-E72D297353CC}">
              <c16:uniqueId val="{00000002-329B-41D6-8340-43856FD2F6C5}"/>
            </c:ext>
          </c:extLst>
        </c:ser>
        <c:ser>
          <c:idx val="3"/>
          <c:order val="3"/>
          <c:tx>
            <c:strRef>
              <c:f>'Fig 16.2. West Region'!$G$15</c:f>
              <c:strCache>
                <c:ptCount val="1"/>
                <c:pt idx="0">
                  <c:v>LPL</c:v>
                </c:pt>
              </c:strCache>
            </c:strRef>
          </c:tx>
          <c:spPr>
            <a:ln w="28575" cap="rnd">
              <a:solidFill>
                <a:srgbClr val="D72323"/>
              </a:solidFill>
              <a:prstDash val="dash"/>
              <a:round/>
            </a:ln>
            <a:effectLst/>
          </c:spPr>
          <c:marker>
            <c:symbol val="none"/>
          </c:marker>
          <c:cat>
            <c:strRef>
              <c:f>'Fig 16.2. West Region'!$C$16:$C$27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16.2. West Region'!$G$16:$G$27</c:f>
              <c:numCache>
                <c:formatCode>General</c:formatCode>
                <c:ptCount val="12"/>
                <c:pt idx="0">
                  <c:v>2.2999999999999998</c:v>
                </c:pt>
                <c:pt idx="1">
                  <c:v>2.2999999999999998</c:v>
                </c:pt>
                <c:pt idx="2">
                  <c:v>2.2999999999999998</c:v>
                </c:pt>
                <c:pt idx="3">
                  <c:v>2.2999999999999998</c:v>
                </c:pt>
                <c:pt idx="4">
                  <c:v>2.2999999999999998</c:v>
                </c:pt>
                <c:pt idx="5">
                  <c:v>2.2999999999999998</c:v>
                </c:pt>
                <c:pt idx="6">
                  <c:v>2.2999999999999998</c:v>
                </c:pt>
                <c:pt idx="7">
                  <c:v>2.2999999999999998</c:v>
                </c:pt>
                <c:pt idx="8">
                  <c:v>2.2999999999999998</c:v>
                </c:pt>
                <c:pt idx="9">
                  <c:v>2.2999999999999998</c:v>
                </c:pt>
                <c:pt idx="10">
                  <c:v>2.2999999999999998</c:v>
                </c:pt>
                <c:pt idx="11">
                  <c:v>2.2999999999999998</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92710</xdr:rowOff>
    </xdr:to>
    <xdr:pic>
      <xdr:nvPicPr>
        <xdr:cNvPr id="3" name="image1.jpg">
          <a:extLst>
            <a:ext uri="{FF2B5EF4-FFF2-40B4-BE49-F238E27FC236}">
              <a16:creationId xmlns:a16="http://schemas.microsoft.com/office/drawing/2014/main" id="{35DF4117-5D7A-48E3-AE2E-CCC08D8903AE}"/>
            </a:ext>
          </a:extLst>
        </xdr:cNvPr>
        <xdr:cNvPicPr preferRelativeResize="0"/>
      </xdr:nvPicPr>
      <xdr:blipFill>
        <a:blip xmlns:r="http://schemas.openxmlformats.org/officeDocument/2006/relationships" r:embed="rId1" cstate="print"/>
        <a:stretch>
          <a:fillRect/>
        </a:stretch>
      </xdr:blipFill>
      <xdr:spPr>
        <a:xfrm>
          <a:off x="6162675" y="314325"/>
          <a:ext cx="2636308" cy="409321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0</xdr:row>
      <xdr:rowOff>0</xdr:rowOff>
    </xdr:from>
    <xdr:to>
      <xdr:col>21</xdr:col>
      <xdr:colOff>0</xdr:colOff>
      <xdr:row>15</xdr:row>
      <xdr:rowOff>140970</xdr:rowOff>
    </xdr:to>
    <xdr:graphicFrame macro="">
      <xdr:nvGraphicFramePr>
        <xdr:cNvPr id="2" name="Chart 1">
          <a:extLst>
            <a:ext uri="{FF2B5EF4-FFF2-40B4-BE49-F238E27FC236}">
              <a16:creationId xmlns:a16="http://schemas.microsoft.com/office/drawing/2014/main" id="{B2CCA20D-B8F7-27FD-4E26-4780EEE2A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0</xdr:row>
      <xdr:rowOff>0</xdr:rowOff>
    </xdr:from>
    <xdr:to>
      <xdr:col>16</xdr:col>
      <xdr:colOff>0</xdr:colOff>
      <xdr:row>15</xdr:row>
      <xdr:rowOff>154305</xdr:rowOff>
    </xdr:to>
    <xdr:graphicFrame macro="">
      <xdr:nvGraphicFramePr>
        <xdr:cNvPr id="4" name="Chart 3">
          <a:extLst>
            <a:ext uri="{FF2B5EF4-FFF2-40B4-BE49-F238E27FC236}">
              <a16:creationId xmlns:a16="http://schemas.microsoft.com/office/drawing/2014/main" id="{8F991407-B802-0799-FAC1-8685BDB2F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1</xdr:row>
      <xdr:rowOff>0</xdr:rowOff>
    </xdr:from>
    <xdr:to>
      <xdr:col>17</xdr:col>
      <xdr:colOff>0</xdr:colOff>
      <xdr:row>17</xdr:row>
      <xdr:rowOff>0</xdr:rowOff>
    </xdr:to>
    <xdr:graphicFrame macro="">
      <xdr:nvGraphicFramePr>
        <xdr:cNvPr id="2" name="Chart 1">
          <a:extLst>
            <a:ext uri="{FF2B5EF4-FFF2-40B4-BE49-F238E27FC236}">
              <a16:creationId xmlns:a16="http://schemas.microsoft.com/office/drawing/2014/main" id="{31FA3356-3024-A182-0E5E-44258ED85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1</xdr:row>
      <xdr:rowOff>0</xdr:rowOff>
    </xdr:from>
    <xdr:to>
      <xdr:col>23</xdr:col>
      <xdr:colOff>0</xdr:colOff>
      <xdr:row>17</xdr:row>
      <xdr:rowOff>0</xdr:rowOff>
    </xdr:to>
    <xdr:graphicFrame macro="">
      <xdr:nvGraphicFramePr>
        <xdr:cNvPr id="4" name="Chart 3">
          <a:extLst>
            <a:ext uri="{FF2B5EF4-FFF2-40B4-BE49-F238E27FC236}">
              <a16:creationId xmlns:a16="http://schemas.microsoft.com/office/drawing/2014/main" id="{C661BC8E-AC52-59EF-6E0E-ED34BFCE8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9888F41-4A31-4A6A-9B92-CE5196D3EB85}" autoFormatId="16" applyNumberFormats="0" applyBorderFormats="0" applyFontFormats="0" applyPatternFormats="0" applyAlignmentFormats="0" applyWidthHeightFormats="0">
  <queryTableRefresh nextId="11" unboundColumnsLeft="2" unboundColumnsRight="6">
    <queryTableFields count="10">
      <queryTableField id="3" dataBound="0" tableColumnId="3"/>
      <queryTableField id="4" dataBound="0" tableColumnId="4"/>
      <queryTableField id="1" name="Month" tableColumnId="1"/>
      <queryTableField id="2" name="East Region" tableColumnId="2"/>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2EB5A89F-BF8D-40EB-BEA6-EF8EB4C6013B}" autoFormatId="16" applyNumberFormats="0" applyBorderFormats="0" applyFontFormats="0" applyPatternFormats="0" applyAlignmentFormats="0" applyWidthHeightFormats="0">
  <queryTableRefresh nextId="9" unboundColumnsLeft="2" unboundColumnsRight="4">
    <queryTableFields count="8">
      <queryTableField id="4" dataBound="0" tableColumnId="4"/>
      <queryTableField id="3" dataBound="0" tableColumnId="3"/>
      <queryTableField id="1" name="Month" tableColumnId="1"/>
      <queryTableField id="2" name="East Region" tableColumnId="2"/>
      <queryTableField id="5" dataBound="0" tableColumnId="5"/>
      <queryTableField id="6" dataBound="0" tableColumnId="6"/>
      <queryTableField id="7" dataBound="0" tableColumnId="7"/>
      <queryTableField id="8" dataBound="0"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2A333EBF-50CD-41DD-BEC1-9E9E9BB66BDC}" autoFormatId="16" applyNumberFormats="0" applyBorderFormats="0" applyFontFormats="0" applyPatternFormats="0" applyAlignmentFormats="0" applyWidthHeightFormats="0">
  <queryTableRefresh nextId="11" unboundColumnsLeft="2" unboundColumnsRight="6">
    <queryTableFields count="10">
      <queryTableField id="4" dataBound="0" tableColumnId="4"/>
      <queryTableField id="3" dataBound="0" tableColumnId="3"/>
      <queryTableField id="1" name="Month" tableColumnId="1"/>
      <queryTableField id="2" name="West Region" tableColumnId="2"/>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AB9E0D23-A85C-449C-A5D1-EFF45FFCF45A}" autoFormatId="16" applyNumberFormats="0" applyBorderFormats="0" applyFontFormats="0" applyPatternFormats="0" applyAlignmentFormats="0" applyWidthHeightFormats="0">
  <queryTableRefresh nextId="9" unboundColumnsLeft="2" unboundColumnsRight="4">
    <queryTableFields count="8">
      <queryTableField id="4" dataBound="0" tableColumnId="4"/>
      <queryTableField id="3" dataBound="0" tableColumnId="3"/>
      <queryTableField id="1" name="Month" tableColumnId="1"/>
      <queryTableField id="2" name="West Region" tableColumnId="2"/>
      <queryTableField id="5" dataBound="0" tableColumnId="5"/>
      <queryTableField id="6" dataBound="0" tableColumnId="6"/>
      <queryTableField id="7" dataBound="0" tableColumnId="7"/>
      <queryTableField id="8" dataBound="0"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BEE5F81F-6735-4931-B2F4-2DF1DE81D55A}" autoFormatId="16" applyNumberFormats="0" applyBorderFormats="0" applyFontFormats="0" applyPatternFormats="0" applyAlignmentFormats="0" applyWidthHeightFormats="0">
  <queryTableRefresh nextId="4">
    <queryTableFields count="3">
      <queryTableField id="1" name="Month" tableColumnId="1"/>
      <queryTableField id="2" name="East Region" tableColumnId="2"/>
      <queryTableField id="3" name="West Region"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9F23B4-912E-4B2C-9EAD-9C5D70693E42}" name="sales_by_regions" displayName="sales_by_regions" ref="A1:J13" tableType="queryTable" totalsRowShown="0">
  <autoFilter ref="A1:J13" xr:uid="{A39F23B4-912E-4B2C-9EAD-9C5D70693E42}"/>
  <tableColumns count="10">
    <tableColumn id="3" xr3:uid="{5560D517-76E0-4B96-A5A6-D25EE4603B69}" uniqueName="3" name="Region" queryTableFieldId="3" dataDxfId="32"/>
    <tableColumn id="4" xr3:uid="{24BF38AE-2EC0-4B48-8E94-A13DB2FC46F4}" uniqueName="4" name="Method" queryTableFieldId="4" dataDxfId="31"/>
    <tableColumn id="1" xr3:uid="{D23A68CF-174A-4378-8C6D-83E0411FE58D}" uniqueName="1" name="Month" queryTableFieldId="1" dataDxfId="30"/>
    <tableColumn id="2" xr3:uid="{036C48D8-AEAA-467F-9458-33862BCFAFB1}" uniqueName="2" name="Sales" queryTableFieldId="2"/>
    <tableColumn id="5" xr3:uid="{A2C7B2ED-D18B-4FBB-BAF3-6A8C84CECEF2}" uniqueName="5" name="Mean" queryTableFieldId="5" dataDxfId="29">
      <calculatedColumnFormula>ROUND(AVERAGE($D$2:$D$13),1)</calculatedColumnFormula>
    </tableColumn>
    <tableColumn id="6" xr3:uid="{6FAE84AB-0734-4F41-96CE-3359267D95A5}" uniqueName="6" name="UPL" queryTableFieldId="6" dataDxfId="28">
      <calculatedColumnFormula>ROUND(E2+(2.66*I2),1)</calculatedColumnFormula>
    </tableColumn>
    <tableColumn id="7" xr3:uid="{59C4D467-6973-4313-906E-450541FB4E76}" uniqueName="7" name="LPL" queryTableFieldId="7" dataDxfId="27">
      <calculatedColumnFormula>ROUND(E2-(2.66*I2),1)</calculatedColumnFormula>
    </tableColumn>
    <tableColumn id="8" xr3:uid="{2537226E-D040-42F4-B090-4E2EBD6C7224}" uniqueName="8" name="mR" queryTableFieldId="8" dataDxfId="26">
      <calculatedColumnFormula>ABS(D1-D2)</calculatedColumnFormula>
    </tableColumn>
    <tableColumn id="9" xr3:uid="{8EA51FA3-D54B-450E-B82A-FB09D6D58643}" uniqueName="9" name="Ave. mR" queryTableFieldId="9" dataDxfId="25">
      <calculatedColumnFormula>ROUND(AVERAGE($H$3:$H$13),1)</calculatedColumnFormula>
    </tableColumn>
    <tableColumn id="10" xr3:uid="{D5332AFA-5D0D-48F0-9541-E8846EB9A44B}" uniqueName="10" name="URL" queryTableFieldId="10" dataDxfId="24">
      <calculatedColumnFormula>ROUND(I2*3.268,1)</calculatedColumnFormula>
    </tableColumn>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B79C19-EFC6-4728-8971-BFFB9B2056A8}" name="sales_by_regions__2" displayName="sales_by_regions__2" ref="A15:H27" tableType="queryTable" totalsRowShown="0">
  <autoFilter ref="A15:H27" xr:uid="{63B79C19-EFC6-4728-8971-BFFB9B2056A8}"/>
  <tableColumns count="8">
    <tableColumn id="4" xr3:uid="{78FEB28B-DBF9-4DEC-B049-10A0D46DB232}" uniqueName="4" name="Region" queryTableFieldId="4" dataDxfId="23"/>
    <tableColumn id="3" xr3:uid="{AAF9A1D6-BC64-4BB2-8AF4-C8221C1BC00C}" uniqueName="3" name="Method" queryTableFieldId="3" dataDxfId="22"/>
    <tableColumn id="1" xr3:uid="{8B69C1A9-CAD5-490C-946E-BE1DE1C82124}" uniqueName="1" name="Month" queryTableFieldId="1" dataDxfId="21"/>
    <tableColumn id="2" xr3:uid="{7ABB3DBD-C625-456E-A7AD-8DA74296F6C7}" uniqueName="2" name="Sales" queryTableFieldId="2"/>
    <tableColumn id="5" xr3:uid="{5299CEAE-CC0A-446C-8B98-7C98D5718B8F}" uniqueName="5" name="Mean" queryTableFieldId="5" dataDxfId="20">
      <calculatedColumnFormula>ROUND(AVERAGE($D$16:$D$27),1)</calculatedColumnFormula>
    </tableColumn>
    <tableColumn id="6" xr3:uid="{0353DD6E-10D9-4359-A8E0-583E4C2307A6}" uniqueName="6" name="UPL" queryTableFieldId="6" dataDxfId="19">
      <calculatedColumnFormula>ROUND(E16+(3*H16),1)</calculatedColumnFormula>
    </tableColumn>
    <tableColumn id="7" xr3:uid="{976F47C3-E3A5-4434-8325-383C485E397C}" uniqueName="7" name="LPL" queryTableFieldId="7" dataDxfId="18">
      <calculatedColumnFormula>ROUND(E16-(3*H16),1)</calculatedColumnFormula>
    </tableColumn>
    <tableColumn id="8" xr3:uid="{4EB811F3-F6C1-4008-9664-6DDB602D34CC}" uniqueName="8" name="Stdev" queryTableFieldId="8" dataDxfId="17">
      <calculatedColumnFormula>ROUND(STDEVA($D$16:$D$27),1)</calculatedColumnFormula>
    </tableColumn>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1694A85-3BAB-492E-BDFE-395550E65F09}" name="sales_by_regions__3" displayName="sales_by_regions__3" ref="A1:J13" tableType="queryTable" totalsRowShown="0">
  <autoFilter ref="A1:J13" xr:uid="{B1694A85-3BAB-492E-BDFE-395550E65F09}"/>
  <tableColumns count="10">
    <tableColumn id="4" xr3:uid="{96FA3B10-7D6B-4D86-A943-C739F7318FBC}" uniqueName="4" name="Region" queryTableFieldId="4" dataDxfId="16"/>
    <tableColumn id="3" xr3:uid="{4D73DAEA-8E7F-4458-A967-3C1565D2356C}" uniqueName="3" name="Method" queryTableFieldId="3" dataDxfId="15"/>
    <tableColumn id="1" xr3:uid="{976D2A4B-23D5-48EB-8416-C278832F8647}" uniqueName="1" name="Month" queryTableFieldId="1" dataDxfId="14"/>
    <tableColumn id="2" xr3:uid="{0A41D0BA-0680-4ED8-A07A-EA20EFB4E6CA}" uniqueName="2" name="Sales" queryTableFieldId="2"/>
    <tableColumn id="5" xr3:uid="{FBF7A296-5828-474A-86E4-87DC919B62E6}" uniqueName="5" name="Mean" queryTableFieldId="5" dataDxfId="13">
      <calculatedColumnFormula>ROUND(AVERAGE($D$2:$D$13),1)</calculatedColumnFormula>
    </tableColumn>
    <tableColumn id="6" xr3:uid="{335ADFBF-22CA-458B-9A27-078F638A6357}" uniqueName="6" name="UPL" queryTableFieldId="6" dataDxfId="12">
      <calculatedColumnFormula>ROUND(E2+(2.66*I2),1)</calculatedColumnFormula>
    </tableColumn>
    <tableColumn id="7" xr3:uid="{78AAAD63-D4C5-4677-9152-C37F4A72F117}" uniqueName="7" name="LPL" queryTableFieldId="7" dataDxfId="11">
      <calculatedColumnFormula>ROUND(E2-(2.66*I2),1)</calculatedColumnFormula>
    </tableColumn>
    <tableColumn id="8" xr3:uid="{5E4B7F1F-B4C2-451B-843B-0BAF774DC451}" uniqueName="8" name="mR" queryTableFieldId="8" dataDxfId="10"/>
    <tableColumn id="9" xr3:uid="{D64950B3-D826-4D9D-8E29-D88E45EEB564}" uniqueName="9" name="Ave. mR" queryTableFieldId="9" dataDxfId="9">
      <calculatedColumnFormula>ROUND(AVERAGE($H$3:$H$13),1)</calculatedColumnFormula>
    </tableColumn>
    <tableColumn id="10" xr3:uid="{F8990A80-74F6-4E99-B8CF-9059D118C9C2}" uniqueName="10" name="URL" queryTableFieldId="10" dataDxfId="8">
      <calculatedColumnFormula>ROUND(I2*3.268,1)</calculatedColumnFormula>
    </tableColumn>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98D504A-2B5D-4A98-8782-B555F49984F5}" name="sales_by_regions__4" displayName="sales_by_regions__4" ref="A15:H27" tableType="queryTable" totalsRowShown="0">
  <autoFilter ref="A15:H27" xr:uid="{B98D504A-2B5D-4A98-8782-B555F49984F5}"/>
  <tableColumns count="8">
    <tableColumn id="4" xr3:uid="{8205E54C-5E8B-4CEE-8FFA-B902B28FFE48}" uniqueName="4" name="Region" queryTableFieldId="4" dataDxfId="7"/>
    <tableColumn id="3" xr3:uid="{4F8EF2EC-62A7-47DC-AB61-87CD00EFA3BC}" uniqueName="3" name="Method" queryTableFieldId="3" dataDxfId="6"/>
    <tableColumn id="1" xr3:uid="{123B1EDE-4837-45E8-9AC6-38190FB180A5}" uniqueName="1" name="Month" queryTableFieldId="1" dataDxfId="5"/>
    <tableColumn id="2" xr3:uid="{02BAB70C-877F-4869-A8D1-8FD5623644C5}" uniqueName="2" name="Sales" queryTableFieldId="2"/>
    <tableColumn id="5" xr3:uid="{EC61E0E4-8BAD-4482-B2E3-57F650847CBC}" uniqueName="5" name="Mean" queryTableFieldId="5" dataDxfId="4">
      <calculatedColumnFormula>ROUND(AVERAGE($D$16:$D$27),1)</calculatedColumnFormula>
    </tableColumn>
    <tableColumn id="6" xr3:uid="{09333BDD-E92E-46FD-8EB8-AC07C1C3ED96}" uniqueName="6" name="UPL" queryTableFieldId="6" dataDxfId="3">
      <calculatedColumnFormula>ROUND(E16+(3*H16),1)</calculatedColumnFormula>
    </tableColumn>
    <tableColumn id="7" xr3:uid="{603C30F5-0C86-4530-B45B-529A51F3C3EF}" uniqueName="7" name="LPL" queryTableFieldId="7" dataDxfId="2">
      <calculatedColumnFormula>ROUND(E16-(3*H16),1)</calculatedColumnFormula>
    </tableColumn>
    <tableColumn id="8" xr3:uid="{4AC63B93-BDE3-4329-869A-8C810062D997}" uniqueName="8" name="Stdev" queryTableFieldId="8" dataDxfId="1">
      <calculatedColumnFormula>ROUND(STDEVA($D$16:$D$27),1)</calculatedColumnFormula>
    </tableColumn>
  </tableColumns>
  <tableStyleInfo name="The Virus of Variatio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86D409-2E85-43BD-AF2E-FCD2DDF93FF1}" name="sales_by_regions__5" displayName="sales_by_regions__5" ref="A1:C13" tableType="queryTable" totalsRowShown="0">
  <autoFilter ref="A1:C13" xr:uid="{9186D409-2E85-43BD-AF2E-FCD2DDF93FF1}"/>
  <tableColumns count="3">
    <tableColumn id="1" xr3:uid="{9382AB09-50BC-4C18-A12A-79523F5F21CB}" uniqueName="1" name="Month" queryTableFieldId="1" dataDxfId="0"/>
    <tableColumn id="2" xr3:uid="{C547A705-E8CE-41FD-B7E0-BEBAFCC18E9F}" uniqueName="2" name="East Region" queryTableFieldId="2"/>
    <tableColumn id="3" xr3:uid="{F31AA91B-A8DF-4D2A-BC0D-2AEEDDBE56BF}" uniqueName="3" name="West Region" queryTableFieldId="3"/>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6"/>
  <sheetViews>
    <sheetView showGridLines="0" tabSelected="1" workbookViewId="0">
      <selection activeCell="L28" sqref="L28"/>
    </sheetView>
  </sheetViews>
  <sheetFormatPr defaultColWidth="12.6640625" defaultRowHeight="15.75" customHeight="1" x14ac:dyDescent="0.25"/>
  <cols>
    <col min="8" max="8" width="1.33203125" customWidth="1"/>
    <col min="13" max="13" width="1.33203125" customWidth="1"/>
  </cols>
  <sheetData>
    <row r="1" spans="1:12" ht="24.6" x14ac:dyDescent="0.55000000000000004">
      <c r="A1" s="29" t="s">
        <v>0</v>
      </c>
      <c r="B1" s="30"/>
      <c r="C1" s="30"/>
      <c r="D1" s="30"/>
      <c r="E1" s="30"/>
      <c r="F1" s="30"/>
      <c r="G1" s="31"/>
      <c r="H1" s="1"/>
      <c r="I1" s="1"/>
      <c r="J1" s="1"/>
      <c r="K1" s="1"/>
      <c r="L1" s="1"/>
    </row>
    <row r="2" spans="1:12" ht="15.75" customHeight="1" x14ac:dyDescent="0.25">
      <c r="A2" s="16" t="s">
        <v>33</v>
      </c>
      <c r="B2" s="17"/>
      <c r="C2" s="17"/>
      <c r="D2" s="17"/>
      <c r="E2" s="17"/>
      <c r="F2" s="17"/>
      <c r="G2" s="18"/>
      <c r="H2" s="1"/>
      <c r="I2" s="1"/>
    </row>
    <row r="3" spans="1:12" ht="15.75" customHeight="1" x14ac:dyDescent="0.25">
      <c r="A3" s="19"/>
      <c r="B3" s="20"/>
      <c r="C3" s="20"/>
      <c r="D3" s="20"/>
      <c r="E3" s="20"/>
      <c r="F3" s="20"/>
      <c r="G3" s="21"/>
      <c r="H3" s="1"/>
    </row>
    <row r="4" spans="1:12" ht="15.75" customHeight="1" x14ac:dyDescent="0.25">
      <c r="A4" s="19"/>
      <c r="B4" s="20"/>
      <c r="C4" s="20"/>
      <c r="D4" s="20"/>
      <c r="E4" s="20"/>
      <c r="F4" s="20"/>
      <c r="G4" s="21"/>
      <c r="H4" s="1"/>
    </row>
    <row r="5" spans="1:12" ht="15.75" customHeight="1" x14ac:dyDescent="0.25">
      <c r="A5" s="19"/>
      <c r="B5" s="20"/>
      <c r="C5" s="20"/>
      <c r="D5" s="20"/>
      <c r="E5" s="20"/>
      <c r="F5" s="20"/>
      <c r="G5" s="21"/>
      <c r="H5" s="1"/>
    </row>
    <row r="6" spans="1:12" ht="15.75" customHeight="1" x14ac:dyDescent="0.25">
      <c r="A6" s="19"/>
      <c r="B6" s="20"/>
      <c r="C6" s="20"/>
      <c r="D6" s="20"/>
      <c r="E6" s="20"/>
      <c r="F6" s="20"/>
      <c r="G6" s="21"/>
      <c r="H6" s="1"/>
    </row>
    <row r="7" spans="1:12" ht="15.75" customHeight="1" x14ac:dyDescent="0.25">
      <c r="A7" s="19"/>
      <c r="B7" s="20"/>
      <c r="C7" s="20"/>
      <c r="D7" s="20"/>
      <c r="E7" s="20"/>
      <c r="F7" s="20"/>
      <c r="G7" s="21"/>
      <c r="H7" s="1"/>
    </row>
    <row r="8" spans="1:12" ht="15.75" customHeight="1" x14ac:dyDescent="0.25">
      <c r="A8" s="19"/>
      <c r="B8" s="20"/>
      <c r="C8" s="20"/>
      <c r="D8" s="20"/>
      <c r="E8" s="20"/>
      <c r="F8" s="20"/>
      <c r="G8" s="21"/>
      <c r="H8" s="1"/>
    </row>
    <row r="9" spans="1:12" ht="15.75" customHeight="1" x14ac:dyDescent="0.25">
      <c r="A9" s="19"/>
      <c r="B9" s="20"/>
      <c r="C9" s="20"/>
      <c r="D9" s="20"/>
      <c r="E9" s="20"/>
      <c r="F9" s="20"/>
      <c r="G9" s="21"/>
      <c r="H9" s="1"/>
    </row>
    <row r="10" spans="1:12" ht="15.75" customHeight="1" x14ac:dyDescent="0.25">
      <c r="A10" s="19"/>
      <c r="B10" s="20"/>
      <c r="C10" s="20"/>
      <c r="D10" s="20"/>
      <c r="E10" s="20"/>
      <c r="F10" s="20"/>
      <c r="G10" s="21"/>
      <c r="H10" s="1"/>
    </row>
    <row r="11" spans="1:12" ht="15.75" customHeight="1" x14ac:dyDescent="0.25">
      <c r="A11" s="19"/>
      <c r="B11" s="20"/>
      <c r="C11" s="20"/>
      <c r="D11" s="20"/>
      <c r="E11" s="20"/>
      <c r="F11" s="20"/>
      <c r="G11" s="21"/>
      <c r="H11" s="1"/>
    </row>
    <row r="12" spans="1:12" ht="15.75" customHeight="1" x14ac:dyDescent="0.25">
      <c r="A12" s="19"/>
      <c r="B12" s="20"/>
      <c r="C12" s="20"/>
      <c r="D12" s="20"/>
      <c r="E12" s="20"/>
      <c r="F12" s="20"/>
      <c r="G12" s="21"/>
      <c r="H12" s="1"/>
    </row>
    <row r="13" spans="1:12" ht="15.75" customHeight="1" x14ac:dyDescent="0.25">
      <c r="A13" s="19"/>
      <c r="B13" s="20"/>
      <c r="C13" s="20"/>
      <c r="D13" s="20"/>
      <c r="E13" s="20"/>
      <c r="F13" s="20"/>
      <c r="G13" s="21"/>
      <c r="H13" s="1"/>
    </row>
    <row r="14" spans="1:12" ht="15.75" customHeight="1" x14ac:dyDescent="0.25">
      <c r="A14" s="19"/>
      <c r="B14" s="20"/>
      <c r="C14" s="20"/>
      <c r="D14" s="20"/>
      <c r="E14" s="20"/>
      <c r="F14" s="20"/>
      <c r="G14" s="21"/>
      <c r="H14" s="1"/>
    </row>
    <row r="15" spans="1:12" ht="15.75" customHeight="1" x14ac:dyDescent="0.25">
      <c r="A15" s="19"/>
      <c r="B15" s="20"/>
      <c r="C15" s="20"/>
      <c r="D15" s="20"/>
      <c r="E15" s="20"/>
      <c r="F15" s="20"/>
      <c r="G15" s="21"/>
      <c r="H15" s="1"/>
    </row>
    <row r="16" spans="1:12" ht="15.75" customHeight="1" x14ac:dyDescent="0.25">
      <c r="A16" s="19"/>
      <c r="B16" s="20"/>
      <c r="C16" s="20"/>
      <c r="D16" s="20"/>
      <c r="E16" s="20"/>
      <c r="F16" s="20"/>
      <c r="G16" s="21"/>
      <c r="H16" s="1"/>
    </row>
    <row r="17" spans="1:8" ht="15.75" customHeight="1" x14ac:dyDescent="0.25">
      <c r="A17" s="19"/>
      <c r="B17" s="20"/>
      <c r="C17" s="20"/>
      <c r="D17" s="20"/>
      <c r="E17" s="20"/>
      <c r="F17" s="20"/>
      <c r="G17" s="21"/>
      <c r="H17" s="1"/>
    </row>
    <row r="18" spans="1:8" ht="15.75" customHeight="1" x14ac:dyDescent="0.25">
      <c r="A18" s="19"/>
      <c r="B18" s="20"/>
      <c r="C18" s="20"/>
      <c r="D18" s="20"/>
      <c r="E18" s="20"/>
      <c r="F18" s="20"/>
      <c r="G18" s="21"/>
      <c r="H18" s="1"/>
    </row>
    <row r="19" spans="1:8" ht="15.75" customHeight="1" x14ac:dyDescent="0.25">
      <c r="A19" s="19"/>
      <c r="B19" s="20"/>
      <c r="C19" s="20"/>
      <c r="D19" s="20"/>
      <c r="E19" s="20"/>
      <c r="F19" s="20"/>
      <c r="G19" s="21"/>
      <c r="H19" s="1"/>
    </row>
    <row r="20" spans="1:8" ht="15.75" customHeight="1" x14ac:dyDescent="0.25">
      <c r="A20" s="19"/>
      <c r="B20" s="20"/>
      <c r="C20" s="20"/>
      <c r="D20" s="20"/>
      <c r="E20" s="20"/>
      <c r="F20" s="20"/>
      <c r="G20" s="21"/>
      <c r="H20" s="1"/>
    </row>
    <row r="21" spans="1:8" ht="15.75" customHeight="1" x14ac:dyDescent="0.25">
      <c r="A21" s="19"/>
      <c r="B21" s="20"/>
      <c r="C21" s="20"/>
      <c r="D21" s="20"/>
      <c r="E21" s="20"/>
      <c r="F21" s="20"/>
      <c r="G21" s="21"/>
      <c r="H21" s="1"/>
    </row>
    <row r="22" spans="1:8" ht="15.75" customHeight="1" x14ac:dyDescent="0.25">
      <c r="A22" s="19"/>
      <c r="B22" s="20"/>
      <c r="C22" s="20"/>
      <c r="D22" s="20"/>
      <c r="E22" s="20"/>
      <c r="F22" s="20"/>
      <c r="G22" s="21"/>
      <c r="H22" s="1"/>
    </row>
    <row r="23" spans="1:8" ht="15.75" customHeight="1" x14ac:dyDescent="0.25">
      <c r="A23" s="19"/>
      <c r="B23" s="20"/>
      <c r="C23" s="20"/>
      <c r="D23" s="20"/>
      <c r="E23" s="20"/>
      <c r="F23" s="20"/>
      <c r="G23" s="21"/>
      <c r="H23" s="1"/>
    </row>
    <row r="24" spans="1:8" ht="15.75" customHeight="1" x14ac:dyDescent="0.25">
      <c r="A24" s="19"/>
      <c r="B24" s="20"/>
      <c r="C24" s="20"/>
      <c r="D24" s="20"/>
      <c r="E24" s="20"/>
      <c r="F24" s="20"/>
      <c r="G24" s="21"/>
      <c r="H24" s="1"/>
    </row>
    <row r="25" spans="1:8" ht="15.75" customHeight="1" x14ac:dyDescent="0.25">
      <c r="A25" s="19"/>
      <c r="B25" s="20"/>
      <c r="C25" s="20"/>
      <c r="D25" s="20"/>
      <c r="E25" s="20"/>
      <c r="F25" s="20"/>
      <c r="G25" s="21"/>
      <c r="H25" s="1"/>
    </row>
    <row r="26" spans="1:8" ht="15.75" customHeight="1" x14ac:dyDescent="0.25">
      <c r="A26" s="19"/>
      <c r="B26" s="20"/>
      <c r="C26" s="20"/>
      <c r="D26" s="20"/>
      <c r="E26" s="20"/>
      <c r="F26" s="20"/>
      <c r="G26" s="21"/>
      <c r="H26" s="1"/>
    </row>
    <row r="27" spans="1:8" ht="15.75" customHeight="1" x14ac:dyDescent="0.25">
      <c r="A27" s="22"/>
      <c r="B27" s="23"/>
      <c r="C27" s="23"/>
      <c r="D27" s="23"/>
      <c r="E27" s="23"/>
      <c r="F27" s="23"/>
      <c r="G27" s="24"/>
      <c r="H27" s="1"/>
    </row>
    <row r="28" spans="1:8" ht="15.75" customHeight="1" x14ac:dyDescent="0.25">
      <c r="A28" s="25" t="s">
        <v>26</v>
      </c>
      <c r="B28" s="15"/>
      <c r="C28" s="15"/>
      <c r="D28" s="15"/>
      <c r="E28" s="15"/>
      <c r="F28" s="15"/>
      <c r="G28" s="26"/>
    </row>
    <row r="29" spans="1:8" ht="15.75" customHeight="1" x14ac:dyDescent="0.25">
      <c r="A29" s="6" t="s">
        <v>27</v>
      </c>
      <c r="B29" s="7"/>
      <c r="C29" s="7"/>
      <c r="D29" s="7"/>
      <c r="E29" s="7"/>
      <c r="F29" s="7"/>
      <c r="G29" s="8"/>
    </row>
    <row r="30" spans="1:8" ht="15.75" customHeight="1" x14ac:dyDescent="0.25">
      <c r="A30" s="9" t="s">
        <v>28</v>
      </c>
      <c r="B30" s="10"/>
      <c r="C30" s="10"/>
      <c r="D30" s="10"/>
      <c r="E30" s="10"/>
      <c r="F30" s="10"/>
      <c r="G30" s="11"/>
    </row>
    <row r="31" spans="1:8" ht="15.75" customHeight="1" x14ac:dyDescent="0.25">
      <c r="A31" s="6" t="s">
        <v>29</v>
      </c>
      <c r="B31" s="7"/>
      <c r="C31" s="7"/>
      <c r="D31" s="7"/>
      <c r="E31" s="7"/>
      <c r="F31" s="7"/>
      <c r="G31" s="8"/>
    </row>
    <row r="32" spans="1:8" ht="15.75" customHeight="1" x14ac:dyDescent="0.25">
      <c r="A32" s="9" t="s">
        <v>30</v>
      </c>
      <c r="B32" s="10"/>
      <c r="C32" s="10"/>
      <c r="D32" s="10"/>
      <c r="E32" s="10"/>
      <c r="F32" s="10"/>
      <c r="G32" s="11"/>
    </row>
    <row r="33" spans="1:7" ht="15.75" customHeight="1" x14ac:dyDescent="0.25">
      <c r="A33" s="6" t="s">
        <v>31</v>
      </c>
      <c r="B33" s="7"/>
      <c r="C33" s="7"/>
      <c r="D33" s="7"/>
      <c r="E33" s="7"/>
      <c r="F33" s="7"/>
      <c r="G33" s="8"/>
    </row>
    <row r="34" spans="1:7" ht="15.75" customHeight="1" x14ac:dyDescent="0.25">
      <c r="A34" s="12" t="s">
        <v>32</v>
      </c>
      <c r="B34" s="13"/>
      <c r="C34" s="13"/>
      <c r="D34" s="13"/>
      <c r="E34" s="13"/>
      <c r="F34" s="13"/>
      <c r="G34" s="14"/>
    </row>
    <row r="35" spans="1:7" ht="15.75" customHeight="1" x14ac:dyDescent="0.25">
      <c r="A35" s="25" t="s">
        <v>34</v>
      </c>
      <c r="B35" s="15"/>
      <c r="C35" s="15"/>
      <c r="D35" s="15"/>
      <c r="E35" s="15"/>
      <c r="F35" s="15"/>
      <c r="G35" s="26"/>
    </row>
    <row r="36" spans="1:7" ht="15.75" customHeight="1" x14ac:dyDescent="0.25">
      <c r="A36" s="32" t="s">
        <v>42</v>
      </c>
      <c r="B36" s="27" t="s">
        <v>35</v>
      </c>
      <c r="C36" s="27"/>
      <c r="D36" s="27"/>
      <c r="E36" s="27"/>
      <c r="F36" s="27"/>
      <c r="G36" s="28"/>
    </row>
  </sheetData>
  <mergeCells count="11">
    <mergeCell ref="B36:G36"/>
    <mergeCell ref="A1:G1"/>
    <mergeCell ref="A2:G27"/>
    <mergeCell ref="A28:G28"/>
    <mergeCell ref="A29:G29"/>
    <mergeCell ref="A30:G30"/>
    <mergeCell ref="A31:G31"/>
    <mergeCell ref="A32:G32"/>
    <mergeCell ref="A33:G33"/>
    <mergeCell ref="A34:G34"/>
    <mergeCell ref="A35:G35"/>
  </mergeCells>
  <hyperlinks>
    <hyperlink ref="A31" r:id="rId1" xr:uid="{54C176DC-126C-4B3E-A20C-D4F947AEB33B}"/>
    <hyperlink ref="A29" r:id="rId2" xr:uid="{96AB52C5-3F7F-4285-BC90-56CB45EE70A5}"/>
    <hyperlink ref="A33" r:id="rId3" xr:uid="{0DF51C4E-1F2C-4516-BA89-0233738F3C47}"/>
    <hyperlink ref="A34" r:id="rId4" xr:uid="{319E1E1D-7710-49ED-A3AA-343B4F2DFA7C}"/>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27"/>
  <sheetViews>
    <sheetView workbookViewId="0">
      <selection activeCell="E16" sqref="E16:H27"/>
    </sheetView>
  </sheetViews>
  <sheetFormatPr defaultColWidth="12.6640625" defaultRowHeight="15.75" customHeight="1" x14ac:dyDescent="0.25"/>
  <cols>
    <col min="1" max="1" width="8.6640625" bestFit="1" customWidth="1"/>
    <col min="2" max="2" width="13.77734375" bestFit="1" customWidth="1"/>
    <col min="3" max="3" width="8.21875" bestFit="1" customWidth="1"/>
    <col min="4" max="4" width="14" bestFit="1" customWidth="1"/>
    <col min="5" max="5" width="7.6640625" bestFit="1" customWidth="1"/>
    <col min="6" max="6" width="6.6640625" bestFit="1" customWidth="1"/>
    <col min="7" max="7" width="6.44140625" bestFit="1" customWidth="1"/>
    <col min="8" max="8" width="6" bestFit="1" customWidth="1"/>
    <col min="9" max="9" width="10" bestFit="1" customWidth="1"/>
    <col min="10" max="10" width="6.6640625" bestFit="1" customWidth="1"/>
  </cols>
  <sheetData>
    <row r="1" spans="1:10" ht="13.2" x14ac:dyDescent="0.25">
      <c r="A1" s="3" t="s">
        <v>1</v>
      </c>
      <c r="B1" s="3" t="s">
        <v>2</v>
      </c>
      <c r="C1" s="3" t="s">
        <v>3</v>
      </c>
      <c r="D1" s="5" t="s">
        <v>41</v>
      </c>
      <c r="E1" s="5" t="s">
        <v>4</v>
      </c>
      <c r="F1" s="5" t="s">
        <v>5</v>
      </c>
      <c r="G1" s="5" t="s">
        <v>6</v>
      </c>
      <c r="H1" s="5" t="s">
        <v>7</v>
      </c>
      <c r="I1" s="5" t="s">
        <v>8</v>
      </c>
      <c r="J1" s="5" t="s">
        <v>9</v>
      </c>
    </row>
    <row r="2" spans="1:10" ht="13.2" x14ac:dyDescent="0.25">
      <c r="A2" s="5" t="s">
        <v>36</v>
      </c>
      <c r="B2" s="5" t="s">
        <v>11</v>
      </c>
      <c r="C2" t="s">
        <v>12</v>
      </c>
      <c r="D2">
        <v>10.7</v>
      </c>
      <c r="E2">
        <f t="shared" ref="E2:E13" si="0">ROUND(AVERAGE($D$2:$D$13),1)</f>
        <v>12.8</v>
      </c>
      <c r="F2">
        <f t="shared" ref="F2:F13" si="1">ROUND(E2+(2.66*I2),1)</f>
        <v>17.3</v>
      </c>
      <c r="G2">
        <f>ROUND(E2-(2.66*I2),1)</f>
        <v>8.3000000000000007</v>
      </c>
      <c r="I2">
        <f t="shared" ref="I2:I13" si="2">ROUND(AVERAGE($H$3:$H$13),1)</f>
        <v>1.7</v>
      </c>
      <c r="J2">
        <f t="shared" ref="J2:J13" si="3">ROUND(I2*3.268,1)</f>
        <v>5.6</v>
      </c>
    </row>
    <row r="3" spans="1:10" ht="13.2" x14ac:dyDescent="0.25">
      <c r="A3" s="5" t="s">
        <v>36</v>
      </c>
      <c r="B3" s="5" t="s">
        <v>11</v>
      </c>
      <c r="C3" t="s">
        <v>13</v>
      </c>
      <c r="D3">
        <v>13</v>
      </c>
      <c r="E3">
        <f t="shared" si="0"/>
        <v>12.8</v>
      </c>
      <c r="F3">
        <f t="shared" si="1"/>
        <v>17.3</v>
      </c>
      <c r="G3">
        <f t="shared" ref="G3:G13" si="4">ROUND(E3-(2.66*I3),1)</f>
        <v>8.3000000000000007</v>
      </c>
      <c r="H3">
        <f t="shared" ref="H3:H13" si="5">ABS(D2-D3)</f>
        <v>2.3000000000000007</v>
      </c>
      <c r="I3">
        <f t="shared" si="2"/>
        <v>1.7</v>
      </c>
      <c r="J3">
        <f t="shared" si="3"/>
        <v>5.6</v>
      </c>
    </row>
    <row r="4" spans="1:10" ht="13.2" x14ac:dyDescent="0.25">
      <c r="A4" s="5" t="s">
        <v>36</v>
      </c>
      <c r="B4" s="5" t="s">
        <v>11</v>
      </c>
      <c r="C4" t="s">
        <v>14</v>
      </c>
      <c r="D4">
        <v>11.4</v>
      </c>
      <c r="E4">
        <f t="shared" si="0"/>
        <v>12.8</v>
      </c>
      <c r="F4">
        <f t="shared" si="1"/>
        <v>17.3</v>
      </c>
      <c r="G4">
        <f t="shared" si="4"/>
        <v>8.3000000000000007</v>
      </c>
      <c r="H4">
        <f t="shared" si="5"/>
        <v>1.5999999999999996</v>
      </c>
      <c r="I4">
        <f t="shared" si="2"/>
        <v>1.7</v>
      </c>
      <c r="J4">
        <f t="shared" si="3"/>
        <v>5.6</v>
      </c>
    </row>
    <row r="5" spans="1:10" ht="13.2" x14ac:dyDescent="0.25">
      <c r="A5" s="5" t="s">
        <v>36</v>
      </c>
      <c r="B5" s="5" t="s">
        <v>11</v>
      </c>
      <c r="C5" t="s">
        <v>15</v>
      </c>
      <c r="D5">
        <v>11.5</v>
      </c>
      <c r="E5">
        <f t="shared" si="0"/>
        <v>12.8</v>
      </c>
      <c r="F5">
        <f t="shared" si="1"/>
        <v>17.3</v>
      </c>
      <c r="G5">
        <f t="shared" si="4"/>
        <v>8.3000000000000007</v>
      </c>
      <c r="H5">
        <f t="shared" si="5"/>
        <v>9.9999999999999645E-2</v>
      </c>
      <c r="I5">
        <f t="shared" si="2"/>
        <v>1.7</v>
      </c>
      <c r="J5">
        <f t="shared" si="3"/>
        <v>5.6</v>
      </c>
    </row>
    <row r="6" spans="1:10" ht="13.2" x14ac:dyDescent="0.25">
      <c r="A6" s="5" t="s">
        <v>36</v>
      </c>
      <c r="B6" s="5" t="s">
        <v>11</v>
      </c>
      <c r="C6" t="s">
        <v>16</v>
      </c>
      <c r="D6">
        <v>12.5</v>
      </c>
      <c r="E6">
        <f t="shared" si="0"/>
        <v>12.8</v>
      </c>
      <c r="F6">
        <f t="shared" si="1"/>
        <v>17.3</v>
      </c>
      <c r="G6">
        <f t="shared" si="4"/>
        <v>8.3000000000000007</v>
      </c>
      <c r="H6">
        <f t="shared" si="5"/>
        <v>1</v>
      </c>
      <c r="I6">
        <f t="shared" si="2"/>
        <v>1.7</v>
      </c>
      <c r="J6">
        <f t="shared" si="3"/>
        <v>5.6</v>
      </c>
    </row>
    <row r="7" spans="1:10" ht="13.2" x14ac:dyDescent="0.25">
      <c r="A7" s="5" t="s">
        <v>36</v>
      </c>
      <c r="B7" s="5" t="s">
        <v>11</v>
      </c>
      <c r="C7" t="s">
        <v>17</v>
      </c>
      <c r="D7">
        <v>14.1</v>
      </c>
      <c r="E7">
        <f t="shared" si="0"/>
        <v>12.8</v>
      </c>
      <c r="F7">
        <f t="shared" si="1"/>
        <v>17.3</v>
      </c>
      <c r="G7">
        <f t="shared" si="4"/>
        <v>8.3000000000000007</v>
      </c>
      <c r="H7">
        <f t="shared" si="5"/>
        <v>1.5999999999999996</v>
      </c>
      <c r="I7">
        <f t="shared" si="2"/>
        <v>1.7</v>
      </c>
      <c r="J7">
        <f t="shared" si="3"/>
        <v>5.6</v>
      </c>
    </row>
    <row r="8" spans="1:10" ht="13.2" x14ac:dyDescent="0.25">
      <c r="A8" s="5" t="s">
        <v>36</v>
      </c>
      <c r="B8" s="5" t="s">
        <v>11</v>
      </c>
      <c r="C8" t="s">
        <v>18</v>
      </c>
      <c r="D8">
        <v>14.8</v>
      </c>
      <c r="E8">
        <f t="shared" si="0"/>
        <v>12.8</v>
      </c>
      <c r="F8">
        <f t="shared" si="1"/>
        <v>17.3</v>
      </c>
      <c r="G8">
        <f t="shared" si="4"/>
        <v>8.3000000000000007</v>
      </c>
      <c r="H8">
        <f t="shared" si="5"/>
        <v>0.70000000000000107</v>
      </c>
      <c r="I8">
        <f t="shared" si="2"/>
        <v>1.7</v>
      </c>
      <c r="J8">
        <f t="shared" si="3"/>
        <v>5.6</v>
      </c>
    </row>
    <row r="9" spans="1:10" ht="13.2" x14ac:dyDescent="0.25">
      <c r="A9" s="5" t="s">
        <v>36</v>
      </c>
      <c r="B9" s="5" t="s">
        <v>11</v>
      </c>
      <c r="C9" t="s">
        <v>19</v>
      </c>
      <c r="D9">
        <v>14.1</v>
      </c>
      <c r="E9">
        <f t="shared" si="0"/>
        <v>12.8</v>
      </c>
      <c r="F9">
        <f t="shared" si="1"/>
        <v>17.3</v>
      </c>
      <c r="G9">
        <f t="shared" si="4"/>
        <v>8.3000000000000007</v>
      </c>
      <c r="H9">
        <f t="shared" si="5"/>
        <v>0.70000000000000107</v>
      </c>
      <c r="I9">
        <f t="shared" si="2"/>
        <v>1.7</v>
      </c>
      <c r="J9">
        <f t="shared" si="3"/>
        <v>5.6</v>
      </c>
    </row>
    <row r="10" spans="1:10" ht="13.2" x14ac:dyDescent="0.25">
      <c r="A10" s="5" t="s">
        <v>36</v>
      </c>
      <c r="B10" s="5" t="s">
        <v>11</v>
      </c>
      <c r="C10" t="s">
        <v>20</v>
      </c>
      <c r="D10">
        <v>12.6</v>
      </c>
      <c r="E10">
        <f t="shared" si="0"/>
        <v>12.8</v>
      </c>
      <c r="F10">
        <f t="shared" si="1"/>
        <v>17.3</v>
      </c>
      <c r="G10">
        <f t="shared" si="4"/>
        <v>8.3000000000000007</v>
      </c>
      <c r="H10">
        <f t="shared" si="5"/>
        <v>1.5</v>
      </c>
      <c r="I10">
        <f t="shared" si="2"/>
        <v>1.7</v>
      </c>
      <c r="J10">
        <f t="shared" si="3"/>
        <v>5.6</v>
      </c>
    </row>
    <row r="11" spans="1:10" ht="13.2" x14ac:dyDescent="0.25">
      <c r="A11" s="5" t="s">
        <v>36</v>
      </c>
      <c r="B11" s="5" t="s">
        <v>11</v>
      </c>
      <c r="C11" t="s">
        <v>21</v>
      </c>
      <c r="D11">
        <v>16</v>
      </c>
      <c r="E11">
        <f t="shared" si="0"/>
        <v>12.8</v>
      </c>
      <c r="F11">
        <f t="shared" si="1"/>
        <v>17.3</v>
      </c>
      <c r="G11">
        <f t="shared" si="4"/>
        <v>8.3000000000000007</v>
      </c>
      <c r="H11">
        <f t="shared" si="5"/>
        <v>3.4000000000000004</v>
      </c>
      <c r="I11">
        <f t="shared" si="2"/>
        <v>1.7</v>
      </c>
      <c r="J11">
        <f t="shared" si="3"/>
        <v>5.6</v>
      </c>
    </row>
    <row r="12" spans="1:10" ht="13.2" x14ac:dyDescent="0.25">
      <c r="A12" s="5" t="s">
        <v>36</v>
      </c>
      <c r="B12" s="5" t="s">
        <v>11</v>
      </c>
      <c r="C12" t="s">
        <v>22</v>
      </c>
      <c r="D12">
        <v>11.7</v>
      </c>
      <c r="E12">
        <f t="shared" si="0"/>
        <v>12.8</v>
      </c>
      <c r="F12">
        <f t="shared" si="1"/>
        <v>17.3</v>
      </c>
      <c r="G12">
        <f t="shared" si="4"/>
        <v>8.3000000000000007</v>
      </c>
      <c r="H12">
        <f t="shared" si="5"/>
        <v>4.3000000000000007</v>
      </c>
      <c r="I12">
        <f t="shared" si="2"/>
        <v>1.7</v>
      </c>
      <c r="J12">
        <f t="shared" si="3"/>
        <v>5.6</v>
      </c>
    </row>
    <row r="13" spans="1:10" ht="13.2" x14ac:dyDescent="0.25">
      <c r="A13" s="5" t="s">
        <v>36</v>
      </c>
      <c r="B13" s="5" t="s">
        <v>11</v>
      </c>
      <c r="C13" t="s">
        <v>23</v>
      </c>
      <c r="D13">
        <v>10.6</v>
      </c>
      <c r="E13">
        <f t="shared" si="0"/>
        <v>12.8</v>
      </c>
      <c r="F13">
        <f t="shared" si="1"/>
        <v>17.3</v>
      </c>
      <c r="G13">
        <f t="shared" si="4"/>
        <v>8.3000000000000007</v>
      </c>
      <c r="H13">
        <f t="shared" si="5"/>
        <v>1.0999999999999996</v>
      </c>
      <c r="I13">
        <f t="shared" si="2"/>
        <v>1.7</v>
      </c>
      <c r="J13">
        <f t="shared" si="3"/>
        <v>5.6</v>
      </c>
    </row>
    <row r="15" spans="1:10" ht="13.2" x14ac:dyDescent="0.25">
      <c r="A15" s="5" t="s">
        <v>1</v>
      </c>
      <c r="B15" s="5" t="s">
        <v>2</v>
      </c>
      <c r="C15" t="s">
        <v>3</v>
      </c>
      <c r="D15" s="5" t="s">
        <v>41</v>
      </c>
      <c r="E15" s="5" t="s">
        <v>4</v>
      </c>
      <c r="F15" s="5" t="s">
        <v>5</v>
      </c>
      <c r="G15" s="5" t="s">
        <v>6</v>
      </c>
      <c r="H15" s="5" t="s">
        <v>37</v>
      </c>
    </row>
    <row r="16" spans="1:10" ht="13.2" x14ac:dyDescent="0.25">
      <c r="A16" s="5" t="s">
        <v>36</v>
      </c>
      <c r="B16" s="5" t="s">
        <v>24</v>
      </c>
      <c r="C16" t="s">
        <v>12</v>
      </c>
      <c r="D16">
        <v>10.7</v>
      </c>
      <c r="E16">
        <f t="shared" ref="E16:E27" si="6">ROUND(AVERAGE($D$16:$D$27),1)</f>
        <v>12.8</v>
      </c>
      <c r="F16">
        <f t="shared" ref="F16:F27" si="7">ROUND(E16+(3*H16),1)</f>
        <v>17.899999999999999</v>
      </c>
      <c r="G16">
        <f t="shared" ref="G16:G27" si="8">ROUND(E16-(3*H16),1)</f>
        <v>7.7</v>
      </c>
      <c r="H16">
        <f t="shared" ref="H16:H27" si="9">ROUND(STDEVA($D$16:$D$27),1)</f>
        <v>1.7</v>
      </c>
    </row>
    <row r="17" spans="1:8" ht="13.2" x14ac:dyDescent="0.25">
      <c r="A17" s="5" t="s">
        <v>36</v>
      </c>
      <c r="B17" s="5" t="s">
        <v>24</v>
      </c>
      <c r="C17" t="s">
        <v>13</v>
      </c>
      <c r="D17">
        <v>13</v>
      </c>
      <c r="E17">
        <f t="shared" si="6"/>
        <v>12.8</v>
      </c>
      <c r="F17">
        <f t="shared" si="7"/>
        <v>17.899999999999999</v>
      </c>
      <c r="G17">
        <f t="shared" si="8"/>
        <v>7.7</v>
      </c>
      <c r="H17">
        <f t="shared" si="9"/>
        <v>1.7</v>
      </c>
    </row>
    <row r="18" spans="1:8" ht="13.2" x14ac:dyDescent="0.25">
      <c r="A18" s="5" t="s">
        <v>36</v>
      </c>
      <c r="B18" s="5" t="s">
        <v>24</v>
      </c>
      <c r="C18" t="s">
        <v>14</v>
      </c>
      <c r="D18">
        <v>11.4</v>
      </c>
      <c r="E18">
        <f t="shared" si="6"/>
        <v>12.8</v>
      </c>
      <c r="F18">
        <f t="shared" si="7"/>
        <v>17.899999999999999</v>
      </c>
      <c r="G18">
        <f t="shared" si="8"/>
        <v>7.7</v>
      </c>
      <c r="H18">
        <f t="shared" si="9"/>
        <v>1.7</v>
      </c>
    </row>
    <row r="19" spans="1:8" ht="13.2" x14ac:dyDescent="0.25">
      <c r="A19" s="5" t="s">
        <v>36</v>
      </c>
      <c r="B19" s="5" t="s">
        <v>24</v>
      </c>
      <c r="C19" t="s">
        <v>15</v>
      </c>
      <c r="D19">
        <v>11.5</v>
      </c>
      <c r="E19">
        <f t="shared" si="6"/>
        <v>12.8</v>
      </c>
      <c r="F19">
        <f t="shared" si="7"/>
        <v>17.899999999999999</v>
      </c>
      <c r="G19">
        <f t="shared" si="8"/>
        <v>7.7</v>
      </c>
      <c r="H19">
        <f t="shared" si="9"/>
        <v>1.7</v>
      </c>
    </row>
    <row r="20" spans="1:8" ht="13.2" x14ac:dyDescent="0.25">
      <c r="A20" s="5" t="s">
        <v>36</v>
      </c>
      <c r="B20" s="5" t="s">
        <v>24</v>
      </c>
      <c r="C20" t="s">
        <v>16</v>
      </c>
      <c r="D20">
        <v>12.5</v>
      </c>
      <c r="E20">
        <f t="shared" si="6"/>
        <v>12.8</v>
      </c>
      <c r="F20">
        <f t="shared" si="7"/>
        <v>17.899999999999999</v>
      </c>
      <c r="G20">
        <f t="shared" si="8"/>
        <v>7.7</v>
      </c>
      <c r="H20">
        <f t="shared" si="9"/>
        <v>1.7</v>
      </c>
    </row>
    <row r="21" spans="1:8" ht="13.2" x14ac:dyDescent="0.25">
      <c r="A21" s="5" t="s">
        <v>36</v>
      </c>
      <c r="B21" s="5" t="s">
        <v>24</v>
      </c>
      <c r="C21" t="s">
        <v>17</v>
      </c>
      <c r="D21">
        <v>14.1</v>
      </c>
      <c r="E21">
        <f t="shared" si="6"/>
        <v>12.8</v>
      </c>
      <c r="F21">
        <f t="shared" si="7"/>
        <v>17.899999999999999</v>
      </c>
      <c r="G21">
        <f t="shared" si="8"/>
        <v>7.7</v>
      </c>
      <c r="H21">
        <f t="shared" si="9"/>
        <v>1.7</v>
      </c>
    </row>
    <row r="22" spans="1:8" ht="13.2" x14ac:dyDescent="0.25">
      <c r="A22" s="5" t="s">
        <v>36</v>
      </c>
      <c r="B22" s="5" t="s">
        <v>24</v>
      </c>
      <c r="C22" t="s">
        <v>18</v>
      </c>
      <c r="D22">
        <v>14.8</v>
      </c>
      <c r="E22">
        <f t="shared" si="6"/>
        <v>12.8</v>
      </c>
      <c r="F22">
        <f t="shared" si="7"/>
        <v>17.899999999999999</v>
      </c>
      <c r="G22">
        <f t="shared" si="8"/>
        <v>7.7</v>
      </c>
      <c r="H22">
        <f t="shared" si="9"/>
        <v>1.7</v>
      </c>
    </row>
    <row r="23" spans="1:8" ht="13.2" x14ac:dyDescent="0.25">
      <c r="A23" s="5" t="s">
        <v>36</v>
      </c>
      <c r="B23" s="5" t="s">
        <v>24</v>
      </c>
      <c r="C23" t="s">
        <v>19</v>
      </c>
      <c r="D23">
        <v>14.1</v>
      </c>
      <c r="E23">
        <f t="shared" si="6"/>
        <v>12.8</v>
      </c>
      <c r="F23">
        <f t="shared" si="7"/>
        <v>17.899999999999999</v>
      </c>
      <c r="G23">
        <f t="shared" si="8"/>
        <v>7.7</v>
      </c>
      <c r="H23">
        <f t="shared" si="9"/>
        <v>1.7</v>
      </c>
    </row>
    <row r="24" spans="1:8" ht="13.2" x14ac:dyDescent="0.25">
      <c r="A24" s="5" t="s">
        <v>36</v>
      </c>
      <c r="B24" s="5" t="s">
        <v>24</v>
      </c>
      <c r="C24" t="s">
        <v>20</v>
      </c>
      <c r="D24">
        <v>12.6</v>
      </c>
      <c r="E24">
        <f t="shared" si="6"/>
        <v>12.8</v>
      </c>
      <c r="F24">
        <f t="shared" si="7"/>
        <v>17.899999999999999</v>
      </c>
      <c r="G24">
        <f t="shared" si="8"/>
        <v>7.7</v>
      </c>
      <c r="H24">
        <f t="shared" si="9"/>
        <v>1.7</v>
      </c>
    </row>
    <row r="25" spans="1:8" ht="13.2" x14ac:dyDescent="0.25">
      <c r="A25" s="5" t="s">
        <v>36</v>
      </c>
      <c r="B25" s="5" t="s">
        <v>24</v>
      </c>
      <c r="C25" t="s">
        <v>21</v>
      </c>
      <c r="D25">
        <v>16</v>
      </c>
      <c r="E25">
        <f t="shared" si="6"/>
        <v>12.8</v>
      </c>
      <c r="F25">
        <f t="shared" si="7"/>
        <v>17.899999999999999</v>
      </c>
      <c r="G25">
        <f t="shared" si="8"/>
        <v>7.7</v>
      </c>
      <c r="H25">
        <f t="shared" si="9"/>
        <v>1.7</v>
      </c>
    </row>
    <row r="26" spans="1:8" ht="13.2" x14ac:dyDescent="0.25">
      <c r="A26" s="5" t="s">
        <v>36</v>
      </c>
      <c r="B26" s="5" t="s">
        <v>24</v>
      </c>
      <c r="C26" t="s">
        <v>22</v>
      </c>
      <c r="D26">
        <v>11.7</v>
      </c>
      <c r="E26">
        <f t="shared" si="6"/>
        <v>12.8</v>
      </c>
      <c r="F26">
        <f t="shared" si="7"/>
        <v>17.899999999999999</v>
      </c>
      <c r="G26">
        <f t="shared" si="8"/>
        <v>7.7</v>
      </c>
      <c r="H26">
        <f t="shared" si="9"/>
        <v>1.7</v>
      </c>
    </row>
    <row r="27" spans="1:8" ht="13.2" x14ac:dyDescent="0.25">
      <c r="A27" s="5" t="s">
        <v>36</v>
      </c>
      <c r="B27" s="5" t="s">
        <v>24</v>
      </c>
      <c r="C27" t="s">
        <v>23</v>
      </c>
      <c r="D27">
        <v>10.6</v>
      </c>
      <c r="E27">
        <f t="shared" si="6"/>
        <v>12.8</v>
      </c>
      <c r="F27">
        <f t="shared" si="7"/>
        <v>17.899999999999999</v>
      </c>
      <c r="G27">
        <f t="shared" si="8"/>
        <v>7.7</v>
      </c>
      <c r="H27">
        <f t="shared" si="9"/>
        <v>1.7</v>
      </c>
    </row>
  </sheetData>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7"/>
  <sheetViews>
    <sheetView workbookViewId="0">
      <selection activeCell="U25" sqref="U25"/>
    </sheetView>
  </sheetViews>
  <sheetFormatPr defaultColWidth="12.6640625" defaultRowHeight="15.75" customHeight="1" x14ac:dyDescent="0.25"/>
  <cols>
    <col min="1" max="1" width="8.6640625" bestFit="1" customWidth="1"/>
    <col min="2" max="2" width="21.88671875" bestFit="1" customWidth="1"/>
    <col min="3" max="3" width="8.21875" bestFit="1" customWidth="1"/>
    <col min="4" max="4" width="13.6640625" bestFit="1" customWidth="1"/>
    <col min="5" max="5" width="7.6640625" bestFit="1" customWidth="1"/>
    <col min="6" max="6" width="6.6640625" bestFit="1" customWidth="1"/>
    <col min="7" max="7" width="6.44140625" bestFit="1" customWidth="1"/>
    <col min="8" max="8" width="7.6640625" bestFit="1" customWidth="1"/>
    <col min="9" max="9" width="10" bestFit="1" customWidth="1"/>
    <col min="10" max="10" width="6.6640625" bestFit="1" customWidth="1"/>
  </cols>
  <sheetData>
    <row r="1" spans="1:10" ht="13.2" x14ac:dyDescent="0.25">
      <c r="A1" s="3" t="s">
        <v>1</v>
      </c>
      <c r="B1" s="3" t="s">
        <v>2</v>
      </c>
      <c r="C1" s="3" t="s">
        <v>3</v>
      </c>
      <c r="D1" s="5" t="s">
        <v>41</v>
      </c>
      <c r="E1" s="5" t="s">
        <v>4</v>
      </c>
      <c r="F1" s="5" t="s">
        <v>5</v>
      </c>
      <c r="G1" s="5" t="s">
        <v>6</v>
      </c>
      <c r="H1" s="5" t="s">
        <v>7</v>
      </c>
      <c r="I1" s="5" t="s">
        <v>8</v>
      </c>
      <c r="J1" s="5" t="s">
        <v>9</v>
      </c>
    </row>
    <row r="2" spans="1:10" ht="13.2" x14ac:dyDescent="0.25">
      <c r="A2" s="5" t="s">
        <v>38</v>
      </c>
      <c r="B2" s="5" t="s">
        <v>40</v>
      </c>
      <c r="C2" t="s">
        <v>12</v>
      </c>
      <c r="D2">
        <v>6.9</v>
      </c>
      <c r="E2">
        <f t="shared" ref="E2:E13" si="0">ROUND(AVERAGE($D$2:$D$13),1)</f>
        <v>11</v>
      </c>
      <c r="F2">
        <f t="shared" ref="F2:F13" si="1">ROUND(E2+(2.66*I2),1)</f>
        <v>18.7</v>
      </c>
      <c r="G2">
        <f>ROUND(E2-(2.66*I2),1)</f>
        <v>3.3</v>
      </c>
      <c r="I2">
        <f t="shared" ref="I2:I13" si="2">ROUND(AVERAGE($H$3:$H$13),1)</f>
        <v>2.9</v>
      </c>
      <c r="J2">
        <f t="shared" ref="J2:J13" si="3">ROUND(I2*3.268,1)</f>
        <v>9.5</v>
      </c>
    </row>
    <row r="3" spans="1:10" ht="13.2" x14ac:dyDescent="0.25">
      <c r="A3" s="5" t="s">
        <v>38</v>
      </c>
      <c r="B3" s="5" t="s">
        <v>40</v>
      </c>
      <c r="C3" t="s">
        <v>13</v>
      </c>
      <c r="D3">
        <v>11.3</v>
      </c>
      <c r="E3">
        <f t="shared" si="0"/>
        <v>11</v>
      </c>
      <c r="F3">
        <f t="shared" si="1"/>
        <v>18.7</v>
      </c>
      <c r="G3">
        <f t="shared" ref="G3:G13" si="4">ROUND(E3-(2.66*I3),1)</f>
        <v>3.3</v>
      </c>
      <c r="H3">
        <f t="shared" ref="H3:H13" si="5">ABS(D2-D3)</f>
        <v>4.4000000000000004</v>
      </c>
      <c r="I3">
        <f t="shared" si="2"/>
        <v>2.9</v>
      </c>
      <c r="J3">
        <f t="shared" si="3"/>
        <v>9.5</v>
      </c>
    </row>
    <row r="4" spans="1:10" ht="13.2" x14ac:dyDescent="0.25">
      <c r="A4" s="5" t="s">
        <v>38</v>
      </c>
      <c r="B4" s="5" t="s">
        <v>40</v>
      </c>
      <c r="C4" t="s">
        <v>14</v>
      </c>
      <c r="D4">
        <v>9.3000000000000007</v>
      </c>
      <c r="E4">
        <f t="shared" si="0"/>
        <v>11</v>
      </c>
      <c r="F4">
        <f t="shared" si="1"/>
        <v>18.7</v>
      </c>
      <c r="G4">
        <f t="shared" si="4"/>
        <v>3.3</v>
      </c>
      <c r="H4">
        <f t="shared" si="5"/>
        <v>2</v>
      </c>
      <c r="I4">
        <f t="shared" si="2"/>
        <v>2.9</v>
      </c>
      <c r="J4">
        <f t="shared" si="3"/>
        <v>9.5</v>
      </c>
    </row>
    <row r="5" spans="1:10" ht="13.2" x14ac:dyDescent="0.25">
      <c r="A5" s="5" t="s">
        <v>38</v>
      </c>
      <c r="B5" s="5" t="s">
        <v>40</v>
      </c>
      <c r="C5" t="s">
        <v>15</v>
      </c>
      <c r="D5">
        <v>9.8000000000000007</v>
      </c>
      <c r="E5">
        <f t="shared" si="0"/>
        <v>11</v>
      </c>
      <c r="F5">
        <f t="shared" si="1"/>
        <v>18.7</v>
      </c>
      <c r="G5">
        <f t="shared" si="4"/>
        <v>3.3</v>
      </c>
      <c r="H5">
        <f t="shared" si="5"/>
        <v>0.5</v>
      </c>
      <c r="I5">
        <f t="shared" si="2"/>
        <v>2.9</v>
      </c>
      <c r="J5">
        <f t="shared" si="3"/>
        <v>9.5</v>
      </c>
    </row>
    <row r="6" spans="1:10" ht="13.2" x14ac:dyDescent="0.25">
      <c r="A6" s="5" t="s">
        <v>38</v>
      </c>
      <c r="B6" s="5" t="s">
        <v>40</v>
      </c>
      <c r="C6" t="s">
        <v>16</v>
      </c>
      <c r="D6">
        <v>18.7</v>
      </c>
      <c r="E6">
        <f t="shared" si="0"/>
        <v>11</v>
      </c>
      <c r="F6">
        <f t="shared" si="1"/>
        <v>18.7</v>
      </c>
      <c r="G6">
        <f t="shared" si="4"/>
        <v>3.3</v>
      </c>
      <c r="H6">
        <f t="shared" si="5"/>
        <v>8.8999999999999986</v>
      </c>
      <c r="I6">
        <f t="shared" si="2"/>
        <v>2.9</v>
      </c>
      <c r="J6">
        <f t="shared" si="3"/>
        <v>9.5</v>
      </c>
    </row>
    <row r="7" spans="1:10" ht="13.2" x14ac:dyDescent="0.25">
      <c r="A7" s="5" t="s">
        <v>38</v>
      </c>
      <c r="B7" s="5" t="s">
        <v>40</v>
      </c>
      <c r="C7" t="s">
        <v>17</v>
      </c>
      <c r="D7">
        <v>12.6</v>
      </c>
      <c r="E7">
        <f t="shared" si="0"/>
        <v>11</v>
      </c>
      <c r="F7">
        <f t="shared" si="1"/>
        <v>18.7</v>
      </c>
      <c r="G7">
        <f t="shared" si="4"/>
        <v>3.3</v>
      </c>
      <c r="H7">
        <f t="shared" si="5"/>
        <v>6.1</v>
      </c>
      <c r="I7">
        <f t="shared" si="2"/>
        <v>2.9</v>
      </c>
      <c r="J7">
        <f t="shared" si="3"/>
        <v>9.5</v>
      </c>
    </row>
    <row r="8" spans="1:10" ht="13.2" x14ac:dyDescent="0.25">
      <c r="A8" s="5" t="s">
        <v>38</v>
      </c>
      <c r="B8" s="5" t="s">
        <v>40</v>
      </c>
      <c r="C8" t="s">
        <v>18</v>
      </c>
      <c r="D8">
        <v>11.6</v>
      </c>
      <c r="E8">
        <f t="shared" si="0"/>
        <v>11</v>
      </c>
      <c r="F8">
        <f t="shared" si="1"/>
        <v>18.7</v>
      </c>
      <c r="G8">
        <f t="shared" si="4"/>
        <v>3.3</v>
      </c>
      <c r="H8">
        <f t="shared" si="5"/>
        <v>1</v>
      </c>
      <c r="I8">
        <f t="shared" si="2"/>
        <v>2.9</v>
      </c>
      <c r="J8">
        <f t="shared" si="3"/>
        <v>9.5</v>
      </c>
    </row>
    <row r="9" spans="1:10" ht="13.2" x14ac:dyDescent="0.25">
      <c r="A9" s="5" t="s">
        <v>38</v>
      </c>
      <c r="B9" s="5" t="s">
        <v>40</v>
      </c>
      <c r="C9" t="s">
        <v>19</v>
      </c>
      <c r="D9">
        <v>9.1</v>
      </c>
      <c r="E9">
        <f t="shared" si="0"/>
        <v>11</v>
      </c>
      <c r="F9">
        <f t="shared" si="1"/>
        <v>18.7</v>
      </c>
      <c r="G9">
        <f t="shared" si="4"/>
        <v>3.3</v>
      </c>
      <c r="H9">
        <f t="shared" si="5"/>
        <v>2.5</v>
      </c>
      <c r="I9">
        <f t="shared" si="2"/>
        <v>2.9</v>
      </c>
      <c r="J9">
        <f t="shared" si="3"/>
        <v>9.5</v>
      </c>
    </row>
    <row r="10" spans="1:10" ht="13.2" x14ac:dyDescent="0.25">
      <c r="A10" s="5" t="s">
        <v>38</v>
      </c>
      <c r="B10" s="5" t="s">
        <v>40</v>
      </c>
      <c r="C10" t="s">
        <v>20</v>
      </c>
      <c r="D10">
        <v>10.8</v>
      </c>
      <c r="E10">
        <f t="shared" si="0"/>
        <v>11</v>
      </c>
      <c r="F10">
        <f t="shared" si="1"/>
        <v>18.7</v>
      </c>
      <c r="G10">
        <f t="shared" si="4"/>
        <v>3.3</v>
      </c>
      <c r="H10">
        <f t="shared" si="5"/>
        <v>1.7000000000000011</v>
      </c>
      <c r="I10">
        <f t="shared" si="2"/>
        <v>2.9</v>
      </c>
      <c r="J10">
        <f t="shared" si="3"/>
        <v>9.5</v>
      </c>
    </row>
    <row r="11" spans="1:10" ht="13.2" x14ac:dyDescent="0.25">
      <c r="A11" s="5" t="s">
        <v>38</v>
      </c>
      <c r="B11" s="5" t="s">
        <v>40</v>
      </c>
      <c r="C11" t="s">
        <v>21</v>
      </c>
      <c r="D11">
        <v>9.6</v>
      </c>
      <c r="E11">
        <f t="shared" si="0"/>
        <v>11</v>
      </c>
      <c r="F11">
        <f t="shared" si="1"/>
        <v>18.7</v>
      </c>
      <c r="G11">
        <f t="shared" si="4"/>
        <v>3.3</v>
      </c>
      <c r="H11">
        <f t="shared" si="5"/>
        <v>1.2000000000000011</v>
      </c>
      <c r="I11">
        <f t="shared" si="2"/>
        <v>2.9</v>
      </c>
      <c r="J11">
        <f t="shared" si="3"/>
        <v>9.5</v>
      </c>
    </row>
    <row r="12" spans="1:10" ht="13.2" x14ac:dyDescent="0.25">
      <c r="A12" s="5" t="s">
        <v>38</v>
      </c>
      <c r="B12" s="5" t="s">
        <v>40</v>
      </c>
      <c r="C12" t="s">
        <v>22</v>
      </c>
      <c r="D12">
        <v>11.7</v>
      </c>
      <c r="E12">
        <f t="shared" si="0"/>
        <v>11</v>
      </c>
      <c r="F12">
        <f t="shared" si="1"/>
        <v>18.7</v>
      </c>
      <c r="G12">
        <f t="shared" si="4"/>
        <v>3.3</v>
      </c>
      <c r="H12">
        <f t="shared" si="5"/>
        <v>2.0999999999999996</v>
      </c>
      <c r="I12">
        <f t="shared" si="2"/>
        <v>2.9</v>
      </c>
      <c r="J12">
        <f t="shared" si="3"/>
        <v>9.5</v>
      </c>
    </row>
    <row r="13" spans="1:10" ht="13.2" x14ac:dyDescent="0.25">
      <c r="A13" s="5" t="s">
        <v>38</v>
      </c>
      <c r="B13" s="5" t="s">
        <v>40</v>
      </c>
      <c r="C13" t="s">
        <v>23</v>
      </c>
      <c r="D13">
        <v>10.1</v>
      </c>
      <c r="E13">
        <f t="shared" si="0"/>
        <v>11</v>
      </c>
      <c r="F13">
        <f t="shared" si="1"/>
        <v>18.7</v>
      </c>
      <c r="G13">
        <f t="shared" si="4"/>
        <v>3.3</v>
      </c>
      <c r="H13">
        <f t="shared" si="5"/>
        <v>1.5999999999999996</v>
      </c>
      <c r="I13">
        <f t="shared" si="2"/>
        <v>2.9</v>
      </c>
      <c r="J13">
        <f t="shared" si="3"/>
        <v>9.5</v>
      </c>
    </row>
    <row r="15" spans="1:10" ht="13.2" x14ac:dyDescent="0.25">
      <c r="A15" s="5" t="s">
        <v>1</v>
      </c>
      <c r="B15" s="5" t="s">
        <v>2</v>
      </c>
      <c r="C15" t="s">
        <v>3</v>
      </c>
      <c r="D15" s="5" t="s">
        <v>41</v>
      </c>
      <c r="E15" s="5" t="s">
        <v>4</v>
      </c>
      <c r="F15" s="5" t="s">
        <v>5</v>
      </c>
      <c r="G15" s="5" t="s">
        <v>6</v>
      </c>
      <c r="H15" s="5" t="s">
        <v>37</v>
      </c>
    </row>
    <row r="16" spans="1:10" ht="13.2" x14ac:dyDescent="0.25">
      <c r="A16" s="5" t="s">
        <v>38</v>
      </c>
      <c r="B16" s="5" t="s">
        <v>39</v>
      </c>
      <c r="C16" t="s">
        <v>12</v>
      </c>
      <c r="D16">
        <v>6.9</v>
      </c>
      <c r="E16">
        <f t="shared" ref="E16:E27" si="6">ROUND(AVERAGE($D$16:$D$27),1)</f>
        <v>11</v>
      </c>
      <c r="F16">
        <f t="shared" ref="F16:F27" si="7">ROUND(E16+(3*H16),1)</f>
        <v>19.7</v>
      </c>
      <c r="G16">
        <f t="shared" ref="G16:G27" si="8">ROUND(E16-(3*H16),1)</f>
        <v>2.2999999999999998</v>
      </c>
      <c r="H16">
        <f t="shared" ref="H16:H27" si="9">ROUND(STDEVA($D$16:$D$27),1)</f>
        <v>2.9</v>
      </c>
    </row>
    <row r="17" spans="1:8" ht="13.2" x14ac:dyDescent="0.25">
      <c r="A17" s="5" t="s">
        <v>38</v>
      </c>
      <c r="B17" s="5" t="s">
        <v>39</v>
      </c>
      <c r="C17" t="s">
        <v>13</v>
      </c>
      <c r="D17">
        <v>11.3</v>
      </c>
      <c r="E17">
        <f t="shared" si="6"/>
        <v>11</v>
      </c>
      <c r="F17">
        <f t="shared" si="7"/>
        <v>19.7</v>
      </c>
      <c r="G17">
        <f t="shared" si="8"/>
        <v>2.2999999999999998</v>
      </c>
      <c r="H17">
        <f t="shared" si="9"/>
        <v>2.9</v>
      </c>
    </row>
    <row r="18" spans="1:8" ht="13.2" x14ac:dyDescent="0.25">
      <c r="A18" s="5" t="s">
        <v>38</v>
      </c>
      <c r="B18" s="5" t="s">
        <v>39</v>
      </c>
      <c r="C18" t="s">
        <v>14</v>
      </c>
      <c r="D18">
        <v>9.3000000000000007</v>
      </c>
      <c r="E18">
        <f t="shared" si="6"/>
        <v>11</v>
      </c>
      <c r="F18">
        <f t="shared" si="7"/>
        <v>19.7</v>
      </c>
      <c r="G18">
        <f t="shared" si="8"/>
        <v>2.2999999999999998</v>
      </c>
      <c r="H18">
        <f t="shared" si="9"/>
        <v>2.9</v>
      </c>
    </row>
    <row r="19" spans="1:8" ht="13.2" x14ac:dyDescent="0.25">
      <c r="A19" s="5" t="s">
        <v>38</v>
      </c>
      <c r="B19" s="5" t="s">
        <v>39</v>
      </c>
      <c r="C19" t="s">
        <v>15</v>
      </c>
      <c r="D19">
        <v>9.8000000000000007</v>
      </c>
      <c r="E19">
        <f t="shared" si="6"/>
        <v>11</v>
      </c>
      <c r="F19">
        <f t="shared" si="7"/>
        <v>19.7</v>
      </c>
      <c r="G19">
        <f t="shared" si="8"/>
        <v>2.2999999999999998</v>
      </c>
      <c r="H19">
        <f t="shared" si="9"/>
        <v>2.9</v>
      </c>
    </row>
    <row r="20" spans="1:8" ht="13.2" x14ac:dyDescent="0.25">
      <c r="A20" s="5" t="s">
        <v>38</v>
      </c>
      <c r="B20" s="5" t="s">
        <v>39</v>
      </c>
      <c r="C20" t="s">
        <v>16</v>
      </c>
      <c r="D20">
        <v>18.7</v>
      </c>
      <c r="E20">
        <f t="shared" si="6"/>
        <v>11</v>
      </c>
      <c r="F20">
        <f t="shared" si="7"/>
        <v>19.7</v>
      </c>
      <c r="G20">
        <f t="shared" si="8"/>
        <v>2.2999999999999998</v>
      </c>
      <c r="H20">
        <f t="shared" si="9"/>
        <v>2.9</v>
      </c>
    </row>
    <row r="21" spans="1:8" ht="13.2" x14ac:dyDescent="0.25">
      <c r="A21" s="5" t="s">
        <v>38</v>
      </c>
      <c r="B21" s="5" t="s">
        <v>39</v>
      </c>
      <c r="C21" t="s">
        <v>17</v>
      </c>
      <c r="D21">
        <v>12.6</v>
      </c>
      <c r="E21">
        <f t="shared" si="6"/>
        <v>11</v>
      </c>
      <c r="F21">
        <f t="shared" si="7"/>
        <v>19.7</v>
      </c>
      <c r="G21">
        <f t="shared" si="8"/>
        <v>2.2999999999999998</v>
      </c>
      <c r="H21">
        <f t="shared" si="9"/>
        <v>2.9</v>
      </c>
    </row>
    <row r="22" spans="1:8" ht="13.2" x14ac:dyDescent="0.25">
      <c r="A22" s="5" t="s">
        <v>38</v>
      </c>
      <c r="B22" s="5" t="s">
        <v>39</v>
      </c>
      <c r="C22" t="s">
        <v>18</v>
      </c>
      <c r="D22">
        <v>11.6</v>
      </c>
      <c r="E22">
        <f t="shared" si="6"/>
        <v>11</v>
      </c>
      <c r="F22">
        <f t="shared" si="7"/>
        <v>19.7</v>
      </c>
      <c r="G22">
        <f t="shared" si="8"/>
        <v>2.2999999999999998</v>
      </c>
      <c r="H22">
        <f t="shared" si="9"/>
        <v>2.9</v>
      </c>
    </row>
    <row r="23" spans="1:8" ht="13.2" x14ac:dyDescent="0.25">
      <c r="A23" s="5" t="s">
        <v>38</v>
      </c>
      <c r="B23" s="5" t="s">
        <v>39</v>
      </c>
      <c r="C23" t="s">
        <v>19</v>
      </c>
      <c r="D23">
        <v>9.1</v>
      </c>
      <c r="E23">
        <f t="shared" si="6"/>
        <v>11</v>
      </c>
      <c r="F23">
        <f t="shared" si="7"/>
        <v>19.7</v>
      </c>
      <c r="G23">
        <f t="shared" si="8"/>
        <v>2.2999999999999998</v>
      </c>
      <c r="H23">
        <f t="shared" si="9"/>
        <v>2.9</v>
      </c>
    </row>
    <row r="24" spans="1:8" ht="13.2" x14ac:dyDescent="0.25">
      <c r="A24" s="5" t="s">
        <v>38</v>
      </c>
      <c r="B24" s="5" t="s">
        <v>39</v>
      </c>
      <c r="C24" t="s">
        <v>20</v>
      </c>
      <c r="D24">
        <v>10.8</v>
      </c>
      <c r="E24">
        <f t="shared" si="6"/>
        <v>11</v>
      </c>
      <c r="F24">
        <f t="shared" si="7"/>
        <v>19.7</v>
      </c>
      <c r="G24">
        <f t="shared" si="8"/>
        <v>2.2999999999999998</v>
      </c>
      <c r="H24">
        <f t="shared" si="9"/>
        <v>2.9</v>
      </c>
    </row>
    <row r="25" spans="1:8" ht="13.2" x14ac:dyDescent="0.25">
      <c r="A25" s="5" t="s">
        <v>38</v>
      </c>
      <c r="B25" s="5" t="s">
        <v>39</v>
      </c>
      <c r="C25" t="s">
        <v>21</v>
      </c>
      <c r="D25">
        <v>9.6</v>
      </c>
      <c r="E25">
        <f t="shared" si="6"/>
        <v>11</v>
      </c>
      <c r="F25">
        <f t="shared" si="7"/>
        <v>19.7</v>
      </c>
      <c r="G25">
        <f t="shared" si="8"/>
        <v>2.2999999999999998</v>
      </c>
      <c r="H25">
        <f t="shared" si="9"/>
        <v>2.9</v>
      </c>
    </row>
    <row r="26" spans="1:8" ht="13.2" x14ac:dyDescent="0.25">
      <c r="A26" s="5" t="s">
        <v>38</v>
      </c>
      <c r="B26" s="5" t="s">
        <v>39</v>
      </c>
      <c r="C26" t="s">
        <v>22</v>
      </c>
      <c r="D26">
        <v>11.7</v>
      </c>
      <c r="E26">
        <f t="shared" si="6"/>
        <v>11</v>
      </c>
      <c r="F26">
        <f t="shared" si="7"/>
        <v>19.7</v>
      </c>
      <c r="G26">
        <f t="shared" si="8"/>
        <v>2.2999999999999998</v>
      </c>
      <c r="H26">
        <f t="shared" si="9"/>
        <v>2.9</v>
      </c>
    </row>
    <row r="27" spans="1:8" ht="13.2" x14ac:dyDescent="0.25">
      <c r="A27" s="5" t="s">
        <v>38</v>
      </c>
      <c r="B27" s="5" t="s">
        <v>39</v>
      </c>
      <c r="C27" t="s">
        <v>23</v>
      </c>
      <c r="D27">
        <v>10.1</v>
      </c>
      <c r="E27">
        <f t="shared" si="6"/>
        <v>11</v>
      </c>
      <c r="F27">
        <f t="shared" si="7"/>
        <v>19.7</v>
      </c>
      <c r="G27">
        <f t="shared" si="8"/>
        <v>2.2999999999999998</v>
      </c>
      <c r="H27">
        <f t="shared" si="9"/>
        <v>2.9</v>
      </c>
    </row>
  </sheetData>
  <phoneticPr fontId="8" type="noConversion"/>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13"/>
  <sheetViews>
    <sheetView showGridLines="0" workbookViewId="0">
      <selection activeCell="H7" sqref="H7"/>
    </sheetView>
  </sheetViews>
  <sheetFormatPr defaultColWidth="12.6640625" defaultRowHeight="15.75" customHeight="1" x14ac:dyDescent="0.25"/>
  <cols>
    <col min="1" max="1" width="8.6640625" bestFit="1" customWidth="1"/>
    <col min="2" max="2" width="13.77734375" bestFit="1" customWidth="1"/>
    <col min="3" max="3" width="14.44140625" bestFit="1" customWidth="1"/>
    <col min="4" max="4" width="7.6640625" customWidth="1"/>
    <col min="5" max="5" width="10.77734375" bestFit="1" customWidth="1"/>
    <col min="6" max="6" width="6" bestFit="1" customWidth="1"/>
    <col min="7" max="7" width="11.5546875" bestFit="1" customWidth="1"/>
    <col min="8" max="8" width="12.6640625" customWidth="1"/>
    <col min="9" max="9" width="7.6640625" customWidth="1"/>
    <col min="10" max="10" width="11.44140625" bestFit="1" customWidth="1"/>
    <col min="11" max="11" width="6" bestFit="1" customWidth="1"/>
    <col min="12" max="12" width="11.5546875" bestFit="1" customWidth="1"/>
  </cols>
  <sheetData>
    <row r="1" spans="1:12" ht="13.2" x14ac:dyDescent="0.25">
      <c r="A1" t="s">
        <v>3</v>
      </c>
      <c r="B1" t="s">
        <v>10</v>
      </c>
      <c r="C1" t="s">
        <v>25</v>
      </c>
      <c r="D1" s="1"/>
      <c r="E1" s="1"/>
      <c r="F1" s="1"/>
      <c r="G1" s="2"/>
      <c r="H1" s="4"/>
      <c r="I1" s="1"/>
      <c r="J1" s="1"/>
      <c r="K1" s="1"/>
      <c r="L1" s="4"/>
    </row>
    <row r="2" spans="1:12" ht="13.2" x14ac:dyDescent="0.25">
      <c r="A2" s="33" t="s">
        <v>12</v>
      </c>
      <c r="B2">
        <v>10.7</v>
      </c>
      <c r="C2">
        <v>6.9</v>
      </c>
      <c r="D2" s="3"/>
      <c r="E2" s="3"/>
      <c r="F2" s="3"/>
      <c r="G2" s="2"/>
      <c r="H2" s="4"/>
      <c r="I2" s="3"/>
      <c r="J2" s="3"/>
      <c r="K2" s="3"/>
      <c r="L2" s="4"/>
    </row>
    <row r="3" spans="1:12" ht="13.2" x14ac:dyDescent="0.25">
      <c r="A3" s="33" t="s">
        <v>13</v>
      </c>
      <c r="B3">
        <v>13</v>
      </c>
      <c r="C3">
        <v>11.3</v>
      </c>
      <c r="D3" s="3"/>
      <c r="E3" s="3"/>
      <c r="F3" s="3"/>
      <c r="G3" s="2"/>
      <c r="H3" s="4"/>
      <c r="I3" s="3"/>
      <c r="J3" s="3"/>
      <c r="K3" s="3"/>
      <c r="L3" s="4"/>
    </row>
    <row r="4" spans="1:12" ht="13.2" x14ac:dyDescent="0.25">
      <c r="A4" s="33" t="s">
        <v>14</v>
      </c>
      <c r="B4">
        <v>11.4</v>
      </c>
      <c r="C4">
        <v>9.3000000000000007</v>
      </c>
      <c r="D4" s="3"/>
      <c r="E4" s="3"/>
      <c r="F4" s="3"/>
      <c r="G4" s="2"/>
      <c r="H4" s="4"/>
      <c r="I4" s="3"/>
      <c r="J4" s="3"/>
      <c r="K4" s="3"/>
      <c r="L4" s="4"/>
    </row>
    <row r="5" spans="1:12" ht="13.2" x14ac:dyDescent="0.25">
      <c r="A5" s="33" t="s">
        <v>15</v>
      </c>
      <c r="B5">
        <v>11.5</v>
      </c>
      <c r="C5">
        <v>9.8000000000000007</v>
      </c>
      <c r="D5" s="3"/>
      <c r="E5" s="3"/>
      <c r="F5" s="3"/>
      <c r="G5" s="2"/>
      <c r="H5" s="4"/>
      <c r="I5" s="3"/>
      <c r="J5" s="3"/>
      <c r="K5" s="3"/>
      <c r="L5" s="4"/>
    </row>
    <row r="6" spans="1:12" ht="13.2" x14ac:dyDescent="0.25">
      <c r="A6" s="33" t="s">
        <v>16</v>
      </c>
      <c r="B6">
        <v>12.5</v>
      </c>
      <c r="C6">
        <v>18.7</v>
      </c>
      <c r="D6" s="3"/>
      <c r="E6" s="3"/>
      <c r="F6" s="3"/>
      <c r="G6" s="2"/>
      <c r="H6" s="4"/>
      <c r="I6" s="3"/>
      <c r="J6" s="3"/>
      <c r="K6" s="3"/>
      <c r="L6" s="4"/>
    </row>
    <row r="7" spans="1:12" ht="13.2" x14ac:dyDescent="0.25">
      <c r="A7" s="33" t="s">
        <v>17</v>
      </c>
      <c r="B7">
        <v>14.1</v>
      </c>
      <c r="C7">
        <v>12.6</v>
      </c>
      <c r="D7" s="3"/>
      <c r="E7" s="3"/>
      <c r="F7" s="3"/>
      <c r="G7" s="2"/>
      <c r="H7" s="4"/>
      <c r="I7" s="3"/>
      <c r="J7" s="3"/>
      <c r="K7" s="3"/>
      <c r="L7" s="4"/>
    </row>
    <row r="8" spans="1:12" ht="13.2" x14ac:dyDescent="0.25">
      <c r="A8" s="33" t="s">
        <v>18</v>
      </c>
      <c r="B8">
        <v>14.8</v>
      </c>
      <c r="C8">
        <v>11.6</v>
      </c>
      <c r="D8" s="3"/>
      <c r="E8" s="3"/>
      <c r="F8" s="3"/>
      <c r="G8" s="2"/>
      <c r="H8" s="4"/>
      <c r="I8" s="3"/>
      <c r="J8" s="3"/>
      <c r="K8" s="3"/>
      <c r="L8" s="4"/>
    </row>
    <row r="9" spans="1:12" ht="13.2" x14ac:dyDescent="0.25">
      <c r="A9" s="33" t="s">
        <v>19</v>
      </c>
      <c r="B9">
        <v>14.1</v>
      </c>
      <c r="C9">
        <v>9.1</v>
      </c>
      <c r="D9" s="3"/>
      <c r="E9" s="3"/>
      <c r="F9" s="3"/>
      <c r="G9" s="2"/>
      <c r="H9" s="4"/>
      <c r="I9" s="3"/>
      <c r="J9" s="3"/>
      <c r="K9" s="3"/>
      <c r="L9" s="4"/>
    </row>
    <row r="10" spans="1:12" ht="13.2" x14ac:dyDescent="0.25">
      <c r="A10" s="33" t="s">
        <v>20</v>
      </c>
      <c r="B10">
        <v>12.6</v>
      </c>
      <c r="C10">
        <v>10.8</v>
      </c>
      <c r="D10" s="3"/>
      <c r="E10" s="3"/>
      <c r="F10" s="3"/>
      <c r="G10" s="2"/>
      <c r="H10" s="4"/>
      <c r="I10" s="3"/>
      <c r="J10" s="3"/>
      <c r="K10" s="3"/>
      <c r="L10" s="4"/>
    </row>
    <row r="11" spans="1:12" ht="13.2" x14ac:dyDescent="0.25">
      <c r="A11" s="33" t="s">
        <v>21</v>
      </c>
      <c r="B11">
        <v>16</v>
      </c>
      <c r="C11">
        <v>9.6</v>
      </c>
      <c r="D11" s="3"/>
      <c r="E11" s="3"/>
      <c r="F11" s="3"/>
      <c r="G11" s="2"/>
      <c r="H11" s="4"/>
      <c r="I11" s="3"/>
      <c r="J11" s="3"/>
      <c r="K11" s="3"/>
      <c r="L11" s="4"/>
    </row>
    <row r="12" spans="1:12" ht="13.2" x14ac:dyDescent="0.25">
      <c r="A12" s="33" t="s">
        <v>22</v>
      </c>
      <c r="B12">
        <v>11.7</v>
      </c>
      <c r="C12">
        <v>11.7</v>
      </c>
      <c r="D12" s="3"/>
      <c r="E12" s="3"/>
      <c r="F12" s="3"/>
      <c r="G12" s="2"/>
      <c r="H12" s="4"/>
      <c r="I12" s="3"/>
      <c r="J12" s="3"/>
      <c r="K12" s="3"/>
      <c r="L12" s="4"/>
    </row>
    <row r="13" spans="1:12" ht="13.2" x14ac:dyDescent="0.25">
      <c r="A13" s="33" t="s">
        <v>23</v>
      </c>
      <c r="B13">
        <v>10.6</v>
      </c>
      <c r="C13">
        <v>10.1</v>
      </c>
      <c r="D13" s="3"/>
      <c r="E13" s="3"/>
      <c r="F13" s="3"/>
      <c r="G13" s="2"/>
      <c r="H13" s="4"/>
      <c r="I13" s="3"/>
      <c r="J13" s="3"/>
      <c r="K13" s="3"/>
      <c r="L13" s="4"/>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8B48E7-881C-45BA-9915-DEE4A37C2C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Fig 16.1. East Region</vt:lpstr>
      <vt:lpstr>Fig 16.2. West Region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2026-05-07T17:16:11Z</dcterms:modified>
</cp:coreProperties>
</file>