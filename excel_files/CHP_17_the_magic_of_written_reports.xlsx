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CB2A8E6A-5FDD-4588-84E9-A7E2DA5B71DF}"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CS.1. Before PA" sheetId="2" r:id="rId2"/>
    <sheet name="Fig CS.2. After PA" sheetId="3" r:id="rId3"/>
    <sheet name="Fig CS.3. Before v. After" sheetId="7" r:id="rId4"/>
    <sheet name="Data" sheetId="8" r:id="rId5"/>
  </sheets>
  <definedNames>
    <definedName name="ExternalData_1" localSheetId="4" hidden="1">Data!$A$1:$G$59</definedName>
    <definedName name="ExternalData_1" localSheetId="1" hidden="1">'Fig CS.1. Before PA'!$A$1:$D$40</definedName>
    <definedName name="ExternalData_1" localSheetId="2" hidden="1">'Fig CS.2. After PA'!$A$1:$D$19</definedName>
    <definedName name="ExternalData_1" localSheetId="3" hidden="1">'Fig CS.3. Before v. After'!$A$1:$D$40</definedName>
    <definedName name="ExternalData_2" localSheetId="3" hidden="1">'Fig CS.3. Before v. After'!$A$42:$D$60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3" i="7" l="1"/>
  <c r="I44" i="7"/>
  <c r="I45" i="7"/>
  <c r="I46" i="7"/>
  <c r="I47" i="7"/>
  <c r="I48" i="7"/>
  <c r="I49" i="7"/>
  <c r="I50" i="7"/>
  <c r="I51" i="7"/>
  <c r="I52" i="7"/>
  <c r="I53" i="7"/>
  <c r="I54" i="7"/>
  <c r="I55" i="7"/>
  <c r="I56" i="7"/>
  <c r="I57" i="7"/>
  <c r="I58" i="7"/>
  <c r="I59" i="7"/>
  <c r="I60" i="7"/>
  <c r="H45" i="7"/>
  <c r="H46" i="7"/>
  <c r="H47" i="7"/>
  <c r="H48" i="7"/>
  <c r="H49" i="7"/>
  <c r="H50" i="7"/>
  <c r="H51" i="7"/>
  <c r="H52" i="7"/>
  <c r="H53" i="7"/>
  <c r="H54" i="7"/>
  <c r="H55" i="7"/>
  <c r="H56" i="7"/>
  <c r="H57" i="7"/>
  <c r="H58" i="7"/>
  <c r="H59" i="7"/>
  <c r="H60" i="7"/>
  <c r="E43" i="7"/>
  <c r="E44" i="7"/>
  <c r="E45" i="7"/>
  <c r="E46" i="7"/>
  <c r="E47" i="7"/>
  <c r="E48" i="7"/>
  <c r="E49" i="7"/>
  <c r="E50" i="7"/>
  <c r="E51" i="7"/>
  <c r="E52" i="7"/>
  <c r="E53" i="7"/>
  <c r="E54" i="7"/>
  <c r="E55" i="7"/>
  <c r="E56" i="7"/>
  <c r="E57" i="7"/>
  <c r="E58" i="7"/>
  <c r="E59" i="7"/>
  <c r="E60" i="7"/>
  <c r="H44" i="7"/>
  <c r="H40" i="7"/>
  <c r="E40" i="7"/>
  <c r="H39" i="7"/>
  <c r="E39" i="7"/>
  <c r="H38" i="7"/>
  <c r="E38" i="7"/>
  <c r="H37" i="7"/>
  <c r="E37" i="7"/>
  <c r="H36" i="7"/>
  <c r="E36" i="7"/>
  <c r="H35" i="7"/>
  <c r="E35" i="7"/>
  <c r="H34" i="7"/>
  <c r="E34" i="7"/>
  <c r="H33" i="7"/>
  <c r="E33" i="7"/>
  <c r="H32" i="7"/>
  <c r="E32" i="7"/>
  <c r="H31" i="7"/>
  <c r="E31" i="7"/>
  <c r="H30" i="7"/>
  <c r="E30" i="7"/>
  <c r="H29" i="7"/>
  <c r="E29" i="7"/>
  <c r="H28" i="7"/>
  <c r="E28" i="7"/>
  <c r="H27" i="7"/>
  <c r="E27" i="7"/>
  <c r="H26" i="7"/>
  <c r="E26" i="7"/>
  <c r="H25" i="7"/>
  <c r="E25" i="7"/>
  <c r="H24" i="7"/>
  <c r="E24" i="7"/>
  <c r="H23" i="7"/>
  <c r="E23" i="7"/>
  <c r="H22" i="7"/>
  <c r="E22" i="7"/>
  <c r="H21" i="7"/>
  <c r="E21" i="7"/>
  <c r="H20" i="7"/>
  <c r="E20" i="7"/>
  <c r="H19" i="7"/>
  <c r="E19" i="7"/>
  <c r="H18" i="7"/>
  <c r="E18" i="7"/>
  <c r="H17" i="7"/>
  <c r="E17" i="7"/>
  <c r="H16" i="7"/>
  <c r="E16" i="7"/>
  <c r="H15" i="7"/>
  <c r="E15" i="7"/>
  <c r="H14" i="7"/>
  <c r="E14" i="7"/>
  <c r="H13" i="7"/>
  <c r="E13" i="7"/>
  <c r="H12" i="7"/>
  <c r="E12" i="7"/>
  <c r="H11" i="7"/>
  <c r="E11" i="7"/>
  <c r="H10" i="7"/>
  <c r="E10" i="7"/>
  <c r="H9" i="7"/>
  <c r="E9" i="7"/>
  <c r="H8" i="7"/>
  <c r="E8" i="7"/>
  <c r="H7" i="7"/>
  <c r="E7" i="7"/>
  <c r="H6" i="7"/>
  <c r="E6" i="7"/>
  <c r="H5" i="7"/>
  <c r="E5" i="7"/>
  <c r="H4" i="7"/>
  <c r="E4" i="7"/>
  <c r="H3" i="7"/>
  <c r="E3" i="7"/>
  <c r="I2" i="7"/>
  <c r="J2" i="7" s="1"/>
  <c r="E2" i="7"/>
  <c r="H4" i="3"/>
  <c r="H5" i="3"/>
  <c r="H6" i="3"/>
  <c r="H7" i="3"/>
  <c r="H8" i="3"/>
  <c r="H9" i="3"/>
  <c r="H10" i="3"/>
  <c r="H11" i="3"/>
  <c r="H12" i="3"/>
  <c r="H13" i="3"/>
  <c r="H14" i="3"/>
  <c r="H15" i="3"/>
  <c r="H16" i="3"/>
  <c r="H17" i="3"/>
  <c r="H18" i="3"/>
  <c r="H19" i="3"/>
  <c r="H3" i="3"/>
  <c r="E2" i="3"/>
  <c r="E3" i="3"/>
  <c r="E4" i="3"/>
  <c r="E5" i="3"/>
  <c r="E6" i="3"/>
  <c r="E7" i="3"/>
  <c r="E8" i="3"/>
  <c r="E9" i="3"/>
  <c r="E10" i="3"/>
  <c r="E11" i="3"/>
  <c r="E12" i="3"/>
  <c r="E13" i="3"/>
  <c r="E14" i="3"/>
  <c r="E15" i="3"/>
  <c r="E16" i="3"/>
  <c r="E17" i="3"/>
  <c r="E18" i="3"/>
  <c r="E19" i="3"/>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F60" i="7" l="1"/>
  <c r="G60" i="7"/>
  <c r="J60" i="7"/>
  <c r="G43" i="7"/>
  <c r="J43" i="7"/>
  <c r="F43" i="7"/>
  <c r="F44" i="7"/>
  <c r="G44" i="7"/>
  <c r="J44" i="7"/>
  <c r="G45" i="7"/>
  <c r="J45" i="7"/>
  <c r="F45" i="7"/>
  <c r="G46" i="7"/>
  <c r="F46" i="7"/>
  <c r="J46" i="7"/>
  <c r="G47" i="7"/>
  <c r="J47" i="7"/>
  <c r="F47" i="7"/>
  <c r="J48" i="7"/>
  <c r="F48" i="7"/>
  <c r="G48" i="7"/>
  <c r="J49" i="7"/>
  <c r="F49" i="7"/>
  <c r="G49" i="7"/>
  <c r="G50" i="7"/>
  <c r="F50" i="7"/>
  <c r="J50" i="7"/>
  <c r="F51" i="7"/>
  <c r="G51" i="7"/>
  <c r="J51" i="7"/>
  <c r="F52" i="7"/>
  <c r="G52" i="7"/>
  <c r="J52" i="7"/>
  <c r="J53" i="7"/>
  <c r="G53" i="7"/>
  <c r="F53" i="7"/>
  <c r="G54" i="7"/>
  <c r="J54" i="7"/>
  <c r="F54" i="7"/>
  <c r="G55" i="7"/>
  <c r="F55" i="7"/>
  <c r="J55" i="7"/>
  <c r="J56" i="7"/>
  <c r="F56" i="7"/>
  <c r="G56" i="7"/>
  <c r="F57" i="7"/>
  <c r="J57" i="7"/>
  <c r="G57" i="7"/>
  <c r="F58" i="7"/>
  <c r="J58" i="7"/>
  <c r="G58" i="7"/>
  <c r="J59" i="7"/>
  <c r="F59" i="7"/>
  <c r="G59" i="7"/>
  <c r="I7" i="7"/>
  <c r="I6" i="7"/>
  <c r="I5" i="7"/>
  <c r="I4" i="7"/>
  <c r="I8" i="7"/>
  <c r="I3" i="7"/>
  <c r="J3" i="7" s="1"/>
  <c r="I39" i="7"/>
  <c r="I38" i="7"/>
  <c r="I9" i="7"/>
  <c r="I34" i="7"/>
  <c r="I36" i="7"/>
  <c r="I33" i="7"/>
  <c r="I10" i="7"/>
  <c r="I11" i="7"/>
  <c r="I12" i="7"/>
  <c r="I13" i="7"/>
  <c r="I35" i="7"/>
  <c r="I29" i="7"/>
  <c r="I14" i="7"/>
  <c r="I26" i="7"/>
  <c r="I25" i="7"/>
  <c r="I15" i="7"/>
  <c r="I40" i="7"/>
  <c r="I22" i="7"/>
  <c r="I30" i="7"/>
  <c r="I37" i="7"/>
  <c r="I32" i="7"/>
  <c r="I16" i="7"/>
  <c r="I31" i="7"/>
  <c r="I28" i="7"/>
  <c r="I27" i="7"/>
  <c r="I21" i="7"/>
  <c r="I20" i="7"/>
  <c r="I17" i="7"/>
  <c r="I24" i="7"/>
  <c r="I19" i="7"/>
  <c r="I18" i="7"/>
  <c r="I23" i="7"/>
  <c r="G3" i="7"/>
  <c r="F3" i="7"/>
  <c r="F2" i="7"/>
  <c r="G2" i="7"/>
  <c r="I16" i="3"/>
  <c r="J16" i="3" s="1"/>
  <c r="I18" i="3"/>
  <c r="J18" i="3" s="1"/>
  <c r="I14" i="3"/>
  <c r="J14" i="3" s="1"/>
  <c r="I10" i="3"/>
  <c r="J10" i="3" s="1"/>
  <c r="I6" i="3"/>
  <c r="J6" i="3" s="1"/>
  <c r="I7" i="3"/>
  <c r="J7" i="3" s="1"/>
  <c r="I13" i="3"/>
  <c r="J13" i="3" s="1"/>
  <c r="I17" i="3"/>
  <c r="J17" i="3" s="1"/>
  <c r="I9" i="3"/>
  <c r="J9" i="3" s="1"/>
  <c r="I11" i="3"/>
  <c r="J11" i="3" s="1"/>
  <c r="I15" i="3"/>
  <c r="J15" i="3" s="1"/>
  <c r="I19" i="3"/>
  <c r="J19" i="3" s="1"/>
  <c r="I8" i="3"/>
  <c r="J8" i="3" s="1"/>
  <c r="I12" i="3"/>
  <c r="I5" i="3"/>
  <c r="J5" i="3" s="1"/>
  <c r="I2" i="3"/>
  <c r="J2" i="3" s="1"/>
  <c r="I4" i="3"/>
  <c r="I3" i="3"/>
  <c r="J3" i="3" s="1"/>
  <c r="G2" i="3"/>
  <c r="F2" i="3"/>
  <c r="G3" i="3"/>
  <c r="F3" i="3"/>
  <c r="F5" i="3"/>
  <c r="G5" i="3"/>
  <c r="G6" i="3"/>
  <c r="F6" i="3"/>
  <c r="G7" i="3"/>
  <c r="F7" i="3"/>
  <c r="F8" i="3"/>
  <c r="G8" i="3"/>
  <c r="F9" i="3"/>
  <c r="G9" i="3"/>
  <c r="G10" i="3"/>
  <c r="F10" i="3"/>
  <c r="G11" i="3"/>
  <c r="F11" i="3"/>
  <c r="G13" i="3"/>
  <c r="F13" i="3"/>
  <c r="F14" i="3"/>
  <c r="G14" i="3"/>
  <c r="G15" i="3"/>
  <c r="F15" i="3"/>
  <c r="F16" i="3"/>
  <c r="G16" i="3"/>
  <c r="G17" i="3"/>
  <c r="F17" i="3"/>
  <c r="G18" i="3"/>
  <c r="F18" i="3"/>
  <c r="F19" i="3"/>
  <c r="G19" i="3"/>
  <c r="I18" i="2"/>
  <c r="J18" i="2" s="1"/>
  <c r="I23" i="2"/>
  <c r="J23" i="2" s="1"/>
  <c r="I15" i="2"/>
  <c r="J15" i="2" s="1"/>
  <c r="I32" i="2"/>
  <c r="J32" i="2" s="1"/>
  <c r="I29" i="2"/>
  <c r="J29" i="2" s="1"/>
  <c r="I21" i="2"/>
  <c r="J21" i="2" s="1"/>
  <c r="I10" i="2"/>
  <c r="J10" i="2" s="1"/>
  <c r="I16" i="2"/>
  <c r="J16" i="2" s="1"/>
  <c r="I3" i="2"/>
  <c r="J3" i="2" s="1"/>
  <c r="I5" i="2"/>
  <c r="J5" i="2" s="1"/>
  <c r="I6" i="2"/>
  <c r="J6" i="2" s="1"/>
  <c r="I9" i="2"/>
  <c r="J9" i="2" s="1"/>
  <c r="I26" i="2"/>
  <c r="J26" i="2" s="1"/>
  <c r="I12" i="2"/>
  <c r="J12" i="2" s="1"/>
  <c r="I40" i="2"/>
  <c r="J40" i="2" s="1"/>
  <c r="I37" i="2"/>
  <c r="J37" i="2" s="1"/>
  <c r="I33" i="2"/>
  <c r="J33" i="2" s="1"/>
  <c r="I28" i="2"/>
  <c r="J28" i="2" s="1"/>
  <c r="I24" i="2"/>
  <c r="J24" i="2" s="1"/>
  <c r="I20" i="2"/>
  <c r="J20" i="2" s="1"/>
  <c r="I17" i="2"/>
  <c r="J17" i="2" s="1"/>
  <c r="I13" i="2"/>
  <c r="J13" i="2" s="1"/>
  <c r="I7" i="2"/>
  <c r="J7" i="2" s="1"/>
  <c r="I2" i="2"/>
  <c r="I39" i="2"/>
  <c r="J39" i="2" s="1"/>
  <c r="I36" i="2"/>
  <c r="J36" i="2" s="1"/>
  <c r="I34" i="2"/>
  <c r="J34" i="2" s="1"/>
  <c r="I31" i="2"/>
  <c r="J31" i="2" s="1"/>
  <c r="I27" i="2"/>
  <c r="J27" i="2" s="1"/>
  <c r="I25" i="2"/>
  <c r="J25" i="2" s="1"/>
  <c r="I22" i="2"/>
  <c r="J22" i="2" s="1"/>
  <c r="I19" i="2"/>
  <c r="J19" i="2" s="1"/>
  <c r="I14" i="2"/>
  <c r="J14" i="2" s="1"/>
  <c r="I11" i="2"/>
  <c r="J11" i="2" s="1"/>
  <c r="I8" i="2"/>
  <c r="J8" i="2" s="1"/>
  <c r="I4" i="2"/>
  <c r="J4" i="2" s="1"/>
  <c r="I30" i="2"/>
  <c r="J30" i="2" s="1"/>
  <c r="I38" i="2"/>
  <c r="J38" i="2" s="1"/>
  <c r="I35" i="2"/>
  <c r="J35" i="2" s="1"/>
  <c r="G3" i="2"/>
  <c r="F3" i="2"/>
  <c r="G4" i="2"/>
  <c r="F4" i="2"/>
  <c r="G5" i="2"/>
  <c r="F5" i="2"/>
  <c r="G6" i="2"/>
  <c r="F6" i="2"/>
  <c r="G7" i="2"/>
  <c r="F7" i="2"/>
  <c r="G8" i="2"/>
  <c r="F8" i="2"/>
  <c r="G9" i="2"/>
  <c r="F9" i="2"/>
  <c r="G10" i="2"/>
  <c r="F10" i="2"/>
  <c r="G11" i="2"/>
  <c r="F11" i="2"/>
  <c r="G12" i="2"/>
  <c r="F12" i="2"/>
  <c r="F13" i="2"/>
  <c r="G13" i="2"/>
  <c r="G14" i="2"/>
  <c r="F14" i="2"/>
  <c r="G15" i="2"/>
  <c r="F15" i="2"/>
  <c r="G16" i="2"/>
  <c r="F16" i="2"/>
  <c r="G17" i="2"/>
  <c r="F17" i="2"/>
  <c r="F18" i="2"/>
  <c r="G18" i="2"/>
  <c r="F19" i="2"/>
  <c r="G19" i="2"/>
  <c r="F20" i="2"/>
  <c r="G20" i="2"/>
  <c r="G21" i="2"/>
  <c r="F21" i="2"/>
  <c r="G22" i="2"/>
  <c r="F22" i="2"/>
  <c r="G23" i="2"/>
  <c r="F23" i="2"/>
  <c r="G24" i="2"/>
  <c r="F24" i="2"/>
  <c r="G25" i="2"/>
  <c r="F25" i="2"/>
  <c r="F26" i="2"/>
  <c r="G26" i="2"/>
  <c r="F27" i="2"/>
  <c r="G27" i="2"/>
  <c r="F28" i="2"/>
  <c r="G28" i="2"/>
  <c r="F29" i="2"/>
  <c r="G29" i="2"/>
  <c r="F30" i="2"/>
  <c r="G30" i="2"/>
  <c r="G31" i="2"/>
  <c r="F31" i="2"/>
  <c r="G32" i="2"/>
  <c r="F32" i="2"/>
  <c r="F33" i="2"/>
  <c r="G33" i="2"/>
  <c r="F34" i="2"/>
  <c r="G34" i="2"/>
  <c r="G35" i="2"/>
  <c r="F35" i="2"/>
  <c r="F36" i="2"/>
  <c r="G36" i="2"/>
  <c r="F37" i="2"/>
  <c r="G37" i="2"/>
  <c r="G38" i="2"/>
  <c r="F38" i="2"/>
  <c r="G39" i="2"/>
  <c r="F39" i="2"/>
  <c r="G40" i="2"/>
  <c r="F40" i="2"/>
  <c r="J11" i="7" l="1"/>
  <c r="G11" i="7"/>
  <c r="F11" i="7"/>
  <c r="J31" i="7"/>
  <c r="F31" i="7"/>
  <c r="G31" i="7"/>
  <c r="F21" i="7"/>
  <c r="G21" i="7"/>
  <c r="J21" i="7"/>
  <c r="J7" i="7"/>
  <c r="G7" i="7"/>
  <c r="F7" i="7"/>
  <c r="J6" i="7"/>
  <c r="G6" i="7"/>
  <c r="F6" i="7"/>
  <c r="J5" i="7"/>
  <c r="F5" i="7"/>
  <c r="G5" i="7"/>
  <c r="J4" i="7"/>
  <c r="G4" i="7"/>
  <c r="F4" i="7"/>
  <c r="J8" i="7"/>
  <c r="G8" i="7"/>
  <c r="F8" i="7"/>
  <c r="J39" i="7"/>
  <c r="F39" i="7"/>
  <c r="G39" i="7"/>
  <c r="J38" i="7"/>
  <c r="G38" i="7"/>
  <c r="F38" i="7"/>
  <c r="J9" i="7"/>
  <c r="F9" i="7"/>
  <c r="G9" i="7"/>
  <c r="J34" i="7"/>
  <c r="G34" i="7"/>
  <c r="F34" i="7"/>
  <c r="J36" i="7"/>
  <c r="G36" i="7"/>
  <c r="F36" i="7"/>
  <c r="J33" i="7"/>
  <c r="G33" i="7"/>
  <c r="F33" i="7"/>
  <c r="J10" i="7"/>
  <c r="G10" i="7"/>
  <c r="F10" i="7"/>
  <c r="J12" i="7"/>
  <c r="F12" i="7"/>
  <c r="G12" i="7"/>
  <c r="J13" i="7"/>
  <c r="F13" i="7"/>
  <c r="G13" i="7"/>
  <c r="J35" i="7"/>
  <c r="F35" i="7"/>
  <c r="G35" i="7"/>
  <c r="J29" i="7"/>
  <c r="G29" i="7"/>
  <c r="F29" i="7"/>
  <c r="J14" i="7"/>
  <c r="G14" i="7"/>
  <c r="F14" i="7"/>
  <c r="J26" i="7"/>
  <c r="F26" i="7"/>
  <c r="G26" i="7"/>
  <c r="J25" i="7"/>
  <c r="G25" i="7"/>
  <c r="F25" i="7"/>
  <c r="J15" i="7"/>
  <c r="G15" i="7"/>
  <c r="F15" i="7"/>
  <c r="J40" i="7"/>
  <c r="G40" i="7"/>
  <c r="F40" i="7"/>
  <c r="J22" i="7"/>
  <c r="F22" i="7"/>
  <c r="G22" i="7"/>
  <c r="J30" i="7"/>
  <c r="G30" i="7"/>
  <c r="F30" i="7"/>
  <c r="J37" i="7"/>
  <c r="F37" i="7"/>
  <c r="G37" i="7"/>
  <c r="J32" i="7"/>
  <c r="G32" i="7"/>
  <c r="F32" i="7"/>
  <c r="J16" i="7"/>
  <c r="F16" i="7"/>
  <c r="G16" i="7"/>
  <c r="J28" i="7"/>
  <c r="F28" i="7"/>
  <c r="G28" i="7"/>
  <c r="J27" i="7"/>
  <c r="G27" i="7"/>
  <c r="F27" i="7"/>
  <c r="J20" i="7"/>
  <c r="G20" i="7"/>
  <c r="F20" i="7"/>
  <c r="J17" i="7"/>
  <c r="F17" i="7"/>
  <c r="G17" i="7"/>
  <c r="J24" i="7"/>
  <c r="G24" i="7"/>
  <c r="F24" i="7"/>
  <c r="J19" i="7"/>
  <c r="G19" i="7"/>
  <c r="F19" i="7"/>
  <c r="J18" i="7"/>
  <c r="G18" i="7"/>
  <c r="F18" i="7"/>
  <c r="J23" i="7"/>
  <c r="G23" i="7"/>
  <c r="F23" i="7"/>
  <c r="J12" i="3"/>
  <c r="F12" i="3"/>
  <c r="G12" i="3"/>
  <c r="J4" i="3"/>
  <c r="G4" i="3"/>
  <c r="F4" i="3"/>
  <c r="J2" i="2"/>
  <c r="G2" i="2"/>
  <c r="F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B536AC-D1E3-42FF-8349-FD85C954ADD8}" keepAlive="1" name="Query - pathological-anatomy-death-to-birth-rates" description="Connection to the 'pathological-anatomy-death-to-birth-rates' query in the workbook." type="5" refreshedVersion="8" background="1" saveData="1">
    <dbPr connection="Provider=Microsoft.Mashup.OleDb.1;Data Source=$Workbook$;Location=pathological-anatomy-death-to-birth-rates;Extended Properties=&quot;&quot;" command="SELECT * FROM [pathological-anatomy-death-to-birth-rates]"/>
  </connection>
  <connection id="2" xr16:uid="{5F9FD69F-F0A7-471A-AC14-569F522D7B5F}" keepAlive="1" name="Query - pathological-anatomy-death-to-birth-rates (2)" description="Connection to the 'pathological-anatomy-death-to-birth-rates (2)' query in the workbook." type="5" refreshedVersion="8" background="1" saveData="1">
    <dbPr connection="Provider=Microsoft.Mashup.OleDb.1;Data Source=$Workbook$;Location=&quot;pathological-anatomy-death-to-birth-rates (2)&quot;;Extended Properties=&quot;&quot;" command="SELECT * FROM [pathological-anatomy-death-to-birth-rates (2)]"/>
  </connection>
  <connection id="3" xr16:uid="{6E124512-0FAE-4459-81BD-FF54318B9ACD}" keepAlive="1" name="Query - pathological-anatomy-death-to-birth-rates (3)" description="Connection to the 'pathological-anatomy-death-to-birth-rates (3)' query in the workbook." type="5" refreshedVersion="8" background="1" saveData="1">
    <dbPr connection="Provider=Microsoft.Mashup.OleDb.1;Data Source=$Workbook$;Location=&quot;pathological-anatomy-death-to-birth-rates (3)&quot;;Extended Properties=&quot;&quot;" command="SELECT * FROM [pathological-anatomy-death-to-birth-rates (3)]"/>
  </connection>
  <connection id="4" xr16:uid="{A6C8379D-BD5C-46E6-806B-676CED04BB81}" keepAlive="1" name="Query - pathological-anatomy-death-to-birth-rates (4)" description="Connection to the 'pathological-anatomy-death-to-birth-rates (4)' query in the workbook." type="5" refreshedVersion="8" background="1" saveData="1">
    <dbPr connection="Provider=Microsoft.Mashup.OleDb.1;Data Source=$Workbook$;Location=&quot;pathological-anatomy-death-to-birth-rates (4)&quot;;Extended Properties=&quot;&quot;" command="SELECT * FROM [pathological-anatomy-death-to-birth-rates (4)]"/>
  </connection>
  <connection id="5" xr16:uid="{483FAC4F-9373-4053-AD9E-550C821EFCBF}" keepAlive="1" name="Query - pathological-anatomy-death-to-birth-rates (5)" description="Connection to the 'pathological-anatomy-death-to-birth-rates (5)' query in the workbook." type="5" refreshedVersion="8" background="1" saveData="1">
    <dbPr connection="Provider=Microsoft.Mashup.OleDb.1;Data Source=$Workbook$;Location=&quot;pathological-anatomy-death-to-birth-rates (5)&quot;;Extended Properties=&quot;&quot;" command="SELECT * FROM [pathological-anatomy-death-to-birth-rates (5)]"/>
  </connection>
</connections>
</file>

<file path=xl/sharedStrings.xml><?xml version="1.0" encoding="utf-8"?>
<sst xmlns="http://schemas.openxmlformats.org/spreadsheetml/2006/main" count="575" uniqueCount="87">
  <si>
    <t>Chapter 17. The Magic of Written Reports</t>
  </si>
  <si>
    <t>Stage</t>
  </si>
  <si>
    <t>Year</t>
  </si>
  <si>
    <t>Rate</t>
  </si>
  <si>
    <t>Mean</t>
  </si>
  <si>
    <t>UPL</t>
  </si>
  <si>
    <t>LPL</t>
  </si>
  <si>
    <t>mR</t>
  </si>
  <si>
    <t>Ave. mR</t>
  </si>
  <si>
    <t>URL</t>
  </si>
  <si>
    <t>Before pathological anatomy</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</si>
  <si>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</si>
  <si>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</si>
  <si>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</si>
  <si>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</si>
  <si>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</si>
  <si>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</si>
  <si>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</si>
  <si>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</si>
  <si>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</si>
  <si>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</si>
  <si>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</si>
  <si>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</si>
  <si>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</si>
  <si>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</si>
  <si>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</si>
  <si>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</si>
  <si>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</si>
  <si>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</si>
  <si>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</si>
  <si>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</si>
  <si>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</si>
  <si>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</si>
  <si>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</si>
  <si>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</si>
  <si>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</si>
  <si>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</si>
  <si>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</si>
  <si>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</si>
  <si>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</si>
  <si>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</si>
  <si>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</si>
  <si>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</si>
  <si>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</si>
  <si>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</si>
  <si>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</si>
  <si>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</si>
  <si>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</si>
  <si>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</si>
  <si>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</si>
  <si>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After pathological anatomy</t>
  </si>
  <si>
    <t>1823</t>
  </si>
  <si>
    <t>1824</t>
  </si>
  <si>
    <t>1825</t>
  </si>
  <si>
    <t>1826</t>
  </si>
  <si>
    <t>1827</t>
  </si>
  <si>
    <t>1828</t>
  </si>
  <si>
    <t>1829</t>
  </si>
  <si>
    <t>1830</t>
  </si>
  <si>
    <t>1831</t>
  </si>
  <si>
    <t>1832</t>
  </si>
  <si>
    <t>1833</t>
  </si>
  <si>
    <t>1834</t>
  </si>
  <si>
    <t>1835</t>
  </si>
  <si>
    <t>1836</t>
  </si>
  <si>
    <t>1837</t>
  </si>
  <si>
    <t>1838</t>
  </si>
  <si>
    <t>1839</t>
  </si>
  <si>
    <t>1840</t>
  </si>
  <si>
    <t>Hospital</t>
  </si>
  <si>
    <t>Vienna General Hospital</t>
  </si>
  <si>
    <t>Link to book:</t>
  </si>
  <si>
    <t>https://www.brokenquality.com/book</t>
  </si>
  <si>
    <t>Link to GitHub:</t>
  </si>
  <si>
    <t>https://github.com/jimlehner/virus-of-variation-book</t>
  </si>
  <si>
    <t>Contact:</t>
  </si>
  <si>
    <t>James.Lehner@gmail.com</t>
  </si>
  <si>
    <t>QualityIsBroken@gmail.com</t>
  </si>
  <si>
    <t>Raw Data GitHub URLs</t>
  </si>
  <si>
    <r>
      <t>This file serves as a resource for building some of the figures in Chapter 17 of The Virus of Variation using Microsoft Excel or Google Sheets.
The figures included here are:
Figure CS.1. XmR chart of rates before pathological anatomy
Figure CS.2. XmR chart of rates after pathalogical anatomy
Figure CS.3. XmR charts of rates before and after pathological anatomy
Each figure has its own tab. The data used in the figures can be found in the Data tab.
For additional details regarding each of these figures, see Chapter 17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 xml:space="preserve">github.com/jimlehner/the-virus-of-variation
</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</si>
  <si>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https://raw.githubusercontent.com/jimlehner/virus-of-variation-book/refs/heads/main/data/pathological-anatomy-death-to-birth-rates.csv</t>
  </si>
  <si>
    <t>Fig CS.1, CS.2, CS.3</t>
  </si>
  <si>
    <t>Births</t>
  </si>
  <si>
    <t>Deaths</t>
  </si>
  <si>
    <t>Note</t>
  </si>
  <si>
    <t>Births, deaths, and rate for this dataset are the sum from both clinics. The clinics were not separated until 1841.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</si>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</sst>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0" x14ac:knownFonts="1">
    <font>
      <sz val="10"/>
      <color rgb="FF000000"/>
      <name val="Arial"/>
      <scheme val="minor"/>
    </font>
    <font>
      <b/>
      <sz val="16"/>
      <color rgb="FFD72323"/>
      <name val="Montserrat"/>
    </font>
    <font>
      <sz val="10"/>
      <color theme="1"/>
      <name val="Arial"/>
      <family val="2"/>
    </font>
    <font>
      <sz val="10"/>
      <color theme="1"/>
      <name val="Arial"/>
      <family val="2"/>
      <scheme val="minor"/>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5" fillId="0" borderId="0" applyNumberFormat="0" applyFill="0" applyBorder="0" applyAlignment="0" applyProtection="0"/>
    <xf numFmtId="0" fontId="6" fillId="0" borderId="0"/>
  </cellStyleXfs>
  <cellXfs count="48">
    <xf numFmtId="0" fontId="0" fillId="0" borderId="0" xfId="0"/>
    <xf numFmtId="0" fontId="2" fillId="0" borderId="0" xfId="0" applyFont="1"/>
    <xf numFmtId="0" fontId="2" fillId="0" borderId="0" xfId="0" applyFont="1" applyAlignment="1">
      <alignment horizontal="right"/>
    </xf>
    <xf numFmtId="0" fontId="4" fillId="0" borderId="0" xfId="0" applyFont="1" applyAlignment="1">
      <alignment horizontal="right"/>
    </xf>
    <xf numFmtId="49" fontId="2" fillId="0" borderId="0" xfId="0" applyNumberFormat="1" applyFont="1"/>
    <xf numFmtId="4" fontId="2" fillId="0" borderId="0" xfId="0" applyNumberFormat="1" applyFont="1" applyAlignment="1">
      <alignment horizontal="right"/>
    </xf>
    <xf numFmtId="2" fontId="4" fillId="0" borderId="0" xfId="0" applyNumberFormat="1" applyFont="1"/>
    <xf numFmtId="164" fontId="4" fillId="0" borderId="0" xfId="0" applyNumberFormat="1" applyFont="1"/>
    <xf numFmtId="2" fontId="4" fillId="0" borderId="0" xfId="0" applyNumberFormat="1" applyFont="1" applyAlignment="1">
      <alignment horizontal="right"/>
    </xf>
    <xf numFmtId="0" fontId="6" fillId="0" borderId="0" xfId="0" applyFont="1"/>
    <xf numFmtId="49" fontId="2" fillId="0" borderId="0" xfId="0" applyNumberFormat="1" applyFont="1" applyAlignment="1">
      <alignment horizontal="left"/>
    </xf>
    <xf numFmtId="4" fontId="2" fillId="0" borderId="0" xfId="0" applyNumberFormat="1" applyFont="1"/>
    <xf numFmtId="49" fontId="0" fillId="0" borderId="0" xfId="0" applyNumberFormat="1" applyAlignment="1">
      <alignment horizontal="left"/>
    </xf>
    <xf numFmtId="3" fontId="2" fillId="0" borderId="0" xfId="0" applyNumberFormat="1" applyFont="1"/>
    <xf numFmtId="164" fontId="3" fillId="0" borderId="0" xfId="0" applyNumberFormat="1" applyFont="1"/>
    <xf numFmtId="2" fontId="3" fillId="0" borderId="0" xfId="0" applyNumberFormat="1" applyFont="1"/>
    <xf numFmtId="4" fontId="0" fillId="0" borderId="0" xfId="0" applyNumberFormat="1"/>
    <xf numFmtId="2" fontId="0" fillId="0" borderId="0" xfId="0" applyNumberFormat="1"/>
    <xf numFmtId="164" fontId="0" fillId="0" borderId="0" xfId="0" applyNumberFormat="1"/>
    <xf numFmtId="0" fontId="7" fillId="0" borderId="6" xfId="0" applyFont="1" applyBorder="1" applyAlignment="1">
      <alignment wrapText="1"/>
    </xf>
    <xf numFmtId="0" fontId="0" fillId="0" borderId="7" xfId="0" applyBorder="1" applyAlignment="1">
      <alignment horizontal="left" vertical="center"/>
    </xf>
    <xf numFmtId="0" fontId="0" fillId="0" borderId="8" xfId="0" applyBorder="1" applyAlignment="1">
      <alignment horizontal="left" vertical="center"/>
    </xf>
    <xf numFmtId="0" fontId="8"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7" fillId="0" borderId="1" xfId="0" applyFont="1" applyBorder="1" applyAlignment="1">
      <alignment horizontal="center" wrapText="1"/>
    </xf>
    <xf numFmtId="0" fontId="7" fillId="0" borderId="2" xfId="0" applyFont="1" applyBorder="1" applyAlignment="1">
      <alignment horizontal="center" wrapText="1"/>
    </xf>
    <xf numFmtId="0" fontId="7" fillId="0" borderId="3" xfId="0" applyFont="1" applyBorder="1" applyAlignment="1">
      <alignment horizontal="center" wrapText="1"/>
    </xf>
    <xf numFmtId="0" fontId="5" fillId="0" borderId="4" xfId="1" applyBorder="1" applyAlignment="1">
      <alignment horizontal="center"/>
    </xf>
    <xf numFmtId="0" fontId="5" fillId="0" borderId="0" xfId="1" applyBorder="1" applyAlignment="1">
      <alignment horizontal="center"/>
    </xf>
    <xf numFmtId="0" fontId="5" fillId="0" borderId="5" xfId="1" applyBorder="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5" fillId="0" borderId="6" xfId="1" applyBorder="1" applyAlignment="1">
      <alignment horizontal="center"/>
    </xf>
    <xf numFmtId="0" fontId="5" fillId="0" borderId="7" xfId="1" applyBorder="1" applyAlignment="1">
      <alignment horizontal="center"/>
    </xf>
    <xf numFmtId="0" fontId="5" fillId="0" borderId="8" xfId="1" applyBorder="1" applyAlignment="1">
      <alignment horizontal="center"/>
    </xf>
    <xf numFmtId="0" fontId="1" fillId="0" borderId="9" xfId="0" applyFont="1" applyBorder="1" applyAlignment="1">
      <alignment horizontal="center"/>
    </xf>
    <xf numFmtId="0" fontId="0" fillId="0" borderId="10" xfId="0" applyBorder="1"/>
    <xf numFmtId="0" fontId="0" fillId="0" borderId="11" xfId="0" applyBorder="1"/>
    <xf numFmtId="0" fontId="6" fillId="0" borderId="7" xfId="0" applyFont="1" applyBorder="1" applyAlignment="1">
      <alignment horizontal="left" vertical="center"/>
    </xf>
    <xf numFmtId="0" fontId="0" fillId="0" borderId="0" xfId="0" applyNumberFormat="1"/>
  </cellXfs>
  <cellStyles count="3">
    <cellStyle name="Hyperlink" xfId="1" builtinId="8"/>
    <cellStyle name="Normal" xfId="0" builtinId="0"/>
    <cellStyle name="Normal 2" xfId="2" xr:uid="{158CBA72-155C-4139-9323-EAF0BC7EB0D4}"/>
  </cellStyles>
  <dxfs count="44">
    <dxf>
      <numFmt numFmtId="0" formatCode="General"/>
    </dxf>
    <dxf>
      <numFmt numFmtId="0" formatCode="General"/>
    </dxf>
    <dxf>
      <numFmt numFmtId="0" formatCode="General"/>
    </dxf>
    <dxf>
      <numFmt numFmtId="0" formatCode="General"/>
    </dxf>
    <dxf>
      <numFmt numFmtId="2" formatCode="0.00"/>
    </dxf>
    <dxf>
      <numFmt numFmtId="0" formatCode="General"/>
    </dxf>
    <dxf>
      <numFmt numFmtId="164" formatCode="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64" formatCode="0.0"/>
    </dxf>
    <dxf>
      <numFmt numFmtId="3" formatCode="#,##0"/>
    </dxf>
    <dxf>
      <numFmt numFmtId="4" formatCode="#,##0.00"/>
    </dxf>
    <dxf>
      <numFmt numFmtId="30" formatCode="@"/>
      <alignment horizontal="left" vertical="bottom" textRotation="0" wrapText="0" indent="0" justifyLastLine="0" shrinkToFit="0" readingOrder="0"/>
    </dxf>
    <dxf>
      <numFmt numFmtId="0" formatCode="General"/>
    </dxf>
    <dxf>
      <numFmt numFmtId="0" formatCode="General"/>
    </dxf>
    <dxf>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B4D3F69A-5C2D-4D72-BEB4-2CFE496F9FCD}">
      <tableStyleElement type="wholeTable" dxfId="43"/>
      <tableStyleElement type="headerRow" dxfId="42"/>
      <tableStyleElement type="firstRowStripe" dxfId="41"/>
      <tableStyleElement type="second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CS.1. Before PA'!$D$1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CS.1. Before PA'!$C$2:$C$40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CS.1. Before PA'!$D$2:$D$40</c:f>
              <c:numCache>
                <c:formatCode>General</c:formatCode>
                <c:ptCount val="39"/>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numCache>
            </c:numRef>
          </c:val>
          <c:smooth val="0"/>
          <c:extLst>
            <c:ext xmlns:c16="http://schemas.microsoft.com/office/drawing/2014/chart" uri="{C3380CC4-5D6E-409C-BE32-E72D297353CC}">
              <c16:uniqueId val="{00000000-329B-41D6-8340-43856FD2F6C5}"/>
            </c:ext>
          </c:extLst>
        </c:ser>
        <c:ser>
          <c:idx val="1"/>
          <c:order val="1"/>
          <c:tx>
            <c:strRef>
              <c:f>'Fig CS.1. Before PA'!$E$1</c:f>
              <c:strCache>
                <c:ptCount val="1"/>
                <c:pt idx="0">
                  <c:v>Mean</c:v>
                </c:pt>
              </c:strCache>
            </c:strRef>
          </c:tx>
          <c:spPr>
            <a:ln w="28575" cap="rnd">
              <a:solidFill>
                <a:schemeClr val="tx1"/>
              </a:solidFill>
              <a:round/>
            </a:ln>
            <a:effectLst/>
          </c:spPr>
          <c:marker>
            <c:symbol val="none"/>
          </c:marker>
          <c:cat>
            <c:strRef>
              <c:f>'Fig CS.1. Before PA'!$C$2:$C$40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CS.1. Before PA'!$E$2:$E$40</c:f>
              <c:numCache>
                <c:formatCode>General</c:formatCode>
                <c:ptCount val="39"/>
                <c:pt idx="0">
                  <c:v>1.1599999999999999</c:v>
                </c:pt>
                <c:pt idx="1">
                  <c:v>1.1599999999999999</c:v>
                </c:pt>
                <c:pt idx="2">
                  <c:v>1.1599999999999999</c:v>
                </c:pt>
                <c:pt idx="3">
                  <c:v>1.1599999999999999</c:v>
                </c:pt>
                <c:pt idx="4">
                  <c:v>1.1599999999999999</c:v>
                </c:pt>
                <c:pt idx="5">
                  <c:v>1.1599999999999999</c:v>
                </c:pt>
                <c:pt idx="6">
                  <c:v>1.1599999999999999</c:v>
                </c:pt>
                <c:pt idx="7">
                  <c:v>1.1599999999999999</c:v>
                </c:pt>
                <c:pt idx="8">
                  <c:v>1.1599999999999999</c:v>
                </c:pt>
                <c:pt idx="9">
                  <c:v>1.1599999999999999</c:v>
                </c:pt>
                <c:pt idx="10">
                  <c:v>1.1599999999999999</c:v>
                </c:pt>
                <c:pt idx="11">
                  <c:v>1.1599999999999999</c:v>
                </c:pt>
                <c:pt idx="12">
                  <c:v>1.1599999999999999</c:v>
                </c:pt>
                <c:pt idx="13">
                  <c:v>1.1599999999999999</c:v>
                </c:pt>
                <c:pt idx="14">
                  <c:v>1.1599999999999999</c:v>
                </c:pt>
                <c:pt idx="15">
                  <c:v>1.1599999999999999</c:v>
                </c:pt>
                <c:pt idx="16">
                  <c:v>1.1599999999999999</c:v>
                </c:pt>
                <c:pt idx="17">
                  <c:v>1.1599999999999999</c:v>
                </c:pt>
                <c:pt idx="18">
                  <c:v>1.1599999999999999</c:v>
                </c:pt>
                <c:pt idx="19">
                  <c:v>1.1599999999999999</c:v>
                </c:pt>
                <c:pt idx="20">
                  <c:v>1.1599999999999999</c:v>
                </c:pt>
                <c:pt idx="21">
                  <c:v>1.1599999999999999</c:v>
                </c:pt>
                <c:pt idx="22">
                  <c:v>1.1599999999999999</c:v>
                </c:pt>
                <c:pt idx="23">
                  <c:v>1.1599999999999999</c:v>
                </c:pt>
                <c:pt idx="24">
                  <c:v>1.1599999999999999</c:v>
                </c:pt>
                <c:pt idx="25">
                  <c:v>1.1599999999999999</c:v>
                </c:pt>
                <c:pt idx="26">
                  <c:v>1.1599999999999999</c:v>
                </c:pt>
                <c:pt idx="27">
                  <c:v>1.1599999999999999</c:v>
                </c:pt>
                <c:pt idx="28">
                  <c:v>1.1599999999999999</c:v>
                </c:pt>
                <c:pt idx="29">
                  <c:v>1.1599999999999999</c:v>
                </c:pt>
                <c:pt idx="30">
                  <c:v>1.1599999999999999</c:v>
                </c:pt>
                <c:pt idx="31">
                  <c:v>1.1599999999999999</c:v>
                </c:pt>
                <c:pt idx="32">
                  <c:v>1.1599999999999999</c:v>
                </c:pt>
                <c:pt idx="33">
                  <c:v>1.1599999999999999</c:v>
                </c:pt>
                <c:pt idx="34">
                  <c:v>1.1599999999999999</c:v>
                </c:pt>
                <c:pt idx="35">
                  <c:v>1.1599999999999999</c:v>
                </c:pt>
                <c:pt idx="36">
                  <c:v>1.1599999999999999</c:v>
                </c:pt>
                <c:pt idx="37">
                  <c:v>1.1599999999999999</c:v>
                </c:pt>
                <c:pt idx="38">
                  <c:v>1.1599999999999999</c:v>
                </c:pt>
              </c:numCache>
            </c:numRef>
          </c:val>
          <c:smooth val="0"/>
          <c:extLst>
            <c:ext xmlns:c16="http://schemas.microsoft.com/office/drawing/2014/chart" uri="{C3380CC4-5D6E-409C-BE32-E72D297353CC}">
              <c16:uniqueId val="{00000001-329B-41D6-8340-43856FD2F6C5}"/>
            </c:ext>
          </c:extLst>
        </c:ser>
        <c:ser>
          <c:idx val="2"/>
          <c:order val="2"/>
          <c:tx>
            <c:strRef>
              <c:f>'Fig CS.1. Before PA'!$F$1</c:f>
              <c:strCache>
                <c:ptCount val="1"/>
                <c:pt idx="0">
                  <c:v>UPL</c:v>
                </c:pt>
              </c:strCache>
            </c:strRef>
          </c:tx>
          <c:spPr>
            <a:ln w="28575" cap="rnd">
              <a:solidFill>
                <a:srgbClr val="D72323"/>
              </a:solidFill>
              <a:prstDash val="dash"/>
              <a:round/>
            </a:ln>
            <a:effectLst/>
          </c:spPr>
          <c:marker>
            <c:symbol val="none"/>
          </c:marker>
          <c:cat>
            <c:strRef>
              <c:f>'Fig CS.1. Before PA'!$C$2:$C$40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CS.1. Before PA'!$F$2:$F$40</c:f>
              <c:numCache>
                <c:formatCode>General</c:formatCode>
                <c:ptCount val="39"/>
                <c:pt idx="0">
                  <c:v>3.42</c:v>
                </c:pt>
                <c:pt idx="1">
                  <c:v>3.42</c:v>
                </c:pt>
                <c:pt idx="2">
                  <c:v>3.42</c:v>
                </c:pt>
                <c:pt idx="3">
                  <c:v>3.42</c:v>
                </c:pt>
                <c:pt idx="4">
                  <c:v>3.42</c:v>
                </c:pt>
                <c:pt idx="5">
                  <c:v>3.42</c:v>
                </c:pt>
                <c:pt idx="6">
                  <c:v>3.42</c:v>
                </c:pt>
                <c:pt idx="7">
                  <c:v>3.42</c:v>
                </c:pt>
                <c:pt idx="8">
                  <c:v>3.42</c:v>
                </c:pt>
                <c:pt idx="9">
                  <c:v>3.42</c:v>
                </c:pt>
                <c:pt idx="10">
                  <c:v>3.42</c:v>
                </c:pt>
                <c:pt idx="11">
                  <c:v>3.42</c:v>
                </c:pt>
                <c:pt idx="12">
                  <c:v>3.42</c:v>
                </c:pt>
                <c:pt idx="13">
                  <c:v>3.42</c:v>
                </c:pt>
                <c:pt idx="14">
                  <c:v>3.42</c:v>
                </c:pt>
                <c:pt idx="15">
                  <c:v>3.42</c:v>
                </c:pt>
                <c:pt idx="16">
                  <c:v>3.42</c:v>
                </c:pt>
                <c:pt idx="17">
                  <c:v>3.42</c:v>
                </c:pt>
                <c:pt idx="18">
                  <c:v>3.42</c:v>
                </c:pt>
                <c:pt idx="19">
                  <c:v>3.42</c:v>
                </c:pt>
                <c:pt idx="20">
                  <c:v>3.42</c:v>
                </c:pt>
                <c:pt idx="21">
                  <c:v>3.42</c:v>
                </c:pt>
                <c:pt idx="22">
                  <c:v>3.42</c:v>
                </c:pt>
                <c:pt idx="23">
                  <c:v>3.42</c:v>
                </c:pt>
                <c:pt idx="24">
                  <c:v>3.42</c:v>
                </c:pt>
                <c:pt idx="25">
                  <c:v>3.42</c:v>
                </c:pt>
                <c:pt idx="26">
                  <c:v>3.42</c:v>
                </c:pt>
                <c:pt idx="27">
                  <c:v>3.42</c:v>
                </c:pt>
                <c:pt idx="28">
                  <c:v>3.42</c:v>
                </c:pt>
                <c:pt idx="29">
                  <c:v>3.42</c:v>
                </c:pt>
                <c:pt idx="30">
                  <c:v>3.42</c:v>
                </c:pt>
                <c:pt idx="31">
                  <c:v>3.42</c:v>
                </c:pt>
                <c:pt idx="32">
                  <c:v>3.42</c:v>
                </c:pt>
                <c:pt idx="33">
                  <c:v>3.42</c:v>
                </c:pt>
                <c:pt idx="34">
                  <c:v>3.42</c:v>
                </c:pt>
                <c:pt idx="35">
                  <c:v>3.42</c:v>
                </c:pt>
                <c:pt idx="36">
                  <c:v>3.42</c:v>
                </c:pt>
                <c:pt idx="37">
                  <c:v>3.42</c:v>
                </c:pt>
                <c:pt idx="38">
                  <c:v>3.42</c:v>
                </c:pt>
              </c:numCache>
            </c:numRef>
          </c:val>
          <c:smooth val="0"/>
          <c:extLst>
            <c:ext xmlns:c16="http://schemas.microsoft.com/office/drawing/2014/chart" uri="{C3380CC4-5D6E-409C-BE32-E72D297353CC}">
              <c16:uniqueId val="{00000002-329B-41D6-8340-43856FD2F6C5}"/>
            </c:ext>
          </c:extLst>
        </c:ser>
        <c:ser>
          <c:idx val="3"/>
          <c:order val="3"/>
          <c:tx>
            <c:strRef>
              <c:f>'Fig CS.1. Before PA'!$G$1</c:f>
              <c:strCache>
                <c:ptCount val="1"/>
                <c:pt idx="0">
                  <c:v>LPL</c:v>
                </c:pt>
              </c:strCache>
            </c:strRef>
          </c:tx>
          <c:spPr>
            <a:ln w="28575" cap="rnd">
              <a:solidFill>
                <a:srgbClr val="D72323"/>
              </a:solidFill>
              <a:prstDash val="dash"/>
              <a:round/>
            </a:ln>
            <a:effectLst/>
          </c:spPr>
          <c:marker>
            <c:symbol val="none"/>
          </c:marker>
          <c:cat>
            <c:strRef>
              <c:f>'Fig CS.1. Before PA'!$C$2:$C$40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CS.1. Before PA'!$G$2:$G$40</c:f>
              <c:numCache>
                <c:formatCode>General</c:formatCode>
                <c:ptCount val="3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tickLblSkip val="3"/>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CS.1. Before PA'!$H$1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CS.1. Before PA'!$H$2:$H$40</c:f>
              <c:numCache>
                <c:formatCode>General</c:formatCode>
                <c:ptCount val="39"/>
                <c:pt idx="1">
                  <c:v>0.7</c:v>
                </c:pt>
                <c:pt idx="2">
                  <c:v>1</c:v>
                </c:pt>
                <c:pt idx="3">
                  <c:v>0</c:v>
                </c:pt>
                <c:pt idx="4">
                  <c:v>0</c:v>
                </c:pt>
                <c:pt idx="5">
                  <c:v>0.2</c:v>
                </c:pt>
                <c:pt idx="6">
                  <c:v>0.2</c:v>
                </c:pt>
                <c:pt idx="7">
                  <c:v>0.2</c:v>
                </c:pt>
                <c:pt idx="8">
                  <c:v>0.3</c:v>
                </c:pt>
                <c:pt idx="9">
                  <c:v>1.7</c:v>
                </c:pt>
                <c:pt idx="10">
                  <c:v>2.2000000000000002</c:v>
                </c:pt>
                <c:pt idx="11">
                  <c:v>1.7</c:v>
                </c:pt>
                <c:pt idx="12">
                  <c:v>0.9</c:v>
                </c:pt>
                <c:pt idx="13">
                  <c:v>1</c:v>
                </c:pt>
                <c:pt idx="14">
                  <c:v>0</c:v>
                </c:pt>
                <c:pt idx="15">
                  <c:v>0.8</c:v>
                </c:pt>
                <c:pt idx="16">
                  <c:v>1</c:v>
                </c:pt>
                <c:pt idx="17">
                  <c:v>1.2</c:v>
                </c:pt>
                <c:pt idx="18">
                  <c:v>0.4</c:v>
                </c:pt>
                <c:pt idx="19">
                  <c:v>0.3</c:v>
                </c:pt>
                <c:pt idx="20">
                  <c:v>0.3</c:v>
                </c:pt>
                <c:pt idx="21">
                  <c:v>0</c:v>
                </c:pt>
                <c:pt idx="22">
                  <c:v>0.3</c:v>
                </c:pt>
                <c:pt idx="23">
                  <c:v>0.1</c:v>
                </c:pt>
                <c:pt idx="24">
                  <c:v>0.2</c:v>
                </c:pt>
                <c:pt idx="25">
                  <c:v>0.6</c:v>
                </c:pt>
                <c:pt idx="26">
                  <c:v>0.6</c:v>
                </c:pt>
                <c:pt idx="27">
                  <c:v>1.1000000000000001</c:v>
                </c:pt>
                <c:pt idx="28">
                  <c:v>1.3</c:v>
                </c:pt>
                <c:pt idx="29">
                  <c:v>0.5</c:v>
                </c:pt>
                <c:pt idx="30">
                  <c:v>2.1</c:v>
                </c:pt>
                <c:pt idx="31">
                  <c:v>2.5</c:v>
                </c:pt>
                <c:pt idx="32">
                  <c:v>0.2</c:v>
                </c:pt>
                <c:pt idx="33">
                  <c:v>0.4</c:v>
                </c:pt>
                <c:pt idx="34">
                  <c:v>1.3</c:v>
                </c:pt>
                <c:pt idx="35">
                  <c:v>2.8</c:v>
                </c:pt>
                <c:pt idx="36">
                  <c:v>2.5</c:v>
                </c:pt>
                <c:pt idx="37">
                  <c:v>0.8</c:v>
                </c:pt>
                <c:pt idx="38">
                  <c:v>0.9</c:v>
                </c:pt>
              </c:numCache>
            </c:numRef>
          </c:val>
          <c:smooth val="0"/>
          <c:extLst>
            <c:ext xmlns:c16="http://schemas.microsoft.com/office/drawing/2014/chart" uri="{C3380CC4-5D6E-409C-BE32-E72D297353CC}">
              <c16:uniqueId val="{00000000-5D18-47FA-93F7-2AB89D044415}"/>
            </c:ext>
          </c:extLst>
        </c:ser>
        <c:ser>
          <c:idx val="1"/>
          <c:order val="1"/>
          <c:tx>
            <c:strRef>
              <c:f>'Fig CS.1. Before PA'!$I$1</c:f>
              <c:strCache>
                <c:ptCount val="1"/>
                <c:pt idx="0">
                  <c:v>Ave. mR</c:v>
                </c:pt>
              </c:strCache>
            </c:strRef>
          </c:tx>
          <c:spPr>
            <a:ln w="28575" cap="rnd">
              <a:solidFill>
                <a:schemeClr val="tx1"/>
              </a:solidFill>
              <a:round/>
            </a:ln>
            <a:effectLst/>
          </c:spPr>
          <c:marker>
            <c:symbol val="none"/>
          </c:marker>
          <c:val>
            <c:numRef>
              <c:f>'Fig CS.1. Before PA'!$I$2:$I$40</c:f>
              <c:numCache>
                <c:formatCode>General</c:formatCode>
                <c:ptCount val="39"/>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pt idx="15">
                  <c:v>0.85</c:v>
                </c:pt>
                <c:pt idx="16">
                  <c:v>0.85</c:v>
                </c:pt>
                <c:pt idx="17">
                  <c:v>0.85</c:v>
                </c:pt>
                <c:pt idx="18">
                  <c:v>0.85</c:v>
                </c:pt>
                <c:pt idx="19">
                  <c:v>0.85</c:v>
                </c:pt>
                <c:pt idx="20">
                  <c:v>0.85</c:v>
                </c:pt>
                <c:pt idx="21">
                  <c:v>0.85</c:v>
                </c:pt>
                <c:pt idx="22">
                  <c:v>0.85</c:v>
                </c:pt>
                <c:pt idx="23">
                  <c:v>0.85</c:v>
                </c:pt>
                <c:pt idx="24">
                  <c:v>0.85</c:v>
                </c:pt>
                <c:pt idx="25">
                  <c:v>0.85</c:v>
                </c:pt>
                <c:pt idx="26">
                  <c:v>0.85</c:v>
                </c:pt>
                <c:pt idx="27">
                  <c:v>0.85</c:v>
                </c:pt>
                <c:pt idx="28">
                  <c:v>0.85</c:v>
                </c:pt>
                <c:pt idx="29">
                  <c:v>0.85</c:v>
                </c:pt>
                <c:pt idx="30">
                  <c:v>0.85</c:v>
                </c:pt>
                <c:pt idx="31">
                  <c:v>0.85</c:v>
                </c:pt>
                <c:pt idx="32">
                  <c:v>0.85</c:v>
                </c:pt>
                <c:pt idx="33">
                  <c:v>0.85</c:v>
                </c:pt>
                <c:pt idx="34">
                  <c:v>0.85</c:v>
                </c:pt>
                <c:pt idx="35">
                  <c:v>0.85</c:v>
                </c:pt>
                <c:pt idx="36">
                  <c:v>0.85</c:v>
                </c:pt>
                <c:pt idx="37">
                  <c:v>0.85</c:v>
                </c:pt>
                <c:pt idx="38">
                  <c:v>0.85</c:v>
                </c:pt>
              </c:numCache>
            </c:numRef>
          </c:val>
          <c:smooth val="0"/>
          <c:extLst>
            <c:ext xmlns:c16="http://schemas.microsoft.com/office/drawing/2014/chart" uri="{C3380CC4-5D6E-409C-BE32-E72D297353CC}">
              <c16:uniqueId val="{00000001-5D18-47FA-93F7-2AB89D044415}"/>
            </c:ext>
          </c:extLst>
        </c:ser>
        <c:ser>
          <c:idx val="2"/>
          <c:order val="2"/>
          <c:tx>
            <c:strRef>
              <c:f>'Fig CS.1. Before PA'!$J$1</c:f>
              <c:strCache>
                <c:ptCount val="1"/>
                <c:pt idx="0">
                  <c:v>URL</c:v>
                </c:pt>
              </c:strCache>
            </c:strRef>
          </c:tx>
          <c:spPr>
            <a:ln w="28575" cap="rnd">
              <a:solidFill>
                <a:srgbClr val="D72323"/>
              </a:solidFill>
              <a:prstDash val="dash"/>
              <a:round/>
            </a:ln>
            <a:effectLst/>
          </c:spPr>
          <c:marker>
            <c:symbol val="none"/>
          </c:marker>
          <c:val>
            <c:numRef>
              <c:f>'Fig CS.1. Before PA'!$J$2:$J$40</c:f>
              <c:numCache>
                <c:formatCode>General</c:formatCode>
                <c:ptCount val="39"/>
                <c:pt idx="0">
                  <c:v>2.8</c:v>
                </c:pt>
                <c:pt idx="1">
                  <c:v>2.8</c:v>
                </c:pt>
                <c:pt idx="2">
                  <c:v>2.8</c:v>
                </c:pt>
                <c:pt idx="3">
                  <c:v>2.8</c:v>
                </c:pt>
                <c:pt idx="4">
                  <c:v>2.8</c:v>
                </c:pt>
                <c:pt idx="5">
                  <c:v>2.8</c:v>
                </c:pt>
                <c:pt idx="6">
                  <c:v>2.8</c:v>
                </c:pt>
                <c:pt idx="7">
                  <c:v>2.8</c:v>
                </c:pt>
                <c:pt idx="8">
                  <c:v>2.8</c:v>
                </c:pt>
                <c:pt idx="9">
                  <c:v>2.8</c:v>
                </c:pt>
                <c:pt idx="10">
                  <c:v>2.8</c:v>
                </c:pt>
                <c:pt idx="11">
                  <c:v>2.8</c:v>
                </c:pt>
                <c:pt idx="12">
                  <c:v>2.8</c:v>
                </c:pt>
                <c:pt idx="13">
                  <c:v>2.8</c:v>
                </c:pt>
                <c:pt idx="14">
                  <c:v>2.8</c:v>
                </c:pt>
                <c:pt idx="15">
                  <c:v>2.8</c:v>
                </c:pt>
                <c:pt idx="16">
                  <c:v>2.8</c:v>
                </c:pt>
                <c:pt idx="17">
                  <c:v>2.8</c:v>
                </c:pt>
                <c:pt idx="18">
                  <c:v>2.8</c:v>
                </c:pt>
                <c:pt idx="19">
                  <c:v>2.8</c:v>
                </c:pt>
                <c:pt idx="20">
                  <c:v>2.8</c:v>
                </c:pt>
                <c:pt idx="21">
                  <c:v>2.8</c:v>
                </c:pt>
                <c:pt idx="22">
                  <c:v>2.8</c:v>
                </c:pt>
                <c:pt idx="23">
                  <c:v>2.8</c:v>
                </c:pt>
                <c:pt idx="24">
                  <c:v>2.8</c:v>
                </c:pt>
                <c:pt idx="25">
                  <c:v>2.8</c:v>
                </c:pt>
                <c:pt idx="26">
                  <c:v>2.8</c:v>
                </c:pt>
                <c:pt idx="27">
                  <c:v>2.8</c:v>
                </c:pt>
                <c:pt idx="28">
                  <c:v>2.8</c:v>
                </c:pt>
                <c:pt idx="29">
                  <c:v>2.8</c:v>
                </c:pt>
                <c:pt idx="30">
                  <c:v>2.8</c:v>
                </c:pt>
                <c:pt idx="31">
                  <c:v>2.8</c:v>
                </c:pt>
                <c:pt idx="32">
                  <c:v>2.8</c:v>
                </c:pt>
                <c:pt idx="33">
                  <c:v>2.8</c:v>
                </c:pt>
                <c:pt idx="34">
                  <c:v>2.8</c:v>
                </c:pt>
                <c:pt idx="35">
                  <c:v>2.8</c:v>
                </c:pt>
                <c:pt idx="36">
                  <c:v>2.8</c:v>
                </c:pt>
                <c:pt idx="37">
                  <c:v>2.8</c:v>
                </c:pt>
                <c:pt idx="38">
                  <c:v>2.8</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CS.2. After PA'!$D$1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CS.2. After PA'!$C$2:$C$19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CS.2. After PA'!$D$2:$D$19</c:f>
              <c:numCache>
                <c:formatCode>General</c:formatCode>
                <c:ptCount val="18"/>
                <c:pt idx="0">
                  <c:v>7.5</c:v>
                </c:pt>
                <c:pt idx="1">
                  <c:v>4.9000000000000004</c:v>
                </c:pt>
                <c:pt idx="2">
                  <c:v>8.8000000000000007</c:v>
                </c:pt>
                <c:pt idx="3">
                  <c:v>8.1</c:v>
                </c:pt>
                <c:pt idx="4">
                  <c:v>2.2000000000000002</c:v>
                </c:pt>
                <c:pt idx="5">
                  <c:v>3.6</c:v>
                </c:pt>
                <c:pt idx="6">
                  <c:v>4.5999999999999996</c:v>
                </c:pt>
                <c:pt idx="7">
                  <c:v>4</c:v>
                </c:pt>
                <c:pt idx="8">
                  <c:v>6.6</c:v>
                </c:pt>
                <c:pt idx="9">
                  <c:v>3.2</c:v>
                </c:pt>
                <c:pt idx="10">
                  <c:v>5.3</c:v>
                </c:pt>
                <c:pt idx="11">
                  <c:v>7.7</c:v>
                </c:pt>
                <c:pt idx="12">
                  <c:v>5.6</c:v>
                </c:pt>
                <c:pt idx="13">
                  <c:v>7.5</c:v>
                </c:pt>
                <c:pt idx="14">
                  <c:v>9.1</c:v>
                </c:pt>
                <c:pt idx="15">
                  <c:v>3</c:v>
                </c:pt>
                <c:pt idx="16">
                  <c:v>5.4</c:v>
                </c:pt>
                <c:pt idx="17">
                  <c:v>9.1999999999999993</c:v>
                </c:pt>
              </c:numCache>
            </c:numRef>
          </c:val>
          <c:smooth val="0"/>
          <c:extLst>
            <c:ext xmlns:c16="http://schemas.microsoft.com/office/drawing/2014/chart" uri="{C3380CC4-5D6E-409C-BE32-E72D297353CC}">
              <c16:uniqueId val="{00000000-329B-41D6-8340-43856FD2F6C5}"/>
            </c:ext>
          </c:extLst>
        </c:ser>
        <c:ser>
          <c:idx val="1"/>
          <c:order val="1"/>
          <c:tx>
            <c:strRef>
              <c:f>'Fig CS.2. After PA'!$E$1</c:f>
              <c:strCache>
                <c:ptCount val="1"/>
                <c:pt idx="0">
                  <c:v>Mean</c:v>
                </c:pt>
              </c:strCache>
            </c:strRef>
          </c:tx>
          <c:spPr>
            <a:ln w="28575" cap="rnd">
              <a:solidFill>
                <a:schemeClr val="tx1"/>
              </a:solidFill>
              <a:round/>
            </a:ln>
            <a:effectLst/>
          </c:spPr>
          <c:marker>
            <c:symbol val="none"/>
          </c:marker>
          <c:cat>
            <c:strRef>
              <c:f>'Fig CS.2. After PA'!$C$2:$C$19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CS.2. After PA'!$E$2:$E$19</c:f>
              <c:numCache>
                <c:formatCode>#,##0.00</c:formatCode>
                <c:ptCount val="18"/>
                <c:pt idx="0">
                  <c:v>5.91</c:v>
                </c:pt>
                <c:pt idx="1">
                  <c:v>5.91</c:v>
                </c:pt>
                <c:pt idx="2">
                  <c:v>5.91</c:v>
                </c:pt>
                <c:pt idx="3">
                  <c:v>5.91</c:v>
                </c:pt>
                <c:pt idx="4">
                  <c:v>5.91</c:v>
                </c:pt>
                <c:pt idx="5">
                  <c:v>5.91</c:v>
                </c:pt>
                <c:pt idx="6">
                  <c:v>5.91</c:v>
                </c:pt>
                <c:pt idx="7">
                  <c:v>5.91</c:v>
                </c:pt>
                <c:pt idx="8">
                  <c:v>5.91</c:v>
                </c:pt>
                <c:pt idx="9">
                  <c:v>5.91</c:v>
                </c:pt>
                <c:pt idx="10">
                  <c:v>5.91</c:v>
                </c:pt>
                <c:pt idx="11">
                  <c:v>5.91</c:v>
                </c:pt>
                <c:pt idx="12">
                  <c:v>5.91</c:v>
                </c:pt>
                <c:pt idx="13">
                  <c:v>5.91</c:v>
                </c:pt>
                <c:pt idx="14">
                  <c:v>5.91</c:v>
                </c:pt>
                <c:pt idx="15">
                  <c:v>5.91</c:v>
                </c:pt>
                <c:pt idx="16">
                  <c:v>5.91</c:v>
                </c:pt>
                <c:pt idx="17">
                  <c:v>5.91</c:v>
                </c:pt>
              </c:numCache>
            </c:numRef>
          </c:val>
          <c:smooth val="0"/>
          <c:extLst>
            <c:ext xmlns:c16="http://schemas.microsoft.com/office/drawing/2014/chart" uri="{C3380CC4-5D6E-409C-BE32-E72D297353CC}">
              <c16:uniqueId val="{00000001-329B-41D6-8340-43856FD2F6C5}"/>
            </c:ext>
          </c:extLst>
        </c:ser>
        <c:ser>
          <c:idx val="2"/>
          <c:order val="2"/>
          <c:tx>
            <c:strRef>
              <c:f>'Fig CS.2. After PA'!$F$1</c:f>
              <c:strCache>
                <c:ptCount val="1"/>
                <c:pt idx="0">
                  <c:v>UPL</c:v>
                </c:pt>
              </c:strCache>
            </c:strRef>
          </c:tx>
          <c:spPr>
            <a:ln w="28575" cap="rnd">
              <a:solidFill>
                <a:srgbClr val="D72323"/>
              </a:solidFill>
              <a:prstDash val="dash"/>
              <a:round/>
            </a:ln>
            <a:effectLst/>
          </c:spPr>
          <c:marker>
            <c:symbol val="none"/>
          </c:marker>
          <c:cat>
            <c:strRef>
              <c:f>'Fig CS.2. After PA'!$C$2:$C$19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CS.2. After PA'!$F$2:$F$19</c:f>
              <c:numCache>
                <c:formatCode>#,##0.00</c:formatCode>
                <c:ptCount val="18"/>
                <c:pt idx="0">
                  <c:v>12.88</c:v>
                </c:pt>
                <c:pt idx="1">
                  <c:v>12.88</c:v>
                </c:pt>
                <c:pt idx="2">
                  <c:v>12.88</c:v>
                </c:pt>
                <c:pt idx="3">
                  <c:v>12.88</c:v>
                </c:pt>
                <c:pt idx="4">
                  <c:v>12.88</c:v>
                </c:pt>
                <c:pt idx="5">
                  <c:v>12.88</c:v>
                </c:pt>
                <c:pt idx="6">
                  <c:v>12.88</c:v>
                </c:pt>
                <c:pt idx="7">
                  <c:v>12.88</c:v>
                </c:pt>
                <c:pt idx="8">
                  <c:v>12.88</c:v>
                </c:pt>
                <c:pt idx="9">
                  <c:v>12.88</c:v>
                </c:pt>
                <c:pt idx="10">
                  <c:v>12.88</c:v>
                </c:pt>
                <c:pt idx="11">
                  <c:v>12.88</c:v>
                </c:pt>
                <c:pt idx="12">
                  <c:v>12.88</c:v>
                </c:pt>
                <c:pt idx="13">
                  <c:v>12.88</c:v>
                </c:pt>
                <c:pt idx="14">
                  <c:v>12.88</c:v>
                </c:pt>
                <c:pt idx="15">
                  <c:v>12.88</c:v>
                </c:pt>
                <c:pt idx="16">
                  <c:v>12.88</c:v>
                </c:pt>
                <c:pt idx="17">
                  <c:v>12.88</c:v>
                </c:pt>
              </c:numCache>
            </c:numRef>
          </c:val>
          <c:smooth val="0"/>
          <c:extLst>
            <c:ext xmlns:c16="http://schemas.microsoft.com/office/drawing/2014/chart" uri="{C3380CC4-5D6E-409C-BE32-E72D297353CC}">
              <c16:uniqueId val="{00000002-329B-41D6-8340-43856FD2F6C5}"/>
            </c:ext>
          </c:extLst>
        </c:ser>
        <c:ser>
          <c:idx val="3"/>
          <c:order val="3"/>
          <c:tx>
            <c:strRef>
              <c:f>'Fig CS.2. After PA'!$G$1</c:f>
              <c:strCache>
                <c:ptCount val="1"/>
                <c:pt idx="0">
                  <c:v>LPL</c:v>
                </c:pt>
              </c:strCache>
            </c:strRef>
          </c:tx>
          <c:spPr>
            <a:ln w="28575" cap="rnd">
              <a:solidFill>
                <a:srgbClr val="D72323"/>
              </a:solidFill>
              <a:prstDash val="dash"/>
              <a:round/>
            </a:ln>
            <a:effectLst/>
          </c:spPr>
          <c:marker>
            <c:symbol val="none"/>
          </c:marker>
          <c:cat>
            <c:strRef>
              <c:f>'Fig CS.2. After PA'!$C$2:$C$19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CS.2. After PA'!$G$2:$G$19</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rgbClr val="000000">
                        <a:lumMod val="65000"/>
                        <a:lumOff val="35000"/>
                      </a:srgbClr>
                    </a:solidFill>
                  </a:rPr>
                  <a:t>Death-to-Birth Rate (%)</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CS.2. After PA'!$H$1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CS.2. After PA'!$H$2:$H$19</c:f>
              <c:numCache>
                <c:formatCode>0.0</c:formatCode>
                <c:ptCount val="18"/>
                <c:pt idx="1">
                  <c:v>2.6</c:v>
                </c:pt>
                <c:pt idx="2">
                  <c:v>3.9</c:v>
                </c:pt>
                <c:pt idx="3">
                  <c:v>0.7</c:v>
                </c:pt>
                <c:pt idx="4">
                  <c:v>5.9</c:v>
                </c:pt>
                <c:pt idx="5">
                  <c:v>1.4</c:v>
                </c:pt>
                <c:pt idx="6">
                  <c:v>1</c:v>
                </c:pt>
                <c:pt idx="7">
                  <c:v>0.6</c:v>
                </c:pt>
                <c:pt idx="8">
                  <c:v>2.6</c:v>
                </c:pt>
                <c:pt idx="9">
                  <c:v>3.4</c:v>
                </c:pt>
                <c:pt idx="10">
                  <c:v>2.1</c:v>
                </c:pt>
                <c:pt idx="11">
                  <c:v>2.4</c:v>
                </c:pt>
                <c:pt idx="12">
                  <c:v>2.1</c:v>
                </c:pt>
                <c:pt idx="13">
                  <c:v>1.9</c:v>
                </c:pt>
                <c:pt idx="14">
                  <c:v>1.6</c:v>
                </c:pt>
                <c:pt idx="15">
                  <c:v>6.1</c:v>
                </c:pt>
                <c:pt idx="16">
                  <c:v>2.4</c:v>
                </c:pt>
                <c:pt idx="17">
                  <c:v>3.8</c:v>
                </c:pt>
              </c:numCache>
            </c:numRef>
          </c:val>
          <c:smooth val="0"/>
          <c:extLst>
            <c:ext xmlns:c16="http://schemas.microsoft.com/office/drawing/2014/chart" uri="{C3380CC4-5D6E-409C-BE32-E72D297353CC}">
              <c16:uniqueId val="{00000000-5D18-47FA-93F7-2AB89D044415}"/>
            </c:ext>
          </c:extLst>
        </c:ser>
        <c:ser>
          <c:idx val="1"/>
          <c:order val="1"/>
          <c:tx>
            <c:strRef>
              <c:f>'Fig CS.2. After PA'!$I$1</c:f>
              <c:strCache>
                <c:ptCount val="1"/>
                <c:pt idx="0">
                  <c:v>Ave. mR</c:v>
                </c:pt>
              </c:strCache>
            </c:strRef>
          </c:tx>
          <c:spPr>
            <a:ln w="28575" cap="rnd">
              <a:solidFill>
                <a:schemeClr val="tx1"/>
              </a:solidFill>
              <a:round/>
            </a:ln>
            <a:effectLst/>
          </c:spPr>
          <c:marker>
            <c:symbol val="none"/>
          </c:marker>
          <c:val>
            <c:numRef>
              <c:f>'Fig CS.2. After PA'!$I$2:$I$19</c:f>
              <c:numCache>
                <c:formatCode>0.00</c:formatCode>
                <c:ptCount val="18"/>
                <c:pt idx="0">
                  <c:v>2.62</c:v>
                </c:pt>
                <c:pt idx="1">
                  <c:v>2.62</c:v>
                </c:pt>
                <c:pt idx="2">
                  <c:v>2.62</c:v>
                </c:pt>
                <c:pt idx="3">
                  <c:v>2.62</c:v>
                </c:pt>
                <c:pt idx="4">
                  <c:v>2.62</c:v>
                </c:pt>
                <c:pt idx="5">
                  <c:v>2.62</c:v>
                </c:pt>
                <c:pt idx="6">
                  <c:v>2.62</c:v>
                </c:pt>
                <c:pt idx="7">
                  <c:v>2.62</c:v>
                </c:pt>
                <c:pt idx="8">
                  <c:v>2.62</c:v>
                </c:pt>
                <c:pt idx="9">
                  <c:v>2.62</c:v>
                </c:pt>
                <c:pt idx="10">
                  <c:v>2.62</c:v>
                </c:pt>
                <c:pt idx="11">
                  <c:v>2.62</c:v>
                </c:pt>
                <c:pt idx="12">
                  <c:v>2.62</c:v>
                </c:pt>
                <c:pt idx="13">
                  <c:v>2.62</c:v>
                </c:pt>
                <c:pt idx="14">
                  <c:v>2.62</c:v>
                </c:pt>
                <c:pt idx="15">
                  <c:v>2.62</c:v>
                </c:pt>
                <c:pt idx="16">
                  <c:v>2.62</c:v>
                </c:pt>
                <c:pt idx="17">
                  <c:v>2.62</c:v>
                </c:pt>
              </c:numCache>
            </c:numRef>
          </c:val>
          <c:smooth val="0"/>
          <c:extLst>
            <c:ext xmlns:c16="http://schemas.microsoft.com/office/drawing/2014/chart" uri="{C3380CC4-5D6E-409C-BE32-E72D297353CC}">
              <c16:uniqueId val="{00000001-5D18-47FA-93F7-2AB89D044415}"/>
            </c:ext>
          </c:extLst>
        </c:ser>
        <c:ser>
          <c:idx val="2"/>
          <c:order val="2"/>
          <c:tx>
            <c:strRef>
              <c:f>'Fig CS.2. After PA'!$J$1</c:f>
              <c:strCache>
                <c:ptCount val="1"/>
                <c:pt idx="0">
                  <c:v>URL</c:v>
                </c:pt>
              </c:strCache>
            </c:strRef>
          </c:tx>
          <c:spPr>
            <a:ln w="28575" cap="rnd">
              <a:solidFill>
                <a:srgbClr val="D72323"/>
              </a:solidFill>
              <a:prstDash val="dash"/>
              <a:round/>
            </a:ln>
            <a:effectLst/>
          </c:spPr>
          <c:marker>
            <c:symbol val="none"/>
          </c:marker>
          <c:val>
            <c:numRef>
              <c:f>'Fig CS.2. After PA'!$J$2:$J$19</c:f>
              <c:numCache>
                <c:formatCode>General</c:formatCode>
                <c:ptCount val="18"/>
                <c:pt idx="0">
                  <c:v>8.56</c:v>
                </c:pt>
                <c:pt idx="1">
                  <c:v>8.56</c:v>
                </c:pt>
                <c:pt idx="2">
                  <c:v>8.56</c:v>
                </c:pt>
                <c:pt idx="3">
                  <c:v>8.56</c:v>
                </c:pt>
                <c:pt idx="4">
                  <c:v>8.56</c:v>
                </c:pt>
                <c:pt idx="5">
                  <c:v>8.56</c:v>
                </c:pt>
                <c:pt idx="6">
                  <c:v>8.56</c:v>
                </c:pt>
                <c:pt idx="7">
                  <c:v>8.56</c:v>
                </c:pt>
                <c:pt idx="8">
                  <c:v>8.56</c:v>
                </c:pt>
                <c:pt idx="9">
                  <c:v>8.56</c:v>
                </c:pt>
                <c:pt idx="10">
                  <c:v>8.56</c:v>
                </c:pt>
                <c:pt idx="11">
                  <c:v>8.56</c:v>
                </c:pt>
                <c:pt idx="12">
                  <c:v>8.56</c:v>
                </c:pt>
                <c:pt idx="13">
                  <c:v>8.56</c:v>
                </c:pt>
                <c:pt idx="14">
                  <c:v>8.56</c:v>
                </c:pt>
                <c:pt idx="15">
                  <c:v>8.56</c:v>
                </c:pt>
                <c:pt idx="16">
                  <c:v>8.56</c:v>
                </c:pt>
                <c:pt idx="17">
                  <c:v>8.56</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Before pathological anatomy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CS.3. Before v. After'!$D$1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CS.3. Before v. After'!$C$2:$C$40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CS.3. Before v. After'!$D$2:$D$40</c:f>
              <c:numCache>
                <c:formatCode>General</c:formatCode>
                <c:ptCount val="39"/>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numCache>
            </c:numRef>
          </c:val>
          <c:smooth val="0"/>
          <c:extLst>
            <c:ext xmlns:c16="http://schemas.microsoft.com/office/drawing/2014/chart" uri="{C3380CC4-5D6E-409C-BE32-E72D297353CC}">
              <c16:uniqueId val="{00000000-A88A-4021-BDD0-BB15D024C917}"/>
            </c:ext>
          </c:extLst>
        </c:ser>
        <c:ser>
          <c:idx val="1"/>
          <c:order val="1"/>
          <c:tx>
            <c:strRef>
              <c:f>'Fig CS.3. Before v. After'!$E$1</c:f>
              <c:strCache>
                <c:ptCount val="1"/>
                <c:pt idx="0">
                  <c:v>Mean</c:v>
                </c:pt>
              </c:strCache>
            </c:strRef>
          </c:tx>
          <c:spPr>
            <a:ln w="28575" cap="rnd">
              <a:solidFill>
                <a:schemeClr val="tx1"/>
              </a:solidFill>
              <a:round/>
            </a:ln>
            <a:effectLst/>
          </c:spPr>
          <c:marker>
            <c:symbol val="none"/>
          </c:marker>
          <c:cat>
            <c:strRef>
              <c:f>'Fig CS.3. Before v. After'!$C$2:$C$40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CS.3. Before v. After'!$E$2:$E$40</c:f>
              <c:numCache>
                <c:formatCode>General</c:formatCode>
                <c:ptCount val="39"/>
                <c:pt idx="0">
                  <c:v>1.1599999999999999</c:v>
                </c:pt>
                <c:pt idx="1">
                  <c:v>1.1599999999999999</c:v>
                </c:pt>
                <c:pt idx="2">
                  <c:v>1.1599999999999999</c:v>
                </c:pt>
                <c:pt idx="3">
                  <c:v>1.1599999999999999</c:v>
                </c:pt>
                <c:pt idx="4">
                  <c:v>1.1599999999999999</c:v>
                </c:pt>
                <c:pt idx="5">
                  <c:v>1.1599999999999999</c:v>
                </c:pt>
                <c:pt idx="6">
                  <c:v>1.1599999999999999</c:v>
                </c:pt>
                <c:pt idx="7">
                  <c:v>1.1599999999999999</c:v>
                </c:pt>
                <c:pt idx="8">
                  <c:v>1.1599999999999999</c:v>
                </c:pt>
                <c:pt idx="9">
                  <c:v>1.1599999999999999</c:v>
                </c:pt>
                <c:pt idx="10">
                  <c:v>1.1599999999999999</c:v>
                </c:pt>
                <c:pt idx="11">
                  <c:v>1.1599999999999999</c:v>
                </c:pt>
                <c:pt idx="12">
                  <c:v>1.1599999999999999</c:v>
                </c:pt>
                <c:pt idx="13">
                  <c:v>1.1599999999999999</c:v>
                </c:pt>
                <c:pt idx="14">
                  <c:v>1.1599999999999999</c:v>
                </c:pt>
                <c:pt idx="15">
                  <c:v>1.1599999999999999</c:v>
                </c:pt>
                <c:pt idx="16">
                  <c:v>1.1599999999999999</c:v>
                </c:pt>
                <c:pt idx="17">
                  <c:v>1.1599999999999999</c:v>
                </c:pt>
                <c:pt idx="18">
                  <c:v>1.1599999999999999</c:v>
                </c:pt>
                <c:pt idx="19">
                  <c:v>1.1599999999999999</c:v>
                </c:pt>
                <c:pt idx="20">
                  <c:v>1.1599999999999999</c:v>
                </c:pt>
                <c:pt idx="21">
                  <c:v>1.1599999999999999</c:v>
                </c:pt>
                <c:pt idx="22">
                  <c:v>1.1599999999999999</c:v>
                </c:pt>
                <c:pt idx="23">
                  <c:v>1.1599999999999999</c:v>
                </c:pt>
                <c:pt idx="24">
                  <c:v>1.1599999999999999</c:v>
                </c:pt>
                <c:pt idx="25">
                  <c:v>1.1599999999999999</c:v>
                </c:pt>
                <c:pt idx="26">
                  <c:v>1.1599999999999999</c:v>
                </c:pt>
                <c:pt idx="27">
                  <c:v>1.1599999999999999</c:v>
                </c:pt>
                <c:pt idx="28">
                  <c:v>1.1599999999999999</c:v>
                </c:pt>
                <c:pt idx="29">
                  <c:v>1.1599999999999999</c:v>
                </c:pt>
                <c:pt idx="30">
                  <c:v>1.1599999999999999</c:v>
                </c:pt>
                <c:pt idx="31">
                  <c:v>1.1599999999999999</c:v>
                </c:pt>
                <c:pt idx="32">
                  <c:v>1.1599999999999999</c:v>
                </c:pt>
                <c:pt idx="33">
                  <c:v>1.1599999999999999</c:v>
                </c:pt>
                <c:pt idx="34">
                  <c:v>1.1599999999999999</c:v>
                </c:pt>
                <c:pt idx="35">
                  <c:v>1.1599999999999999</c:v>
                </c:pt>
                <c:pt idx="36">
                  <c:v>1.1599999999999999</c:v>
                </c:pt>
                <c:pt idx="37">
                  <c:v>1.1599999999999999</c:v>
                </c:pt>
                <c:pt idx="38">
                  <c:v>1.1599999999999999</c:v>
                </c:pt>
              </c:numCache>
            </c:numRef>
          </c:val>
          <c:smooth val="0"/>
          <c:extLst>
            <c:ext xmlns:c16="http://schemas.microsoft.com/office/drawing/2014/chart" uri="{C3380CC4-5D6E-409C-BE32-E72D297353CC}">
              <c16:uniqueId val="{00000001-A88A-4021-BDD0-BB15D024C917}"/>
            </c:ext>
          </c:extLst>
        </c:ser>
        <c:ser>
          <c:idx val="2"/>
          <c:order val="2"/>
          <c:tx>
            <c:strRef>
              <c:f>'Fig CS.3. Before v. After'!$F$1</c:f>
              <c:strCache>
                <c:ptCount val="1"/>
                <c:pt idx="0">
                  <c:v>UPL</c:v>
                </c:pt>
              </c:strCache>
            </c:strRef>
          </c:tx>
          <c:spPr>
            <a:ln w="28575" cap="rnd">
              <a:solidFill>
                <a:srgbClr val="D72323"/>
              </a:solidFill>
              <a:prstDash val="dash"/>
              <a:round/>
            </a:ln>
            <a:effectLst/>
          </c:spPr>
          <c:marker>
            <c:symbol val="none"/>
          </c:marker>
          <c:cat>
            <c:strRef>
              <c:f>'Fig CS.3. Before v. After'!$C$2:$C$40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CS.3. Before v. After'!$F$2:$F$40</c:f>
              <c:numCache>
                <c:formatCode>General</c:formatCode>
                <c:ptCount val="39"/>
                <c:pt idx="0">
                  <c:v>3.42</c:v>
                </c:pt>
                <c:pt idx="1">
                  <c:v>3.42</c:v>
                </c:pt>
                <c:pt idx="2">
                  <c:v>3.42</c:v>
                </c:pt>
                <c:pt idx="3">
                  <c:v>3.42</c:v>
                </c:pt>
                <c:pt idx="4">
                  <c:v>3.42</c:v>
                </c:pt>
                <c:pt idx="5">
                  <c:v>3.42</c:v>
                </c:pt>
                <c:pt idx="6">
                  <c:v>3.42</c:v>
                </c:pt>
                <c:pt idx="7">
                  <c:v>3.42</c:v>
                </c:pt>
                <c:pt idx="8">
                  <c:v>3.42</c:v>
                </c:pt>
                <c:pt idx="9">
                  <c:v>3.42</c:v>
                </c:pt>
                <c:pt idx="10">
                  <c:v>3.42</c:v>
                </c:pt>
                <c:pt idx="11">
                  <c:v>3.42</c:v>
                </c:pt>
                <c:pt idx="12">
                  <c:v>3.42</c:v>
                </c:pt>
                <c:pt idx="13">
                  <c:v>3.42</c:v>
                </c:pt>
                <c:pt idx="14">
                  <c:v>3.42</c:v>
                </c:pt>
                <c:pt idx="15">
                  <c:v>3.42</c:v>
                </c:pt>
                <c:pt idx="16">
                  <c:v>3.42</c:v>
                </c:pt>
                <c:pt idx="17">
                  <c:v>3.42</c:v>
                </c:pt>
                <c:pt idx="18">
                  <c:v>3.42</c:v>
                </c:pt>
                <c:pt idx="19">
                  <c:v>3.42</c:v>
                </c:pt>
                <c:pt idx="20">
                  <c:v>3.42</c:v>
                </c:pt>
                <c:pt idx="21">
                  <c:v>3.42</c:v>
                </c:pt>
                <c:pt idx="22">
                  <c:v>3.42</c:v>
                </c:pt>
                <c:pt idx="23">
                  <c:v>3.42</c:v>
                </c:pt>
                <c:pt idx="24">
                  <c:v>3.42</c:v>
                </c:pt>
                <c:pt idx="25">
                  <c:v>3.42</c:v>
                </c:pt>
                <c:pt idx="26">
                  <c:v>3.42</c:v>
                </c:pt>
                <c:pt idx="27">
                  <c:v>3.42</c:v>
                </c:pt>
                <c:pt idx="28">
                  <c:v>3.42</c:v>
                </c:pt>
                <c:pt idx="29">
                  <c:v>3.42</c:v>
                </c:pt>
                <c:pt idx="30">
                  <c:v>3.42</c:v>
                </c:pt>
                <c:pt idx="31">
                  <c:v>3.42</c:v>
                </c:pt>
                <c:pt idx="32">
                  <c:v>3.42</c:v>
                </c:pt>
                <c:pt idx="33">
                  <c:v>3.42</c:v>
                </c:pt>
                <c:pt idx="34">
                  <c:v>3.42</c:v>
                </c:pt>
                <c:pt idx="35">
                  <c:v>3.42</c:v>
                </c:pt>
                <c:pt idx="36">
                  <c:v>3.42</c:v>
                </c:pt>
                <c:pt idx="37">
                  <c:v>3.42</c:v>
                </c:pt>
                <c:pt idx="38">
                  <c:v>3.42</c:v>
                </c:pt>
              </c:numCache>
            </c:numRef>
          </c:val>
          <c:smooth val="0"/>
          <c:extLst>
            <c:ext xmlns:c16="http://schemas.microsoft.com/office/drawing/2014/chart" uri="{C3380CC4-5D6E-409C-BE32-E72D297353CC}">
              <c16:uniqueId val="{00000002-A88A-4021-BDD0-BB15D024C917}"/>
            </c:ext>
          </c:extLst>
        </c:ser>
        <c:ser>
          <c:idx val="3"/>
          <c:order val="3"/>
          <c:tx>
            <c:strRef>
              <c:f>'Fig CS.3. Before v. After'!$G$1</c:f>
              <c:strCache>
                <c:ptCount val="1"/>
                <c:pt idx="0">
                  <c:v>LPL</c:v>
                </c:pt>
              </c:strCache>
            </c:strRef>
          </c:tx>
          <c:spPr>
            <a:ln w="28575" cap="rnd">
              <a:solidFill>
                <a:srgbClr val="D72323"/>
              </a:solidFill>
              <a:prstDash val="dash"/>
              <a:round/>
            </a:ln>
            <a:effectLst/>
          </c:spPr>
          <c:marker>
            <c:symbol val="none"/>
          </c:marker>
          <c:cat>
            <c:strRef>
              <c:f>'Fig CS.3. Before v. After'!$C$2:$C$40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CS.3. Before v. After'!$G$2:$G$40</c:f>
              <c:numCache>
                <c:formatCode>General</c:formatCode>
                <c:ptCount val="3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numCache>
            </c:numRef>
          </c:val>
          <c:smooth val="0"/>
          <c:extLst>
            <c:ext xmlns:c16="http://schemas.microsoft.com/office/drawing/2014/chart" uri="{C3380CC4-5D6E-409C-BE32-E72D297353CC}">
              <c16:uniqueId val="{00000003-A88A-4021-BDD0-BB15D024C917}"/>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tickLblSkip val="3"/>
        <c:noMultiLvlLbl val="0"/>
      </c:catAx>
      <c:valAx>
        <c:axId val="2024057808"/>
        <c:scaling>
          <c:orientation val="minMax"/>
          <c:max val="14"/>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CS.3. Before v. After'!$H$1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CS.3. Before v. After'!$H$2:$H$40</c:f>
              <c:numCache>
                <c:formatCode>General</c:formatCode>
                <c:ptCount val="39"/>
                <c:pt idx="1">
                  <c:v>0.7</c:v>
                </c:pt>
                <c:pt idx="2">
                  <c:v>1</c:v>
                </c:pt>
                <c:pt idx="3">
                  <c:v>0</c:v>
                </c:pt>
                <c:pt idx="4">
                  <c:v>0</c:v>
                </c:pt>
                <c:pt idx="5">
                  <c:v>0.2</c:v>
                </c:pt>
                <c:pt idx="6">
                  <c:v>0.2</c:v>
                </c:pt>
                <c:pt idx="7">
                  <c:v>0.2</c:v>
                </c:pt>
                <c:pt idx="8">
                  <c:v>0.3</c:v>
                </c:pt>
                <c:pt idx="9">
                  <c:v>1.7</c:v>
                </c:pt>
                <c:pt idx="10">
                  <c:v>2.2000000000000002</c:v>
                </c:pt>
                <c:pt idx="11">
                  <c:v>1.7</c:v>
                </c:pt>
                <c:pt idx="12">
                  <c:v>0.9</c:v>
                </c:pt>
                <c:pt idx="13">
                  <c:v>1</c:v>
                </c:pt>
                <c:pt idx="14">
                  <c:v>0</c:v>
                </c:pt>
                <c:pt idx="15">
                  <c:v>0.8</c:v>
                </c:pt>
                <c:pt idx="16">
                  <c:v>1</c:v>
                </c:pt>
                <c:pt idx="17">
                  <c:v>1.2</c:v>
                </c:pt>
                <c:pt idx="18">
                  <c:v>0.4</c:v>
                </c:pt>
                <c:pt idx="19">
                  <c:v>0.3</c:v>
                </c:pt>
                <c:pt idx="20">
                  <c:v>0.3</c:v>
                </c:pt>
                <c:pt idx="21">
                  <c:v>0</c:v>
                </c:pt>
                <c:pt idx="22">
                  <c:v>0.3</c:v>
                </c:pt>
                <c:pt idx="23">
                  <c:v>0.1</c:v>
                </c:pt>
                <c:pt idx="24">
                  <c:v>0.2</c:v>
                </c:pt>
                <c:pt idx="25">
                  <c:v>0.6</c:v>
                </c:pt>
                <c:pt idx="26">
                  <c:v>0.6</c:v>
                </c:pt>
                <c:pt idx="27">
                  <c:v>1.1000000000000001</c:v>
                </c:pt>
                <c:pt idx="28">
                  <c:v>1.3</c:v>
                </c:pt>
                <c:pt idx="29">
                  <c:v>0.5</c:v>
                </c:pt>
                <c:pt idx="30">
                  <c:v>2.1</c:v>
                </c:pt>
                <c:pt idx="31">
                  <c:v>2.5</c:v>
                </c:pt>
                <c:pt idx="32">
                  <c:v>0.2</c:v>
                </c:pt>
                <c:pt idx="33">
                  <c:v>0.4</c:v>
                </c:pt>
                <c:pt idx="34">
                  <c:v>1.3</c:v>
                </c:pt>
                <c:pt idx="35">
                  <c:v>2.8</c:v>
                </c:pt>
                <c:pt idx="36">
                  <c:v>2.5</c:v>
                </c:pt>
                <c:pt idx="37">
                  <c:v>0.8</c:v>
                </c:pt>
                <c:pt idx="38">
                  <c:v>0.9</c:v>
                </c:pt>
              </c:numCache>
            </c:numRef>
          </c:val>
          <c:smooth val="0"/>
          <c:extLst>
            <c:ext xmlns:c16="http://schemas.microsoft.com/office/drawing/2014/chart" uri="{C3380CC4-5D6E-409C-BE32-E72D297353CC}">
              <c16:uniqueId val="{00000000-FF87-4A16-B41A-8BCF39D48D3A}"/>
            </c:ext>
          </c:extLst>
        </c:ser>
        <c:ser>
          <c:idx val="1"/>
          <c:order val="1"/>
          <c:tx>
            <c:strRef>
              <c:f>'Fig CS.3. Before v. After'!$I$1</c:f>
              <c:strCache>
                <c:ptCount val="1"/>
                <c:pt idx="0">
                  <c:v>Ave. mR</c:v>
                </c:pt>
              </c:strCache>
            </c:strRef>
          </c:tx>
          <c:spPr>
            <a:ln w="28575" cap="rnd">
              <a:solidFill>
                <a:schemeClr val="tx1"/>
              </a:solidFill>
              <a:round/>
            </a:ln>
            <a:effectLst/>
          </c:spPr>
          <c:marker>
            <c:symbol val="none"/>
          </c:marker>
          <c:val>
            <c:numRef>
              <c:f>'Fig CS.3. Before v. After'!$I$2:$I$40</c:f>
              <c:numCache>
                <c:formatCode>General</c:formatCode>
                <c:ptCount val="39"/>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pt idx="15">
                  <c:v>0.85</c:v>
                </c:pt>
                <c:pt idx="16">
                  <c:v>0.85</c:v>
                </c:pt>
                <c:pt idx="17">
                  <c:v>0.85</c:v>
                </c:pt>
                <c:pt idx="18">
                  <c:v>0.85</c:v>
                </c:pt>
                <c:pt idx="19">
                  <c:v>0.85</c:v>
                </c:pt>
                <c:pt idx="20">
                  <c:v>0.85</c:v>
                </c:pt>
                <c:pt idx="21">
                  <c:v>0.85</c:v>
                </c:pt>
                <c:pt idx="22">
                  <c:v>0.85</c:v>
                </c:pt>
                <c:pt idx="23">
                  <c:v>0.85</c:v>
                </c:pt>
                <c:pt idx="24">
                  <c:v>0.85</c:v>
                </c:pt>
                <c:pt idx="25">
                  <c:v>0.85</c:v>
                </c:pt>
                <c:pt idx="26">
                  <c:v>0.85</c:v>
                </c:pt>
                <c:pt idx="27">
                  <c:v>0.85</c:v>
                </c:pt>
                <c:pt idx="28">
                  <c:v>0.85</c:v>
                </c:pt>
                <c:pt idx="29">
                  <c:v>0.85</c:v>
                </c:pt>
                <c:pt idx="30">
                  <c:v>0.85</c:v>
                </c:pt>
                <c:pt idx="31">
                  <c:v>0.85</c:v>
                </c:pt>
                <c:pt idx="32">
                  <c:v>0.85</c:v>
                </c:pt>
                <c:pt idx="33">
                  <c:v>0.85</c:v>
                </c:pt>
                <c:pt idx="34">
                  <c:v>0.85</c:v>
                </c:pt>
                <c:pt idx="35">
                  <c:v>0.85</c:v>
                </c:pt>
                <c:pt idx="36">
                  <c:v>0.85</c:v>
                </c:pt>
                <c:pt idx="37">
                  <c:v>0.85</c:v>
                </c:pt>
                <c:pt idx="38">
                  <c:v>0.85</c:v>
                </c:pt>
              </c:numCache>
            </c:numRef>
          </c:val>
          <c:smooth val="0"/>
          <c:extLst>
            <c:ext xmlns:c16="http://schemas.microsoft.com/office/drawing/2014/chart" uri="{C3380CC4-5D6E-409C-BE32-E72D297353CC}">
              <c16:uniqueId val="{00000001-FF87-4A16-B41A-8BCF39D48D3A}"/>
            </c:ext>
          </c:extLst>
        </c:ser>
        <c:ser>
          <c:idx val="2"/>
          <c:order val="2"/>
          <c:tx>
            <c:strRef>
              <c:f>'Fig CS.3. Before v. After'!$J$1</c:f>
              <c:strCache>
                <c:ptCount val="1"/>
                <c:pt idx="0">
                  <c:v>URL</c:v>
                </c:pt>
              </c:strCache>
            </c:strRef>
          </c:tx>
          <c:spPr>
            <a:ln w="28575" cap="rnd">
              <a:solidFill>
                <a:srgbClr val="D72323"/>
              </a:solidFill>
              <a:prstDash val="dash"/>
              <a:round/>
            </a:ln>
            <a:effectLst/>
          </c:spPr>
          <c:marker>
            <c:symbol val="none"/>
          </c:marker>
          <c:val>
            <c:numRef>
              <c:f>'Fig CS.3. Before v. After'!$J$2:$J$40</c:f>
              <c:numCache>
                <c:formatCode>General</c:formatCode>
                <c:ptCount val="39"/>
                <c:pt idx="0">
                  <c:v>2.8</c:v>
                </c:pt>
                <c:pt idx="1">
                  <c:v>2.8</c:v>
                </c:pt>
                <c:pt idx="2">
                  <c:v>2.8</c:v>
                </c:pt>
                <c:pt idx="3">
                  <c:v>2.8</c:v>
                </c:pt>
                <c:pt idx="4">
                  <c:v>2.8</c:v>
                </c:pt>
                <c:pt idx="5">
                  <c:v>2.8</c:v>
                </c:pt>
                <c:pt idx="6">
                  <c:v>2.8</c:v>
                </c:pt>
                <c:pt idx="7">
                  <c:v>2.8</c:v>
                </c:pt>
                <c:pt idx="8">
                  <c:v>2.8</c:v>
                </c:pt>
                <c:pt idx="9">
                  <c:v>2.8</c:v>
                </c:pt>
                <c:pt idx="10">
                  <c:v>2.8</c:v>
                </c:pt>
                <c:pt idx="11">
                  <c:v>2.8</c:v>
                </c:pt>
                <c:pt idx="12">
                  <c:v>2.8</c:v>
                </c:pt>
                <c:pt idx="13">
                  <c:v>2.8</c:v>
                </c:pt>
                <c:pt idx="14">
                  <c:v>2.8</c:v>
                </c:pt>
                <c:pt idx="15">
                  <c:v>2.8</c:v>
                </c:pt>
                <c:pt idx="16">
                  <c:v>2.8</c:v>
                </c:pt>
                <c:pt idx="17">
                  <c:v>2.8</c:v>
                </c:pt>
                <c:pt idx="18">
                  <c:v>2.8</c:v>
                </c:pt>
                <c:pt idx="19">
                  <c:v>2.8</c:v>
                </c:pt>
                <c:pt idx="20">
                  <c:v>2.8</c:v>
                </c:pt>
                <c:pt idx="21">
                  <c:v>2.8</c:v>
                </c:pt>
                <c:pt idx="22">
                  <c:v>2.8</c:v>
                </c:pt>
                <c:pt idx="23">
                  <c:v>2.8</c:v>
                </c:pt>
                <c:pt idx="24">
                  <c:v>2.8</c:v>
                </c:pt>
                <c:pt idx="25">
                  <c:v>2.8</c:v>
                </c:pt>
                <c:pt idx="26">
                  <c:v>2.8</c:v>
                </c:pt>
                <c:pt idx="27">
                  <c:v>2.8</c:v>
                </c:pt>
                <c:pt idx="28">
                  <c:v>2.8</c:v>
                </c:pt>
                <c:pt idx="29">
                  <c:v>2.8</c:v>
                </c:pt>
                <c:pt idx="30">
                  <c:v>2.8</c:v>
                </c:pt>
                <c:pt idx="31">
                  <c:v>2.8</c:v>
                </c:pt>
                <c:pt idx="32">
                  <c:v>2.8</c:v>
                </c:pt>
                <c:pt idx="33">
                  <c:v>2.8</c:v>
                </c:pt>
                <c:pt idx="34">
                  <c:v>2.8</c:v>
                </c:pt>
                <c:pt idx="35">
                  <c:v>2.8</c:v>
                </c:pt>
                <c:pt idx="36">
                  <c:v>2.8</c:v>
                </c:pt>
                <c:pt idx="37">
                  <c:v>2.8</c:v>
                </c:pt>
                <c:pt idx="38">
                  <c:v>2.8</c:v>
                </c:pt>
              </c:numCache>
            </c:numRef>
          </c:val>
          <c:smooth val="0"/>
          <c:extLst>
            <c:ext xmlns:c16="http://schemas.microsoft.com/office/drawing/2014/chart" uri="{C3380CC4-5D6E-409C-BE32-E72D297353CC}">
              <c16:uniqueId val="{00000002-FF87-4A16-B41A-8BCF39D48D3A}"/>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9"/>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After pathological anatomy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CS.3. Before v. After'!$D$42</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CS.3. Before v. After'!$C$43:$C$60</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CS.3. Before v. After'!$D$43:$D$60</c:f>
              <c:numCache>
                <c:formatCode>General</c:formatCode>
                <c:ptCount val="18"/>
                <c:pt idx="0">
                  <c:v>7.5</c:v>
                </c:pt>
                <c:pt idx="1">
                  <c:v>4.9000000000000004</c:v>
                </c:pt>
                <c:pt idx="2">
                  <c:v>8.8000000000000007</c:v>
                </c:pt>
                <c:pt idx="3">
                  <c:v>8.1</c:v>
                </c:pt>
                <c:pt idx="4">
                  <c:v>2.2000000000000002</c:v>
                </c:pt>
                <c:pt idx="5">
                  <c:v>3.6</c:v>
                </c:pt>
                <c:pt idx="6">
                  <c:v>4.5999999999999996</c:v>
                </c:pt>
                <c:pt idx="7">
                  <c:v>4</c:v>
                </c:pt>
                <c:pt idx="8">
                  <c:v>6.6</c:v>
                </c:pt>
                <c:pt idx="9">
                  <c:v>3.2</c:v>
                </c:pt>
                <c:pt idx="10">
                  <c:v>5.3</c:v>
                </c:pt>
                <c:pt idx="11">
                  <c:v>7.7</c:v>
                </c:pt>
                <c:pt idx="12">
                  <c:v>5.6</c:v>
                </c:pt>
                <c:pt idx="13">
                  <c:v>7.5</c:v>
                </c:pt>
                <c:pt idx="14">
                  <c:v>9.1</c:v>
                </c:pt>
                <c:pt idx="15">
                  <c:v>3</c:v>
                </c:pt>
                <c:pt idx="16">
                  <c:v>5.4</c:v>
                </c:pt>
                <c:pt idx="17">
                  <c:v>9.1999999999999993</c:v>
                </c:pt>
              </c:numCache>
            </c:numRef>
          </c:val>
          <c:smooth val="0"/>
          <c:extLst>
            <c:ext xmlns:c16="http://schemas.microsoft.com/office/drawing/2014/chart" uri="{C3380CC4-5D6E-409C-BE32-E72D297353CC}">
              <c16:uniqueId val="{00000000-329B-41D6-8340-43856FD2F6C5}"/>
            </c:ext>
          </c:extLst>
        </c:ser>
        <c:ser>
          <c:idx val="1"/>
          <c:order val="1"/>
          <c:tx>
            <c:strRef>
              <c:f>'Fig CS.3. Before v. After'!$E$42</c:f>
              <c:strCache>
                <c:ptCount val="1"/>
                <c:pt idx="0">
                  <c:v>Mean</c:v>
                </c:pt>
              </c:strCache>
            </c:strRef>
          </c:tx>
          <c:spPr>
            <a:ln w="28575" cap="rnd">
              <a:solidFill>
                <a:schemeClr val="tx1"/>
              </a:solidFill>
              <a:round/>
            </a:ln>
            <a:effectLst/>
          </c:spPr>
          <c:marker>
            <c:symbol val="none"/>
          </c:marker>
          <c:cat>
            <c:strRef>
              <c:f>'Fig CS.3. Before v. After'!$C$43:$C$60</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CS.3. Before v. After'!$E$43:$E$60</c:f>
              <c:numCache>
                <c:formatCode>#,##0.00</c:formatCode>
                <c:ptCount val="18"/>
                <c:pt idx="0">
                  <c:v>5.91</c:v>
                </c:pt>
                <c:pt idx="1">
                  <c:v>5.91</c:v>
                </c:pt>
                <c:pt idx="2">
                  <c:v>5.91</c:v>
                </c:pt>
                <c:pt idx="3">
                  <c:v>5.91</c:v>
                </c:pt>
                <c:pt idx="4">
                  <c:v>5.91</c:v>
                </c:pt>
                <c:pt idx="5">
                  <c:v>5.91</c:v>
                </c:pt>
                <c:pt idx="6">
                  <c:v>5.91</c:v>
                </c:pt>
                <c:pt idx="7">
                  <c:v>5.91</c:v>
                </c:pt>
                <c:pt idx="8">
                  <c:v>5.91</c:v>
                </c:pt>
                <c:pt idx="9">
                  <c:v>5.91</c:v>
                </c:pt>
                <c:pt idx="10">
                  <c:v>5.91</c:v>
                </c:pt>
                <c:pt idx="11">
                  <c:v>5.91</c:v>
                </c:pt>
                <c:pt idx="12">
                  <c:v>5.91</c:v>
                </c:pt>
                <c:pt idx="13">
                  <c:v>5.91</c:v>
                </c:pt>
                <c:pt idx="14">
                  <c:v>5.91</c:v>
                </c:pt>
                <c:pt idx="15">
                  <c:v>5.91</c:v>
                </c:pt>
                <c:pt idx="16">
                  <c:v>5.91</c:v>
                </c:pt>
                <c:pt idx="17">
                  <c:v>5.91</c:v>
                </c:pt>
              </c:numCache>
            </c:numRef>
          </c:val>
          <c:smooth val="0"/>
          <c:extLst>
            <c:ext xmlns:c16="http://schemas.microsoft.com/office/drawing/2014/chart" uri="{C3380CC4-5D6E-409C-BE32-E72D297353CC}">
              <c16:uniqueId val="{00000001-329B-41D6-8340-43856FD2F6C5}"/>
            </c:ext>
          </c:extLst>
        </c:ser>
        <c:ser>
          <c:idx val="2"/>
          <c:order val="2"/>
          <c:tx>
            <c:strRef>
              <c:f>'Fig CS.3. Before v. After'!$F$42</c:f>
              <c:strCache>
                <c:ptCount val="1"/>
                <c:pt idx="0">
                  <c:v>UPL</c:v>
                </c:pt>
              </c:strCache>
            </c:strRef>
          </c:tx>
          <c:spPr>
            <a:ln w="28575" cap="rnd">
              <a:solidFill>
                <a:srgbClr val="D72323"/>
              </a:solidFill>
              <a:prstDash val="dash"/>
              <a:round/>
            </a:ln>
            <a:effectLst/>
          </c:spPr>
          <c:marker>
            <c:symbol val="none"/>
          </c:marker>
          <c:cat>
            <c:strRef>
              <c:f>'Fig CS.3. Before v. After'!$C$43:$C$60</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CS.3. Before v. After'!$F$43:$F$60</c:f>
              <c:numCache>
                <c:formatCode>#,##0.00</c:formatCode>
                <c:ptCount val="18"/>
                <c:pt idx="0">
                  <c:v>12.88</c:v>
                </c:pt>
                <c:pt idx="1">
                  <c:v>12.88</c:v>
                </c:pt>
                <c:pt idx="2">
                  <c:v>12.88</c:v>
                </c:pt>
                <c:pt idx="3">
                  <c:v>12.88</c:v>
                </c:pt>
                <c:pt idx="4">
                  <c:v>12.88</c:v>
                </c:pt>
                <c:pt idx="5">
                  <c:v>12.88</c:v>
                </c:pt>
                <c:pt idx="6">
                  <c:v>12.88</c:v>
                </c:pt>
                <c:pt idx="7">
                  <c:v>12.88</c:v>
                </c:pt>
                <c:pt idx="8">
                  <c:v>12.88</c:v>
                </c:pt>
                <c:pt idx="9">
                  <c:v>12.88</c:v>
                </c:pt>
                <c:pt idx="10">
                  <c:v>12.88</c:v>
                </c:pt>
                <c:pt idx="11">
                  <c:v>12.88</c:v>
                </c:pt>
                <c:pt idx="12">
                  <c:v>12.88</c:v>
                </c:pt>
                <c:pt idx="13">
                  <c:v>12.88</c:v>
                </c:pt>
                <c:pt idx="14">
                  <c:v>12.88</c:v>
                </c:pt>
                <c:pt idx="15">
                  <c:v>12.88</c:v>
                </c:pt>
                <c:pt idx="16">
                  <c:v>12.88</c:v>
                </c:pt>
                <c:pt idx="17">
                  <c:v>12.88</c:v>
                </c:pt>
              </c:numCache>
            </c:numRef>
          </c:val>
          <c:smooth val="0"/>
          <c:extLst>
            <c:ext xmlns:c16="http://schemas.microsoft.com/office/drawing/2014/chart" uri="{C3380CC4-5D6E-409C-BE32-E72D297353CC}">
              <c16:uniqueId val="{00000002-329B-41D6-8340-43856FD2F6C5}"/>
            </c:ext>
          </c:extLst>
        </c:ser>
        <c:ser>
          <c:idx val="3"/>
          <c:order val="3"/>
          <c:tx>
            <c:strRef>
              <c:f>'Fig CS.3. Before v. After'!$G$42</c:f>
              <c:strCache>
                <c:ptCount val="1"/>
                <c:pt idx="0">
                  <c:v>LPL</c:v>
                </c:pt>
              </c:strCache>
            </c:strRef>
          </c:tx>
          <c:spPr>
            <a:ln w="28575" cap="rnd">
              <a:solidFill>
                <a:srgbClr val="D72323"/>
              </a:solidFill>
              <a:prstDash val="dash"/>
              <a:round/>
            </a:ln>
            <a:effectLst/>
          </c:spPr>
          <c:marker>
            <c:symbol val="none"/>
          </c:marker>
          <c:cat>
            <c:strRef>
              <c:f>'Fig CS.3. Before v. After'!$C$43:$C$60</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CS.3. Before v. After'!$G$43:$G$60</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CS.3. Before v. After'!$H$42</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CS.3. Before v. After'!$H$43:$H$60</c:f>
              <c:numCache>
                <c:formatCode>0.0</c:formatCode>
                <c:ptCount val="18"/>
                <c:pt idx="1">
                  <c:v>2.6</c:v>
                </c:pt>
                <c:pt idx="2">
                  <c:v>3.9</c:v>
                </c:pt>
                <c:pt idx="3">
                  <c:v>0.7</c:v>
                </c:pt>
                <c:pt idx="4">
                  <c:v>5.9</c:v>
                </c:pt>
                <c:pt idx="5">
                  <c:v>1.4</c:v>
                </c:pt>
                <c:pt idx="6">
                  <c:v>1</c:v>
                </c:pt>
                <c:pt idx="7">
                  <c:v>0.6</c:v>
                </c:pt>
                <c:pt idx="8">
                  <c:v>2.6</c:v>
                </c:pt>
                <c:pt idx="9">
                  <c:v>3.4</c:v>
                </c:pt>
                <c:pt idx="10">
                  <c:v>2.1</c:v>
                </c:pt>
                <c:pt idx="11">
                  <c:v>2.4</c:v>
                </c:pt>
                <c:pt idx="12">
                  <c:v>2.1</c:v>
                </c:pt>
                <c:pt idx="13">
                  <c:v>1.9</c:v>
                </c:pt>
                <c:pt idx="14">
                  <c:v>1.6</c:v>
                </c:pt>
                <c:pt idx="15">
                  <c:v>6.1</c:v>
                </c:pt>
                <c:pt idx="16">
                  <c:v>2.4</c:v>
                </c:pt>
                <c:pt idx="17">
                  <c:v>3.8</c:v>
                </c:pt>
              </c:numCache>
            </c:numRef>
          </c:val>
          <c:smooth val="0"/>
          <c:extLst>
            <c:ext xmlns:c16="http://schemas.microsoft.com/office/drawing/2014/chart" uri="{C3380CC4-5D6E-409C-BE32-E72D297353CC}">
              <c16:uniqueId val="{00000000-5D18-47FA-93F7-2AB89D044415}"/>
            </c:ext>
          </c:extLst>
        </c:ser>
        <c:ser>
          <c:idx val="1"/>
          <c:order val="1"/>
          <c:tx>
            <c:strRef>
              <c:f>'Fig CS.3. Before v. After'!$I$42</c:f>
              <c:strCache>
                <c:ptCount val="1"/>
                <c:pt idx="0">
                  <c:v>Ave. mR</c:v>
                </c:pt>
              </c:strCache>
            </c:strRef>
          </c:tx>
          <c:spPr>
            <a:ln w="28575" cap="rnd">
              <a:solidFill>
                <a:schemeClr val="tx1"/>
              </a:solidFill>
              <a:round/>
            </a:ln>
            <a:effectLst/>
          </c:spPr>
          <c:marker>
            <c:symbol val="none"/>
          </c:marker>
          <c:val>
            <c:numRef>
              <c:f>'Fig CS.3. Before v. After'!$I$43:$I$60</c:f>
              <c:numCache>
                <c:formatCode>0.00</c:formatCode>
                <c:ptCount val="18"/>
                <c:pt idx="0">
                  <c:v>2.62</c:v>
                </c:pt>
                <c:pt idx="1">
                  <c:v>2.62</c:v>
                </c:pt>
                <c:pt idx="2">
                  <c:v>2.62</c:v>
                </c:pt>
                <c:pt idx="3">
                  <c:v>2.62</c:v>
                </c:pt>
                <c:pt idx="4">
                  <c:v>2.62</c:v>
                </c:pt>
                <c:pt idx="5">
                  <c:v>2.62</c:v>
                </c:pt>
                <c:pt idx="6">
                  <c:v>2.62</c:v>
                </c:pt>
                <c:pt idx="7">
                  <c:v>2.62</c:v>
                </c:pt>
                <c:pt idx="8">
                  <c:v>2.62</c:v>
                </c:pt>
                <c:pt idx="9">
                  <c:v>2.62</c:v>
                </c:pt>
                <c:pt idx="10">
                  <c:v>2.62</c:v>
                </c:pt>
                <c:pt idx="11">
                  <c:v>2.62</c:v>
                </c:pt>
                <c:pt idx="12">
                  <c:v>2.62</c:v>
                </c:pt>
                <c:pt idx="13">
                  <c:v>2.62</c:v>
                </c:pt>
                <c:pt idx="14">
                  <c:v>2.62</c:v>
                </c:pt>
                <c:pt idx="15">
                  <c:v>2.62</c:v>
                </c:pt>
                <c:pt idx="16">
                  <c:v>2.62</c:v>
                </c:pt>
                <c:pt idx="17">
                  <c:v>2.62</c:v>
                </c:pt>
              </c:numCache>
            </c:numRef>
          </c:val>
          <c:smooth val="0"/>
          <c:extLst>
            <c:ext xmlns:c16="http://schemas.microsoft.com/office/drawing/2014/chart" uri="{C3380CC4-5D6E-409C-BE32-E72D297353CC}">
              <c16:uniqueId val="{00000001-5D18-47FA-93F7-2AB89D044415}"/>
            </c:ext>
          </c:extLst>
        </c:ser>
        <c:ser>
          <c:idx val="2"/>
          <c:order val="2"/>
          <c:tx>
            <c:strRef>
              <c:f>'Fig CS.3. Before v. After'!$J$42</c:f>
              <c:strCache>
                <c:ptCount val="1"/>
                <c:pt idx="0">
                  <c:v>URL</c:v>
                </c:pt>
              </c:strCache>
            </c:strRef>
          </c:tx>
          <c:spPr>
            <a:ln w="28575" cap="rnd">
              <a:solidFill>
                <a:srgbClr val="D72323"/>
              </a:solidFill>
              <a:prstDash val="dash"/>
              <a:round/>
            </a:ln>
            <a:effectLst/>
          </c:spPr>
          <c:marker>
            <c:symbol val="none"/>
          </c:marker>
          <c:val>
            <c:numRef>
              <c:f>'Fig CS.3. Before v. After'!$J$43:$J$60</c:f>
              <c:numCache>
                <c:formatCode>General</c:formatCode>
                <c:ptCount val="18"/>
                <c:pt idx="0">
                  <c:v>8.56</c:v>
                </c:pt>
                <c:pt idx="1">
                  <c:v>8.56</c:v>
                </c:pt>
                <c:pt idx="2">
                  <c:v>8.56</c:v>
                </c:pt>
                <c:pt idx="3">
                  <c:v>8.56</c:v>
                </c:pt>
                <c:pt idx="4">
                  <c:v>8.56</c:v>
                </c:pt>
                <c:pt idx="5">
                  <c:v>8.56</c:v>
                </c:pt>
                <c:pt idx="6">
                  <c:v>8.56</c:v>
                </c:pt>
                <c:pt idx="7">
                  <c:v>8.56</c:v>
                </c:pt>
                <c:pt idx="8">
                  <c:v>8.56</c:v>
                </c:pt>
                <c:pt idx="9">
                  <c:v>8.56</c:v>
                </c:pt>
                <c:pt idx="10">
                  <c:v>8.56</c:v>
                </c:pt>
                <c:pt idx="11">
                  <c:v>8.56</c:v>
                </c:pt>
                <c:pt idx="12">
                  <c:v>8.56</c:v>
                </c:pt>
                <c:pt idx="13">
                  <c:v>8.56</c:v>
                </c:pt>
                <c:pt idx="14">
                  <c:v>8.56</c:v>
                </c:pt>
                <c:pt idx="15">
                  <c:v>8.56</c:v>
                </c:pt>
                <c:pt idx="16">
                  <c:v>8.56</c:v>
                </c:pt>
                <c:pt idx="17">
                  <c:v>8.56</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96520</xdr:rowOff>
    </xdr:to>
    <xdr:pic>
      <xdr:nvPicPr>
        <xdr:cNvPr id="3" name="image1.jpg">
          <a:extLst>
            <a:ext uri="{FF2B5EF4-FFF2-40B4-BE49-F238E27FC236}">
              <a16:creationId xmlns:a16="http://schemas.microsoft.com/office/drawing/2014/main" id="{68D4E094-B271-41D8-BD90-4B09C8E89B79}"/>
            </a:ext>
          </a:extLst>
        </xdr:cNvPr>
        <xdr:cNvPicPr preferRelativeResize="0"/>
      </xdr:nvPicPr>
      <xdr:blipFill>
        <a:blip xmlns:r="http://schemas.openxmlformats.org/officeDocument/2006/relationships" r:embed="rId1" cstate="print"/>
        <a:stretch>
          <a:fillRect/>
        </a:stretch>
      </xdr:blipFill>
      <xdr:spPr>
        <a:xfrm>
          <a:off x="6162675" y="200025"/>
          <a:ext cx="2636308" cy="40970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864869</xdr:colOff>
      <xdr:row>0</xdr:row>
      <xdr:rowOff>0</xdr:rowOff>
    </xdr:from>
    <xdr:to>
      <xdr:col>17</xdr:col>
      <xdr:colOff>864869</xdr:colOff>
      <xdr:row>14</xdr:row>
      <xdr:rowOff>0</xdr:rowOff>
    </xdr:to>
    <xdr:graphicFrame macro="">
      <xdr:nvGraphicFramePr>
        <xdr:cNvPr id="2" name="Chart 1">
          <a:extLst>
            <a:ext uri="{FF2B5EF4-FFF2-40B4-BE49-F238E27FC236}">
              <a16:creationId xmlns:a16="http://schemas.microsoft.com/office/drawing/2014/main" id="{A8D87394-5C14-9185-405A-9E1C3A0A8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0</xdr:rowOff>
    </xdr:from>
    <xdr:to>
      <xdr:col>18</xdr:col>
      <xdr:colOff>0</xdr:colOff>
      <xdr:row>28</xdr:row>
      <xdr:rowOff>0</xdr:rowOff>
    </xdr:to>
    <xdr:graphicFrame macro="">
      <xdr:nvGraphicFramePr>
        <xdr:cNvPr id="3" name="Chart 2">
          <a:extLst>
            <a:ext uri="{FF2B5EF4-FFF2-40B4-BE49-F238E27FC236}">
              <a16:creationId xmlns:a16="http://schemas.microsoft.com/office/drawing/2014/main" id="{835398E0-3794-DF7B-5BAA-4BCDAA29D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0</xdr:row>
      <xdr:rowOff>0</xdr:rowOff>
    </xdr:from>
    <xdr:to>
      <xdr:col>19</xdr:col>
      <xdr:colOff>0</xdr:colOff>
      <xdr:row>14</xdr:row>
      <xdr:rowOff>0</xdr:rowOff>
    </xdr:to>
    <xdr:graphicFrame macro="">
      <xdr:nvGraphicFramePr>
        <xdr:cNvPr id="3" name="Chart 2">
          <a:extLst>
            <a:ext uri="{FF2B5EF4-FFF2-40B4-BE49-F238E27FC236}">
              <a16:creationId xmlns:a16="http://schemas.microsoft.com/office/drawing/2014/main" id="{B1984D13-4FF4-804D-7645-E00ED5423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0</xdr:rowOff>
    </xdr:from>
    <xdr:to>
      <xdr:col>19</xdr:col>
      <xdr:colOff>0</xdr:colOff>
      <xdr:row>27</xdr:row>
      <xdr:rowOff>0</xdr:rowOff>
    </xdr:to>
    <xdr:graphicFrame macro="">
      <xdr:nvGraphicFramePr>
        <xdr:cNvPr id="4" name="Chart 3">
          <a:extLst>
            <a:ext uri="{FF2B5EF4-FFF2-40B4-BE49-F238E27FC236}">
              <a16:creationId xmlns:a16="http://schemas.microsoft.com/office/drawing/2014/main" id="{152BE164-917D-9036-969A-0A5B87CE2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857249</xdr:colOff>
      <xdr:row>1</xdr:row>
      <xdr:rowOff>0</xdr:rowOff>
    </xdr:from>
    <xdr:to>
      <xdr:col>18</xdr:col>
      <xdr:colOff>0</xdr:colOff>
      <xdr:row>15</xdr:row>
      <xdr:rowOff>0</xdr:rowOff>
    </xdr:to>
    <xdr:graphicFrame macro="">
      <xdr:nvGraphicFramePr>
        <xdr:cNvPr id="2" name="Chart 1">
          <a:extLst>
            <a:ext uri="{FF2B5EF4-FFF2-40B4-BE49-F238E27FC236}">
              <a16:creationId xmlns:a16="http://schemas.microsoft.com/office/drawing/2014/main" id="{33374F13-6A8C-4FB7-88F7-0EA5AF9F3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18</xdr:col>
      <xdr:colOff>0</xdr:colOff>
      <xdr:row>29</xdr:row>
      <xdr:rowOff>0</xdr:rowOff>
    </xdr:to>
    <xdr:graphicFrame macro="">
      <xdr:nvGraphicFramePr>
        <xdr:cNvPr id="3" name="Chart 2">
          <a:extLst>
            <a:ext uri="{FF2B5EF4-FFF2-40B4-BE49-F238E27FC236}">
              <a16:creationId xmlns:a16="http://schemas.microsoft.com/office/drawing/2014/main" id="{8912FF77-C0B8-4A04-9253-7B7FC1BAF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xdr:row>
      <xdr:rowOff>0</xdr:rowOff>
    </xdr:from>
    <xdr:to>
      <xdr:col>25</xdr:col>
      <xdr:colOff>0</xdr:colOff>
      <xdr:row>15</xdr:row>
      <xdr:rowOff>0</xdr:rowOff>
    </xdr:to>
    <xdr:graphicFrame macro="">
      <xdr:nvGraphicFramePr>
        <xdr:cNvPr id="4" name="Chart 3">
          <a:extLst>
            <a:ext uri="{FF2B5EF4-FFF2-40B4-BE49-F238E27FC236}">
              <a16:creationId xmlns:a16="http://schemas.microsoft.com/office/drawing/2014/main" id="{4AB9FAFA-2E8F-8787-71F4-596A56FE6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15</xdr:row>
      <xdr:rowOff>0</xdr:rowOff>
    </xdr:from>
    <xdr:to>
      <xdr:col>25</xdr:col>
      <xdr:colOff>0</xdr:colOff>
      <xdr:row>29</xdr:row>
      <xdr:rowOff>0</xdr:rowOff>
    </xdr:to>
    <xdr:graphicFrame macro="">
      <xdr:nvGraphicFramePr>
        <xdr:cNvPr id="5" name="Chart 4">
          <a:extLst>
            <a:ext uri="{FF2B5EF4-FFF2-40B4-BE49-F238E27FC236}">
              <a16:creationId xmlns:a16="http://schemas.microsoft.com/office/drawing/2014/main" id="{D0AAA8F6-3843-8BE9-049F-EEDD36729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75CCCF-DF04-42FA-AC0D-8392A0172454}"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3454764-2907-4D01-A4C2-EF2CFC04367A}"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7E79B76E-2414-4737-B62E-B11F0C8E6278}"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F415AA42-CCAD-4B2D-A20B-EEC88A003EA9}"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E1F4902A-F8E8-4ADF-98EE-5D2EBF535DB1}" autoFormatId="16" applyNumberFormats="0" applyBorderFormats="0" applyFontFormats="0" applyPatternFormats="0" applyAlignmentFormats="0" applyWidthHeightFormats="0">
  <queryTableRefresh nextId="8">
    <queryTableFields count="7">
      <queryTableField id="1" name="Hospital" tableColumnId="1"/>
      <queryTableField id="2" name="Stage" tableColumnId="2"/>
      <queryTableField id="3" name="Year" tableColumnId="3"/>
      <queryTableField id="4" name="Births" tableColumnId="4"/>
      <queryTableField id="5" name="Deaths" tableColumnId="5"/>
      <queryTableField id="6" name="Rate" tableColumnId="6"/>
      <queryTableField id="7" name="Note"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DD72F9-CD99-40E8-911B-2A8C1F0377AB}" name="pathological_anatomy_death_to_birth_rates" displayName="pathological_anatomy_death_to_birth_rates" ref="A1:J40" tableType="queryTable" totalsRowShown="0">
  <autoFilter ref="A1:J40" xr:uid="{99DD72F9-CD99-40E8-911B-2A8C1F0377AB}"/>
  <tableColumns count="10">
    <tableColumn id="1" xr3:uid="{79A6F968-49AB-4091-9404-5100966660EB}" uniqueName="1" name="Hospital" queryTableFieldId="1" dataDxfId="39"/>
    <tableColumn id="2" xr3:uid="{1147C9EE-794D-4EC4-8390-9842C6BE52BD}" uniqueName="2" name="Stage" queryTableFieldId="2" dataDxfId="38"/>
    <tableColumn id="3" xr3:uid="{09BED0C5-7E9D-468A-9384-FF432BBDBA47}" uniqueName="3" name="Year" queryTableFieldId="3" dataDxfId="37"/>
    <tableColumn id="4" xr3:uid="{C57ABC65-5E38-4261-AAA0-1F10C62D0A14}" uniqueName="4" name="Rate" queryTableFieldId="4"/>
    <tableColumn id="5" xr3:uid="{5F2439D8-91E7-43E1-9A80-7E8E58E3C087}" uniqueName="5" name="Mean" queryTableFieldId="5" dataDxfId="36">
      <calculatedColumnFormula>ROUND(AVERAGE($D$2:$D$40),2)</calculatedColumnFormula>
    </tableColumn>
    <tableColumn id="6" xr3:uid="{E8661EB0-89E8-4CC1-AE88-6CA1C8C546EB}" uniqueName="6" name="UPL" queryTableFieldId="6" dataDxfId="35">
      <calculatedColumnFormula>ROUND(E2+(2.66*I2),2)</calculatedColumnFormula>
    </tableColumn>
    <tableColumn id="7" xr3:uid="{1C82C99D-0421-46EF-A632-7EF20BAF6926}" uniqueName="7" name="LPL" queryTableFieldId="7" dataDxfId="34">
      <calculatedColumnFormula>ROUND(MAX(0,E2-(2.66*I2)),2)</calculatedColumnFormula>
    </tableColumn>
    <tableColumn id="8" xr3:uid="{A674F05A-845F-4673-9838-C77BDA34FE5E}" uniqueName="8" name="mR" queryTableFieldId="8" dataDxfId="33">
      <calculatedColumnFormula>ROUND(ABS(D1-D2),1)</calculatedColumnFormula>
    </tableColumn>
    <tableColumn id="9" xr3:uid="{485789BE-CE7A-456F-A876-0096FF8A4A5B}" uniqueName="9" name="Ave. mR" queryTableFieldId="9" dataDxfId="32">
      <calculatedColumnFormula>ROUND(AVERAGE($H$3:$H$40),2)</calculatedColumnFormula>
    </tableColumn>
    <tableColumn id="10" xr3:uid="{69A45C68-A9D5-4004-B23E-C2096EE79E23}" uniqueName="10" name="URL" queryTableFieldId="10" dataDxfId="31">
      <calculatedColumnFormula>ROUND(3.268*I2,1)</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6BFA25-1ACB-42DC-8619-EA9992D18F60}" name="pathological_anatomy_death_to_birth_rates__2" displayName="pathological_anatomy_death_to_birth_rates__2" ref="A1:J19" tableType="queryTable" totalsRowShown="0" headerRowDxfId="30">
  <autoFilter ref="A1:J19" xr:uid="{776BFA25-1ACB-42DC-8619-EA9992D18F60}"/>
  <tableColumns count="10">
    <tableColumn id="1" xr3:uid="{4BC870E4-72E1-499C-9DF9-86E45119F128}" uniqueName="1" name="Hospital" queryTableFieldId="1" dataDxfId="29"/>
    <tableColumn id="2" xr3:uid="{7C2BBE62-0ECD-4D8C-BCFA-FBD08DEBA385}" uniqueName="2" name="Stage" queryTableFieldId="2" dataDxfId="28"/>
    <tableColumn id="3" xr3:uid="{748AF239-14AA-4169-A077-55255EAE9B39}" uniqueName="3" name="Year" queryTableFieldId="3" dataDxfId="27"/>
    <tableColumn id="4" xr3:uid="{66192D5F-5B72-4E2C-82A3-2102CE5D9315}" uniqueName="4" name="Rate" queryTableFieldId="4"/>
    <tableColumn id="5" xr3:uid="{1604B041-C0BA-43A1-A7DA-3A438A158605}" uniqueName="5" name="Mean" queryTableFieldId="5" dataDxfId="26">
      <calculatedColumnFormula>ROUND(AVERAGE($D$2:$D$19),2)</calculatedColumnFormula>
    </tableColumn>
    <tableColumn id="6" xr3:uid="{BFA1811E-92FC-4B21-BE87-2CA6C05FCFDF}" uniqueName="6" name="UPL" queryTableFieldId="6" dataDxfId="25">
      <calculatedColumnFormula>ROUND(E2+(2.66*I2),2)</calculatedColumnFormula>
    </tableColumn>
    <tableColumn id="7" xr3:uid="{7D53A189-CA70-470B-AF12-6D237AA07C05}" uniqueName="7" name="LPL" queryTableFieldId="7" dataDxfId="24">
      <calculatedColumnFormula>ROUND(MAX(0,E2-(2.66*I2)),2)</calculatedColumnFormula>
    </tableColumn>
    <tableColumn id="8" xr3:uid="{786B59E6-4F69-433F-95EF-7FA24FDCBA95}" uniqueName="8" name="mR" queryTableFieldId="8" dataDxfId="23">
      <calculatedColumnFormula>ROUND(ABS(D1-D2),2)</calculatedColumnFormula>
    </tableColumn>
    <tableColumn id="9" xr3:uid="{06288CAC-E807-4820-BBF7-E9B3BFACFBCA}" uniqueName="9" name="Ave. mR" queryTableFieldId="9" dataDxfId="22">
      <calculatedColumnFormula>ROUND(AVERAGE($H$3:$H$19),2)</calculatedColumnFormula>
    </tableColumn>
    <tableColumn id="10" xr3:uid="{EBDFD858-30D0-4DA7-B238-6D62D77FF563}" uniqueName="10" name="URL" queryTableFieldId="10" dataDxfId="21">
      <calculatedColumnFormula>ROUND(3.268*I2,2)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3130F3-BDA5-4932-802F-30AA431C172C}" name="pathological_anatomy_death_to_birth_rates5" displayName="pathological_anatomy_death_to_birth_rates5" ref="A1:J40" tableType="queryTable" totalsRowShown="0">
  <autoFilter ref="A1:J40" xr:uid="{99DD72F9-CD99-40E8-911B-2A8C1F0377AB}"/>
  <tableColumns count="10">
    <tableColumn id="1" xr3:uid="{D7FC94B3-D2ED-4821-9979-57B2CC91B5E4}" uniqueName="1" name="Hospital" queryTableFieldId="1" dataDxfId="20"/>
    <tableColumn id="2" xr3:uid="{59654AE5-A8D4-475F-869D-9B74A3372E0D}" uniqueName="2" name="Stage" queryTableFieldId="2" dataDxfId="19"/>
    <tableColumn id="3" xr3:uid="{B2E5D3F4-C105-4C01-AAFB-A2935D8CBBB9}" uniqueName="3" name="Year" queryTableFieldId="3" dataDxfId="18"/>
    <tableColumn id="4" xr3:uid="{6FB5CDC0-CF93-47ED-9410-8555E5D6D4E3}" uniqueName="4" name="Rate" queryTableFieldId="4"/>
    <tableColumn id="5" xr3:uid="{5170267F-8467-465F-B276-AC96B9921FDC}" uniqueName="5" name="Mean" queryTableFieldId="5" dataDxfId="17">
      <calculatedColumnFormula>ROUND(AVERAGE($D$2:$D$40),2)</calculatedColumnFormula>
    </tableColumn>
    <tableColumn id="6" xr3:uid="{96ADF9F9-B640-47B1-8C90-0B18002840D0}" uniqueName="6" name="UPL" queryTableFieldId="6" dataDxfId="16">
      <calculatedColumnFormula>ROUND(E2+(2.66*I2),2)</calculatedColumnFormula>
    </tableColumn>
    <tableColumn id="7" xr3:uid="{29B4C202-7A84-4EFF-BC31-4AD54BAFB5DA}" uniqueName="7" name="LPL" queryTableFieldId="7" dataDxfId="15">
      <calculatedColumnFormula>ROUND(MAX(0,E2-(2.66*I2)),2)</calculatedColumnFormula>
    </tableColumn>
    <tableColumn id="8" xr3:uid="{B1E688E4-207B-4885-B845-BC2BD87C9D84}" uniqueName="8" name="mR" queryTableFieldId="8" dataDxfId="14">
      <calculatedColumnFormula>ROUND(ABS(D1-D2),1)</calculatedColumnFormula>
    </tableColumn>
    <tableColumn id="9" xr3:uid="{93CFFBE0-4851-4D50-964F-462176F8AA4A}" uniqueName="9" name="Ave. mR" queryTableFieldId="9" dataDxfId="13">
      <calculatedColumnFormula>ROUND(AVERAGE($H$3:$H$40),2)</calculatedColumnFormula>
    </tableColumn>
    <tableColumn id="10" xr3:uid="{79EA1D7D-966E-4071-A428-B0DD49D27401}" uniqueName="10" name="URL" queryTableFieldId="10" dataDxfId="12">
      <calculatedColumnFormula>ROUND(3.268*I2,1)</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5EE93D-2252-435D-83D7-8DD1E21ED13A}" name="pathological_anatomy_death_to_birth_rates__4" displayName="pathological_anatomy_death_to_birth_rates__4" ref="A42:J60" tableType="queryTable" totalsRowShown="0">
  <autoFilter ref="A42:J60" xr:uid="{CF5EE93D-2252-435D-83D7-8DD1E21ED13A}"/>
  <tableColumns count="10">
    <tableColumn id="1" xr3:uid="{81540F63-0C00-45CA-BDAA-2B22E66B85CC}" uniqueName="1" name="Hospital" queryTableFieldId="1" dataDxfId="11"/>
    <tableColumn id="2" xr3:uid="{5EF8772E-C3A4-44A7-83AB-AEA566372734}" uniqueName="2" name="Stage" queryTableFieldId="2" dataDxfId="10"/>
    <tableColumn id="3" xr3:uid="{B7373106-8E07-4CCA-B606-3BD6E7BA39BF}" uniqueName="3" name="Year" queryTableFieldId="3" dataDxfId="9"/>
    <tableColumn id="4" xr3:uid="{24B0D2B1-80DE-4127-B914-5F6A216DEA1F}" uniqueName="4" name="Rate" queryTableFieldId="4"/>
    <tableColumn id="5" xr3:uid="{26CEF116-0DC2-49F8-B2C1-8883189291DE}" uniqueName="5" name="Mean" queryTableFieldId="5" dataDxfId="8">
      <calculatedColumnFormula>ROUND(AVERAGE($D$43:$D$60),2)</calculatedColumnFormula>
    </tableColumn>
    <tableColumn id="6" xr3:uid="{4FA91DA1-EE17-4790-BCD4-DA1961BC521E}" uniqueName="6" name="UPL" queryTableFieldId="6" dataDxfId="7">
      <calculatedColumnFormula>ROUND(E43+(2.66*I43),2)</calculatedColumnFormula>
    </tableColumn>
    <tableColumn id="7" xr3:uid="{1CB0C652-E27C-4185-ACA3-D28723077BF3}" uniqueName="7" name="LPL" queryTableFieldId="7" dataDxfId="6">
      <calculatedColumnFormula>ROUND(MAX(0,E43-(2.66*I43)),2)</calculatedColumnFormula>
    </tableColumn>
    <tableColumn id="8" xr3:uid="{25615B28-1171-4C63-AE25-E75AA9AE7937}" uniqueName="8" name="mR" queryTableFieldId="8" dataDxfId="5"/>
    <tableColumn id="9" xr3:uid="{93293189-2EAD-4B84-A224-0B78FA944BF2}" uniqueName="9" name="Ave. mR" queryTableFieldId="9" dataDxfId="4">
      <calculatedColumnFormula>ROUND(AVERAGE($H$44:$H$60),2)</calculatedColumnFormula>
    </tableColumn>
    <tableColumn id="10" xr3:uid="{90B64DA0-133D-4242-984F-CBE3BF3508CC}" uniqueName="10" name="URL" queryTableFieldId="10" dataDxfId="3">
      <calculatedColumnFormula>ROUND(3.268*I43,2)</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B8F246-9978-4083-AC13-F1D3E4100AED}" name="pathological_anatomy_death_to_birth_rates__5" displayName="pathological_anatomy_death_to_birth_rates__5" ref="A1:G59" tableType="queryTable" totalsRowShown="0">
  <autoFilter ref="A1:G59" xr:uid="{6AB8F246-9978-4083-AC13-F1D3E4100AED}"/>
  <tableColumns count="7">
    <tableColumn id="1" xr3:uid="{CD1D9F4E-B9F8-4D8C-9587-3C8C90F1ECCC}" uniqueName="1" name="Hospital" queryTableFieldId="1" dataDxfId="2"/>
    <tableColumn id="2" xr3:uid="{7E9FB3ED-056C-4942-A276-1C69DF33AC53}" uniqueName="2" name="Stage" queryTableFieldId="2" dataDxfId="1"/>
    <tableColumn id="3" xr3:uid="{548F910E-5DE7-416F-84F9-E90A2F78A3F1}" uniqueName="3" name="Year" queryTableFieldId="3"/>
    <tableColumn id="4" xr3:uid="{96FB7577-2A29-451A-8956-EA3868C5DDA2}" uniqueName="4" name="Births" queryTableFieldId="4"/>
    <tableColumn id="5" xr3:uid="{B88AE726-FC16-40A1-AC47-D542BFA50425}" uniqueName="5" name="Deaths" queryTableFieldId="5"/>
    <tableColumn id="6" xr3:uid="{0F353ED9-B7AE-478F-8BA7-2CD1AA6847CC}" uniqueName="6" name="Rate" queryTableFieldId="6"/>
    <tableColumn id="7" xr3:uid="{6482A364-A04E-4E78-9804-2905F4BA3F0F}" uniqueName="7" name="Note" queryTableFieldId="7"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7"/>
  <sheetViews>
    <sheetView showGridLines="0" tabSelected="1" workbookViewId="0">
      <selection activeCell="B37" sqref="B37:G37"/>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43" t="s">
        <v>0</v>
      </c>
      <c r="B1" s="44"/>
      <c r="C1" s="44"/>
      <c r="D1" s="44"/>
      <c r="E1" s="44"/>
      <c r="F1" s="44"/>
      <c r="G1" s="45"/>
      <c r="H1" s="1"/>
      <c r="I1" s="1"/>
      <c r="J1" s="1"/>
      <c r="K1" s="1"/>
      <c r="L1" s="1"/>
    </row>
    <row r="2" spans="1:12" ht="15.75" customHeight="1" x14ac:dyDescent="0.25">
      <c r="A2" s="22" t="s">
        <v>79</v>
      </c>
      <c r="B2" s="23"/>
      <c r="C2" s="23"/>
      <c r="D2" s="23"/>
      <c r="E2" s="23"/>
      <c r="F2" s="23"/>
      <c r="G2" s="24"/>
      <c r="H2" s="1"/>
      <c r="I2" s="1"/>
    </row>
    <row r="3" spans="1:12" ht="15.75" customHeight="1" x14ac:dyDescent="0.25">
      <c r="A3" s="25"/>
      <c r="B3" s="26"/>
      <c r="C3" s="26"/>
      <c r="D3" s="26"/>
      <c r="E3" s="26"/>
      <c r="F3" s="26"/>
      <c r="G3" s="27"/>
      <c r="H3" s="1"/>
    </row>
    <row r="4" spans="1:12" ht="15.75" customHeight="1" x14ac:dyDescent="0.25">
      <c r="A4" s="25"/>
      <c r="B4" s="26"/>
      <c r="C4" s="26"/>
      <c r="D4" s="26"/>
      <c r="E4" s="26"/>
      <c r="F4" s="26"/>
      <c r="G4" s="27"/>
      <c r="H4" s="1"/>
    </row>
    <row r="5" spans="1:12" ht="15.75" customHeight="1" x14ac:dyDescent="0.25">
      <c r="A5" s="25"/>
      <c r="B5" s="26"/>
      <c r="C5" s="26"/>
      <c r="D5" s="26"/>
      <c r="E5" s="26"/>
      <c r="F5" s="26"/>
      <c r="G5" s="27"/>
      <c r="H5" s="1"/>
    </row>
    <row r="6" spans="1:12" ht="15.75" customHeight="1" x14ac:dyDescent="0.25">
      <c r="A6" s="25"/>
      <c r="B6" s="26"/>
      <c r="C6" s="26"/>
      <c r="D6" s="26"/>
      <c r="E6" s="26"/>
      <c r="F6" s="26"/>
      <c r="G6" s="27"/>
      <c r="H6" s="1"/>
    </row>
    <row r="7" spans="1:12" ht="15.75" customHeight="1" x14ac:dyDescent="0.25">
      <c r="A7" s="25"/>
      <c r="B7" s="26"/>
      <c r="C7" s="26"/>
      <c r="D7" s="26"/>
      <c r="E7" s="26"/>
      <c r="F7" s="26"/>
      <c r="G7" s="27"/>
      <c r="H7" s="1"/>
    </row>
    <row r="8" spans="1:12" ht="15.75" customHeight="1" x14ac:dyDescent="0.25">
      <c r="A8" s="25"/>
      <c r="B8" s="26"/>
      <c r="C8" s="26"/>
      <c r="D8" s="26"/>
      <c r="E8" s="26"/>
      <c r="F8" s="26"/>
      <c r="G8" s="27"/>
      <c r="H8" s="1"/>
    </row>
    <row r="9" spans="1:12" ht="15.75" customHeight="1" x14ac:dyDescent="0.25">
      <c r="A9" s="25"/>
      <c r="B9" s="26"/>
      <c r="C9" s="26"/>
      <c r="D9" s="26"/>
      <c r="E9" s="26"/>
      <c r="F9" s="26"/>
      <c r="G9" s="27"/>
      <c r="H9" s="1"/>
    </row>
    <row r="10" spans="1:12" ht="15.75" customHeight="1" x14ac:dyDescent="0.25">
      <c r="A10" s="25"/>
      <c r="B10" s="26"/>
      <c r="C10" s="26"/>
      <c r="D10" s="26"/>
      <c r="E10" s="26"/>
      <c r="F10" s="26"/>
      <c r="G10" s="27"/>
      <c r="H10" s="1"/>
    </row>
    <row r="11" spans="1:12" ht="15.75" customHeight="1" x14ac:dyDescent="0.25">
      <c r="A11" s="25"/>
      <c r="B11" s="26"/>
      <c r="C11" s="26"/>
      <c r="D11" s="26"/>
      <c r="E11" s="26"/>
      <c r="F11" s="26"/>
      <c r="G11" s="27"/>
      <c r="H11" s="1"/>
    </row>
    <row r="12" spans="1:12" ht="15.75" customHeight="1" x14ac:dyDescent="0.25">
      <c r="A12" s="25"/>
      <c r="B12" s="26"/>
      <c r="C12" s="26"/>
      <c r="D12" s="26"/>
      <c r="E12" s="26"/>
      <c r="F12" s="26"/>
      <c r="G12" s="27"/>
      <c r="H12" s="1"/>
    </row>
    <row r="13" spans="1:12" ht="15.75" customHeight="1" x14ac:dyDescent="0.25">
      <c r="A13" s="25"/>
      <c r="B13" s="26"/>
      <c r="C13" s="26"/>
      <c r="D13" s="26"/>
      <c r="E13" s="26"/>
      <c r="F13" s="26"/>
      <c r="G13" s="27"/>
      <c r="H13" s="1"/>
    </row>
    <row r="14" spans="1:12" ht="15.75" customHeight="1" x14ac:dyDescent="0.25">
      <c r="A14" s="25"/>
      <c r="B14" s="26"/>
      <c r="C14" s="26"/>
      <c r="D14" s="26"/>
      <c r="E14" s="26"/>
      <c r="F14" s="26"/>
      <c r="G14" s="27"/>
      <c r="H14" s="1"/>
    </row>
    <row r="15" spans="1:12" ht="15.75" customHeight="1" x14ac:dyDescent="0.25">
      <c r="A15" s="25"/>
      <c r="B15" s="26"/>
      <c r="C15" s="26"/>
      <c r="D15" s="26"/>
      <c r="E15" s="26"/>
      <c r="F15" s="26"/>
      <c r="G15" s="27"/>
      <c r="H15" s="1"/>
    </row>
    <row r="16" spans="1:12" ht="15.75" customHeight="1" x14ac:dyDescent="0.25">
      <c r="A16" s="25"/>
      <c r="B16" s="26"/>
      <c r="C16" s="26"/>
      <c r="D16" s="26"/>
      <c r="E16" s="26"/>
      <c r="F16" s="26"/>
      <c r="G16" s="27"/>
      <c r="H16" s="1"/>
    </row>
    <row r="17" spans="1:8" ht="15.75" customHeight="1" x14ac:dyDescent="0.25">
      <c r="A17" s="25"/>
      <c r="B17" s="26"/>
      <c r="C17" s="26"/>
      <c r="D17" s="26"/>
      <c r="E17" s="26"/>
      <c r="F17" s="26"/>
      <c r="G17" s="27"/>
      <c r="H17" s="1"/>
    </row>
    <row r="18" spans="1:8" ht="15.75" customHeight="1" x14ac:dyDescent="0.25">
      <c r="A18" s="25"/>
      <c r="B18" s="26"/>
      <c r="C18" s="26"/>
      <c r="D18" s="26"/>
      <c r="E18" s="26"/>
      <c r="F18" s="26"/>
      <c r="G18" s="27"/>
      <c r="H18" s="1"/>
    </row>
    <row r="19" spans="1:8" ht="15.75" customHeight="1" x14ac:dyDescent="0.25">
      <c r="A19" s="25"/>
      <c r="B19" s="26"/>
      <c r="C19" s="26"/>
      <c r="D19" s="26"/>
      <c r="E19" s="26"/>
      <c r="F19" s="26"/>
      <c r="G19" s="27"/>
      <c r="H19" s="1"/>
    </row>
    <row r="20" spans="1:8" ht="15.75" customHeight="1" x14ac:dyDescent="0.25">
      <c r="A20" s="25"/>
      <c r="B20" s="26"/>
      <c r="C20" s="26"/>
      <c r="D20" s="26"/>
      <c r="E20" s="26"/>
      <c r="F20" s="26"/>
      <c r="G20" s="27"/>
      <c r="H20" s="1"/>
    </row>
    <row r="21" spans="1:8" ht="15.75" customHeight="1" x14ac:dyDescent="0.25">
      <c r="A21" s="25"/>
      <c r="B21" s="26"/>
      <c r="C21" s="26"/>
      <c r="D21" s="26"/>
      <c r="E21" s="26"/>
      <c r="F21" s="26"/>
      <c r="G21" s="27"/>
      <c r="H21" s="1"/>
    </row>
    <row r="22" spans="1:8" ht="15.75" customHeight="1" x14ac:dyDescent="0.25">
      <c r="A22" s="25"/>
      <c r="B22" s="26"/>
      <c r="C22" s="26"/>
      <c r="D22" s="26"/>
      <c r="E22" s="26"/>
      <c r="F22" s="26"/>
      <c r="G22" s="27"/>
      <c r="H22" s="1"/>
    </row>
    <row r="23" spans="1:8" ht="15.75" customHeight="1" x14ac:dyDescent="0.25">
      <c r="A23" s="25"/>
      <c r="B23" s="26"/>
      <c r="C23" s="26"/>
      <c r="D23" s="26"/>
      <c r="E23" s="26"/>
      <c r="F23" s="26"/>
      <c r="G23" s="27"/>
      <c r="H23" s="1"/>
    </row>
    <row r="24" spans="1:8" ht="15.75" customHeight="1" x14ac:dyDescent="0.25">
      <c r="A24" s="25"/>
      <c r="B24" s="26"/>
      <c r="C24" s="26"/>
      <c r="D24" s="26"/>
      <c r="E24" s="26"/>
      <c r="F24" s="26"/>
      <c r="G24" s="27"/>
      <c r="H24" s="1"/>
    </row>
    <row r="25" spans="1:8" ht="15.75" customHeight="1" x14ac:dyDescent="0.25">
      <c r="A25" s="25"/>
      <c r="B25" s="26"/>
      <c r="C25" s="26"/>
      <c r="D25" s="26"/>
      <c r="E25" s="26"/>
      <c r="F25" s="26"/>
      <c r="G25" s="27"/>
      <c r="H25" s="1"/>
    </row>
    <row r="26" spans="1:8" ht="15.75" customHeight="1" x14ac:dyDescent="0.25">
      <c r="A26" s="25"/>
      <c r="B26" s="26"/>
      <c r="C26" s="26"/>
      <c r="D26" s="26"/>
      <c r="E26" s="26"/>
      <c r="F26" s="26"/>
      <c r="G26" s="27"/>
      <c r="H26" s="1"/>
    </row>
    <row r="27" spans="1:8" ht="13.2" customHeight="1" x14ac:dyDescent="0.25">
      <c r="A27" s="25"/>
      <c r="B27" s="26"/>
      <c r="C27" s="26"/>
      <c r="D27" s="26"/>
      <c r="E27" s="26"/>
      <c r="F27" s="26"/>
      <c r="G27" s="27"/>
      <c r="H27" s="1"/>
    </row>
    <row r="28" spans="1:8" ht="15.75" customHeight="1" x14ac:dyDescent="0.25">
      <c r="A28" s="28"/>
      <c r="B28" s="29"/>
      <c r="C28" s="29"/>
      <c r="D28" s="29"/>
      <c r="E28" s="29"/>
      <c r="F28" s="29"/>
      <c r="G28" s="30"/>
    </row>
    <row r="29" spans="1:8" ht="15.75" customHeight="1" x14ac:dyDescent="0.25">
      <c r="A29" s="31" t="s">
        <v>71</v>
      </c>
      <c r="B29" s="32"/>
      <c r="C29" s="32"/>
      <c r="D29" s="32"/>
      <c r="E29" s="32"/>
      <c r="F29" s="32"/>
      <c r="G29" s="33"/>
    </row>
    <row r="30" spans="1:8" ht="15.75" customHeight="1" x14ac:dyDescent="0.25">
      <c r="A30" s="34" t="s">
        <v>72</v>
      </c>
      <c r="B30" s="35"/>
      <c r="C30" s="35"/>
      <c r="D30" s="35"/>
      <c r="E30" s="35"/>
      <c r="F30" s="35"/>
      <c r="G30" s="36"/>
    </row>
    <row r="31" spans="1:8" ht="15.75" customHeight="1" x14ac:dyDescent="0.25">
      <c r="A31" s="37" t="s">
        <v>73</v>
      </c>
      <c r="B31" s="38"/>
      <c r="C31" s="38"/>
      <c r="D31" s="38"/>
      <c r="E31" s="38"/>
      <c r="F31" s="38"/>
      <c r="G31" s="39"/>
    </row>
    <row r="32" spans="1:8" ht="15.75" customHeight="1" x14ac:dyDescent="0.25">
      <c r="A32" s="34" t="s">
        <v>74</v>
      </c>
      <c r="B32" s="35"/>
      <c r="C32" s="35"/>
      <c r="D32" s="35"/>
      <c r="E32" s="35"/>
      <c r="F32" s="35"/>
      <c r="G32" s="36"/>
    </row>
    <row r="33" spans="1:7" ht="15.75" customHeight="1" x14ac:dyDescent="0.25">
      <c r="A33" s="37" t="s">
        <v>75</v>
      </c>
      <c r="B33" s="38"/>
      <c r="C33" s="38"/>
      <c r="D33" s="38"/>
      <c r="E33" s="38"/>
      <c r="F33" s="38"/>
      <c r="G33" s="39"/>
    </row>
    <row r="34" spans="1:7" ht="15.75" customHeight="1" x14ac:dyDescent="0.25">
      <c r="A34" s="34" t="s">
        <v>76</v>
      </c>
      <c r="B34" s="35"/>
      <c r="C34" s="35"/>
      <c r="D34" s="35"/>
      <c r="E34" s="35"/>
      <c r="F34" s="35"/>
      <c r="G34" s="36"/>
    </row>
    <row r="35" spans="1:7" ht="15.75" customHeight="1" x14ac:dyDescent="0.25">
      <c r="A35" s="40" t="s">
        <v>77</v>
      </c>
      <c r="B35" s="41"/>
      <c r="C35" s="41"/>
      <c r="D35" s="41"/>
      <c r="E35" s="41"/>
      <c r="F35" s="41"/>
      <c r="G35" s="42"/>
    </row>
    <row r="36" spans="1:7" ht="15.75" customHeight="1" x14ac:dyDescent="0.25">
      <c r="A36" s="31" t="s">
        <v>78</v>
      </c>
      <c r="B36" s="32"/>
      <c r="C36" s="32"/>
      <c r="D36" s="32"/>
      <c r="E36" s="32"/>
      <c r="F36" s="32"/>
      <c r="G36" s="33"/>
    </row>
    <row r="37" spans="1:7" ht="26.4" x14ac:dyDescent="0.25">
      <c r="A37" s="19" t="s">
        <v>81</v>
      </c>
      <c r="B37" s="46" t="s">
        <v>80</v>
      </c>
      <c r="C37" s="20"/>
      <c r="D37" s="20"/>
      <c r="E37" s="20"/>
      <c r="F37" s="20"/>
      <c r="G37" s="21"/>
    </row>
  </sheetData>
  <mergeCells count="11">
    <mergeCell ref="B37:G37"/>
    <mergeCell ref="A1:G1"/>
    <mergeCell ref="A2:G28"/>
    <mergeCell ref="A29:G29"/>
    <mergeCell ref="A30:G30"/>
    <mergeCell ref="A31:G31"/>
    <mergeCell ref="A32:G32"/>
    <mergeCell ref="A33:G33"/>
    <mergeCell ref="A34:G34"/>
    <mergeCell ref="A35:G35"/>
    <mergeCell ref="A36:G36"/>
  </mergeCells>
  <hyperlinks>
    <hyperlink ref="A32" r:id="rId1" xr:uid="{8F9508C3-0B27-4852-B9D5-4A9629EFB98D}"/>
    <hyperlink ref="A30" r:id="rId2" xr:uid="{FCBCE04A-7AC6-430F-B4A9-35F41D975758}"/>
    <hyperlink ref="A34" r:id="rId3" xr:uid="{192A3B1F-FFAD-4C49-BA8A-09EF2951CE7F}"/>
    <hyperlink ref="A35" r:id="rId4" xr:uid="{ED7A973D-C087-448A-A421-1C4BC5C210B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0"/>
  <sheetViews>
    <sheetView workbookViewId="0">
      <selection activeCell="R36" sqref="R36"/>
    </sheetView>
  </sheetViews>
  <sheetFormatPr defaultColWidth="12.6640625" defaultRowHeight="15.75" customHeight="1" x14ac:dyDescent="0.25"/>
  <cols>
    <col min="1" max="1" width="20.77734375" bestFit="1" customWidth="1"/>
    <col min="2" max="2" width="24.33203125" bestFit="1" customWidth="1"/>
    <col min="3" max="3" width="7.21875" bestFit="1" customWidth="1"/>
    <col min="4" max="4" width="6.88671875" bestFit="1" customWidth="1"/>
    <col min="5" max="5" width="7.6640625" bestFit="1" customWidth="1"/>
    <col min="6" max="6" width="6.6640625" bestFit="1" customWidth="1"/>
    <col min="7" max="7" width="6.44140625" bestFit="1" customWidth="1"/>
    <col min="8" max="8" width="7.77734375" bestFit="1" customWidth="1"/>
    <col min="9" max="9" width="10" bestFit="1" customWidth="1"/>
    <col min="10" max="10" width="6.6640625" bestFit="1" customWidth="1"/>
  </cols>
  <sheetData>
    <row r="1" spans="1:10" ht="13.2" x14ac:dyDescent="0.25">
      <c r="A1" s="4" t="s">
        <v>69</v>
      </c>
      <c r="B1" t="s">
        <v>1</v>
      </c>
      <c r="C1" t="s">
        <v>2</v>
      </c>
      <c r="D1" t="s">
        <v>3</v>
      </c>
      <c r="E1" s="9" t="s">
        <v>4</v>
      </c>
      <c r="F1" s="9" t="s">
        <v>5</v>
      </c>
      <c r="G1" s="9" t="s">
        <v>6</v>
      </c>
      <c r="H1" s="9" t="s">
        <v>7</v>
      </c>
      <c r="I1" s="9" t="s">
        <v>8</v>
      </c>
      <c r="J1" s="9" t="s">
        <v>9</v>
      </c>
    </row>
    <row r="2" spans="1:10" ht="13.2" x14ac:dyDescent="0.25">
      <c r="A2" t="s">
        <v>70</v>
      </c>
      <c r="B2" t="s">
        <v>10</v>
      </c>
      <c r="C2" t="s">
        <v>11</v>
      </c>
      <c r="D2">
        <v>2.1</v>
      </c>
      <c r="E2">
        <f t="shared" ref="E2:E40" si="0">ROUND(AVERAGE($D$2:$D$40),2)</f>
        <v>1.1599999999999999</v>
      </c>
      <c r="F2">
        <f t="shared" ref="F2:F40" si="1">ROUND(E2+(2.66*I2),2)</f>
        <v>3.42</v>
      </c>
      <c r="G2">
        <f t="shared" ref="G2:G40" si="2">ROUND(MAX(0,E2-(2.66*I2)),2)</f>
        <v>0</v>
      </c>
      <c r="I2">
        <f t="shared" ref="I2:I40" si="3">ROUND(AVERAGE($H$3:$H$40),2)</f>
        <v>0.85</v>
      </c>
      <c r="J2">
        <f t="shared" ref="J2:J40" si="4">ROUND(3.268*I2,1)</f>
        <v>2.8</v>
      </c>
    </row>
    <row r="3" spans="1:10" ht="13.2" x14ac:dyDescent="0.25">
      <c r="A3" t="s">
        <v>70</v>
      </c>
      <c r="B3" t="s">
        <v>10</v>
      </c>
      <c r="C3" t="s">
        <v>12</v>
      </c>
      <c r="D3">
        <v>1.4</v>
      </c>
      <c r="E3">
        <f t="shared" si="0"/>
        <v>1.1599999999999999</v>
      </c>
      <c r="F3">
        <f t="shared" si="1"/>
        <v>3.42</v>
      </c>
      <c r="G3">
        <f t="shared" si="2"/>
        <v>0</v>
      </c>
      <c r="H3">
        <f t="shared" ref="H3:H40" si="5">ROUND(ABS(D2-D3),1)</f>
        <v>0.7</v>
      </c>
      <c r="I3">
        <f t="shared" si="3"/>
        <v>0.85</v>
      </c>
      <c r="J3">
        <f t="shared" si="4"/>
        <v>2.8</v>
      </c>
    </row>
    <row r="4" spans="1:10" ht="13.2" x14ac:dyDescent="0.25">
      <c r="A4" t="s">
        <v>70</v>
      </c>
      <c r="B4" t="s">
        <v>10</v>
      </c>
      <c r="C4" t="s">
        <v>13</v>
      </c>
      <c r="D4">
        <v>0.4</v>
      </c>
      <c r="E4">
        <f t="shared" si="0"/>
        <v>1.1599999999999999</v>
      </c>
      <c r="F4">
        <f t="shared" si="1"/>
        <v>3.42</v>
      </c>
      <c r="G4">
        <f t="shared" si="2"/>
        <v>0</v>
      </c>
      <c r="H4">
        <f t="shared" si="5"/>
        <v>1</v>
      </c>
      <c r="I4">
        <f t="shared" si="3"/>
        <v>0.85</v>
      </c>
      <c r="J4">
        <f t="shared" si="4"/>
        <v>2.8</v>
      </c>
    </row>
    <row r="5" spans="1:10" ht="13.2" x14ac:dyDescent="0.25">
      <c r="A5" t="s">
        <v>70</v>
      </c>
      <c r="B5" t="s">
        <v>10</v>
      </c>
      <c r="C5" t="s">
        <v>14</v>
      </c>
      <c r="D5">
        <v>0.4</v>
      </c>
      <c r="E5">
        <f t="shared" si="0"/>
        <v>1.1599999999999999</v>
      </c>
      <c r="F5">
        <f t="shared" si="1"/>
        <v>3.42</v>
      </c>
      <c r="G5">
        <f t="shared" si="2"/>
        <v>0</v>
      </c>
      <c r="H5">
        <f t="shared" si="5"/>
        <v>0</v>
      </c>
      <c r="I5">
        <f t="shared" si="3"/>
        <v>0.85</v>
      </c>
      <c r="J5">
        <f t="shared" si="4"/>
        <v>2.8</v>
      </c>
    </row>
    <row r="6" spans="1:10" ht="13.2" x14ac:dyDescent="0.25">
      <c r="A6" t="s">
        <v>70</v>
      </c>
      <c r="B6" t="s">
        <v>10</v>
      </c>
      <c r="C6" t="s">
        <v>15</v>
      </c>
      <c r="D6">
        <v>0.4</v>
      </c>
      <c r="E6">
        <f t="shared" si="0"/>
        <v>1.1599999999999999</v>
      </c>
      <c r="F6">
        <f t="shared" si="1"/>
        <v>3.42</v>
      </c>
      <c r="G6">
        <f t="shared" si="2"/>
        <v>0</v>
      </c>
      <c r="H6">
        <f t="shared" si="5"/>
        <v>0</v>
      </c>
      <c r="I6">
        <f t="shared" si="3"/>
        <v>0.85</v>
      </c>
      <c r="J6">
        <f t="shared" si="4"/>
        <v>2.8</v>
      </c>
    </row>
    <row r="7" spans="1:10" ht="13.2" x14ac:dyDescent="0.25">
      <c r="A7" t="s">
        <v>70</v>
      </c>
      <c r="B7" t="s">
        <v>10</v>
      </c>
      <c r="C7" t="s">
        <v>16</v>
      </c>
      <c r="D7">
        <v>0.6</v>
      </c>
      <c r="E7">
        <f t="shared" si="0"/>
        <v>1.1599999999999999</v>
      </c>
      <c r="F7">
        <f t="shared" si="1"/>
        <v>3.42</v>
      </c>
      <c r="G7">
        <f t="shared" si="2"/>
        <v>0</v>
      </c>
      <c r="H7">
        <f t="shared" si="5"/>
        <v>0.2</v>
      </c>
      <c r="I7">
        <f t="shared" si="3"/>
        <v>0.85</v>
      </c>
      <c r="J7">
        <f t="shared" si="4"/>
        <v>2.8</v>
      </c>
    </row>
    <row r="8" spans="1:10" ht="13.2" x14ac:dyDescent="0.25">
      <c r="A8" t="s">
        <v>70</v>
      </c>
      <c r="B8" t="s">
        <v>10</v>
      </c>
      <c r="C8" t="s">
        <v>17</v>
      </c>
      <c r="D8">
        <v>0.8</v>
      </c>
      <c r="E8">
        <f t="shared" si="0"/>
        <v>1.1599999999999999</v>
      </c>
      <c r="F8">
        <f t="shared" si="1"/>
        <v>3.42</v>
      </c>
      <c r="G8">
        <f t="shared" si="2"/>
        <v>0</v>
      </c>
      <c r="H8">
        <f t="shared" si="5"/>
        <v>0.2</v>
      </c>
      <c r="I8">
        <f t="shared" si="3"/>
        <v>0.85</v>
      </c>
      <c r="J8">
        <f t="shared" si="4"/>
        <v>2.8</v>
      </c>
    </row>
    <row r="9" spans="1:10" ht="13.2" x14ac:dyDescent="0.25">
      <c r="A9" t="s">
        <v>70</v>
      </c>
      <c r="B9" t="s">
        <v>10</v>
      </c>
      <c r="C9" t="s">
        <v>18</v>
      </c>
      <c r="D9">
        <v>0.6</v>
      </c>
      <c r="E9">
        <f t="shared" si="0"/>
        <v>1.1599999999999999</v>
      </c>
      <c r="F9">
        <f t="shared" si="1"/>
        <v>3.42</v>
      </c>
      <c r="G9">
        <f t="shared" si="2"/>
        <v>0</v>
      </c>
      <c r="H9">
        <f t="shared" si="5"/>
        <v>0.2</v>
      </c>
      <c r="I9">
        <f t="shared" si="3"/>
        <v>0.85</v>
      </c>
      <c r="J9">
        <f t="shared" si="4"/>
        <v>2.8</v>
      </c>
    </row>
    <row r="10" spans="1:10" ht="13.2" x14ac:dyDescent="0.25">
      <c r="A10" t="s">
        <v>70</v>
      </c>
      <c r="B10" t="s">
        <v>10</v>
      </c>
      <c r="C10" t="s">
        <v>19</v>
      </c>
      <c r="D10">
        <v>0.9</v>
      </c>
      <c r="E10">
        <f t="shared" si="0"/>
        <v>1.1599999999999999</v>
      </c>
      <c r="F10">
        <f t="shared" si="1"/>
        <v>3.42</v>
      </c>
      <c r="G10">
        <f t="shared" si="2"/>
        <v>0</v>
      </c>
      <c r="H10">
        <f t="shared" si="5"/>
        <v>0.3</v>
      </c>
      <c r="I10">
        <f t="shared" si="3"/>
        <v>0.85</v>
      </c>
      <c r="J10">
        <f t="shared" si="4"/>
        <v>2.8</v>
      </c>
    </row>
    <row r="11" spans="1:10" ht="13.2" x14ac:dyDescent="0.25">
      <c r="A11" t="s">
        <v>70</v>
      </c>
      <c r="B11" t="s">
        <v>10</v>
      </c>
      <c r="C11" t="s">
        <v>20</v>
      </c>
      <c r="D11">
        <v>2.6</v>
      </c>
      <c r="E11">
        <f t="shared" si="0"/>
        <v>1.1599999999999999</v>
      </c>
      <c r="F11">
        <f t="shared" si="1"/>
        <v>3.42</v>
      </c>
      <c r="G11">
        <f t="shared" si="2"/>
        <v>0</v>
      </c>
      <c r="H11">
        <f t="shared" si="5"/>
        <v>1.7</v>
      </c>
      <c r="I11">
        <f t="shared" si="3"/>
        <v>0.85</v>
      </c>
      <c r="J11">
        <f t="shared" si="4"/>
        <v>2.8</v>
      </c>
    </row>
    <row r="12" spans="1:10" ht="13.2" x14ac:dyDescent="0.25">
      <c r="A12" t="s">
        <v>70</v>
      </c>
      <c r="B12" t="s">
        <v>10</v>
      </c>
      <c r="C12" t="s">
        <v>21</v>
      </c>
      <c r="D12">
        <v>0.4</v>
      </c>
      <c r="E12">
        <f t="shared" si="0"/>
        <v>1.1599999999999999</v>
      </c>
      <c r="F12">
        <f t="shared" si="1"/>
        <v>3.42</v>
      </c>
      <c r="G12">
        <f t="shared" si="2"/>
        <v>0</v>
      </c>
      <c r="H12">
        <f t="shared" si="5"/>
        <v>2.2000000000000002</v>
      </c>
      <c r="I12">
        <f t="shared" si="3"/>
        <v>0.85</v>
      </c>
      <c r="J12">
        <f t="shared" si="4"/>
        <v>2.8</v>
      </c>
    </row>
    <row r="13" spans="1:10" ht="13.2" x14ac:dyDescent="0.25">
      <c r="A13" t="s">
        <v>70</v>
      </c>
      <c r="B13" t="s">
        <v>10</v>
      </c>
      <c r="C13" t="s">
        <v>22</v>
      </c>
      <c r="D13">
        <v>2.1</v>
      </c>
      <c r="E13">
        <f t="shared" si="0"/>
        <v>1.1599999999999999</v>
      </c>
      <c r="F13">
        <f t="shared" si="1"/>
        <v>3.42</v>
      </c>
      <c r="G13">
        <f t="shared" si="2"/>
        <v>0</v>
      </c>
      <c r="H13">
        <f t="shared" si="5"/>
        <v>1.7</v>
      </c>
      <c r="I13">
        <f t="shared" si="3"/>
        <v>0.85</v>
      </c>
      <c r="J13">
        <f t="shared" si="4"/>
        <v>2.8</v>
      </c>
    </row>
    <row r="14" spans="1:10" ht="13.2" x14ac:dyDescent="0.25">
      <c r="A14" t="s">
        <v>70</v>
      </c>
      <c r="B14" t="s">
        <v>10</v>
      </c>
      <c r="C14" t="s">
        <v>23</v>
      </c>
      <c r="D14">
        <v>1.2</v>
      </c>
      <c r="E14">
        <f t="shared" si="0"/>
        <v>1.1599999999999999</v>
      </c>
      <c r="F14">
        <f t="shared" si="1"/>
        <v>3.42</v>
      </c>
      <c r="G14">
        <f t="shared" si="2"/>
        <v>0</v>
      </c>
      <c r="H14">
        <f t="shared" si="5"/>
        <v>0.9</v>
      </c>
      <c r="I14">
        <f t="shared" si="3"/>
        <v>0.85</v>
      </c>
      <c r="J14">
        <f t="shared" si="4"/>
        <v>2.8</v>
      </c>
    </row>
    <row r="15" spans="1:10" ht="13.2" x14ac:dyDescent="0.25">
      <c r="A15" t="s">
        <v>70</v>
      </c>
      <c r="B15" t="s">
        <v>10</v>
      </c>
      <c r="C15" t="s">
        <v>24</v>
      </c>
      <c r="D15">
        <v>0.2</v>
      </c>
      <c r="E15">
        <f t="shared" si="0"/>
        <v>1.1599999999999999</v>
      </c>
      <c r="F15">
        <f t="shared" si="1"/>
        <v>3.42</v>
      </c>
      <c r="G15">
        <f t="shared" si="2"/>
        <v>0</v>
      </c>
      <c r="H15">
        <f t="shared" si="5"/>
        <v>1</v>
      </c>
      <c r="I15">
        <f t="shared" si="3"/>
        <v>0.85</v>
      </c>
      <c r="J15">
        <f t="shared" si="4"/>
        <v>2.8</v>
      </c>
    </row>
    <row r="16" spans="1:10" ht="13.2" x14ac:dyDescent="0.25">
      <c r="A16" t="s">
        <v>70</v>
      </c>
      <c r="B16" t="s">
        <v>10</v>
      </c>
      <c r="C16" t="s">
        <v>25</v>
      </c>
      <c r="D16">
        <v>0.2</v>
      </c>
      <c r="E16">
        <f t="shared" si="0"/>
        <v>1.1599999999999999</v>
      </c>
      <c r="F16">
        <f t="shared" si="1"/>
        <v>3.42</v>
      </c>
      <c r="G16">
        <f t="shared" si="2"/>
        <v>0</v>
      </c>
      <c r="H16">
        <f t="shared" si="5"/>
        <v>0</v>
      </c>
      <c r="I16">
        <f t="shared" si="3"/>
        <v>0.85</v>
      </c>
      <c r="J16">
        <f t="shared" si="4"/>
        <v>2.8</v>
      </c>
    </row>
    <row r="17" spans="1:10" ht="13.2" x14ac:dyDescent="0.25">
      <c r="A17" t="s">
        <v>70</v>
      </c>
      <c r="B17" t="s">
        <v>10</v>
      </c>
      <c r="C17" t="s">
        <v>26</v>
      </c>
      <c r="D17">
        <v>1</v>
      </c>
      <c r="E17">
        <f t="shared" si="0"/>
        <v>1.1599999999999999</v>
      </c>
      <c r="F17">
        <f t="shared" si="1"/>
        <v>3.42</v>
      </c>
      <c r="G17">
        <f t="shared" si="2"/>
        <v>0</v>
      </c>
      <c r="H17">
        <f t="shared" si="5"/>
        <v>0.8</v>
      </c>
      <c r="I17">
        <f t="shared" si="3"/>
        <v>0.85</v>
      </c>
      <c r="J17">
        <f t="shared" si="4"/>
        <v>2.8</v>
      </c>
    </row>
    <row r="18" spans="1:10" ht="13.2" x14ac:dyDescent="0.25">
      <c r="A18" t="s">
        <v>70</v>
      </c>
      <c r="B18" t="s">
        <v>10</v>
      </c>
      <c r="C18" t="s">
        <v>27</v>
      </c>
      <c r="D18">
        <v>2</v>
      </c>
      <c r="E18">
        <f t="shared" si="0"/>
        <v>1.1599999999999999</v>
      </c>
      <c r="F18">
        <f t="shared" si="1"/>
        <v>3.42</v>
      </c>
      <c r="G18">
        <f t="shared" si="2"/>
        <v>0</v>
      </c>
      <c r="H18">
        <f t="shared" si="5"/>
        <v>1</v>
      </c>
      <c r="I18">
        <f t="shared" si="3"/>
        <v>0.85</v>
      </c>
      <c r="J18">
        <f t="shared" si="4"/>
        <v>2.8</v>
      </c>
    </row>
    <row r="19" spans="1:10" ht="13.2" x14ac:dyDescent="0.25">
      <c r="A19" t="s">
        <v>70</v>
      </c>
      <c r="B19" t="s">
        <v>10</v>
      </c>
      <c r="C19" t="s">
        <v>28</v>
      </c>
      <c r="D19">
        <v>0.8</v>
      </c>
      <c r="E19">
        <f t="shared" si="0"/>
        <v>1.1599999999999999</v>
      </c>
      <c r="F19">
        <f t="shared" si="1"/>
        <v>3.42</v>
      </c>
      <c r="G19">
        <f t="shared" si="2"/>
        <v>0</v>
      </c>
      <c r="H19">
        <f t="shared" si="5"/>
        <v>1.2</v>
      </c>
      <c r="I19">
        <f t="shared" si="3"/>
        <v>0.85</v>
      </c>
      <c r="J19">
        <f t="shared" si="4"/>
        <v>2.8</v>
      </c>
    </row>
    <row r="20" spans="1:10" ht="13.2" x14ac:dyDescent="0.25">
      <c r="A20" t="s">
        <v>70</v>
      </c>
      <c r="B20" t="s">
        <v>10</v>
      </c>
      <c r="C20" t="s">
        <v>29</v>
      </c>
      <c r="D20">
        <v>0.4</v>
      </c>
      <c r="E20">
        <f t="shared" si="0"/>
        <v>1.1599999999999999</v>
      </c>
      <c r="F20">
        <f t="shared" si="1"/>
        <v>3.42</v>
      </c>
      <c r="G20">
        <f t="shared" si="2"/>
        <v>0</v>
      </c>
      <c r="H20">
        <f t="shared" si="5"/>
        <v>0.4</v>
      </c>
      <c r="I20">
        <f t="shared" si="3"/>
        <v>0.85</v>
      </c>
      <c r="J20">
        <f t="shared" si="4"/>
        <v>2.8</v>
      </c>
    </row>
    <row r="21" spans="1:10" ht="13.2" x14ac:dyDescent="0.25">
      <c r="A21" t="s">
        <v>70</v>
      </c>
      <c r="B21" t="s">
        <v>10</v>
      </c>
      <c r="C21" t="s">
        <v>30</v>
      </c>
      <c r="D21">
        <v>0.7</v>
      </c>
      <c r="E21">
        <f t="shared" si="0"/>
        <v>1.1599999999999999</v>
      </c>
      <c r="F21">
        <f t="shared" si="1"/>
        <v>3.42</v>
      </c>
      <c r="G21">
        <f t="shared" si="2"/>
        <v>0</v>
      </c>
      <c r="H21">
        <f t="shared" si="5"/>
        <v>0.3</v>
      </c>
      <c r="I21">
        <f t="shared" si="3"/>
        <v>0.85</v>
      </c>
      <c r="J21">
        <f t="shared" si="4"/>
        <v>2.8</v>
      </c>
    </row>
    <row r="22" spans="1:10" ht="13.2" x14ac:dyDescent="0.25">
      <c r="A22" t="s">
        <v>70</v>
      </c>
      <c r="B22" t="s">
        <v>10</v>
      </c>
      <c r="C22" t="s">
        <v>31</v>
      </c>
      <c r="D22">
        <v>0.4</v>
      </c>
      <c r="E22">
        <f t="shared" si="0"/>
        <v>1.1599999999999999</v>
      </c>
      <c r="F22">
        <f t="shared" si="1"/>
        <v>3.42</v>
      </c>
      <c r="G22">
        <f t="shared" si="2"/>
        <v>0</v>
      </c>
      <c r="H22">
        <f t="shared" si="5"/>
        <v>0.3</v>
      </c>
      <c r="I22">
        <f t="shared" si="3"/>
        <v>0.85</v>
      </c>
      <c r="J22">
        <f t="shared" si="4"/>
        <v>2.8</v>
      </c>
    </row>
    <row r="23" spans="1:10" ht="13.2" x14ac:dyDescent="0.25">
      <c r="A23" t="s">
        <v>70</v>
      </c>
      <c r="B23" t="s">
        <v>10</v>
      </c>
      <c r="C23" t="s">
        <v>32</v>
      </c>
      <c r="D23">
        <v>0.4</v>
      </c>
      <c r="E23">
        <f t="shared" si="0"/>
        <v>1.1599999999999999</v>
      </c>
      <c r="F23">
        <f t="shared" si="1"/>
        <v>3.42</v>
      </c>
      <c r="G23">
        <f t="shared" si="2"/>
        <v>0</v>
      </c>
      <c r="H23">
        <f t="shared" si="5"/>
        <v>0</v>
      </c>
      <c r="I23">
        <f t="shared" si="3"/>
        <v>0.85</v>
      </c>
      <c r="J23">
        <f t="shared" si="4"/>
        <v>2.8</v>
      </c>
    </row>
    <row r="24" spans="1:10" ht="13.2" x14ac:dyDescent="0.25">
      <c r="A24" t="s">
        <v>70</v>
      </c>
      <c r="B24" t="s">
        <v>10</v>
      </c>
      <c r="C24" t="s">
        <v>33</v>
      </c>
      <c r="D24">
        <v>0.7</v>
      </c>
      <c r="E24">
        <f t="shared" si="0"/>
        <v>1.1599999999999999</v>
      </c>
      <c r="F24">
        <f t="shared" si="1"/>
        <v>3.42</v>
      </c>
      <c r="G24">
        <f t="shared" si="2"/>
        <v>0</v>
      </c>
      <c r="H24">
        <f t="shared" si="5"/>
        <v>0.3</v>
      </c>
      <c r="I24">
        <f t="shared" si="3"/>
        <v>0.85</v>
      </c>
      <c r="J24">
        <f t="shared" si="4"/>
        <v>2.8</v>
      </c>
    </row>
    <row r="25" spans="1:10" ht="13.2" x14ac:dyDescent="0.25">
      <c r="A25" t="s">
        <v>70</v>
      </c>
      <c r="B25" t="s">
        <v>10</v>
      </c>
      <c r="C25" t="s">
        <v>34</v>
      </c>
      <c r="D25">
        <v>0.6</v>
      </c>
      <c r="E25">
        <f t="shared" si="0"/>
        <v>1.1599999999999999</v>
      </c>
      <c r="F25">
        <f t="shared" si="1"/>
        <v>3.42</v>
      </c>
      <c r="G25">
        <f t="shared" si="2"/>
        <v>0</v>
      </c>
      <c r="H25">
        <f t="shared" si="5"/>
        <v>0.1</v>
      </c>
      <c r="I25">
        <f t="shared" si="3"/>
        <v>0.85</v>
      </c>
      <c r="J25">
        <f t="shared" si="4"/>
        <v>2.8</v>
      </c>
    </row>
    <row r="26" spans="1:10" ht="13.2" x14ac:dyDescent="0.25">
      <c r="A26" t="s">
        <v>70</v>
      </c>
      <c r="B26" t="s">
        <v>10</v>
      </c>
      <c r="C26" t="s">
        <v>35</v>
      </c>
      <c r="D26">
        <v>0.8</v>
      </c>
      <c r="E26">
        <f t="shared" si="0"/>
        <v>1.1599999999999999</v>
      </c>
      <c r="F26">
        <f t="shared" si="1"/>
        <v>3.42</v>
      </c>
      <c r="G26">
        <f t="shared" si="2"/>
        <v>0</v>
      </c>
      <c r="H26">
        <f t="shared" si="5"/>
        <v>0.2</v>
      </c>
      <c r="I26">
        <f t="shared" si="3"/>
        <v>0.85</v>
      </c>
      <c r="J26">
        <f t="shared" si="4"/>
        <v>2.8</v>
      </c>
    </row>
    <row r="27" spans="1:10" ht="13.2" x14ac:dyDescent="0.25">
      <c r="A27" t="s">
        <v>70</v>
      </c>
      <c r="B27" t="s">
        <v>10</v>
      </c>
      <c r="C27" t="s">
        <v>36</v>
      </c>
      <c r="D27">
        <v>1.4</v>
      </c>
      <c r="E27">
        <f t="shared" si="0"/>
        <v>1.1599999999999999</v>
      </c>
      <c r="F27">
        <f t="shared" si="1"/>
        <v>3.42</v>
      </c>
      <c r="G27">
        <f t="shared" si="2"/>
        <v>0</v>
      </c>
      <c r="H27">
        <f t="shared" si="5"/>
        <v>0.6</v>
      </c>
      <c r="I27">
        <f t="shared" si="3"/>
        <v>0.85</v>
      </c>
      <c r="J27">
        <f t="shared" si="4"/>
        <v>2.8</v>
      </c>
    </row>
    <row r="28" spans="1:10" ht="13.2" x14ac:dyDescent="0.25">
      <c r="A28" t="s">
        <v>70</v>
      </c>
      <c r="B28" t="s">
        <v>10</v>
      </c>
      <c r="C28" t="s">
        <v>37</v>
      </c>
      <c r="D28">
        <v>0.8</v>
      </c>
      <c r="E28">
        <f t="shared" si="0"/>
        <v>1.1599999999999999</v>
      </c>
      <c r="F28">
        <f t="shared" si="1"/>
        <v>3.42</v>
      </c>
      <c r="G28">
        <f t="shared" si="2"/>
        <v>0</v>
      </c>
      <c r="H28">
        <f t="shared" si="5"/>
        <v>0.6</v>
      </c>
      <c r="I28">
        <f t="shared" si="3"/>
        <v>0.85</v>
      </c>
      <c r="J28">
        <f t="shared" si="4"/>
        <v>2.8</v>
      </c>
    </row>
    <row r="29" spans="1:10" ht="13.2" x14ac:dyDescent="0.25">
      <c r="A29" t="s">
        <v>70</v>
      </c>
      <c r="B29" t="s">
        <v>10</v>
      </c>
      <c r="C29" t="s">
        <v>38</v>
      </c>
      <c r="D29">
        <v>1.9</v>
      </c>
      <c r="E29">
        <f t="shared" si="0"/>
        <v>1.1599999999999999</v>
      </c>
      <c r="F29">
        <f t="shared" si="1"/>
        <v>3.42</v>
      </c>
      <c r="G29">
        <f t="shared" si="2"/>
        <v>0</v>
      </c>
      <c r="H29">
        <f t="shared" si="5"/>
        <v>1.1000000000000001</v>
      </c>
      <c r="I29">
        <f t="shared" si="3"/>
        <v>0.85</v>
      </c>
      <c r="J29">
        <f t="shared" si="4"/>
        <v>2.8</v>
      </c>
    </row>
    <row r="30" spans="1:10" ht="13.2" x14ac:dyDescent="0.25">
      <c r="A30" t="s">
        <v>70</v>
      </c>
      <c r="B30" t="s">
        <v>10</v>
      </c>
      <c r="C30" t="s">
        <v>39</v>
      </c>
      <c r="D30">
        <v>0.6</v>
      </c>
      <c r="E30">
        <f t="shared" si="0"/>
        <v>1.1599999999999999</v>
      </c>
      <c r="F30">
        <f t="shared" si="1"/>
        <v>3.42</v>
      </c>
      <c r="G30">
        <f t="shared" si="2"/>
        <v>0</v>
      </c>
      <c r="H30">
        <f t="shared" si="5"/>
        <v>1.3</v>
      </c>
      <c r="I30">
        <f t="shared" si="3"/>
        <v>0.85</v>
      </c>
      <c r="J30">
        <f t="shared" si="4"/>
        <v>2.8</v>
      </c>
    </row>
    <row r="31" spans="1:10" ht="13.2" x14ac:dyDescent="0.25">
      <c r="A31" t="s">
        <v>70</v>
      </c>
      <c r="B31" t="s">
        <v>10</v>
      </c>
      <c r="C31" t="s">
        <v>40</v>
      </c>
      <c r="D31">
        <v>1.1000000000000001</v>
      </c>
      <c r="E31">
        <f t="shared" si="0"/>
        <v>1.1599999999999999</v>
      </c>
      <c r="F31">
        <f t="shared" si="1"/>
        <v>3.42</v>
      </c>
      <c r="G31">
        <f t="shared" si="2"/>
        <v>0</v>
      </c>
      <c r="H31">
        <f t="shared" si="5"/>
        <v>0.5</v>
      </c>
      <c r="I31">
        <f t="shared" si="3"/>
        <v>0.85</v>
      </c>
      <c r="J31">
        <f t="shared" si="4"/>
        <v>2.8</v>
      </c>
    </row>
    <row r="32" spans="1:10" ht="13.2" x14ac:dyDescent="0.25">
      <c r="A32" t="s">
        <v>70</v>
      </c>
      <c r="B32" t="s">
        <v>10</v>
      </c>
      <c r="C32" t="s">
        <v>41</v>
      </c>
      <c r="D32">
        <v>3.2</v>
      </c>
      <c r="E32">
        <f t="shared" si="0"/>
        <v>1.1599999999999999</v>
      </c>
      <c r="F32">
        <f t="shared" si="1"/>
        <v>3.42</v>
      </c>
      <c r="G32">
        <f t="shared" si="2"/>
        <v>0</v>
      </c>
      <c r="H32">
        <f t="shared" si="5"/>
        <v>2.1</v>
      </c>
      <c r="I32">
        <f t="shared" si="3"/>
        <v>0.85</v>
      </c>
      <c r="J32">
        <f t="shared" si="4"/>
        <v>2.8</v>
      </c>
    </row>
    <row r="33" spans="1:10" ht="13.2" x14ac:dyDescent="0.25">
      <c r="A33" t="s">
        <v>70</v>
      </c>
      <c r="B33" t="s">
        <v>10</v>
      </c>
      <c r="C33" t="s">
        <v>42</v>
      </c>
      <c r="D33">
        <v>0.7</v>
      </c>
      <c r="E33">
        <f t="shared" si="0"/>
        <v>1.1599999999999999</v>
      </c>
      <c r="F33">
        <f t="shared" si="1"/>
        <v>3.42</v>
      </c>
      <c r="G33">
        <f t="shared" si="2"/>
        <v>0</v>
      </c>
      <c r="H33">
        <f t="shared" si="5"/>
        <v>2.5</v>
      </c>
      <c r="I33">
        <f t="shared" si="3"/>
        <v>0.85</v>
      </c>
      <c r="J33">
        <f t="shared" si="4"/>
        <v>2.8</v>
      </c>
    </row>
    <row r="34" spans="1:10" ht="13.2" x14ac:dyDescent="0.25">
      <c r="A34" t="s">
        <v>70</v>
      </c>
      <c r="B34" t="s">
        <v>10</v>
      </c>
      <c r="C34" t="s">
        <v>43</v>
      </c>
      <c r="D34">
        <v>0.5</v>
      </c>
      <c r="E34">
        <f t="shared" si="0"/>
        <v>1.1599999999999999</v>
      </c>
      <c r="F34">
        <f t="shared" si="1"/>
        <v>3.42</v>
      </c>
      <c r="G34">
        <f t="shared" si="2"/>
        <v>0</v>
      </c>
      <c r="H34">
        <f t="shared" si="5"/>
        <v>0.2</v>
      </c>
      <c r="I34">
        <f t="shared" si="3"/>
        <v>0.85</v>
      </c>
      <c r="J34">
        <f t="shared" si="4"/>
        <v>2.8</v>
      </c>
    </row>
    <row r="35" spans="1:10" ht="13.2" x14ac:dyDescent="0.25">
      <c r="A35" t="s">
        <v>70</v>
      </c>
      <c r="B35" t="s">
        <v>10</v>
      </c>
      <c r="C35" t="s">
        <v>44</v>
      </c>
      <c r="D35">
        <v>0.9</v>
      </c>
      <c r="E35">
        <f t="shared" si="0"/>
        <v>1.1599999999999999</v>
      </c>
      <c r="F35">
        <f t="shared" si="1"/>
        <v>3.42</v>
      </c>
      <c r="G35">
        <f t="shared" si="2"/>
        <v>0</v>
      </c>
      <c r="H35">
        <f t="shared" si="5"/>
        <v>0.4</v>
      </c>
      <c r="I35">
        <f t="shared" si="3"/>
        <v>0.85</v>
      </c>
      <c r="J35">
        <f t="shared" si="4"/>
        <v>2.8</v>
      </c>
    </row>
    <row r="36" spans="1:10" ht="13.2" x14ac:dyDescent="0.25">
      <c r="A36" t="s">
        <v>70</v>
      </c>
      <c r="B36" t="s">
        <v>10</v>
      </c>
      <c r="C36" t="s">
        <v>45</v>
      </c>
      <c r="D36">
        <v>2.2000000000000002</v>
      </c>
      <c r="E36">
        <f t="shared" si="0"/>
        <v>1.1599999999999999</v>
      </c>
      <c r="F36">
        <f t="shared" si="1"/>
        <v>3.42</v>
      </c>
      <c r="G36">
        <f t="shared" si="2"/>
        <v>0</v>
      </c>
      <c r="H36">
        <f t="shared" si="5"/>
        <v>1.3</v>
      </c>
      <c r="I36">
        <f t="shared" si="3"/>
        <v>0.85</v>
      </c>
      <c r="J36">
        <f t="shared" si="4"/>
        <v>2.8</v>
      </c>
    </row>
    <row r="37" spans="1:10" ht="13.2" x14ac:dyDescent="0.25">
      <c r="A37" t="s">
        <v>70</v>
      </c>
      <c r="B37" t="s">
        <v>10</v>
      </c>
      <c r="C37" t="s">
        <v>46</v>
      </c>
      <c r="D37">
        <v>5</v>
      </c>
      <c r="E37">
        <f t="shared" si="0"/>
        <v>1.1599999999999999</v>
      </c>
      <c r="F37">
        <f t="shared" si="1"/>
        <v>3.42</v>
      </c>
      <c r="G37">
        <f t="shared" si="2"/>
        <v>0</v>
      </c>
      <c r="H37">
        <f t="shared" si="5"/>
        <v>2.8</v>
      </c>
      <c r="I37">
        <f t="shared" si="3"/>
        <v>0.85</v>
      </c>
      <c r="J37">
        <f t="shared" si="4"/>
        <v>2.8</v>
      </c>
    </row>
    <row r="38" spans="1:10" ht="13.2" x14ac:dyDescent="0.25">
      <c r="A38" t="s">
        <v>70</v>
      </c>
      <c r="B38" t="s">
        <v>10</v>
      </c>
      <c r="C38" t="s">
        <v>47</v>
      </c>
      <c r="D38">
        <v>2.5</v>
      </c>
      <c r="E38">
        <f t="shared" si="0"/>
        <v>1.1599999999999999</v>
      </c>
      <c r="F38">
        <f t="shared" si="1"/>
        <v>3.42</v>
      </c>
      <c r="G38">
        <f t="shared" si="2"/>
        <v>0</v>
      </c>
      <c r="H38">
        <f t="shared" si="5"/>
        <v>2.5</v>
      </c>
      <c r="I38">
        <f t="shared" si="3"/>
        <v>0.85</v>
      </c>
      <c r="J38">
        <f t="shared" si="4"/>
        <v>2.8</v>
      </c>
    </row>
    <row r="39" spans="1:10" ht="13.2" x14ac:dyDescent="0.25">
      <c r="A39" t="s">
        <v>70</v>
      </c>
      <c r="B39" t="s">
        <v>10</v>
      </c>
      <c r="C39" t="s">
        <v>48</v>
      </c>
      <c r="D39">
        <v>1.7</v>
      </c>
      <c r="E39">
        <f t="shared" si="0"/>
        <v>1.1599999999999999</v>
      </c>
      <c r="F39">
        <f t="shared" si="1"/>
        <v>3.42</v>
      </c>
      <c r="G39">
        <f t="shared" si="2"/>
        <v>0</v>
      </c>
      <c r="H39">
        <f t="shared" si="5"/>
        <v>0.8</v>
      </c>
      <c r="I39">
        <f t="shared" si="3"/>
        <v>0.85</v>
      </c>
      <c r="J39">
        <f t="shared" si="4"/>
        <v>2.8</v>
      </c>
    </row>
    <row r="40" spans="1:10" ht="13.2" x14ac:dyDescent="0.25">
      <c r="A40" t="s">
        <v>70</v>
      </c>
      <c r="B40" t="s">
        <v>10</v>
      </c>
      <c r="C40" t="s">
        <v>49</v>
      </c>
      <c r="D40">
        <v>0.8</v>
      </c>
      <c r="E40">
        <f t="shared" si="0"/>
        <v>1.1599999999999999</v>
      </c>
      <c r="F40">
        <f t="shared" si="1"/>
        <v>3.42</v>
      </c>
      <c r="G40">
        <f t="shared" si="2"/>
        <v>0</v>
      </c>
      <c r="H40">
        <f t="shared" si="5"/>
        <v>0.9</v>
      </c>
      <c r="I40">
        <f t="shared" si="3"/>
        <v>0.85</v>
      </c>
      <c r="J40">
        <f t="shared" si="4"/>
        <v>2.8</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9"/>
  <sheetViews>
    <sheetView workbookViewId="0">
      <selection activeCell="E2" sqref="E2:J3"/>
    </sheetView>
  </sheetViews>
  <sheetFormatPr defaultColWidth="12.6640625" defaultRowHeight="15.75" customHeight="1" x14ac:dyDescent="0.25"/>
  <cols>
    <col min="1" max="1" width="20.77734375" bestFit="1" customWidth="1"/>
    <col min="2" max="2" width="22.77734375" bestFit="1" customWidth="1"/>
    <col min="3" max="3" width="7.109375" bestFit="1" customWidth="1"/>
    <col min="4" max="4" width="6.88671875" bestFit="1" customWidth="1"/>
    <col min="5" max="5" width="7.6640625" bestFit="1" customWidth="1"/>
    <col min="6" max="6" width="6.6640625" bestFit="1" customWidth="1"/>
    <col min="7" max="7" width="6.44140625" bestFit="1" customWidth="1"/>
    <col min="8" max="8" width="7.77734375" bestFit="1" customWidth="1"/>
    <col min="9" max="9" width="10" bestFit="1" customWidth="1"/>
    <col min="10" max="10" width="6.6640625" bestFit="1" customWidth="1"/>
  </cols>
  <sheetData>
    <row r="1" spans="1:12" ht="13.2" x14ac:dyDescent="0.25">
      <c r="A1" s="4" t="s">
        <v>69</v>
      </c>
      <c r="B1" s="4" t="s">
        <v>1</v>
      </c>
      <c r="C1" s="4" t="s">
        <v>2</v>
      </c>
      <c r="D1" s="11" t="s">
        <v>3</v>
      </c>
      <c r="E1" s="11" t="s">
        <v>4</v>
      </c>
      <c r="F1" s="13" t="s">
        <v>5</v>
      </c>
      <c r="G1" s="14" t="s">
        <v>6</v>
      </c>
      <c r="H1" s="15" t="s">
        <v>7</v>
      </c>
      <c r="I1" s="15" t="s">
        <v>8</v>
      </c>
      <c r="J1" s="9" t="s">
        <v>9</v>
      </c>
      <c r="L1" s="8"/>
    </row>
    <row r="2" spans="1:12" ht="13.2" x14ac:dyDescent="0.25">
      <c r="A2" s="1" t="s">
        <v>70</v>
      </c>
      <c r="B2" s="2" t="s">
        <v>50</v>
      </c>
      <c r="C2" s="10" t="s">
        <v>51</v>
      </c>
      <c r="D2">
        <v>7.5</v>
      </c>
      <c r="E2" s="5">
        <f t="shared" ref="E2:E19" si="0">ROUND(AVERAGE($D$2:$D$19),2)</f>
        <v>5.91</v>
      </c>
      <c r="F2" s="5">
        <f t="shared" ref="F2:F19" si="1">ROUND(E2+(2.66*I2),2)</f>
        <v>12.88</v>
      </c>
      <c r="G2" s="7">
        <f t="shared" ref="G2:G19" si="2">ROUND(MAX(0,E2-(2.66*I2)),2)</f>
        <v>0</v>
      </c>
      <c r="H2" s="6"/>
      <c r="I2" s="6">
        <f t="shared" ref="I2:I19" si="3">ROUND(AVERAGE($H$3:$H$19),2)</f>
        <v>2.62</v>
      </c>
      <c r="J2">
        <f t="shared" ref="J2:J19" si="4">ROUND(3.268*I2,2)</f>
        <v>8.56</v>
      </c>
      <c r="L2" s="8"/>
    </row>
    <row r="3" spans="1:12" ht="13.2" x14ac:dyDescent="0.25">
      <c r="A3" s="1" t="s">
        <v>70</v>
      </c>
      <c r="B3" s="2" t="s">
        <v>50</v>
      </c>
      <c r="C3" s="10" t="s">
        <v>52</v>
      </c>
      <c r="D3">
        <v>4.9000000000000004</v>
      </c>
      <c r="E3" s="5">
        <f t="shared" si="0"/>
        <v>5.91</v>
      </c>
      <c r="F3" s="5">
        <f t="shared" si="1"/>
        <v>12.88</v>
      </c>
      <c r="G3" s="7">
        <f t="shared" si="2"/>
        <v>0</v>
      </c>
      <c r="H3" s="7">
        <f>ROUND(ABS(D2-D3),1)</f>
        <v>2.6</v>
      </c>
      <c r="I3" s="6">
        <f t="shared" si="3"/>
        <v>2.62</v>
      </c>
      <c r="J3">
        <f t="shared" si="4"/>
        <v>8.56</v>
      </c>
      <c r="L3" s="3"/>
    </row>
    <row r="4" spans="1:12" ht="13.2" x14ac:dyDescent="0.25">
      <c r="A4" s="1" t="s">
        <v>70</v>
      </c>
      <c r="B4" s="2" t="s">
        <v>50</v>
      </c>
      <c r="C4" s="10" t="s">
        <v>53</v>
      </c>
      <c r="D4">
        <v>8.8000000000000007</v>
      </c>
      <c r="E4" s="5">
        <f t="shared" si="0"/>
        <v>5.91</v>
      </c>
      <c r="F4" s="5">
        <f t="shared" si="1"/>
        <v>12.88</v>
      </c>
      <c r="G4" s="7">
        <f t="shared" si="2"/>
        <v>0</v>
      </c>
      <c r="H4" s="7">
        <f t="shared" ref="H4:H19" si="5">ROUND(ABS(D3-D4),1)</f>
        <v>3.9</v>
      </c>
      <c r="I4" s="6">
        <f t="shared" si="3"/>
        <v>2.62</v>
      </c>
      <c r="J4">
        <f t="shared" si="4"/>
        <v>8.56</v>
      </c>
    </row>
    <row r="5" spans="1:12" ht="13.2" x14ac:dyDescent="0.25">
      <c r="A5" s="1" t="s">
        <v>70</v>
      </c>
      <c r="B5" s="2" t="s">
        <v>50</v>
      </c>
      <c r="C5" s="10" t="s">
        <v>54</v>
      </c>
      <c r="D5">
        <v>8.1</v>
      </c>
      <c r="E5" s="5">
        <f t="shared" si="0"/>
        <v>5.91</v>
      </c>
      <c r="F5" s="5">
        <f t="shared" si="1"/>
        <v>12.88</v>
      </c>
      <c r="G5" s="7">
        <f t="shared" si="2"/>
        <v>0</v>
      </c>
      <c r="H5" s="7">
        <f t="shared" si="5"/>
        <v>0.7</v>
      </c>
      <c r="I5" s="6">
        <f t="shared" si="3"/>
        <v>2.62</v>
      </c>
      <c r="J5">
        <f t="shared" si="4"/>
        <v>8.56</v>
      </c>
    </row>
    <row r="6" spans="1:12" ht="13.2" x14ac:dyDescent="0.25">
      <c r="A6" s="1" t="s">
        <v>70</v>
      </c>
      <c r="B6" s="2" t="s">
        <v>50</v>
      </c>
      <c r="C6" s="10" t="s">
        <v>55</v>
      </c>
      <c r="D6">
        <v>2.2000000000000002</v>
      </c>
      <c r="E6" s="5">
        <f t="shared" si="0"/>
        <v>5.91</v>
      </c>
      <c r="F6" s="5">
        <f t="shared" si="1"/>
        <v>12.88</v>
      </c>
      <c r="G6" s="7">
        <f t="shared" si="2"/>
        <v>0</v>
      </c>
      <c r="H6" s="7">
        <f t="shared" si="5"/>
        <v>5.9</v>
      </c>
      <c r="I6" s="6">
        <f t="shared" si="3"/>
        <v>2.62</v>
      </c>
      <c r="J6">
        <f t="shared" si="4"/>
        <v>8.56</v>
      </c>
    </row>
    <row r="7" spans="1:12" ht="13.2" x14ac:dyDescent="0.25">
      <c r="A7" s="1" t="s">
        <v>70</v>
      </c>
      <c r="B7" s="2" t="s">
        <v>50</v>
      </c>
      <c r="C7" s="10" t="s">
        <v>56</v>
      </c>
      <c r="D7">
        <v>3.6</v>
      </c>
      <c r="E7" s="5">
        <f t="shared" si="0"/>
        <v>5.91</v>
      </c>
      <c r="F7" s="5">
        <f t="shared" si="1"/>
        <v>12.88</v>
      </c>
      <c r="G7" s="7">
        <f t="shared" si="2"/>
        <v>0</v>
      </c>
      <c r="H7" s="7">
        <f t="shared" si="5"/>
        <v>1.4</v>
      </c>
      <c r="I7" s="6">
        <f t="shared" si="3"/>
        <v>2.62</v>
      </c>
      <c r="J7">
        <f t="shared" si="4"/>
        <v>8.56</v>
      </c>
    </row>
    <row r="8" spans="1:12" ht="13.2" x14ac:dyDescent="0.25">
      <c r="A8" t="s">
        <v>70</v>
      </c>
      <c r="B8" t="s">
        <v>50</v>
      </c>
      <c r="C8" s="12" t="s">
        <v>57</v>
      </c>
      <c r="D8">
        <v>4.5999999999999996</v>
      </c>
      <c r="E8" s="16">
        <f t="shared" si="0"/>
        <v>5.91</v>
      </c>
      <c r="F8" s="16">
        <f t="shared" si="1"/>
        <v>12.88</v>
      </c>
      <c r="G8" s="18">
        <f t="shared" si="2"/>
        <v>0</v>
      </c>
      <c r="H8" s="7">
        <f t="shared" si="5"/>
        <v>1</v>
      </c>
      <c r="I8" s="17">
        <f t="shared" si="3"/>
        <v>2.62</v>
      </c>
      <c r="J8">
        <f t="shared" si="4"/>
        <v>8.56</v>
      </c>
    </row>
    <row r="9" spans="1:12" ht="13.2" x14ac:dyDescent="0.25">
      <c r="A9" t="s">
        <v>70</v>
      </c>
      <c r="B9" t="s">
        <v>50</v>
      </c>
      <c r="C9" s="12" t="s">
        <v>58</v>
      </c>
      <c r="D9">
        <v>4</v>
      </c>
      <c r="E9" s="16">
        <f t="shared" si="0"/>
        <v>5.91</v>
      </c>
      <c r="F9" s="16">
        <f t="shared" si="1"/>
        <v>12.88</v>
      </c>
      <c r="G9" s="18">
        <f t="shared" si="2"/>
        <v>0</v>
      </c>
      <c r="H9" s="7">
        <f t="shared" si="5"/>
        <v>0.6</v>
      </c>
      <c r="I9" s="17">
        <f t="shared" si="3"/>
        <v>2.62</v>
      </c>
      <c r="J9">
        <f t="shared" si="4"/>
        <v>8.56</v>
      </c>
    </row>
    <row r="10" spans="1:12" ht="13.2" x14ac:dyDescent="0.25">
      <c r="A10" t="s">
        <v>70</v>
      </c>
      <c r="B10" t="s">
        <v>50</v>
      </c>
      <c r="C10" s="12" t="s">
        <v>59</v>
      </c>
      <c r="D10">
        <v>6.6</v>
      </c>
      <c r="E10" s="16">
        <f t="shared" si="0"/>
        <v>5.91</v>
      </c>
      <c r="F10" s="16">
        <f t="shared" si="1"/>
        <v>12.88</v>
      </c>
      <c r="G10" s="18">
        <f t="shared" si="2"/>
        <v>0</v>
      </c>
      <c r="H10" s="7">
        <f t="shared" si="5"/>
        <v>2.6</v>
      </c>
      <c r="I10" s="17">
        <f t="shared" si="3"/>
        <v>2.62</v>
      </c>
      <c r="J10">
        <f t="shared" si="4"/>
        <v>8.56</v>
      </c>
    </row>
    <row r="11" spans="1:12" ht="13.2" x14ac:dyDescent="0.25">
      <c r="A11" t="s">
        <v>70</v>
      </c>
      <c r="B11" t="s">
        <v>50</v>
      </c>
      <c r="C11" s="12" t="s">
        <v>60</v>
      </c>
      <c r="D11">
        <v>3.2</v>
      </c>
      <c r="E11" s="16">
        <f t="shared" si="0"/>
        <v>5.91</v>
      </c>
      <c r="F11" s="16">
        <f t="shared" si="1"/>
        <v>12.88</v>
      </c>
      <c r="G11" s="18">
        <f t="shared" si="2"/>
        <v>0</v>
      </c>
      <c r="H11" s="7">
        <f t="shared" si="5"/>
        <v>3.4</v>
      </c>
      <c r="I11" s="17">
        <f t="shared" si="3"/>
        <v>2.62</v>
      </c>
      <c r="J11">
        <f t="shared" si="4"/>
        <v>8.56</v>
      </c>
    </row>
    <row r="12" spans="1:12" ht="13.2" x14ac:dyDescent="0.25">
      <c r="A12" t="s">
        <v>70</v>
      </c>
      <c r="B12" t="s">
        <v>50</v>
      </c>
      <c r="C12" s="12" t="s">
        <v>61</v>
      </c>
      <c r="D12">
        <v>5.3</v>
      </c>
      <c r="E12" s="16">
        <f t="shared" si="0"/>
        <v>5.91</v>
      </c>
      <c r="F12" s="16">
        <f t="shared" si="1"/>
        <v>12.88</v>
      </c>
      <c r="G12" s="18">
        <f t="shared" si="2"/>
        <v>0</v>
      </c>
      <c r="H12" s="7">
        <f t="shared" si="5"/>
        <v>2.1</v>
      </c>
      <c r="I12" s="17">
        <f t="shared" si="3"/>
        <v>2.62</v>
      </c>
      <c r="J12">
        <f t="shared" si="4"/>
        <v>8.56</v>
      </c>
    </row>
    <row r="13" spans="1:12" ht="13.2" x14ac:dyDescent="0.25">
      <c r="A13" t="s">
        <v>70</v>
      </c>
      <c r="B13" t="s">
        <v>50</v>
      </c>
      <c r="C13" s="12" t="s">
        <v>62</v>
      </c>
      <c r="D13">
        <v>7.7</v>
      </c>
      <c r="E13" s="16">
        <f t="shared" si="0"/>
        <v>5.91</v>
      </c>
      <c r="F13" s="16">
        <f t="shared" si="1"/>
        <v>12.88</v>
      </c>
      <c r="G13" s="18">
        <f t="shared" si="2"/>
        <v>0</v>
      </c>
      <c r="H13" s="7">
        <f t="shared" si="5"/>
        <v>2.4</v>
      </c>
      <c r="I13" s="17">
        <f t="shared" si="3"/>
        <v>2.62</v>
      </c>
      <c r="J13">
        <f t="shared" si="4"/>
        <v>8.56</v>
      </c>
    </row>
    <row r="14" spans="1:12" ht="13.2" x14ac:dyDescent="0.25">
      <c r="A14" t="s">
        <v>70</v>
      </c>
      <c r="B14" t="s">
        <v>50</v>
      </c>
      <c r="C14" s="12" t="s">
        <v>63</v>
      </c>
      <c r="D14">
        <v>5.6</v>
      </c>
      <c r="E14" s="16">
        <f t="shared" si="0"/>
        <v>5.91</v>
      </c>
      <c r="F14" s="16">
        <f t="shared" si="1"/>
        <v>12.88</v>
      </c>
      <c r="G14" s="18">
        <f t="shared" si="2"/>
        <v>0</v>
      </c>
      <c r="H14" s="7">
        <f t="shared" si="5"/>
        <v>2.1</v>
      </c>
      <c r="I14" s="17">
        <f t="shared" si="3"/>
        <v>2.62</v>
      </c>
      <c r="J14">
        <f t="shared" si="4"/>
        <v>8.56</v>
      </c>
    </row>
    <row r="15" spans="1:12" ht="13.2" x14ac:dyDescent="0.25">
      <c r="A15" t="s">
        <v>70</v>
      </c>
      <c r="B15" t="s">
        <v>50</v>
      </c>
      <c r="C15" s="12" t="s">
        <v>64</v>
      </c>
      <c r="D15">
        <v>7.5</v>
      </c>
      <c r="E15" s="16">
        <f t="shared" si="0"/>
        <v>5.91</v>
      </c>
      <c r="F15" s="16">
        <f t="shared" si="1"/>
        <v>12.88</v>
      </c>
      <c r="G15" s="18">
        <f t="shared" si="2"/>
        <v>0</v>
      </c>
      <c r="H15" s="7">
        <f t="shared" si="5"/>
        <v>1.9</v>
      </c>
      <c r="I15" s="17">
        <f t="shared" si="3"/>
        <v>2.62</v>
      </c>
      <c r="J15">
        <f t="shared" si="4"/>
        <v>8.56</v>
      </c>
    </row>
    <row r="16" spans="1:12" ht="13.2" x14ac:dyDescent="0.25">
      <c r="A16" t="s">
        <v>70</v>
      </c>
      <c r="B16" t="s">
        <v>50</v>
      </c>
      <c r="C16" s="12" t="s">
        <v>65</v>
      </c>
      <c r="D16">
        <v>9.1</v>
      </c>
      <c r="E16" s="16">
        <f t="shared" si="0"/>
        <v>5.91</v>
      </c>
      <c r="F16" s="16">
        <f t="shared" si="1"/>
        <v>12.88</v>
      </c>
      <c r="G16" s="18">
        <f t="shared" si="2"/>
        <v>0</v>
      </c>
      <c r="H16" s="7">
        <f t="shared" si="5"/>
        <v>1.6</v>
      </c>
      <c r="I16" s="17">
        <f t="shared" si="3"/>
        <v>2.62</v>
      </c>
      <c r="J16">
        <f t="shared" si="4"/>
        <v>8.56</v>
      </c>
    </row>
    <row r="17" spans="1:10" ht="13.2" x14ac:dyDescent="0.25">
      <c r="A17" t="s">
        <v>70</v>
      </c>
      <c r="B17" t="s">
        <v>50</v>
      </c>
      <c r="C17" s="12" t="s">
        <v>66</v>
      </c>
      <c r="D17">
        <v>3</v>
      </c>
      <c r="E17" s="16">
        <f t="shared" si="0"/>
        <v>5.91</v>
      </c>
      <c r="F17" s="16">
        <f t="shared" si="1"/>
        <v>12.88</v>
      </c>
      <c r="G17" s="18">
        <f t="shared" si="2"/>
        <v>0</v>
      </c>
      <c r="H17" s="7">
        <f t="shared" si="5"/>
        <v>6.1</v>
      </c>
      <c r="I17" s="17">
        <f t="shared" si="3"/>
        <v>2.62</v>
      </c>
      <c r="J17">
        <f t="shared" si="4"/>
        <v>8.56</v>
      </c>
    </row>
    <row r="18" spans="1:10" ht="13.2" x14ac:dyDescent="0.25">
      <c r="A18" t="s">
        <v>70</v>
      </c>
      <c r="B18" t="s">
        <v>50</v>
      </c>
      <c r="C18" s="12" t="s">
        <v>67</v>
      </c>
      <c r="D18">
        <v>5.4</v>
      </c>
      <c r="E18" s="16">
        <f t="shared" si="0"/>
        <v>5.91</v>
      </c>
      <c r="F18" s="16">
        <f t="shared" si="1"/>
        <v>12.88</v>
      </c>
      <c r="G18" s="18">
        <f t="shared" si="2"/>
        <v>0</v>
      </c>
      <c r="H18" s="7">
        <f t="shared" si="5"/>
        <v>2.4</v>
      </c>
      <c r="I18" s="17">
        <f t="shared" si="3"/>
        <v>2.62</v>
      </c>
      <c r="J18">
        <f t="shared" si="4"/>
        <v>8.56</v>
      </c>
    </row>
    <row r="19" spans="1:10" ht="13.2" x14ac:dyDescent="0.25">
      <c r="A19" t="s">
        <v>70</v>
      </c>
      <c r="B19" t="s">
        <v>50</v>
      </c>
      <c r="C19" s="12" t="s">
        <v>68</v>
      </c>
      <c r="D19">
        <v>9.1999999999999993</v>
      </c>
      <c r="E19" s="16">
        <f t="shared" si="0"/>
        <v>5.91</v>
      </c>
      <c r="F19" s="16">
        <f t="shared" si="1"/>
        <v>12.88</v>
      </c>
      <c r="G19" s="18">
        <f t="shared" si="2"/>
        <v>0</v>
      </c>
      <c r="H19" s="7">
        <f t="shared" si="5"/>
        <v>3.8</v>
      </c>
      <c r="I19" s="17">
        <f t="shared" si="3"/>
        <v>2.62</v>
      </c>
      <c r="J19">
        <f t="shared" si="4"/>
        <v>8.56</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456F-6474-4201-AB24-A4A43F2C33AB}">
  <sheetPr>
    <outlinePr summaryBelow="0" summaryRight="0"/>
  </sheetPr>
  <dimension ref="A1:J60"/>
  <sheetViews>
    <sheetView topLeftCell="C1" workbookViewId="0">
      <selection activeCell="U32" sqref="U32"/>
    </sheetView>
  </sheetViews>
  <sheetFormatPr defaultColWidth="12.6640625" defaultRowHeight="15.75" customHeight="1" x14ac:dyDescent="0.25"/>
  <cols>
    <col min="1" max="1" width="20.77734375" bestFit="1" customWidth="1"/>
    <col min="2" max="2" width="22.77734375" bestFit="1" customWidth="1"/>
    <col min="3" max="4" width="7.21875" bestFit="1" customWidth="1"/>
    <col min="5" max="5" width="7.6640625" bestFit="1" customWidth="1"/>
    <col min="6" max="6" width="6.6640625" bestFit="1" customWidth="1"/>
    <col min="7" max="7" width="6.44140625" bestFit="1" customWidth="1"/>
    <col min="8" max="8" width="7.77734375" bestFit="1" customWidth="1"/>
    <col min="9" max="9" width="10" bestFit="1" customWidth="1"/>
    <col min="10" max="10" width="6.6640625" bestFit="1" customWidth="1"/>
  </cols>
  <sheetData>
    <row r="1" spans="1:10" ht="13.2" x14ac:dyDescent="0.25">
      <c r="A1" s="4" t="s">
        <v>69</v>
      </c>
      <c r="B1" t="s">
        <v>1</v>
      </c>
      <c r="C1" t="s">
        <v>2</v>
      </c>
      <c r="D1" t="s">
        <v>3</v>
      </c>
      <c r="E1" s="9" t="s">
        <v>4</v>
      </c>
      <c r="F1" s="9" t="s">
        <v>5</v>
      </c>
      <c r="G1" s="9" t="s">
        <v>6</v>
      </c>
      <c r="H1" s="9" t="s">
        <v>7</v>
      </c>
      <c r="I1" s="9" t="s">
        <v>8</v>
      </c>
      <c r="J1" s="9" t="s">
        <v>9</v>
      </c>
    </row>
    <row r="2" spans="1:10" ht="13.2" x14ac:dyDescent="0.25">
      <c r="A2" t="s">
        <v>70</v>
      </c>
      <c r="B2" t="s">
        <v>10</v>
      </c>
      <c r="C2" t="s">
        <v>11</v>
      </c>
      <c r="D2">
        <v>2.1</v>
      </c>
      <c r="E2">
        <f t="shared" ref="E2:E40" si="0">ROUND(AVERAGE($D$2:$D$40),2)</f>
        <v>1.1599999999999999</v>
      </c>
      <c r="F2">
        <f t="shared" ref="F2:F40" si="1">ROUND(E2+(2.66*I2),2)</f>
        <v>3.42</v>
      </c>
      <c r="G2">
        <f t="shared" ref="G2:G40" si="2">ROUND(MAX(0,E2-(2.66*I2)),2)</f>
        <v>0</v>
      </c>
      <c r="I2">
        <f t="shared" ref="I2:I40" si="3">ROUND(AVERAGE($H$3:$H$40),2)</f>
        <v>0.85</v>
      </c>
      <c r="J2">
        <f t="shared" ref="J2:J40" si="4">ROUND(3.268*I2,1)</f>
        <v>2.8</v>
      </c>
    </row>
    <row r="3" spans="1:10" ht="13.2" x14ac:dyDescent="0.25">
      <c r="A3" t="s">
        <v>70</v>
      </c>
      <c r="B3" t="s">
        <v>10</v>
      </c>
      <c r="C3" t="s">
        <v>12</v>
      </c>
      <c r="D3">
        <v>1.4</v>
      </c>
      <c r="E3">
        <f t="shared" si="0"/>
        <v>1.1599999999999999</v>
      </c>
      <c r="F3">
        <f t="shared" si="1"/>
        <v>3.42</v>
      </c>
      <c r="G3">
        <f t="shared" si="2"/>
        <v>0</v>
      </c>
      <c r="H3">
        <f t="shared" ref="H3:H40" si="5">ROUND(ABS(D2-D3),1)</f>
        <v>0.7</v>
      </c>
      <c r="I3">
        <f t="shared" si="3"/>
        <v>0.85</v>
      </c>
      <c r="J3">
        <f t="shared" si="4"/>
        <v>2.8</v>
      </c>
    </row>
    <row r="4" spans="1:10" ht="13.2" x14ac:dyDescent="0.25">
      <c r="A4" t="s">
        <v>70</v>
      </c>
      <c r="B4" t="s">
        <v>10</v>
      </c>
      <c r="C4" t="s">
        <v>13</v>
      </c>
      <c r="D4">
        <v>0.4</v>
      </c>
      <c r="E4">
        <f t="shared" si="0"/>
        <v>1.1599999999999999</v>
      </c>
      <c r="F4">
        <f t="shared" si="1"/>
        <v>3.42</v>
      </c>
      <c r="G4">
        <f t="shared" si="2"/>
        <v>0</v>
      </c>
      <c r="H4">
        <f t="shared" si="5"/>
        <v>1</v>
      </c>
      <c r="I4">
        <f t="shared" si="3"/>
        <v>0.85</v>
      </c>
      <c r="J4">
        <f t="shared" si="4"/>
        <v>2.8</v>
      </c>
    </row>
    <row r="5" spans="1:10" ht="13.2" x14ac:dyDescent="0.25">
      <c r="A5" t="s">
        <v>70</v>
      </c>
      <c r="B5" t="s">
        <v>10</v>
      </c>
      <c r="C5" t="s">
        <v>14</v>
      </c>
      <c r="D5">
        <v>0.4</v>
      </c>
      <c r="E5">
        <f t="shared" si="0"/>
        <v>1.1599999999999999</v>
      </c>
      <c r="F5">
        <f t="shared" si="1"/>
        <v>3.42</v>
      </c>
      <c r="G5">
        <f t="shared" si="2"/>
        <v>0</v>
      </c>
      <c r="H5">
        <f t="shared" si="5"/>
        <v>0</v>
      </c>
      <c r="I5">
        <f t="shared" si="3"/>
        <v>0.85</v>
      </c>
      <c r="J5">
        <f t="shared" si="4"/>
        <v>2.8</v>
      </c>
    </row>
    <row r="6" spans="1:10" ht="13.2" x14ac:dyDescent="0.25">
      <c r="A6" t="s">
        <v>70</v>
      </c>
      <c r="B6" t="s">
        <v>10</v>
      </c>
      <c r="C6" t="s">
        <v>15</v>
      </c>
      <c r="D6">
        <v>0.4</v>
      </c>
      <c r="E6">
        <f t="shared" si="0"/>
        <v>1.1599999999999999</v>
      </c>
      <c r="F6">
        <f t="shared" si="1"/>
        <v>3.42</v>
      </c>
      <c r="G6">
        <f t="shared" si="2"/>
        <v>0</v>
      </c>
      <c r="H6">
        <f t="shared" si="5"/>
        <v>0</v>
      </c>
      <c r="I6">
        <f t="shared" si="3"/>
        <v>0.85</v>
      </c>
      <c r="J6">
        <f t="shared" si="4"/>
        <v>2.8</v>
      </c>
    </row>
    <row r="7" spans="1:10" ht="13.2" x14ac:dyDescent="0.25">
      <c r="A7" t="s">
        <v>70</v>
      </c>
      <c r="B7" t="s">
        <v>10</v>
      </c>
      <c r="C7" t="s">
        <v>16</v>
      </c>
      <c r="D7">
        <v>0.6</v>
      </c>
      <c r="E7">
        <f t="shared" si="0"/>
        <v>1.1599999999999999</v>
      </c>
      <c r="F7">
        <f t="shared" si="1"/>
        <v>3.42</v>
      </c>
      <c r="G7">
        <f t="shared" si="2"/>
        <v>0</v>
      </c>
      <c r="H7">
        <f t="shared" si="5"/>
        <v>0.2</v>
      </c>
      <c r="I7">
        <f t="shared" si="3"/>
        <v>0.85</v>
      </c>
      <c r="J7">
        <f t="shared" si="4"/>
        <v>2.8</v>
      </c>
    </row>
    <row r="8" spans="1:10" ht="13.2" x14ac:dyDescent="0.25">
      <c r="A8" t="s">
        <v>70</v>
      </c>
      <c r="B8" t="s">
        <v>10</v>
      </c>
      <c r="C8" t="s">
        <v>17</v>
      </c>
      <c r="D8">
        <v>0.8</v>
      </c>
      <c r="E8">
        <f t="shared" si="0"/>
        <v>1.1599999999999999</v>
      </c>
      <c r="F8">
        <f t="shared" si="1"/>
        <v>3.42</v>
      </c>
      <c r="G8">
        <f t="shared" si="2"/>
        <v>0</v>
      </c>
      <c r="H8">
        <f t="shared" si="5"/>
        <v>0.2</v>
      </c>
      <c r="I8">
        <f t="shared" si="3"/>
        <v>0.85</v>
      </c>
      <c r="J8">
        <f t="shared" si="4"/>
        <v>2.8</v>
      </c>
    </row>
    <row r="9" spans="1:10" ht="13.2" x14ac:dyDescent="0.25">
      <c r="A9" t="s">
        <v>70</v>
      </c>
      <c r="B9" t="s">
        <v>10</v>
      </c>
      <c r="C9" t="s">
        <v>18</v>
      </c>
      <c r="D9">
        <v>0.6</v>
      </c>
      <c r="E9">
        <f t="shared" si="0"/>
        <v>1.1599999999999999</v>
      </c>
      <c r="F9">
        <f t="shared" si="1"/>
        <v>3.42</v>
      </c>
      <c r="G9">
        <f t="shared" si="2"/>
        <v>0</v>
      </c>
      <c r="H9">
        <f t="shared" si="5"/>
        <v>0.2</v>
      </c>
      <c r="I9">
        <f t="shared" si="3"/>
        <v>0.85</v>
      </c>
      <c r="J9">
        <f t="shared" si="4"/>
        <v>2.8</v>
      </c>
    </row>
    <row r="10" spans="1:10" ht="13.2" x14ac:dyDescent="0.25">
      <c r="A10" t="s">
        <v>70</v>
      </c>
      <c r="B10" t="s">
        <v>10</v>
      </c>
      <c r="C10" t="s">
        <v>19</v>
      </c>
      <c r="D10">
        <v>0.9</v>
      </c>
      <c r="E10">
        <f t="shared" si="0"/>
        <v>1.1599999999999999</v>
      </c>
      <c r="F10">
        <f t="shared" si="1"/>
        <v>3.42</v>
      </c>
      <c r="G10">
        <f t="shared" si="2"/>
        <v>0</v>
      </c>
      <c r="H10">
        <f t="shared" si="5"/>
        <v>0.3</v>
      </c>
      <c r="I10">
        <f t="shared" si="3"/>
        <v>0.85</v>
      </c>
      <c r="J10">
        <f t="shared" si="4"/>
        <v>2.8</v>
      </c>
    </row>
    <row r="11" spans="1:10" ht="13.2" x14ac:dyDescent="0.25">
      <c r="A11" t="s">
        <v>70</v>
      </c>
      <c r="B11" t="s">
        <v>10</v>
      </c>
      <c r="C11" t="s">
        <v>20</v>
      </c>
      <c r="D11">
        <v>2.6</v>
      </c>
      <c r="E11">
        <f t="shared" si="0"/>
        <v>1.1599999999999999</v>
      </c>
      <c r="F11">
        <f t="shared" si="1"/>
        <v>3.42</v>
      </c>
      <c r="G11">
        <f t="shared" si="2"/>
        <v>0</v>
      </c>
      <c r="H11">
        <f t="shared" si="5"/>
        <v>1.7</v>
      </c>
      <c r="I11">
        <f t="shared" si="3"/>
        <v>0.85</v>
      </c>
      <c r="J11">
        <f t="shared" si="4"/>
        <v>2.8</v>
      </c>
    </row>
    <row r="12" spans="1:10" ht="13.2" x14ac:dyDescent="0.25">
      <c r="A12" t="s">
        <v>70</v>
      </c>
      <c r="B12" t="s">
        <v>10</v>
      </c>
      <c r="C12" t="s">
        <v>21</v>
      </c>
      <c r="D12">
        <v>0.4</v>
      </c>
      <c r="E12">
        <f t="shared" si="0"/>
        <v>1.1599999999999999</v>
      </c>
      <c r="F12">
        <f t="shared" si="1"/>
        <v>3.42</v>
      </c>
      <c r="G12">
        <f t="shared" si="2"/>
        <v>0</v>
      </c>
      <c r="H12">
        <f t="shared" si="5"/>
        <v>2.2000000000000002</v>
      </c>
      <c r="I12">
        <f t="shared" si="3"/>
        <v>0.85</v>
      </c>
      <c r="J12">
        <f t="shared" si="4"/>
        <v>2.8</v>
      </c>
    </row>
    <row r="13" spans="1:10" ht="13.2" x14ac:dyDescent="0.25">
      <c r="A13" t="s">
        <v>70</v>
      </c>
      <c r="B13" t="s">
        <v>10</v>
      </c>
      <c r="C13" t="s">
        <v>22</v>
      </c>
      <c r="D13">
        <v>2.1</v>
      </c>
      <c r="E13">
        <f t="shared" si="0"/>
        <v>1.1599999999999999</v>
      </c>
      <c r="F13">
        <f t="shared" si="1"/>
        <v>3.42</v>
      </c>
      <c r="G13">
        <f t="shared" si="2"/>
        <v>0</v>
      </c>
      <c r="H13">
        <f t="shared" si="5"/>
        <v>1.7</v>
      </c>
      <c r="I13">
        <f t="shared" si="3"/>
        <v>0.85</v>
      </c>
      <c r="J13">
        <f t="shared" si="4"/>
        <v>2.8</v>
      </c>
    </row>
    <row r="14" spans="1:10" ht="13.2" x14ac:dyDescent="0.25">
      <c r="A14" t="s">
        <v>70</v>
      </c>
      <c r="B14" t="s">
        <v>10</v>
      </c>
      <c r="C14" t="s">
        <v>23</v>
      </c>
      <c r="D14">
        <v>1.2</v>
      </c>
      <c r="E14">
        <f t="shared" si="0"/>
        <v>1.1599999999999999</v>
      </c>
      <c r="F14">
        <f t="shared" si="1"/>
        <v>3.42</v>
      </c>
      <c r="G14">
        <f t="shared" si="2"/>
        <v>0</v>
      </c>
      <c r="H14">
        <f t="shared" si="5"/>
        <v>0.9</v>
      </c>
      <c r="I14">
        <f t="shared" si="3"/>
        <v>0.85</v>
      </c>
      <c r="J14">
        <f t="shared" si="4"/>
        <v>2.8</v>
      </c>
    </row>
    <row r="15" spans="1:10" ht="13.2" x14ac:dyDescent="0.25">
      <c r="A15" t="s">
        <v>70</v>
      </c>
      <c r="B15" t="s">
        <v>10</v>
      </c>
      <c r="C15" t="s">
        <v>24</v>
      </c>
      <c r="D15">
        <v>0.2</v>
      </c>
      <c r="E15">
        <f t="shared" si="0"/>
        <v>1.1599999999999999</v>
      </c>
      <c r="F15">
        <f t="shared" si="1"/>
        <v>3.42</v>
      </c>
      <c r="G15">
        <f t="shared" si="2"/>
        <v>0</v>
      </c>
      <c r="H15">
        <f t="shared" si="5"/>
        <v>1</v>
      </c>
      <c r="I15">
        <f t="shared" si="3"/>
        <v>0.85</v>
      </c>
      <c r="J15">
        <f t="shared" si="4"/>
        <v>2.8</v>
      </c>
    </row>
    <row r="16" spans="1:10" ht="13.2" x14ac:dyDescent="0.25">
      <c r="A16" t="s">
        <v>70</v>
      </c>
      <c r="B16" t="s">
        <v>10</v>
      </c>
      <c r="C16" t="s">
        <v>25</v>
      </c>
      <c r="D16">
        <v>0.2</v>
      </c>
      <c r="E16">
        <f t="shared" si="0"/>
        <v>1.1599999999999999</v>
      </c>
      <c r="F16">
        <f t="shared" si="1"/>
        <v>3.42</v>
      </c>
      <c r="G16">
        <f t="shared" si="2"/>
        <v>0</v>
      </c>
      <c r="H16">
        <f t="shared" si="5"/>
        <v>0</v>
      </c>
      <c r="I16">
        <f t="shared" si="3"/>
        <v>0.85</v>
      </c>
      <c r="J16">
        <f t="shared" si="4"/>
        <v>2.8</v>
      </c>
    </row>
    <row r="17" spans="1:10" ht="13.2" x14ac:dyDescent="0.25">
      <c r="A17" t="s">
        <v>70</v>
      </c>
      <c r="B17" t="s">
        <v>10</v>
      </c>
      <c r="C17" t="s">
        <v>26</v>
      </c>
      <c r="D17">
        <v>1</v>
      </c>
      <c r="E17">
        <f t="shared" si="0"/>
        <v>1.1599999999999999</v>
      </c>
      <c r="F17">
        <f t="shared" si="1"/>
        <v>3.42</v>
      </c>
      <c r="G17">
        <f t="shared" si="2"/>
        <v>0</v>
      </c>
      <c r="H17">
        <f t="shared" si="5"/>
        <v>0.8</v>
      </c>
      <c r="I17">
        <f t="shared" si="3"/>
        <v>0.85</v>
      </c>
      <c r="J17">
        <f t="shared" si="4"/>
        <v>2.8</v>
      </c>
    </row>
    <row r="18" spans="1:10" ht="13.2" x14ac:dyDescent="0.25">
      <c r="A18" t="s">
        <v>70</v>
      </c>
      <c r="B18" t="s">
        <v>10</v>
      </c>
      <c r="C18" t="s">
        <v>27</v>
      </c>
      <c r="D18">
        <v>2</v>
      </c>
      <c r="E18">
        <f t="shared" si="0"/>
        <v>1.1599999999999999</v>
      </c>
      <c r="F18">
        <f t="shared" si="1"/>
        <v>3.42</v>
      </c>
      <c r="G18">
        <f t="shared" si="2"/>
        <v>0</v>
      </c>
      <c r="H18">
        <f t="shared" si="5"/>
        <v>1</v>
      </c>
      <c r="I18">
        <f t="shared" si="3"/>
        <v>0.85</v>
      </c>
      <c r="J18">
        <f t="shared" si="4"/>
        <v>2.8</v>
      </c>
    </row>
    <row r="19" spans="1:10" ht="13.2" x14ac:dyDescent="0.25">
      <c r="A19" t="s">
        <v>70</v>
      </c>
      <c r="B19" t="s">
        <v>10</v>
      </c>
      <c r="C19" t="s">
        <v>28</v>
      </c>
      <c r="D19">
        <v>0.8</v>
      </c>
      <c r="E19">
        <f t="shared" si="0"/>
        <v>1.1599999999999999</v>
      </c>
      <c r="F19">
        <f t="shared" si="1"/>
        <v>3.42</v>
      </c>
      <c r="G19">
        <f t="shared" si="2"/>
        <v>0</v>
      </c>
      <c r="H19">
        <f t="shared" si="5"/>
        <v>1.2</v>
      </c>
      <c r="I19">
        <f t="shared" si="3"/>
        <v>0.85</v>
      </c>
      <c r="J19">
        <f t="shared" si="4"/>
        <v>2.8</v>
      </c>
    </row>
    <row r="20" spans="1:10" ht="13.2" x14ac:dyDescent="0.25">
      <c r="A20" t="s">
        <v>70</v>
      </c>
      <c r="B20" t="s">
        <v>10</v>
      </c>
      <c r="C20" t="s">
        <v>29</v>
      </c>
      <c r="D20">
        <v>0.4</v>
      </c>
      <c r="E20">
        <f t="shared" si="0"/>
        <v>1.1599999999999999</v>
      </c>
      <c r="F20">
        <f t="shared" si="1"/>
        <v>3.42</v>
      </c>
      <c r="G20">
        <f t="shared" si="2"/>
        <v>0</v>
      </c>
      <c r="H20">
        <f t="shared" si="5"/>
        <v>0.4</v>
      </c>
      <c r="I20">
        <f t="shared" si="3"/>
        <v>0.85</v>
      </c>
      <c r="J20">
        <f t="shared" si="4"/>
        <v>2.8</v>
      </c>
    </row>
    <row r="21" spans="1:10" ht="13.2" x14ac:dyDescent="0.25">
      <c r="A21" t="s">
        <v>70</v>
      </c>
      <c r="B21" t="s">
        <v>10</v>
      </c>
      <c r="C21" t="s">
        <v>30</v>
      </c>
      <c r="D21">
        <v>0.7</v>
      </c>
      <c r="E21">
        <f t="shared" si="0"/>
        <v>1.1599999999999999</v>
      </c>
      <c r="F21">
        <f t="shared" si="1"/>
        <v>3.42</v>
      </c>
      <c r="G21">
        <f t="shared" si="2"/>
        <v>0</v>
      </c>
      <c r="H21">
        <f t="shared" si="5"/>
        <v>0.3</v>
      </c>
      <c r="I21">
        <f t="shared" si="3"/>
        <v>0.85</v>
      </c>
      <c r="J21">
        <f t="shared" si="4"/>
        <v>2.8</v>
      </c>
    </row>
    <row r="22" spans="1:10" ht="13.2" x14ac:dyDescent="0.25">
      <c r="A22" t="s">
        <v>70</v>
      </c>
      <c r="B22" t="s">
        <v>10</v>
      </c>
      <c r="C22" t="s">
        <v>31</v>
      </c>
      <c r="D22">
        <v>0.4</v>
      </c>
      <c r="E22">
        <f t="shared" si="0"/>
        <v>1.1599999999999999</v>
      </c>
      <c r="F22">
        <f t="shared" si="1"/>
        <v>3.42</v>
      </c>
      <c r="G22">
        <f t="shared" si="2"/>
        <v>0</v>
      </c>
      <c r="H22">
        <f t="shared" si="5"/>
        <v>0.3</v>
      </c>
      <c r="I22">
        <f t="shared" si="3"/>
        <v>0.85</v>
      </c>
      <c r="J22">
        <f t="shared" si="4"/>
        <v>2.8</v>
      </c>
    </row>
    <row r="23" spans="1:10" ht="13.2" x14ac:dyDescent="0.25">
      <c r="A23" t="s">
        <v>70</v>
      </c>
      <c r="B23" t="s">
        <v>10</v>
      </c>
      <c r="C23" t="s">
        <v>32</v>
      </c>
      <c r="D23">
        <v>0.4</v>
      </c>
      <c r="E23">
        <f t="shared" si="0"/>
        <v>1.1599999999999999</v>
      </c>
      <c r="F23">
        <f t="shared" si="1"/>
        <v>3.42</v>
      </c>
      <c r="G23">
        <f t="shared" si="2"/>
        <v>0</v>
      </c>
      <c r="H23">
        <f t="shared" si="5"/>
        <v>0</v>
      </c>
      <c r="I23">
        <f t="shared" si="3"/>
        <v>0.85</v>
      </c>
      <c r="J23">
        <f t="shared" si="4"/>
        <v>2.8</v>
      </c>
    </row>
    <row r="24" spans="1:10" ht="13.2" x14ac:dyDescent="0.25">
      <c r="A24" t="s">
        <v>70</v>
      </c>
      <c r="B24" t="s">
        <v>10</v>
      </c>
      <c r="C24" t="s">
        <v>33</v>
      </c>
      <c r="D24">
        <v>0.7</v>
      </c>
      <c r="E24">
        <f t="shared" si="0"/>
        <v>1.1599999999999999</v>
      </c>
      <c r="F24">
        <f t="shared" si="1"/>
        <v>3.42</v>
      </c>
      <c r="G24">
        <f t="shared" si="2"/>
        <v>0</v>
      </c>
      <c r="H24">
        <f t="shared" si="5"/>
        <v>0.3</v>
      </c>
      <c r="I24">
        <f t="shared" si="3"/>
        <v>0.85</v>
      </c>
      <c r="J24">
        <f t="shared" si="4"/>
        <v>2.8</v>
      </c>
    </row>
    <row r="25" spans="1:10" ht="13.2" x14ac:dyDescent="0.25">
      <c r="A25" t="s">
        <v>70</v>
      </c>
      <c r="B25" t="s">
        <v>10</v>
      </c>
      <c r="C25" t="s">
        <v>34</v>
      </c>
      <c r="D25">
        <v>0.6</v>
      </c>
      <c r="E25">
        <f t="shared" si="0"/>
        <v>1.1599999999999999</v>
      </c>
      <c r="F25">
        <f t="shared" si="1"/>
        <v>3.42</v>
      </c>
      <c r="G25">
        <f t="shared" si="2"/>
        <v>0</v>
      </c>
      <c r="H25">
        <f t="shared" si="5"/>
        <v>0.1</v>
      </c>
      <c r="I25">
        <f t="shared" si="3"/>
        <v>0.85</v>
      </c>
      <c r="J25">
        <f t="shared" si="4"/>
        <v>2.8</v>
      </c>
    </row>
    <row r="26" spans="1:10" ht="13.2" x14ac:dyDescent="0.25">
      <c r="A26" t="s">
        <v>70</v>
      </c>
      <c r="B26" t="s">
        <v>10</v>
      </c>
      <c r="C26" t="s">
        <v>35</v>
      </c>
      <c r="D26">
        <v>0.8</v>
      </c>
      <c r="E26">
        <f t="shared" si="0"/>
        <v>1.1599999999999999</v>
      </c>
      <c r="F26">
        <f t="shared" si="1"/>
        <v>3.42</v>
      </c>
      <c r="G26">
        <f t="shared" si="2"/>
        <v>0</v>
      </c>
      <c r="H26">
        <f t="shared" si="5"/>
        <v>0.2</v>
      </c>
      <c r="I26">
        <f t="shared" si="3"/>
        <v>0.85</v>
      </c>
      <c r="J26">
        <f t="shared" si="4"/>
        <v>2.8</v>
      </c>
    </row>
    <row r="27" spans="1:10" ht="13.2" x14ac:dyDescent="0.25">
      <c r="A27" t="s">
        <v>70</v>
      </c>
      <c r="B27" t="s">
        <v>10</v>
      </c>
      <c r="C27" t="s">
        <v>36</v>
      </c>
      <c r="D27">
        <v>1.4</v>
      </c>
      <c r="E27">
        <f t="shared" si="0"/>
        <v>1.1599999999999999</v>
      </c>
      <c r="F27">
        <f t="shared" si="1"/>
        <v>3.42</v>
      </c>
      <c r="G27">
        <f t="shared" si="2"/>
        <v>0</v>
      </c>
      <c r="H27">
        <f t="shared" si="5"/>
        <v>0.6</v>
      </c>
      <c r="I27">
        <f t="shared" si="3"/>
        <v>0.85</v>
      </c>
      <c r="J27">
        <f t="shared" si="4"/>
        <v>2.8</v>
      </c>
    </row>
    <row r="28" spans="1:10" ht="13.2" x14ac:dyDescent="0.25">
      <c r="A28" t="s">
        <v>70</v>
      </c>
      <c r="B28" t="s">
        <v>10</v>
      </c>
      <c r="C28" t="s">
        <v>37</v>
      </c>
      <c r="D28">
        <v>0.8</v>
      </c>
      <c r="E28">
        <f t="shared" si="0"/>
        <v>1.1599999999999999</v>
      </c>
      <c r="F28">
        <f t="shared" si="1"/>
        <v>3.42</v>
      </c>
      <c r="G28">
        <f t="shared" si="2"/>
        <v>0</v>
      </c>
      <c r="H28">
        <f t="shared" si="5"/>
        <v>0.6</v>
      </c>
      <c r="I28">
        <f t="shared" si="3"/>
        <v>0.85</v>
      </c>
      <c r="J28">
        <f t="shared" si="4"/>
        <v>2.8</v>
      </c>
    </row>
    <row r="29" spans="1:10" ht="13.2" x14ac:dyDescent="0.25">
      <c r="A29" t="s">
        <v>70</v>
      </c>
      <c r="B29" t="s">
        <v>10</v>
      </c>
      <c r="C29" t="s">
        <v>38</v>
      </c>
      <c r="D29">
        <v>1.9</v>
      </c>
      <c r="E29">
        <f t="shared" si="0"/>
        <v>1.1599999999999999</v>
      </c>
      <c r="F29">
        <f t="shared" si="1"/>
        <v>3.42</v>
      </c>
      <c r="G29">
        <f t="shared" si="2"/>
        <v>0</v>
      </c>
      <c r="H29">
        <f t="shared" si="5"/>
        <v>1.1000000000000001</v>
      </c>
      <c r="I29">
        <f t="shared" si="3"/>
        <v>0.85</v>
      </c>
      <c r="J29">
        <f t="shared" si="4"/>
        <v>2.8</v>
      </c>
    </row>
    <row r="30" spans="1:10" ht="13.2" x14ac:dyDescent="0.25">
      <c r="A30" t="s">
        <v>70</v>
      </c>
      <c r="B30" t="s">
        <v>10</v>
      </c>
      <c r="C30" t="s">
        <v>39</v>
      </c>
      <c r="D30">
        <v>0.6</v>
      </c>
      <c r="E30">
        <f t="shared" si="0"/>
        <v>1.1599999999999999</v>
      </c>
      <c r="F30">
        <f t="shared" si="1"/>
        <v>3.42</v>
      </c>
      <c r="G30">
        <f t="shared" si="2"/>
        <v>0</v>
      </c>
      <c r="H30">
        <f t="shared" si="5"/>
        <v>1.3</v>
      </c>
      <c r="I30">
        <f t="shared" si="3"/>
        <v>0.85</v>
      </c>
      <c r="J30">
        <f t="shared" si="4"/>
        <v>2.8</v>
      </c>
    </row>
    <row r="31" spans="1:10" ht="13.2" x14ac:dyDescent="0.25">
      <c r="A31" t="s">
        <v>70</v>
      </c>
      <c r="B31" t="s">
        <v>10</v>
      </c>
      <c r="C31" t="s">
        <v>40</v>
      </c>
      <c r="D31">
        <v>1.1000000000000001</v>
      </c>
      <c r="E31">
        <f t="shared" si="0"/>
        <v>1.1599999999999999</v>
      </c>
      <c r="F31">
        <f t="shared" si="1"/>
        <v>3.42</v>
      </c>
      <c r="G31">
        <f t="shared" si="2"/>
        <v>0</v>
      </c>
      <c r="H31">
        <f t="shared" si="5"/>
        <v>0.5</v>
      </c>
      <c r="I31">
        <f t="shared" si="3"/>
        <v>0.85</v>
      </c>
      <c r="J31">
        <f t="shared" si="4"/>
        <v>2.8</v>
      </c>
    </row>
    <row r="32" spans="1:10" ht="13.2" x14ac:dyDescent="0.25">
      <c r="A32" t="s">
        <v>70</v>
      </c>
      <c r="B32" t="s">
        <v>10</v>
      </c>
      <c r="C32" t="s">
        <v>41</v>
      </c>
      <c r="D32">
        <v>3.2</v>
      </c>
      <c r="E32">
        <f t="shared" si="0"/>
        <v>1.1599999999999999</v>
      </c>
      <c r="F32">
        <f t="shared" si="1"/>
        <v>3.42</v>
      </c>
      <c r="G32">
        <f t="shared" si="2"/>
        <v>0</v>
      </c>
      <c r="H32">
        <f t="shared" si="5"/>
        <v>2.1</v>
      </c>
      <c r="I32">
        <f t="shared" si="3"/>
        <v>0.85</v>
      </c>
      <c r="J32">
        <f t="shared" si="4"/>
        <v>2.8</v>
      </c>
    </row>
    <row r="33" spans="1:10" ht="13.2" x14ac:dyDescent="0.25">
      <c r="A33" t="s">
        <v>70</v>
      </c>
      <c r="B33" t="s">
        <v>10</v>
      </c>
      <c r="C33" t="s">
        <v>42</v>
      </c>
      <c r="D33">
        <v>0.7</v>
      </c>
      <c r="E33">
        <f t="shared" si="0"/>
        <v>1.1599999999999999</v>
      </c>
      <c r="F33">
        <f t="shared" si="1"/>
        <v>3.42</v>
      </c>
      <c r="G33">
        <f t="shared" si="2"/>
        <v>0</v>
      </c>
      <c r="H33">
        <f t="shared" si="5"/>
        <v>2.5</v>
      </c>
      <c r="I33">
        <f t="shared" si="3"/>
        <v>0.85</v>
      </c>
      <c r="J33">
        <f t="shared" si="4"/>
        <v>2.8</v>
      </c>
    </row>
    <row r="34" spans="1:10" ht="13.2" x14ac:dyDescent="0.25">
      <c r="A34" t="s">
        <v>70</v>
      </c>
      <c r="B34" t="s">
        <v>10</v>
      </c>
      <c r="C34" t="s">
        <v>43</v>
      </c>
      <c r="D34">
        <v>0.5</v>
      </c>
      <c r="E34">
        <f t="shared" si="0"/>
        <v>1.1599999999999999</v>
      </c>
      <c r="F34">
        <f t="shared" si="1"/>
        <v>3.42</v>
      </c>
      <c r="G34">
        <f t="shared" si="2"/>
        <v>0</v>
      </c>
      <c r="H34">
        <f t="shared" si="5"/>
        <v>0.2</v>
      </c>
      <c r="I34">
        <f t="shared" si="3"/>
        <v>0.85</v>
      </c>
      <c r="J34">
        <f t="shared" si="4"/>
        <v>2.8</v>
      </c>
    </row>
    <row r="35" spans="1:10" ht="13.2" x14ac:dyDescent="0.25">
      <c r="A35" t="s">
        <v>70</v>
      </c>
      <c r="B35" t="s">
        <v>10</v>
      </c>
      <c r="C35" t="s">
        <v>44</v>
      </c>
      <c r="D35">
        <v>0.9</v>
      </c>
      <c r="E35">
        <f t="shared" si="0"/>
        <v>1.1599999999999999</v>
      </c>
      <c r="F35">
        <f t="shared" si="1"/>
        <v>3.42</v>
      </c>
      <c r="G35">
        <f t="shared" si="2"/>
        <v>0</v>
      </c>
      <c r="H35">
        <f t="shared" si="5"/>
        <v>0.4</v>
      </c>
      <c r="I35">
        <f t="shared" si="3"/>
        <v>0.85</v>
      </c>
      <c r="J35">
        <f t="shared" si="4"/>
        <v>2.8</v>
      </c>
    </row>
    <row r="36" spans="1:10" ht="13.2" x14ac:dyDescent="0.25">
      <c r="A36" t="s">
        <v>70</v>
      </c>
      <c r="B36" t="s">
        <v>10</v>
      </c>
      <c r="C36" t="s">
        <v>45</v>
      </c>
      <c r="D36">
        <v>2.2000000000000002</v>
      </c>
      <c r="E36">
        <f t="shared" si="0"/>
        <v>1.1599999999999999</v>
      </c>
      <c r="F36">
        <f t="shared" si="1"/>
        <v>3.42</v>
      </c>
      <c r="G36">
        <f t="shared" si="2"/>
        <v>0</v>
      </c>
      <c r="H36">
        <f t="shared" si="5"/>
        <v>1.3</v>
      </c>
      <c r="I36">
        <f t="shared" si="3"/>
        <v>0.85</v>
      </c>
      <c r="J36">
        <f t="shared" si="4"/>
        <v>2.8</v>
      </c>
    </row>
    <row r="37" spans="1:10" ht="13.2" x14ac:dyDescent="0.25">
      <c r="A37" t="s">
        <v>70</v>
      </c>
      <c r="B37" t="s">
        <v>10</v>
      </c>
      <c r="C37" t="s">
        <v>46</v>
      </c>
      <c r="D37">
        <v>5</v>
      </c>
      <c r="E37">
        <f t="shared" si="0"/>
        <v>1.1599999999999999</v>
      </c>
      <c r="F37">
        <f t="shared" si="1"/>
        <v>3.42</v>
      </c>
      <c r="G37">
        <f t="shared" si="2"/>
        <v>0</v>
      </c>
      <c r="H37">
        <f t="shared" si="5"/>
        <v>2.8</v>
      </c>
      <c r="I37">
        <f t="shared" si="3"/>
        <v>0.85</v>
      </c>
      <c r="J37">
        <f t="shared" si="4"/>
        <v>2.8</v>
      </c>
    </row>
    <row r="38" spans="1:10" ht="13.2" x14ac:dyDescent="0.25">
      <c r="A38" t="s">
        <v>70</v>
      </c>
      <c r="B38" t="s">
        <v>10</v>
      </c>
      <c r="C38" t="s">
        <v>47</v>
      </c>
      <c r="D38">
        <v>2.5</v>
      </c>
      <c r="E38">
        <f t="shared" si="0"/>
        <v>1.1599999999999999</v>
      </c>
      <c r="F38">
        <f t="shared" si="1"/>
        <v>3.42</v>
      </c>
      <c r="G38">
        <f t="shared" si="2"/>
        <v>0</v>
      </c>
      <c r="H38">
        <f t="shared" si="5"/>
        <v>2.5</v>
      </c>
      <c r="I38">
        <f t="shared" si="3"/>
        <v>0.85</v>
      </c>
      <c r="J38">
        <f t="shared" si="4"/>
        <v>2.8</v>
      </c>
    </row>
    <row r="39" spans="1:10" ht="13.2" x14ac:dyDescent="0.25">
      <c r="A39" t="s">
        <v>70</v>
      </c>
      <c r="B39" t="s">
        <v>10</v>
      </c>
      <c r="C39" t="s">
        <v>48</v>
      </c>
      <c r="D39">
        <v>1.7</v>
      </c>
      <c r="E39">
        <f t="shared" si="0"/>
        <v>1.1599999999999999</v>
      </c>
      <c r="F39">
        <f t="shared" si="1"/>
        <v>3.42</v>
      </c>
      <c r="G39">
        <f t="shared" si="2"/>
        <v>0</v>
      </c>
      <c r="H39">
        <f t="shared" si="5"/>
        <v>0.8</v>
      </c>
      <c r="I39">
        <f t="shared" si="3"/>
        <v>0.85</v>
      </c>
      <c r="J39">
        <f t="shared" si="4"/>
        <v>2.8</v>
      </c>
    </row>
    <row r="40" spans="1:10" ht="13.2" x14ac:dyDescent="0.25">
      <c r="A40" t="s">
        <v>70</v>
      </c>
      <c r="B40" t="s">
        <v>10</v>
      </c>
      <c r="C40" t="s">
        <v>49</v>
      </c>
      <c r="D40">
        <v>0.8</v>
      </c>
      <c r="E40">
        <f t="shared" si="0"/>
        <v>1.1599999999999999</v>
      </c>
      <c r="F40">
        <f t="shared" si="1"/>
        <v>3.42</v>
      </c>
      <c r="G40">
        <f t="shared" si="2"/>
        <v>0</v>
      </c>
      <c r="H40">
        <f t="shared" si="5"/>
        <v>0.9</v>
      </c>
      <c r="I40">
        <f t="shared" si="3"/>
        <v>0.85</v>
      </c>
      <c r="J40">
        <f t="shared" si="4"/>
        <v>2.8</v>
      </c>
    </row>
    <row r="42" spans="1:10" ht="13.2" x14ac:dyDescent="0.25">
      <c r="A42" t="s">
        <v>69</v>
      </c>
      <c r="B42" t="s">
        <v>1</v>
      </c>
      <c r="C42" t="s">
        <v>2</v>
      </c>
      <c r="D42" t="s">
        <v>3</v>
      </c>
      <c r="E42" s="9" t="s">
        <v>4</v>
      </c>
      <c r="F42" s="9" t="s">
        <v>5</v>
      </c>
      <c r="G42" s="9" t="s">
        <v>6</v>
      </c>
      <c r="H42" s="9" t="s">
        <v>7</v>
      </c>
      <c r="I42" s="9" t="s">
        <v>8</v>
      </c>
      <c r="J42" s="9" t="s">
        <v>9</v>
      </c>
    </row>
    <row r="43" spans="1:10" ht="13.2" x14ac:dyDescent="0.25">
      <c r="A43" t="s">
        <v>70</v>
      </c>
      <c r="B43" t="s">
        <v>50</v>
      </c>
      <c r="C43" t="s">
        <v>51</v>
      </c>
      <c r="D43">
        <v>7.5</v>
      </c>
      <c r="E43" s="16">
        <f t="shared" ref="E43:E60" si="6">ROUND(AVERAGE($D$43:$D$60),2)</f>
        <v>5.91</v>
      </c>
      <c r="F43" s="16">
        <f t="shared" ref="F43:F60" si="7">ROUND(E43+(2.66*I43),2)</f>
        <v>12.88</v>
      </c>
      <c r="G43" s="18">
        <f t="shared" ref="G43:G60" si="8">ROUND(MAX(0,E43-(2.66*I43)),2)</f>
        <v>0</v>
      </c>
      <c r="H43" s="17"/>
      <c r="I43" s="17">
        <f t="shared" ref="I43:I60" si="9">ROUND(AVERAGE($H$44:$H$60),2)</f>
        <v>2.62</v>
      </c>
      <c r="J43">
        <f t="shared" ref="J43:J60" si="10">ROUND(3.268*I43,2)</f>
        <v>8.56</v>
      </c>
    </row>
    <row r="44" spans="1:10" ht="13.2" x14ac:dyDescent="0.25">
      <c r="A44" t="s">
        <v>70</v>
      </c>
      <c r="B44" t="s">
        <v>50</v>
      </c>
      <c r="C44" t="s">
        <v>52</v>
      </c>
      <c r="D44">
        <v>4.9000000000000004</v>
      </c>
      <c r="E44" s="16">
        <f t="shared" si="6"/>
        <v>5.91</v>
      </c>
      <c r="F44" s="16">
        <f t="shared" si="7"/>
        <v>12.88</v>
      </c>
      <c r="G44" s="18">
        <f t="shared" si="8"/>
        <v>0</v>
      </c>
      <c r="H44" s="18">
        <f>ROUND(ABS(D43-D44),1)</f>
        <v>2.6</v>
      </c>
      <c r="I44" s="17">
        <f t="shared" si="9"/>
        <v>2.62</v>
      </c>
      <c r="J44">
        <f t="shared" si="10"/>
        <v>8.56</v>
      </c>
    </row>
    <row r="45" spans="1:10" ht="13.2" x14ac:dyDescent="0.25">
      <c r="A45" t="s">
        <v>70</v>
      </c>
      <c r="B45" t="s">
        <v>50</v>
      </c>
      <c r="C45" t="s">
        <v>53</v>
      </c>
      <c r="D45">
        <v>8.8000000000000007</v>
      </c>
      <c r="E45" s="16">
        <f t="shared" si="6"/>
        <v>5.91</v>
      </c>
      <c r="F45" s="16">
        <f t="shared" si="7"/>
        <v>12.88</v>
      </c>
      <c r="G45" s="18">
        <f t="shared" si="8"/>
        <v>0</v>
      </c>
      <c r="H45" s="18">
        <f t="shared" ref="H45:H60" si="11">ROUND(ABS(D44-D45),1)</f>
        <v>3.9</v>
      </c>
      <c r="I45" s="17">
        <f t="shared" si="9"/>
        <v>2.62</v>
      </c>
      <c r="J45">
        <f t="shared" si="10"/>
        <v>8.56</v>
      </c>
    </row>
    <row r="46" spans="1:10" ht="13.2" x14ac:dyDescent="0.25">
      <c r="A46" t="s">
        <v>70</v>
      </c>
      <c r="B46" t="s">
        <v>50</v>
      </c>
      <c r="C46" t="s">
        <v>54</v>
      </c>
      <c r="D46">
        <v>8.1</v>
      </c>
      <c r="E46" s="16">
        <f t="shared" si="6"/>
        <v>5.91</v>
      </c>
      <c r="F46" s="16">
        <f t="shared" si="7"/>
        <v>12.88</v>
      </c>
      <c r="G46" s="18">
        <f t="shared" si="8"/>
        <v>0</v>
      </c>
      <c r="H46" s="18">
        <f t="shared" si="11"/>
        <v>0.7</v>
      </c>
      <c r="I46" s="17">
        <f t="shared" si="9"/>
        <v>2.62</v>
      </c>
      <c r="J46">
        <f t="shared" si="10"/>
        <v>8.56</v>
      </c>
    </row>
    <row r="47" spans="1:10" ht="13.2" x14ac:dyDescent="0.25">
      <c r="A47" t="s">
        <v>70</v>
      </c>
      <c r="B47" t="s">
        <v>50</v>
      </c>
      <c r="C47" t="s">
        <v>55</v>
      </c>
      <c r="D47">
        <v>2.2000000000000002</v>
      </c>
      <c r="E47" s="16">
        <f t="shared" si="6"/>
        <v>5.91</v>
      </c>
      <c r="F47" s="16">
        <f t="shared" si="7"/>
        <v>12.88</v>
      </c>
      <c r="G47" s="18">
        <f t="shared" si="8"/>
        <v>0</v>
      </c>
      <c r="H47" s="18">
        <f t="shared" si="11"/>
        <v>5.9</v>
      </c>
      <c r="I47" s="17">
        <f t="shared" si="9"/>
        <v>2.62</v>
      </c>
      <c r="J47">
        <f t="shared" si="10"/>
        <v>8.56</v>
      </c>
    </row>
    <row r="48" spans="1:10" ht="13.2" x14ac:dyDescent="0.25">
      <c r="A48" t="s">
        <v>70</v>
      </c>
      <c r="B48" t="s">
        <v>50</v>
      </c>
      <c r="C48" t="s">
        <v>56</v>
      </c>
      <c r="D48">
        <v>3.6</v>
      </c>
      <c r="E48" s="16">
        <f t="shared" si="6"/>
        <v>5.91</v>
      </c>
      <c r="F48" s="16">
        <f t="shared" si="7"/>
        <v>12.88</v>
      </c>
      <c r="G48" s="18">
        <f t="shared" si="8"/>
        <v>0</v>
      </c>
      <c r="H48" s="18">
        <f t="shared" si="11"/>
        <v>1.4</v>
      </c>
      <c r="I48" s="17">
        <f t="shared" si="9"/>
        <v>2.62</v>
      </c>
      <c r="J48">
        <f t="shared" si="10"/>
        <v>8.56</v>
      </c>
    </row>
    <row r="49" spans="1:10" ht="13.2" x14ac:dyDescent="0.25">
      <c r="A49" t="s">
        <v>70</v>
      </c>
      <c r="B49" t="s">
        <v>50</v>
      </c>
      <c r="C49" t="s">
        <v>57</v>
      </c>
      <c r="D49">
        <v>4.5999999999999996</v>
      </c>
      <c r="E49" s="16">
        <f t="shared" si="6"/>
        <v>5.91</v>
      </c>
      <c r="F49" s="16">
        <f t="shared" si="7"/>
        <v>12.88</v>
      </c>
      <c r="G49" s="18">
        <f t="shared" si="8"/>
        <v>0</v>
      </c>
      <c r="H49" s="18">
        <f t="shared" si="11"/>
        <v>1</v>
      </c>
      <c r="I49" s="17">
        <f t="shared" si="9"/>
        <v>2.62</v>
      </c>
      <c r="J49">
        <f t="shared" si="10"/>
        <v>8.56</v>
      </c>
    </row>
    <row r="50" spans="1:10" ht="13.2" x14ac:dyDescent="0.25">
      <c r="A50" t="s">
        <v>70</v>
      </c>
      <c r="B50" t="s">
        <v>50</v>
      </c>
      <c r="C50" t="s">
        <v>58</v>
      </c>
      <c r="D50">
        <v>4</v>
      </c>
      <c r="E50" s="16">
        <f t="shared" si="6"/>
        <v>5.91</v>
      </c>
      <c r="F50" s="16">
        <f t="shared" si="7"/>
        <v>12.88</v>
      </c>
      <c r="G50" s="18">
        <f t="shared" si="8"/>
        <v>0</v>
      </c>
      <c r="H50" s="18">
        <f t="shared" si="11"/>
        <v>0.6</v>
      </c>
      <c r="I50" s="17">
        <f t="shared" si="9"/>
        <v>2.62</v>
      </c>
      <c r="J50">
        <f t="shared" si="10"/>
        <v>8.56</v>
      </c>
    </row>
    <row r="51" spans="1:10" ht="13.2" x14ac:dyDescent="0.25">
      <c r="A51" t="s">
        <v>70</v>
      </c>
      <c r="B51" t="s">
        <v>50</v>
      </c>
      <c r="C51" t="s">
        <v>59</v>
      </c>
      <c r="D51">
        <v>6.6</v>
      </c>
      <c r="E51" s="16">
        <f t="shared" si="6"/>
        <v>5.91</v>
      </c>
      <c r="F51" s="16">
        <f t="shared" si="7"/>
        <v>12.88</v>
      </c>
      <c r="G51" s="18">
        <f t="shared" si="8"/>
        <v>0</v>
      </c>
      <c r="H51" s="18">
        <f t="shared" si="11"/>
        <v>2.6</v>
      </c>
      <c r="I51" s="17">
        <f t="shared" si="9"/>
        <v>2.62</v>
      </c>
      <c r="J51">
        <f t="shared" si="10"/>
        <v>8.56</v>
      </c>
    </row>
    <row r="52" spans="1:10" ht="13.2" x14ac:dyDescent="0.25">
      <c r="A52" t="s">
        <v>70</v>
      </c>
      <c r="B52" t="s">
        <v>50</v>
      </c>
      <c r="C52" t="s">
        <v>60</v>
      </c>
      <c r="D52">
        <v>3.2</v>
      </c>
      <c r="E52" s="16">
        <f t="shared" si="6"/>
        <v>5.91</v>
      </c>
      <c r="F52" s="16">
        <f t="shared" si="7"/>
        <v>12.88</v>
      </c>
      <c r="G52" s="18">
        <f t="shared" si="8"/>
        <v>0</v>
      </c>
      <c r="H52" s="18">
        <f t="shared" si="11"/>
        <v>3.4</v>
      </c>
      <c r="I52" s="17">
        <f t="shared" si="9"/>
        <v>2.62</v>
      </c>
      <c r="J52">
        <f t="shared" si="10"/>
        <v>8.56</v>
      </c>
    </row>
    <row r="53" spans="1:10" ht="13.2" x14ac:dyDescent="0.25">
      <c r="A53" t="s">
        <v>70</v>
      </c>
      <c r="B53" t="s">
        <v>50</v>
      </c>
      <c r="C53" t="s">
        <v>61</v>
      </c>
      <c r="D53">
        <v>5.3</v>
      </c>
      <c r="E53" s="16">
        <f t="shared" si="6"/>
        <v>5.91</v>
      </c>
      <c r="F53" s="16">
        <f t="shared" si="7"/>
        <v>12.88</v>
      </c>
      <c r="G53" s="18">
        <f t="shared" si="8"/>
        <v>0</v>
      </c>
      <c r="H53" s="18">
        <f t="shared" si="11"/>
        <v>2.1</v>
      </c>
      <c r="I53" s="17">
        <f t="shared" si="9"/>
        <v>2.62</v>
      </c>
      <c r="J53">
        <f t="shared" si="10"/>
        <v>8.56</v>
      </c>
    </row>
    <row r="54" spans="1:10" ht="13.2" x14ac:dyDescent="0.25">
      <c r="A54" t="s">
        <v>70</v>
      </c>
      <c r="B54" t="s">
        <v>50</v>
      </c>
      <c r="C54" t="s">
        <v>62</v>
      </c>
      <c r="D54">
        <v>7.7</v>
      </c>
      <c r="E54" s="16">
        <f t="shared" si="6"/>
        <v>5.91</v>
      </c>
      <c r="F54" s="16">
        <f t="shared" si="7"/>
        <v>12.88</v>
      </c>
      <c r="G54" s="18">
        <f t="shared" si="8"/>
        <v>0</v>
      </c>
      <c r="H54" s="18">
        <f t="shared" si="11"/>
        <v>2.4</v>
      </c>
      <c r="I54" s="17">
        <f t="shared" si="9"/>
        <v>2.62</v>
      </c>
      <c r="J54">
        <f t="shared" si="10"/>
        <v>8.56</v>
      </c>
    </row>
    <row r="55" spans="1:10" ht="13.2" x14ac:dyDescent="0.25">
      <c r="A55" t="s">
        <v>70</v>
      </c>
      <c r="B55" t="s">
        <v>50</v>
      </c>
      <c r="C55" t="s">
        <v>63</v>
      </c>
      <c r="D55">
        <v>5.6</v>
      </c>
      <c r="E55" s="16">
        <f t="shared" si="6"/>
        <v>5.91</v>
      </c>
      <c r="F55" s="16">
        <f t="shared" si="7"/>
        <v>12.88</v>
      </c>
      <c r="G55" s="18">
        <f t="shared" si="8"/>
        <v>0</v>
      </c>
      <c r="H55" s="18">
        <f t="shared" si="11"/>
        <v>2.1</v>
      </c>
      <c r="I55" s="17">
        <f t="shared" si="9"/>
        <v>2.62</v>
      </c>
      <c r="J55">
        <f t="shared" si="10"/>
        <v>8.56</v>
      </c>
    </row>
    <row r="56" spans="1:10" ht="13.2" x14ac:dyDescent="0.25">
      <c r="A56" t="s">
        <v>70</v>
      </c>
      <c r="B56" t="s">
        <v>50</v>
      </c>
      <c r="C56" t="s">
        <v>64</v>
      </c>
      <c r="D56">
        <v>7.5</v>
      </c>
      <c r="E56" s="16">
        <f t="shared" si="6"/>
        <v>5.91</v>
      </c>
      <c r="F56" s="16">
        <f t="shared" si="7"/>
        <v>12.88</v>
      </c>
      <c r="G56" s="18">
        <f t="shared" si="8"/>
        <v>0</v>
      </c>
      <c r="H56" s="18">
        <f t="shared" si="11"/>
        <v>1.9</v>
      </c>
      <c r="I56" s="17">
        <f t="shared" si="9"/>
        <v>2.62</v>
      </c>
      <c r="J56">
        <f t="shared" si="10"/>
        <v>8.56</v>
      </c>
    </row>
    <row r="57" spans="1:10" ht="13.2" x14ac:dyDescent="0.25">
      <c r="A57" t="s">
        <v>70</v>
      </c>
      <c r="B57" t="s">
        <v>50</v>
      </c>
      <c r="C57" t="s">
        <v>65</v>
      </c>
      <c r="D57">
        <v>9.1</v>
      </c>
      <c r="E57" s="16">
        <f t="shared" si="6"/>
        <v>5.91</v>
      </c>
      <c r="F57" s="16">
        <f t="shared" si="7"/>
        <v>12.88</v>
      </c>
      <c r="G57" s="18">
        <f t="shared" si="8"/>
        <v>0</v>
      </c>
      <c r="H57" s="18">
        <f t="shared" si="11"/>
        <v>1.6</v>
      </c>
      <c r="I57" s="17">
        <f t="shared" si="9"/>
        <v>2.62</v>
      </c>
      <c r="J57">
        <f t="shared" si="10"/>
        <v>8.56</v>
      </c>
    </row>
    <row r="58" spans="1:10" ht="13.2" x14ac:dyDescent="0.25">
      <c r="A58" t="s">
        <v>70</v>
      </c>
      <c r="B58" t="s">
        <v>50</v>
      </c>
      <c r="C58" t="s">
        <v>66</v>
      </c>
      <c r="D58">
        <v>3</v>
      </c>
      <c r="E58" s="16">
        <f t="shared" si="6"/>
        <v>5.91</v>
      </c>
      <c r="F58" s="16">
        <f t="shared" si="7"/>
        <v>12.88</v>
      </c>
      <c r="G58" s="18">
        <f t="shared" si="8"/>
        <v>0</v>
      </c>
      <c r="H58" s="18">
        <f t="shared" si="11"/>
        <v>6.1</v>
      </c>
      <c r="I58" s="17">
        <f t="shared" si="9"/>
        <v>2.62</v>
      </c>
      <c r="J58">
        <f t="shared" si="10"/>
        <v>8.56</v>
      </c>
    </row>
    <row r="59" spans="1:10" ht="13.2" x14ac:dyDescent="0.25">
      <c r="A59" t="s">
        <v>70</v>
      </c>
      <c r="B59" t="s">
        <v>50</v>
      </c>
      <c r="C59" t="s">
        <v>67</v>
      </c>
      <c r="D59">
        <v>5.4</v>
      </c>
      <c r="E59" s="16">
        <f t="shared" si="6"/>
        <v>5.91</v>
      </c>
      <c r="F59" s="16">
        <f t="shared" si="7"/>
        <v>12.88</v>
      </c>
      <c r="G59" s="18">
        <f t="shared" si="8"/>
        <v>0</v>
      </c>
      <c r="H59" s="18">
        <f t="shared" si="11"/>
        <v>2.4</v>
      </c>
      <c r="I59" s="17">
        <f t="shared" si="9"/>
        <v>2.62</v>
      </c>
      <c r="J59">
        <f t="shared" si="10"/>
        <v>8.56</v>
      </c>
    </row>
    <row r="60" spans="1:10" ht="13.2" x14ac:dyDescent="0.25">
      <c r="A60" t="s">
        <v>70</v>
      </c>
      <c r="B60" t="s">
        <v>50</v>
      </c>
      <c r="C60" t="s">
        <v>68</v>
      </c>
      <c r="D60">
        <v>9.1999999999999993</v>
      </c>
      <c r="E60" s="16">
        <f t="shared" si="6"/>
        <v>5.91</v>
      </c>
      <c r="F60" s="16">
        <f t="shared" si="7"/>
        <v>12.88</v>
      </c>
      <c r="G60" s="18">
        <f t="shared" si="8"/>
        <v>0</v>
      </c>
      <c r="H60" s="18">
        <f t="shared" si="11"/>
        <v>3.8</v>
      </c>
      <c r="I60" s="17">
        <f t="shared" si="9"/>
        <v>2.62</v>
      </c>
      <c r="J60">
        <f t="shared" si="10"/>
        <v>8.56</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48D39-6715-4790-811A-42B0D85937B7}">
  <dimension ref="A1:G59"/>
  <sheetViews>
    <sheetView showGridLines="0" workbookViewId="0"/>
  </sheetViews>
  <sheetFormatPr defaultRowHeight="13.2" x14ac:dyDescent="0.25"/>
  <cols>
    <col min="1" max="1" width="20.77734375" bestFit="1" customWidth="1"/>
    <col min="2" max="2" width="24.33203125" bestFit="1" customWidth="1"/>
    <col min="3" max="3" width="7.21875" bestFit="1" customWidth="1"/>
    <col min="4" max="4" width="8.5546875" bestFit="1" customWidth="1"/>
    <col min="5" max="5" width="9.33203125" bestFit="1" customWidth="1"/>
    <col min="6" max="6" width="7.21875" bestFit="1" customWidth="1"/>
    <col min="7" max="7" width="93.5546875" bestFit="1" customWidth="1"/>
  </cols>
  <sheetData>
    <row r="1" spans="1:7" x14ac:dyDescent="0.25">
      <c r="A1" t="s">
        <v>69</v>
      </c>
      <c r="B1" t="s">
        <v>1</v>
      </c>
      <c r="C1" t="s">
        <v>2</v>
      </c>
      <c r="D1" t="s">
        <v>82</v>
      </c>
      <c r="E1" t="s">
        <v>83</v>
      </c>
      <c r="F1" t="s">
        <v>3</v>
      </c>
      <c r="G1" t="s">
        <v>84</v>
      </c>
    </row>
    <row r="2" spans="1:7" x14ac:dyDescent="0.25">
      <c r="A2" s="47" t="s">
        <v>70</v>
      </c>
      <c r="B2" s="47" t="s">
        <v>10</v>
      </c>
      <c r="C2">
        <v>1784</v>
      </c>
      <c r="D2">
        <v>284</v>
      </c>
      <c r="E2">
        <v>6</v>
      </c>
      <c r="F2">
        <v>2.1</v>
      </c>
      <c r="G2" s="47" t="s">
        <v>85</v>
      </c>
    </row>
    <row r="3" spans="1:7" x14ac:dyDescent="0.25">
      <c r="A3" s="47" t="s">
        <v>70</v>
      </c>
      <c r="B3" s="47" t="s">
        <v>10</v>
      </c>
      <c r="C3">
        <v>1785</v>
      </c>
      <c r="D3">
        <v>899</v>
      </c>
      <c r="E3">
        <v>13</v>
      </c>
      <c r="F3">
        <v>1.4</v>
      </c>
      <c r="G3" s="47" t="s">
        <v>86</v>
      </c>
    </row>
    <row r="4" spans="1:7" x14ac:dyDescent="0.25">
      <c r="A4" s="47" t="s">
        <v>70</v>
      </c>
      <c r="B4" s="47" t="s">
        <v>10</v>
      </c>
      <c r="C4">
        <v>1786</v>
      </c>
      <c r="D4">
        <v>1151</v>
      </c>
      <c r="E4">
        <v>5</v>
      </c>
      <c r="F4">
        <v>0.4</v>
      </c>
      <c r="G4" s="47" t="s">
        <v>86</v>
      </c>
    </row>
    <row r="5" spans="1:7" x14ac:dyDescent="0.25">
      <c r="A5" s="47" t="s">
        <v>70</v>
      </c>
      <c r="B5" s="47" t="s">
        <v>10</v>
      </c>
      <c r="C5">
        <v>1787</v>
      </c>
      <c r="D5">
        <v>1407</v>
      </c>
      <c r="E5">
        <v>5</v>
      </c>
      <c r="F5">
        <v>0.4</v>
      </c>
      <c r="G5" s="47" t="s">
        <v>86</v>
      </c>
    </row>
    <row r="6" spans="1:7" x14ac:dyDescent="0.25">
      <c r="A6" s="47" t="s">
        <v>70</v>
      </c>
      <c r="B6" s="47" t="s">
        <v>10</v>
      </c>
      <c r="C6">
        <v>1788</v>
      </c>
      <c r="D6">
        <v>1425</v>
      </c>
      <c r="E6">
        <v>5</v>
      </c>
      <c r="F6">
        <v>0.4</v>
      </c>
      <c r="G6" s="47" t="s">
        <v>86</v>
      </c>
    </row>
    <row r="7" spans="1:7" x14ac:dyDescent="0.25">
      <c r="A7" s="47" t="s">
        <v>70</v>
      </c>
      <c r="B7" s="47" t="s">
        <v>10</v>
      </c>
      <c r="C7">
        <v>1789</v>
      </c>
      <c r="D7">
        <v>1246</v>
      </c>
      <c r="E7">
        <v>7</v>
      </c>
      <c r="F7">
        <v>0.6</v>
      </c>
      <c r="G7" s="47" t="s">
        <v>86</v>
      </c>
    </row>
    <row r="8" spans="1:7" x14ac:dyDescent="0.25">
      <c r="A8" s="47" t="s">
        <v>70</v>
      </c>
      <c r="B8" s="47" t="s">
        <v>10</v>
      </c>
      <c r="C8">
        <v>1790</v>
      </c>
      <c r="D8">
        <v>1326</v>
      </c>
      <c r="E8">
        <v>10</v>
      </c>
      <c r="F8">
        <v>0.8</v>
      </c>
      <c r="G8" s="47" t="s">
        <v>86</v>
      </c>
    </row>
    <row r="9" spans="1:7" x14ac:dyDescent="0.25">
      <c r="A9" s="47" t="s">
        <v>70</v>
      </c>
      <c r="B9" s="47" t="s">
        <v>10</v>
      </c>
      <c r="C9">
        <v>1791</v>
      </c>
      <c r="D9">
        <v>1395</v>
      </c>
      <c r="E9">
        <v>8</v>
      </c>
      <c r="F9">
        <v>0.6</v>
      </c>
      <c r="G9" s="47" t="s">
        <v>86</v>
      </c>
    </row>
    <row r="10" spans="1:7" x14ac:dyDescent="0.25">
      <c r="A10" s="47" t="s">
        <v>70</v>
      </c>
      <c r="B10" s="47" t="s">
        <v>10</v>
      </c>
      <c r="C10">
        <v>1792</v>
      </c>
      <c r="D10">
        <v>1579</v>
      </c>
      <c r="E10">
        <v>14</v>
      </c>
      <c r="F10">
        <v>0.9</v>
      </c>
      <c r="G10" s="47" t="s">
        <v>86</v>
      </c>
    </row>
    <row r="11" spans="1:7" x14ac:dyDescent="0.25">
      <c r="A11" s="47" t="s">
        <v>70</v>
      </c>
      <c r="B11" s="47" t="s">
        <v>10</v>
      </c>
      <c r="C11">
        <v>1793</v>
      </c>
      <c r="D11">
        <v>1684</v>
      </c>
      <c r="E11">
        <v>44</v>
      </c>
      <c r="F11">
        <v>2.6</v>
      </c>
      <c r="G11" s="47" t="s">
        <v>86</v>
      </c>
    </row>
    <row r="12" spans="1:7" x14ac:dyDescent="0.25">
      <c r="A12" s="47" t="s">
        <v>70</v>
      </c>
      <c r="B12" s="47" t="s">
        <v>10</v>
      </c>
      <c r="C12">
        <v>1794</v>
      </c>
      <c r="D12">
        <v>1768</v>
      </c>
      <c r="E12">
        <v>7</v>
      </c>
      <c r="F12">
        <v>0.4</v>
      </c>
      <c r="G12" s="47" t="s">
        <v>86</v>
      </c>
    </row>
    <row r="13" spans="1:7" x14ac:dyDescent="0.25">
      <c r="A13" s="47" t="s">
        <v>70</v>
      </c>
      <c r="B13" s="47" t="s">
        <v>10</v>
      </c>
      <c r="C13">
        <v>1795</v>
      </c>
      <c r="D13">
        <v>1798</v>
      </c>
      <c r="E13">
        <v>38</v>
      </c>
      <c r="F13">
        <v>2.1</v>
      </c>
      <c r="G13" s="47" t="s">
        <v>86</v>
      </c>
    </row>
    <row r="14" spans="1:7" x14ac:dyDescent="0.25">
      <c r="A14" s="47" t="s">
        <v>70</v>
      </c>
      <c r="B14" s="47" t="s">
        <v>10</v>
      </c>
      <c r="C14">
        <v>1796</v>
      </c>
      <c r="D14">
        <v>1904</v>
      </c>
      <c r="E14">
        <v>22</v>
      </c>
      <c r="F14">
        <v>1.2</v>
      </c>
      <c r="G14" s="47" t="s">
        <v>86</v>
      </c>
    </row>
    <row r="15" spans="1:7" x14ac:dyDescent="0.25">
      <c r="A15" s="47" t="s">
        <v>70</v>
      </c>
      <c r="B15" s="47" t="s">
        <v>10</v>
      </c>
      <c r="C15">
        <v>1797</v>
      </c>
      <c r="D15">
        <v>2012</v>
      </c>
      <c r="E15">
        <v>5</v>
      </c>
      <c r="F15">
        <v>0.2</v>
      </c>
      <c r="G15" s="47" t="s">
        <v>86</v>
      </c>
    </row>
    <row r="16" spans="1:7" x14ac:dyDescent="0.25">
      <c r="A16" s="47" t="s">
        <v>70</v>
      </c>
      <c r="B16" s="47" t="s">
        <v>10</v>
      </c>
      <c r="C16">
        <v>1798</v>
      </c>
      <c r="D16">
        <v>2046</v>
      </c>
      <c r="E16">
        <v>5</v>
      </c>
      <c r="F16">
        <v>0.2</v>
      </c>
      <c r="G16" s="47" t="s">
        <v>86</v>
      </c>
    </row>
    <row r="17" spans="1:7" x14ac:dyDescent="0.25">
      <c r="A17" s="47" t="s">
        <v>70</v>
      </c>
      <c r="B17" s="47" t="s">
        <v>10</v>
      </c>
      <c r="C17">
        <v>1799</v>
      </c>
      <c r="D17">
        <v>2067</v>
      </c>
      <c r="E17">
        <v>20</v>
      </c>
      <c r="F17">
        <v>1</v>
      </c>
      <c r="G17" s="47" t="s">
        <v>86</v>
      </c>
    </row>
    <row r="18" spans="1:7" x14ac:dyDescent="0.25">
      <c r="A18" s="47" t="s">
        <v>70</v>
      </c>
      <c r="B18" s="47" t="s">
        <v>10</v>
      </c>
      <c r="C18">
        <v>1800</v>
      </c>
      <c r="D18">
        <v>2070</v>
      </c>
      <c r="E18">
        <v>41</v>
      </c>
      <c r="F18">
        <v>2</v>
      </c>
      <c r="G18" s="47" t="s">
        <v>86</v>
      </c>
    </row>
    <row r="19" spans="1:7" x14ac:dyDescent="0.25">
      <c r="A19" s="47" t="s">
        <v>70</v>
      </c>
      <c r="B19" s="47" t="s">
        <v>10</v>
      </c>
      <c r="C19">
        <v>1801</v>
      </c>
      <c r="D19">
        <v>2106</v>
      </c>
      <c r="E19">
        <v>17</v>
      </c>
      <c r="F19">
        <v>0.8</v>
      </c>
      <c r="G19" s="47" t="s">
        <v>86</v>
      </c>
    </row>
    <row r="20" spans="1:7" x14ac:dyDescent="0.25">
      <c r="A20" s="47" t="s">
        <v>70</v>
      </c>
      <c r="B20" s="47" t="s">
        <v>10</v>
      </c>
      <c r="C20">
        <v>1802</v>
      </c>
      <c r="D20">
        <v>2346</v>
      </c>
      <c r="E20">
        <v>9</v>
      </c>
      <c r="F20">
        <v>0.4</v>
      </c>
      <c r="G20" s="47" t="s">
        <v>86</v>
      </c>
    </row>
    <row r="21" spans="1:7" x14ac:dyDescent="0.25">
      <c r="A21" s="47" t="s">
        <v>70</v>
      </c>
      <c r="B21" s="47" t="s">
        <v>10</v>
      </c>
      <c r="C21">
        <v>1803</v>
      </c>
      <c r="D21">
        <v>2215</v>
      </c>
      <c r="E21">
        <v>16</v>
      </c>
      <c r="F21">
        <v>0.7</v>
      </c>
      <c r="G21" s="47" t="s">
        <v>86</v>
      </c>
    </row>
    <row r="22" spans="1:7" x14ac:dyDescent="0.25">
      <c r="A22" s="47" t="s">
        <v>70</v>
      </c>
      <c r="B22" s="47" t="s">
        <v>10</v>
      </c>
      <c r="C22">
        <v>1804</v>
      </c>
      <c r="D22">
        <v>2022</v>
      </c>
      <c r="E22">
        <v>8</v>
      </c>
      <c r="F22">
        <v>0.4</v>
      </c>
      <c r="G22" s="47" t="s">
        <v>86</v>
      </c>
    </row>
    <row r="23" spans="1:7" x14ac:dyDescent="0.25">
      <c r="A23" s="47" t="s">
        <v>70</v>
      </c>
      <c r="B23" s="47" t="s">
        <v>10</v>
      </c>
      <c r="C23">
        <v>1805</v>
      </c>
      <c r="D23">
        <v>2112</v>
      </c>
      <c r="E23">
        <v>9</v>
      </c>
      <c r="F23">
        <v>0.4</v>
      </c>
      <c r="G23" s="47" t="s">
        <v>86</v>
      </c>
    </row>
    <row r="24" spans="1:7" x14ac:dyDescent="0.25">
      <c r="A24" s="47" t="s">
        <v>70</v>
      </c>
      <c r="B24" s="47" t="s">
        <v>10</v>
      </c>
      <c r="C24">
        <v>1806</v>
      </c>
      <c r="D24">
        <v>1875</v>
      </c>
      <c r="E24">
        <v>13</v>
      </c>
      <c r="F24">
        <v>0.7</v>
      </c>
      <c r="G24" s="47" t="s">
        <v>86</v>
      </c>
    </row>
    <row r="25" spans="1:7" x14ac:dyDescent="0.25">
      <c r="A25" s="47" t="s">
        <v>70</v>
      </c>
      <c r="B25" s="47" t="s">
        <v>10</v>
      </c>
      <c r="C25">
        <v>1807</v>
      </c>
      <c r="D25">
        <v>925</v>
      </c>
      <c r="E25">
        <v>6</v>
      </c>
      <c r="F25">
        <v>0.6</v>
      </c>
      <c r="G25" s="47" t="s">
        <v>86</v>
      </c>
    </row>
    <row r="26" spans="1:7" x14ac:dyDescent="0.25">
      <c r="A26" s="47" t="s">
        <v>70</v>
      </c>
      <c r="B26" s="47" t="s">
        <v>10</v>
      </c>
      <c r="C26">
        <v>1808</v>
      </c>
      <c r="D26">
        <v>855</v>
      </c>
      <c r="E26">
        <v>7</v>
      </c>
      <c r="F26">
        <v>0.8</v>
      </c>
      <c r="G26" s="47" t="s">
        <v>86</v>
      </c>
    </row>
    <row r="27" spans="1:7" x14ac:dyDescent="0.25">
      <c r="A27" s="47" t="s">
        <v>70</v>
      </c>
      <c r="B27" s="47" t="s">
        <v>10</v>
      </c>
      <c r="C27">
        <v>1809</v>
      </c>
      <c r="D27">
        <v>912</v>
      </c>
      <c r="E27">
        <v>13</v>
      </c>
      <c r="F27">
        <v>1.4</v>
      </c>
      <c r="G27" s="47" t="s">
        <v>86</v>
      </c>
    </row>
    <row r="28" spans="1:7" x14ac:dyDescent="0.25">
      <c r="A28" s="47" t="s">
        <v>70</v>
      </c>
      <c r="B28" s="47" t="s">
        <v>10</v>
      </c>
      <c r="C28">
        <v>1810</v>
      </c>
      <c r="D28">
        <v>744</v>
      </c>
      <c r="E28">
        <v>6</v>
      </c>
      <c r="F28">
        <v>0.8</v>
      </c>
      <c r="G28" s="47" t="s">
        <v>86</v>
      </c>
    </row>
    <row r="29" spans="1:7" x14ac:dyDescent="0.25">
      <c r="A29" s="47" t="s">
        <v>70</v>
      </c>
      <c r="B29" s="47" t="s">
        <v>10</v>
      </c>
      <c r="C29">
        <v>1811</v>
      </c>
      <c r="D29">
        <v>1050</v>
      </c>
      <c r="E29">
        <v>20</v>
      </c>
      <c r="F29">
        <v>1.9</v>
      </c>
      <c r="G29" s="47" t="s">
        <v>86</v>
      </c>
    </row>
    <row r="30" spans="1:7" x14ac:dyDescent="0.25">
      <c r="A30" s="47" t="s">
        <v>70</v>
      </c>
      <c r="B30" s="47" t="s">
        <v>10</v>
      </c>
      <c r="C30">
        <v>1812</v>
      </c>
      <c r="D30">
        <v>1419</v>
      </c>
      <c r="E30">
        <v>9</v>
      </c>
      <c r="F30">
        <v>0.6</v>
      </c>
      <c r="G30" s="47" t="s">
        <v>86</v>
      </c>
    </row>
    <row r="31" spans="1:7" x14ac:dyDescent="0.25">
      <c r="A31" s="47" t="s">
        <v>70</v>
      </c>
      <c r="B31" s="47" t="s">
        <v>10</v>
      </c>
      <c r="C31">
        <v>1813</v>
      </c>
      <c r="D31">
        <v>1945</v>
      </c>
      <c r="E31">
        <v>21</v>
      </c>
      <c r="F31">
        <v>1.1000000000000001</v>
      </c>
      <c r="G31" s="47" t="s">
        <v>86</v>
      </c>
    </row>
    <row r="32" spans="1:7" x14ac:dyDescent="0.25">
      <c r="A32" s="47" t="s">
        <v>70</v>
      </c>
      <c r="B32" s="47" t="s">
        <v>10</v>
      </c>
      <c r="C32">
        <v>1814</v>
      </c>
      <c r="D32">
        <v>2062</v>
      </c>
      <c r="E32">
        <v>66</v>
      </c>
      <c r="F32">
        <v>3.2</v>
      </c>
      <c r="G32" s="47" t="s">
        <v>86</v>
      </c>
    </row>
    <row r="33" spans="1:7" x14ac:dyDescent="0.25">
      <c r="A33" s="47" t="s">
        <v>70</v>
      </c>
      <c r="B33" s="47" t="s">
        <v>10</v>
      </c>
      <c r="C33">
        <v>1815</v>
      </c>
      <c r="D33">
        <v>2591</v>
      </c>
      <c r="E33">
        <v>19</v>
      </c>
      <c r="F33">
        <v>0.7</v>
      </c>
      <c r="G33" s="47" t="s">
        <v>86</v>
      </c>
    </row>
    <row r="34" spans="1:7" x14ac:dyDescent="0.25">
      <c r="A34" s="47" t="s">
        <v>70</v>
      </c>
      <c r="B34" s="47" t="s">
        <v>10</v>
      </c>
      <c r="C34">
        <v>1816</v>
      </c>
      <c r="D34">
        <v>2410</v>
      </c>
      <c r="E34">
        <v>12</v>
      </c>
      <c r="F34">
        <v>0.5</v>
      </c>
      <c r="G34" s="47" t="s">
        <v>86</v>
      </c>
    </row>
    <row r="35" spans="1:7" x14ac:dyDescent="0.25">
      <c r="A35" s="47" t="s">
        <v>70</v>
      </c>
      <c r="B35" s="47" t="s">
        <v>10</v>
      </c>
      <c r="C35">
        <v>1817</v>
      </c>
      <c r="D35">
        <v>2735</v>
      </c>
      <c r="E35">
        <v>25</v>
      </c>
      <c r="F35">
        <v>0.9</v>
      </c>
      <c r="G35" s="47" t="s">
        <v>86</v>
      </c>
    </row>
    <row r="36" spans="1:7" x14ac:dyDescent="0.25">
      <c r="A36" s="47" t="s">
        <v>70</v>
      </c>
      <c r="B36" s="47" t="s">
        <v>10</v>
      </c>
      <c r="C36">
        <v>1818</v>
      </c>
      <c r="D36">
        <v>2568</v>
      </c>
      <c r="E36">
        <v>56</v>
      </c>
      <c r="F36">
        <v>2.2000000000000002</v>
      </c>
      <c r="G36" s="47" t="s">
        <v>86</v>
      </c>
    </row>
    <row r="37" spans="1:7" x14ac:dyDescent="0.25">
      <c r="A37" s="47" t="s">
        <v>70</v>
      </c>
      <c r="B37" s="47" t="s">
        <v>10</v>
      </c>
      <c r="C37">
        <v>1819</v>
      </c>
      <c r="D37">
        <v>3089</v>
      </c>
      <c r="E37">
        <v>154</v>
      </c>
      <c r="F37">
        <v>5</v>
      </c>
      <c r="G37" s="47" t="s">
        <v>86</v>
      </c>
    </row>
    <row r="38" spans="1:7" x14ac:dyDescent="0.25">
      <c r="A38" s="47" t="s">
        <v>70</v>
      </c>
      <c r="B38" s="47" t="s">
        <v>10</v>
      </c>
      <c r="C38">
        <v>1820</v>
      </c>
      <c r="D38">
        <v>2998</v>
      </c>
      <c r="E38">
        <v>75</v>
      </c>
      <c r="F38">
        <v>2.5</v>
      </c>
      <c r="G38" s="47" t="s">
        <v>86</v>
      </c>
    </row>
    <row r="39" spans="1:7" x14ac:dyDescent="0.25">
      <c r="A39" s="47" t="s">
        <v>70</v>
      </c>
      <c r="B39" s="47" t="s">
        <v>10</v>
      </c>
      <c r="C39">
        <v>1821</v>
      </c>
      <c r="D39">
        <v>3294</v>
      </c>
      <c r="E39">
        <v>55</v>
      </c>
      <c r="F39">
        <v>1.7</v>
      </c>
      <c r="G39" s="47" t="s">
        <v>86</v>
      </c>
    </row>
    <row r="40" spans="1:7" x14ac:dyDescent="0.25">
      <c r="A40" s="47" t="s">
        <v>70</v>
      </c>
      <c r="B40" s="47" t="s">
        <v>10</v>
      </c>
      <c r="C40">
        <v>1822</v>
      </c>
      <c r="D40">
        <v>3066</v>
      </c>
      <c r="E40">
        <v>26</v>
      </c>
      <c r="F40">
        <v>0.8</v>
      </c>
      <c r="G40" s="47" t="s">
        <v>86</v>
      </c>
    </row>
    <row r="41" spans="1:7" x14ac:dyDescent="0.25">
      <c r="A41" s="47" t="s">
        <v>70</v>
      </c>
      <c r="B41" s="47" t="s">
        <v>50</v>
      </c>
      <c r="C41">
        <v>1823</v>
      </c>
      <c r="D41">
        <v>2872</v>
      </c>
      <c r="E41">
        <v>214</v>
      </c>
      <c r="F41">
        <v>7.5</v>
      </c>
      <c r="G41" s="47" t="s">
        <v>86</v>
      </c>
    </row>
    <row r="42" spans="1:7" x14ac:dyDescent="0.25">
      <c r="A42" s="47" t="s">
        <v>70</v>
      </c>
      <c r="B42" s="47" t="s">
        <v>50</v>
      </c>
      <c r="C42">
        <v>1824</v>
      </c>
      <c r="D42">
        <v>2911</v>
      </c>
      <c r="E42">
        <v>144</v>
      </c>
      <c r="F42">
        <v>4.9000000000000004</v>
      </c>
      <c r="G42" s="47" t="s">
        <v>86</v>
      </c>
    </row>
    <row r="43" spans="1:7" x14ac:dyDescent="0.25">
      <c r="A43" s="47" t="s">
        <v>70</v>
      </c>
      <c r="B43" s="47" t="s">
        <v>50</v>
      </c>
      <c r="C43">
        <v>1825</v>
      </c>
      <c r="D43">
        <v>2594</v>
      </c>
      <c r="E43">
        <v>229</v>
      </c>
      <c r="F43">
        <v>8.8000000000000007</v>
      </c>
      <c r="G43" s="47" t="s">
        <v>86</v>
      </c>
    </row>
    <row r="44" spans="1:7" x14ac:dyDescent="0.25">
      <c r="A44" s="47" t="s">
        <v>70</v>
      </c>
      <c r="B44" s="47" t="s">
        <v>50</v>
      </c>
      <c r="C44">
        <v>1826</v>
      </c>
      <c r="D44">
        <v>2359</v>
      </c>
      <c r="E44">
        <v>192</v>
      </c>
      <c r="F44">
        <v>8.1</v>
      </c>
      <c r="G44" s="47" t="s">
        <v>86</v>
      </c>
    </row>
    <row r="45" spans="1:7" x14ac:dyDescent="0.25">
      <c r="A45" s="47" t="s">
        <v>70</v>
      </c>
      <c r="B45" s="47" t="s">
        <v>50</v>
      </c>
      <c r="C45">
        <v>1827</v>
      </c>
      <c r="D45">
        <v>2367</v>
      </c>
      <c r="E45">
        <v>51</v>
      </c>
      <c r="F45">
        <v>2.2000000000000002</v>
      </c>
      <c r="G45" s="47" t="s">
        <v>86</v>
      </c>
    </row>
    <row r="46" spans="1:7" x14ac:dyDescent="0.25">
      <c r="A46" s="47" t="s">
        <v>70</v>
      </c>
      <c r="B46" s="47" t="s">
        <v>50</v>
      </c>
      <c r="C46">
        <v>1828</v>
      </c>
      <c r="D46">
        <v>2833</v>
      </c>
      <c r="E46">
        <v>101</v>
      </c>
      <c r="F46">
        <v>3.6</v>
      </c>
      <c r="G46" s="47" t="s">
        <v>86</v>
      </c>
    </row>
    <row r="47" spans="1:7" x14ac:dyDescent="0.25">
      <c r="A47" s="47" t="s">
        <v>70</v>
      </c>
      <c r="B47" s="47" t="s">
        <v>50</v>
      </c>
      <c r="C47">
        <v>1829</v>
      </c>
      <c r="D47">
        <v>3012</v>
      </c>
      <c r="E47">
        <v>140</v>
      </c>
      <c r="F47">
        <v>4.5999999999999996</v>
      </c>
      <c r="G47" s="47" t="s">
        <v>86</v>
      </c>
    </row>
    <row r="48" spans="1:7" x14ac:dyDescent="0.25">
      <c r="A48" s="47" t="s">
        <v>70</v>
      </c>
      <c r="B48" s="47" t="s">
        <v>50</v>
      </c>
      <c r="C48">
        <v>1830</v>
      </c>
      <c r="D48">
        <v>2797</v>
      </c>
      <c r="E48">
        <v>111</v>
      </c>
      <c r="F48">
        <v>4</v>
      </c>
      <c r="G48" s="47" t="s">
        <v>86</v>
      </c>
    </row>
    <row r="49" spans="1:7" x14ac:dyDescent="0.25">
      <c r="A49" s="47" t="s">
        <v>70</v>
      </c>
      <c r="B49" s="47" t="s">
        <v>50</v>
      </c>
      <c r="C49">
        <v>1831</v>
      </c>
      <c r="D49">
        <v>3353</v>
      </c>
      <c r="E49">
        <v>222</v>
      </c>
      <c r="F49">
        <v>6.6</v>
      </c>
      <c r="G49" s="47" t="s">
        <v>86</v>
      </c>
    </row>
    <row r="50" spans="1:7" x14ac:dyDescent="0.25">
      <c r="A50" s="47" t="s">
        <v>70</v>
      </c>
      <c r="B50" s="47" t="s">
        <v>50</v>
      </c>
      <c r="C50">
        <v>1832</v>
      </c>
      <c r="D50">
        <v>3331</v>
      </c>
      <c r="E50">
        <v>105</v>
      </c>
      <c r="F50">
        <v>3.2</v>
      </c>
      <c r="G50" s="47" t="s">
        <v>86</v>
      </c>
    </row>
    <row r="51" spans="1:7" x14ac:dyDescent="0.25">
      <c r="A51" s="47" t="s">
        <v>70</v>
      </c>
      <c r="B51" s="47" t="s">
        <v>50</v>
      </c>
      <c r="C51">
        <v>1833</v>
      </c>
      <c r="D51">
        <v>3737</v>
      </c>
      <c r="E51">
        <v>197</v>
      </c>
      <c r="F51">
        <v>5.3</v>
      </c>
      <c r="G51" s="47" t="s">
        <v>86</v>
      </c>
    </row>
    <row r="52" spans="1:7" x14ac:dyDescent="0.25">
      <c r="A52" s="47" t="s">
        <v>70</v>
      </c>
      <c r="B52" s="47" t="s">
        <v>50</v>
      </c>
      <c r="C52">
        <v>1834</v>
      </c>
      <c r="D52">
        <v>2657</v>
      </c>
      <c r="E52">
        <v>205</v>
      </c>
      <c r="F52">
        <v>7.7</v>
      </c>
      <c r="G52" s="47" t="s">
        <v>86</v>
      </c>
    </row>
    <row r="53" spans="1:7" x14ac:dyDescent="0.25">
      <c r="A53" s="47" t="s">
        <v>70</v>
      </c>
      <c r="B53" s="47" t="s">
        <v>50</v>
      </c>
      <c r="C53">
        <v>1835</v>
      </c>
      <c r="D53">
        <v>2573</v>
      </c>
      <c r="E53">
        <v>143</v>
      </c>
      <c r="F53">
        <v>5.6</v>
      </c>
      <c r="G53" s="47" t="s">
        <v>86</v>
      </c>
    </row>
    <row r="54" spans="1:7" x14ac:dyDescent="0.25">
      <c r="A54" s="47" t="s">
        <v>70</v>
      </c>
      <c r="B54" s="47" t="s">
        <v>50</v>
      </c>
      <c r="C54">
        <v>1836</v>
      </c>
      <c r="D54">
        <v>2677</v>
      </c>
      <c r="E54">
        <v>200</v>
      </c>
      <c r="F54">
        <v>7.5</v>
      </c>
      <c r="G54" s="47" t="s">
        <v>86</v>
      </c>
    </row>
    <row r="55" spans="1:7" x14ac:dyDescent="0.25">
      <c r="A55" s="47" t="s">
        <v>70</v>
      </c>
      <c r="B55" s="47" t="s">
        <v>50</v>
      </c>
      <c r="C55">
        <v>1837</v>
      </c>
      <c r="D55">
        <v>2765</v>
      </c>
      <c r="E55">
        <v>251</v>
      </c>
      <c r="F55">
        <v>9.1</v>
      </c>
      <c r="G55" s="47" t="s">
        <v>86</v>
      </c>
    </row>
    <row r="56" spans="1:7" x14ac:dyDescent="0.25">
      <c r="A56" s="47" t="s">
        <v>70</v>
      </c>
      <c r="B56" s="47" t="s">
        <v>50</v>
      </c>
      <c r="C56">
        <v>1838</v>
      </c>
      <c r="D56">
        <v>2987</v>
      </c>
      <c r="E56">
        <v>91</v>
      </c>
      <c r="F56">
        <v>3</v>
      </c>
      <c r="G56" s="47" t="s">
        <v>86</v>
      </c>
    </row>
    <row r="57" spans="1:7" x14ac:dyDescent="0.25">
      <c r="A57" s="47" t="s">
        <v>70</v>
      </c>
      <c r="B57" s="47" t="s">
        <v>50</v>
      </c>
      <c r="C57">
        <v>1839</v>
      </c>
      <c r="D57">
        <v>2781</v>
      </c>
      <c r="E57">
        <v>151</v>
      </c>
      <c r="F57">
        <v>5.4</v>
      </c>
      <c r="G57" s="47" t="s">
        <v>86</v>
      </c>
    </row>
    <row r="58" spans="1:7" x14ac:dyDescent="0.25">
      <c r="A58" s="47" t="s">
        <v>70</v>
      </c>
      <c r="B58" s="47" t="s">
        <v>50</v>
      </c>
      <c r="C58">
        <v>1840</v>
      </c>
      <c r="D58">
        <v>2889</v>
      </c>
      <c r="E58">
        <v>267</v>
      </c>
      <c r="F58">
        <v>9.1999999999999993</v>
      </c>
      <c r="G58" s="47" t="s">
        <v>86</v>
      </c>
    </row>
    <row r="59" spans="1:7" x14ac:dyDescent="0.25">
      <c r="A59" s="47" t="s">
        <v>86</v>
      </c>
      <c r="B59" s="47" t="s">
        <v>86</v>
      </c>
      <c r="G59" s="47" t="s">
        <v>86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3421F3-CB3F-4846-9EE3-178065F368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CS.1. Before PA</vt:lpstr>
      <vt:lpstr>Fig CS.2. After PA</vt:lpstr>
      <vt:lpstr>Fig CS.3. Before v. After</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2026-05-07T17:17:51Z</dcterms:modified>
</cp:coreProperties>
</file>