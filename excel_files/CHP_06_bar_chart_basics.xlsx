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tables/table7.xml" ContentType="application/vnd.openxmlformats-officedocument.spreadsheetml.table+xml"/>
  <Override PartName="/xl/queryTables/queryTable7.xml" ContentType="application/vnd.openxmlformats-officedocument.spreadsheetml.query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tables/table8.xml" ContentType="application/vnd.openxmlformats-officedocument.spreadsheetml.table+xml"/>
  <Override PartName="/xl/queryTables/queryTable8.xml" ContentType="application/vnd.openxmlformats-officedocument.spreadsheetml.query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DDEAF471-822C-417F-A13A-4453B6564A3B}" xr6:coauthVersionLast="47" xr6:coauthVersionMax="47" xr10:uidLastSave="{00000000-0000-0000-0000-000000000000}"/>
  <bookViews>
    <workbookView xWindow="7125" yWindow="-12690" windowWidth="21600" windowHeight="11235" xr2:uid="{00000000-000D-0000-FFFF-FFFF00000000}"/>
  </bookViews>
  <sheets>
    <sheet name="Overview" sheetId="1" r:id="rId1"/>
    <sheet name="Fig 6.1. Bar chart by hospital" sheetId="2" r:id="rId2"/>
    <sheet name="Fig 6.2. Births &amp; Deaths" sheetId="12" r:id="rId3"/>
    <sheet name="Fig 6.3. Stacked bar chart" sheetId="13" r:id="rId4"/>
    <sheet name="Fig 6.4. Pie chart" sheetId="5" r:id="rId5"/>
    <sheet name="Fig 6.5. Bar chart of deaths" sheetId="14" r:id="rId6"/>
    <sheet name="Fig 6.6. Deviation chart" sheetId="7" r:id="rId7"/>
    <sheet name="Fig 6.7. Pareto chart" sheetId="8" r:id="rId8"/>
    <sheet name="Fig 6.8. Cumulative % curve" sheetId="15" r:id="rId9"/>
    <sheet name="Data" sheetId="10" r:id="rId10"/>
  </sheets>
  <definedNames>
    <definedName name="ExternalData_1" localSheetId="9" hidden="1">Data!$A$1:$D$3</definedName>
    <definedName name="ExternalData_1" localSheetId="1" hidden="1">'Fig 6.1. Bar chart by hospital'!$A$1:$C$3</definedName>
    <definedName name="ExternalData_1" localSheetId="2" hidden="1">'Fig 6.2. Births &amp; Deaths'!$A$1:$C$3</definedName>
    <definedName name="ExternalData_1" localSheetId="3" hidden="1">'Fig 6.3. Stacked bar chart'!$A$1:$C$3</definedName>
    <definedName name="ExternalData_1" localSheetId="4" hidden="1">'Fig 6.4. Pie chart'!$A$1:$C$4</definedName>
    <definedName name="ExternalData_1" localSheetId="5" hidden="1">'Fig 6.5. Bar chart of deaths'!$A$1:$C$4</definedName>
    <definedName name="ExternalData_2" localSheetId="9" hidden="1">Data!$G$1:$I$3</definedName>
    <definedName name="ExternalData_2" localSheetId="6" hidden="1">'Fig 6.6. Deviation chart'!$A$1:$C$3</definedName>
    <definedName name="ExternalData_3" localSheetId="9" hidden="1">Data!$L$1:$N$17</definedName>
    <definedName name="ExternalData_3" localSheetId="7" hidden="1">'Fig 6.7. Pareto chart'!$A$1:$C$17</definedName>
    <definedName name="ExternalData_3" localSheetId="8" hidden="1">'Fig 6.8. Cumulative % curve'!$A$1:$C$17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5" l="1"/>
  <c r="D2" i="7"/>
  <c r="D3" i="7"/>
  <c r="C4" i="14"/>
  <c r="C4" i="5"/>
  <c r="D2" i="15" l="1"/>
  <c r="D3" i="15"/>
  <c r="D5" i="15"/>
  <c r="D6" i="15"/>
  <c r="D7" i="15"/>
  <c r="D8" i="15"/>
  <c r="D9" i="15"/>
  <c r="D11" i="15"/>
  <c r="D12" i="15"/>
  <c r="D13" i="15"/>
  <c r="D15" i="15"/>
  <c r="D17" i="15"/>
  <c r="D10" i="15"/>
  <c r="D14" i="15"/>
  <c r="D16" i="15"/>
  <c r="D4" i="15"/>
  <c r="D4" i="14"/>
  <c r="D3" i="14"/>
  <c r="D2" i="14"/>
  <c r="D2" i="5"/>
  <c r="D3" i="5"/>
  <c r="D4" i="5"/>
  <c r="E2" i="15" l="1"/>
  <c r="E3" i="15"/>
  <c r="E4" i="15" s="1"/>
  <c r="E5" i="15" s="1"/>
  <c r="E6" i="15" s="1"/>
  <c r="E7" i="15" s="1"/>
  <c r="E8" i="15" s="1"/>
  <c r="E9" i="15" s="1"/>
  <c r="E10" i="15" s="1"/>
  <c r="E11" i="15" s="1"/>
  <c r="E12" i="15" s="1"/>
  <c r="E13" i="15" s="1"/>
  <c r="E14" i="15" s="1"/>
  <c r="D18" i="15"/>
  <c r="E15" i="15" l="1"/>
  <c r="E16" i="15" s="1"/>
  <c r="E17" i="1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B468C3-3EC2-42A2-8D4B-456AA092BFB0}" keepAlive="1" name="Query - causes-of-death-in-1864-dublin" description="Connection to the 'causes-of-death-in-1864-dublin' query in the workbook." type="5" refreshedVersion="8" background="1" saveData="1">
    <dbPr connection="Provider=Microsoft.Mashup.OleDb.1;Data Source=$Workbook$;Location=causes-of-death-in-1864-dublin;Extended Properties=&quot;&quot;" command="SELECT * FROM [causes-of-death-in-1864-dublin]"/>
  </connection>
  <connection id="2" xr16:uid="{F8576DE1-AA6B-4215-832D-55D56541BC55}" keepAlive="1" name="Query - causes-of-death-in-1864-dublin (2)" description="Connection to the 'causes-of-death-in-1864-dublin (2)' query in the workbook." type="5" refreshedVersion="8" background="1" saveData="1">
    <dbPr connection="Provider=Microsoft.Mashup.OleDb.1;Data Source=$Workbook$;Location=&quot;causes-of-death-in-1864-dublin (2)&quot;;Extended Properties=&quot;&quot;" command="SELECT * FROM [causes-of-death-in-1864-dublin (2)]"/>
  </connection>
  <connection id="3" xr16:uid="{C9C46A5C-9419-42DF-806B-6F30A64B1BF5}" keepAlive="1" name="Query - causes-of-death-in-1864-dublin (3)" description="Connection to the 'causes-of-death-in-1864-dublin (3)' query in the workbook." type="5" refreshedVersion="8" background="1" saveData="1">
    <dbPr connection="Provider=Microsoft.Mashup.OleDb.1;Data Source=$Workbook$;Location=&quot;causes-of-death-in-1864-dublin (3)&quot;;Extended Properties=&quot;&quot;" command="SELECT * FROM [causes-of-death-in-1864-dublin (3)]"/>
  </connection>
  <connection id="4" xr16:uid="{BF5A75C8-F7E5-4FCC-A795-626E47E9D042}" keepAlive="1" name="Query - death-to-birth-rates-by-hospital-1784-to-1849" description="Connection to the 'death-to-birth-rates-by-hospital-1784-to-1849' query in the workbook." type="5" refreshedVersion="8" background="1" saveData="1">
    <dbPr connection="Provider=Microsoft.Mashup.OleDb.1;Data Source=$Workbook$;Location=death-to-birth-rates-by-hospital-1784-to-1849;Extended Properties=&quot;&quot;" command="SELECT * FROM [death-to-birth-rates-by-hospital-1784-to-1849]"/>
  </connection>
  <connection id="5" xr16:uid="{4100EF3B-2254-4587-A79F-38DD382F1903}" keepAlive="1" name="Query - death-to-birth-rates-by-hospital-1784-to-1849 (10)" description="Connection to the 'death-to-birth-rates-by-hospital-1784-to-1849 (10)' query in the workbook." type="5" refreshedVersion="8" background="1" saveData="1">
    <dbPr connection="Provider=Microsoft.Mashup.OleDb.1;Data Source=$Workbook$;Location=&quot;death-to-birth-rates-by-hospital-1784-to-1849 (10)&quot;;Extended Properties=&quot;&quot;" command="SELECT * FROM [death-to-birth-rates-by-hospital-1784-to-1849 (10)]"/>
  </connection>
  <connection id="6" xr16:uid="{B761013D-E60F-450D-B8A1-14D114C78951}" keepAlive="1" name="Query - death-to-birth-rates-by-hospital-1784-to-1849 (2)" description="Connection to the 'death-to-birth-rates-by-hospital-1784-to-1849 (2)' query in the workbook." type="5" refreshedVersion="8" background="1" saveData="1">
    <dbPr connection="Provider=Microsoft.Mashup.OleDb.1;Data Source=$Workbook$;Location=&quot;death-to-birth-rates-by-hospital-1784-to-1849 (2)&quot;;Extended Properties=&quot;&quot;" command="SELECT * FROM [death-to-birth-rates-by-hospital-1784-to-1849 (2)]"/>
  </connection>
  <connection id="7" xr16:uid="{9DF3616A-DBCD-48A8-BA24-7C8809C7CE20}" keepAlive="1" name="Query - death-to-birth-rates-by-hospital-1784-to-1849 (3)" description="Connection to the 'death-to-birth-rates-by-hospital-1784-to-1849 (3)' query in the workbook." type="5" refreshedVersion="8" background="1" saveData="1">
    <dbPr connection="Provider=Microsoft.Mashup.OleDb.1;Data Source=$Workbook$;Location=&quot;death-to-birth-rates-by-hospital-1784-to-1849 (3)&quot;;Extended Properties=&quot;&quot;" command="SELECT * FROM [death-to-birth-rates-by-hospital-1784-to-1849 (3)]"/>
  </connection>
  <connection id="8" xr16:uid="{1708F640-E350-4049-B6CB-4789B5F25C77}" keepAlive="1" name="Query - death-to-birth-rates-by-hospital-1784-to-1849 (6)" description="Connection to the 'death-to-birth-rates-by-hospital-1784-to-1849 (6)' query in the workbook." type="5" refreshedVersion="8" background="1" saveData="1">
    <dbPr connection="Provider=Microsoft.Mashup.OleDb.1;Data Source=$Workbook$;Location=&quot;death-to-birth-rates-by-hospital-1784-to-1849 (6)&quot;;Extended Properties=&quot;&quot;" command="SELECT * FROM [death-to-birth-rates-by-hospital-1784-to-1849 (6)]"/>
  </connection>
  <connection id="9" xr16:uid="{871FEFF6-E186-4F95-BA0A-648544CCAB2F}" keepAlive="1" name="Query - death-to-birth-rates-by-hospital-1784-to-1849 (7)" description="Connection to the 'death-to-birth-rates-by-hospital-1784-to-1849 (7)' query in the workbook." type="5" refreshedVersion="8" background="1" saveData="1">
    <dbPr connection="Provider=Microsoft.Mashup.OleDb.1;Data Source=$Workbook$;Location=&quot;death-to-birth-rates-by-hospital-1784-to-1849 (7)&quot;;Extended Properties=&quot;&quot;" command="SELECT * FROM [death-to-birth-rates-by-hospital-1784-to-1849 (7)]"/>
  </connection>
  <connection id="10" xr16:uid="{0DA40177-D122-4D5E-847B-5BAB0ECF7384}" keepAlive="1" name="Query - death-to-birth-rates-by-hospital-1784-to-1849 (8)" description="Connection to the 'death-to-birth-rates-by-hospital-1784-to-1849 (8)' query in the workbook." type="5" refreshedVersion="8" background="1" saveData="1">
    <dbPr connection="Provider=Microsoft.Mashup.OleDb.1;Data Source=$Workbook$;Location=&quot;death-to-birth-rates-by-hospital-1784-to-1849 (8)&quot;;Extended Properties=&quot;&quot;" command="SELECT * FROM [death-to-birth-rates-by-hospital-1784-to-1849 (8)]"/>
  </connection>
  <connection id="11" xr16:uid="{3344A672-6C4E-47E8-BD78-B2615A9F96CC}" keepAlive="1" name="Query - death-to-birth-rates-by-hospital-1784-to-1849 (9)" description="Connection to the 'death-to-birth-rates-by-hospital-1784-to-1849 (9)' query in the workbook." type="5" refreshedVersion="8" background="1" saveData="1">
    <dbPr connection="Provider=Microsoft.Mashup.OleDb.1;Data Source=$Workbook$;Location=&quot;death-to-birth-rates-by-hospital-1784-to-1849 (9)&quot;;Extended Properties=&quot;&quot;" command="SELECT * FROM [death-to-birth-rates-by-hospital-1784-to-1849 (9)]"/>
  </connection>
  <connection id="12" xr16:uid="{354454EC-A96C-407B-8928-10D4611F30B1}" keepAlive="1" name="Query - obstetrics-annual-salaries-1845 (3)" description="Connection to the 'obstetrics-annual-salaries-1845 (3)' query in the workbook." type="5" refreshedVersion="8" background="1" saveData="1">
    <dbPr connection="Provider=Microsoft.Mashup.OleDb.1;Data Source=$Workbook$;Location=&quot;obstetrics-annual-salaries-1845 (3)&quot;;Extended Properties=&quot;&quot;" command="SELECT * FROM [obstetrics-annual-salaries-1845 (3)]"/>
  </connection>
</connections>
</file>

<file path=xl/sharedStrings.xml><?xml version="1.0" encoding="utf-8"?>
<sst xmlns="http://schemas.openxmlformats.org/spreadsheetml/2006/main" count="172" uniqueCount="49">
  <si>
    <t>Chapter 6. Bar Chart Basics</t>
  </si>
  <si>
    <t>Year</t>
  </si>
  <si>
    <t>Hospital</t>
  </si>
  <si>
    <t>Births</t>
  </si>
  <si>
    <t>Deaths</t>
  </si>
  <si>
    <t>Vienna General Hospital</t>
  </si>
  <si>
    <t>Dublin Maternity Hospital</t>
  </si>
  <si>
    <t>Percent</t>
  </si>
  <si>
    <t>Sum</t>
  </si>
  <si>
    <t>% Change</t>
  </si>
  <si>
    <t>Cause of Death</t>
  </si>
  <si>
    <t>Number of Deaths</t>
  </si>
  <si>
    <t>Dublin (North &amp; South)</t>
  </si>
  <si>
    <t>Respiratory</t>
  </si>
  <si>
    <t>Consumption</t>
  </si>
  <si>
    <t>Fever</t>
  </si>
  <si>
    <t>Diarrhea</t>
  </si>
  <si>
    <t>Violence</t>
  </si>
  <si>
    <t>Scarlatina</t>
  </si>
  <si>
    <t>Dysentery</t>
  </si>
  <si>
    <t>Diphtheria</t>
  </si>
  <si>
    <t>Childbed Fever</t>
  </si>
  <si>
    <t>Erysipelas</t>
  </si>
  <si>
    <t>Influenza</t>
  </si>
  <si>
    <t>Childbirth</t>
  </si>
  <si>
    <t>Measles</t>
  </si>
  <si>
    <t>Cholera</t>
  </si>
  <si>
    <t>% of Total</t>
  </si>
  <si>
    <t>Cumulative %</t>
  </si>
  <si>
    <t>Figure</t>
  </si>
  <si>
    <r>
      <t>This file serves as a resource for building some of the figures in Chapter 6 of The Virus of Variation using Microsoft Excel or Google Sheets.
The figures included here are:
Figure 6.1. Bar chart of births and deaths by hospital
Figure 6.2. Bar chart of births and deaths by hospital with fixed vertical scale
Figure 6.3. Stacked bar chart of births and deaths by hospital
Figure 6.4. Pie chart of deaths by hospital
Figure 6.5. Bar chart of deaths by hospital
Figure 6.6. Deviation chart
Figure 6.7. Pareto chart of causes of death
Figure 6.8. Pareto chart of causes of death with cumulative percentage curve
Each figure has its own tab. The data used in the figures can be found in the Data tab.
For additional details regarding each of these figures, see Chapter 6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as they appear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</si>
  <si>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Link to book:</t>
  </si>
  <si>
    <t>https://www.brokenquality.com/book</t>
  </si>
  <si>
    <t>Link to GitHub:</t>
  </si>
  <si>
    <t>https://github.com/jimlehner/virus-of-variation-book</t>
  </si>
  <si>
    <t>Contact:</t>
  </si>
  <si>
    <t>James.Lehner@gmail.com</t>
  </si>
  <si>
    <t>QualityIsBroken@gmail.com</t>
  </si>
  <si>
    <t>6.1, 6.2, 6.3, &amp; 6.4</t>
  </si>
  <si>
    <t>1823</t>
  </si>
  <si>
    <t>1824</t>
  </si>
  <si>
    <t>City</t>
  </si>
  <si>
    <t>Smallpox</t>
  </si>
  <si>
    <t>Whooping Cough</t>
  </si>
  <si>
    <t>https://raw.githubusercontent.com/jimlehner/virus-of-variation-book/refs/heads/main/data/causes-of-death-in-1864-dublin.csv</t>
  </si>
  <si>
    <t>Raw Data GitHub URL:</t>
  </si>
  <si>
    <t>Fig 6.7 &amp; 6.8</t>
  </si>
  <si>
    <t>Fig 6.1, 6.2, 6.3, 6.4, 6.5, 6.6</t>
  </si>
  <si>
    <t>https://raw.githubusercontent.com/jimlehner/virus-of-variation-book/refs/heads/main/data/death-to-birth-rates-by-hospital-1784-to-1849.csv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</si>
</sst>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3">
    <font>
      <sz val="10"/>
      <color rgb="FF000000"/>
      <name val="Arial"/>
      <scheme val="minor"/>
    </font>
    <font>
      <b/>
      <sz val="16"/>
      <color rgb="FFD72323"/>
      <name val="Montserrat"/>
    </font>
    <font>
      <sz val="10"/>
      <color theme="1"/>
      <name val="Arial"/>
      <family val="2"/>
    </font>
    <font>
      <sz val="9"/>
      <color rgb="FF1F2328"/>
      <name val="-apple-system"/>
    </font>
    <font>
      <sz val="9"/>
      <color theme="1"/>
      <name val="Arial"/>
      <family val="2"/>
    </font>
    <font>
      <sz val="10"/>
      <color rgb="FF1F2328"/>
      <name val="Arial"/>
      <family val="2"/>
    </font>
    <font>
      <sz val="10"/>
      <color rgb="FF1F2328"/>
      <name val="-apple-system"/>
    </font>
    <font>
      <sz val="10"/>
      <color theme="1"/>
      <name val="Arial"/>
      <family val="2"/>
      <scheme val="minor"/>
    </font>
    <font>
      <u/>
      <sz val="10"/>
      <color theme="10"/>
      <name val="Arial"/>
      <family val="2"/>
      <scheme val="minor"/>
    </font>
    <font>
      <sz val="10"/>
      <color rgb="FF000000"/>
      <name val="Arial"/>
      <family val="2"/>
      <scheme val="minor"/>
    </font>
    <font>
      <sz val="12"/>
      <color rgb="FF000000"/>
      <name val="Montserrat"/>
    </font>
    <font>
      <b/>
      <sz val="12"/>
      <color rgb="FF000000"/>
      <name val="Montserrat"/>
    </font>
    <font>
      <b/>
      <sz val="10"/>
      <color rgb="FF000000"/>
      <name val="Arial"/>
      <family val="2"/>
      <scheme val="minor"/>
    </font>
  </fonts>
  <fills count="2">
    <fill>
      <patternFill patternType="none"/>
    </fill>
    <fill>
      <patternFill patternType="gray125"/>
    </fill>
  </fills>
  <borders count="14">
    <border>
      <left/>
      <right/>
      <top/>
      <bottom/>
      <diagonal/>
    </border>
    <border>
      <left/>
      <right/>
      <top/>
      <bottom style="thin">
        <color rgb="FFB7B7B7"/>
      </bottom>
      <diagonal/>
    </border>
    <border>
      <left style="thin">
        <color rgb="FFD1D9E0"/>
      </left>
      <right/>
      <top style="thin">
        <color rgb="FFD1D9E0"/>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8" fillId="0" borderId="0" applyNumberFormat="0" applyFill="0" applyBorder="0" applyAlignment="0" applyProtection="0"/>
    <xf numFmtId="0" fontId="9" fillId="0" borderId="0"/>
  </cellStyleXfs>
  <cellXfs count="56">
    <xf numFmtId="0" fontId="0" fillId="0" borderId="0" xfId="0"/>
    <xf numFmtId="0" fontId="2" fillId="0" borderId="0" xfId="0" applyFont="1"/>
    <xf numFmtId="49" fontId="3" fillId="0" borderId="0" xfId="0" applyNumberFormat="1" applyFont="1" applyAlignment="1">
      <alignment horizontal="left"/>
    </xf>
    <xf numFmtId="49" fontId="3" fillId="0" borderId="2" xfId="0" applyNumberFormat="1" applyFont="1" applyBorder="1" applyAlignment="1">
      <alignment horizontal="left"/>
    </xf>
    <xf numFmtId="164" fontId="3" fillId="0" borderId="2" xfId="0" applyNumberFormat="1" applyFont="1" applyBorder="1" applyAlignment="1">
      <alignment horizontal="right"/>
    </xf>
    <xf numFmtId="0" fontId="4" fillId="0" borderId="0" xfId="0" applyFont="1" applyAlignment="1">
      <alignment horizontal="right"/>
    </xf>
    <xf numFmtId="10" fontId="4" fillId="0" borderId="0" xfId="0" applyNumberFormat="1" applyFont="1" applyAlignment="1">
      <alignment horizontal="right"/>
    </xf>
    <xf numFmtId="10" fontId="4" fillId="0" borderId="1" xfId="0" applyNumberFormat="1" applyFont="1" applyBorder="1" applyAlignment="1">
      <alignment horizontal="right"/>
    </xf>
    <xf numFmtId="49" fontId="6" fillId="0" borderId="0" xfId="0" applyNumberFormat="1" applyFont="1" applyAlignment="1">
      <alignment horizontal="right"/>
    </xf>
    <xf numFmtId="49" fontId="5" fillId="0" borderId="0" xfId="0" applyNumberFormat="1" applyFont="1" applyAlignment="1">
      <alignment horizontal="left"/>
    </xf>
    <xf numFmtId="0" fontId="7" fillId="0" borderId="0" xfId="0" applyFont="1"/>
    <xf numFmtId="3" fontId="7" fillId="0" borderId="0" xfId="0" applyNumberFormat="1" applyFont="1"/>
    <xf numFmtId="0" fontId="7" fillId="0" borderId="0" xfId="0" applyFont="1" applyAlignment="1">
      <alignment horizontal="right"/>
    </xf>
    <xf numFmtId="49" fontId="6" fillId="0" borderId="0" xfId="0" applyNumberFormat="1" applyFont="1" applyAlignment="1">
      <alignment horizontal="left"/>
    </xf>
    <xf numFmtId="0" fontId="7" fillId="0" borderId="0" xfId="0" applyFont="1" applyAlignment="1">
      <alignment horizontal="left"/>
    </xf>
    <xf numFmtId="2" fontId="7" fillId="0" borderId="0" xfId="0" applyNumberFormat="1" applyFont="1"/>
    <xf numFmtId="2" fontId="7" fillId="0" borderId="0" xfId="0" applyNumberFormat="1" applyFont="1" applyAlignment="1">
      <alignment horizontal="left"/>
    </xf>
    <xf numFmtId="0" fontId="9" fillId="0" borderId="0" xfId="0" applyFont="1"/>
    <xf numFmtId="0" fontId="6" fillId="0" borderId="0" xfId="0" applyFont="1" applyAlignment="1">
      <alignment horizontal="right"/>
    </xf>
    <xf numFmtId="0" fontId="5" fillId="0" borderId="0" xfId="0" applyFont="1" applyAlignment="1">
      <alignment horizontal="right"/>
    </xf>
    <xf numFmtId="0" fontId="5" fillId="0" borderId="0" xfId="0" applyFont="1" applyAlignment="1">
      <alignment horizontal="left"/>
    </xf>
    <xf numFmtId="0" fontId="6" fillId="0" borderId="0" xfId="0" applyFont="1" applyAlignment="1">
      <alignment horizontal="left"/>
    </xf>
    <xf numFmtId="1" fontId="0" fillId="0" borderId="0" xfId="0" applyNumberFormat="1"/>
    <xf numFmtId="0" fontId="3" fillId="0" borderId="0" xfId="0" applyFont="1" applyAlignment="1">
      <alignment horizontal="left"/>
    </xf>
    <xf numFmtId="0" fontId="9" fillId="0" borderId="0" xfId="0" applyFont="1" applyAlignment="1">
      <alignment horizontal="left"/>
    </xf>
    <xf numFmtId="0" fontId="12" fillId="0" borderId="6" xfId="0" applyFont="1" applyBorder="1" applyAlignment="1">
      <alignment horizontal="left" wrapText="1"/>
    </xf>
    <xf numFmtId="0" fontId="12" fillId="0" borderId="8" xfId="0" applyFont="1" applyBorder="1" applyAlignment="1">
      <alignment horizontal="left"/>
    </xf>
    <xf numFmtId="0" fontId="12" fillId="0" borderId="3" xfId="0" applyFont="1" applyBorder="1" applyAlignment="1">
      <alignment horizontal="center" wrapText="1"/>
    </xf>
    <xf numFmtId="0" fontId="12" fillId="0" borderId="4" xfId="0" applyFont="1" applyBorder="1" applyAlignment="1">
      <alignment horizontal="center" wrapText="1"/>
    </xf>
    <xf numFmtId="0" fontId="12" fillId="0" borderId="5" xfId="0" applyFont="1" applyBorder="1" applyAlignment="1">
      <alignment horizontal="center" wrapText="1"/>
    </xf>
    <xf numFmtId="0" fontId="0" fillId="0" borderId="9" xfId="0" applyBorder="1" applyAlignment="1">
      <alignment horizontal="left"/>
    </xf>
    <xf numFmtId="0" fontId="0" fillId="0" borderId="10" xfId="0" applyBorder="1" applyAlignment="1">
      <alignment horizontal="left"/>
    </xf>
    <xf numFmtId="0" fontId="8" fillId="0" borderId="6" xfId="1" applyBorder="1" applyAlignment="1">
      <alignment horizontal="center"/>
    </xf>
    <xf numFmtId="0" fontId="8" fillId="0" borderId="0" xfId="1" applyBorder="1" applyAlignment="1">
      <alignment horizontal="center"/>
    </xf>
    <xf numFmtId="0" fontId="8" fillId="0" borderId="7" xfId="1" applyBorder="1" applyAlignment="1">
      <alignment horizontal="center"/>
    </xf>
    <xf numFmtId="0" fontId="12" fillId="0" borderId="6" xfId="0" applyFont="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0" fontId="9" fillId="0" borderId="0" xfId="0" applyFont="1" applyAlignment="1">
      <alignment horizontal="left" vertical="center" wrapText="1"/>
    </xf>
    <xf numFmtId="0" fontId="12" fillId="0" borderId="0" xfId="0" applyFont="1" applyAlignment="1">
      <alignment horizontal="left" vertical="center" wrapText="1"/>
    </xf>
    <xf numFmtId="0" fontId="12" fillId="0" borderId="7" xfId="0" applyFont="1" applyBorder="1" applyAlignment="1">
      <alignment horizontal="left"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0" xfId="0" applyFont="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2" fillId="0" borderId="3" xfId="0" applyFont="1" applyBorder="1" applyAlignment="1">
      <alignment horizontal="center"/>
    </xf>
    <xf numFmtId="0" fontId="12" fillId="0" borderId="4" xfId="0" applyFont="1" applyBorder="1" applyAlignment="1">
      <alignment horizontal="center"/>
    </xf>
    <xf numFmtId="0" fontId="12" fillId="0" borderId="5" xfId="0" applyFont="1" applyBorder="1" applyAlignment="1">
      <alignment horizontal="center"/>
    </xf>
    <xf numFmtId="0" fontId="1" fillId="0" borderId="11" xfId="0" applyFont="1" applyBorder="1" applyAlignment="1">
      <alignment horizontal="center"/>
    </xf>
    <xf numFmtId="0" fontId="0" fillId="0" borderId="12" xfId="0" applyBorder="1"/>
    <xf numFmtId="0" fontId="0" fillId="0" borderId="13" xfId="0" applyBorder="1"/>
  </cellXfs>
  <cellStyles count="3">
    <cellStyle name="Hyperlink" xfId="1" builtinId="8"/>
    <cellStyle name="Normal" xfId="0" builtinId="0"/>
    <cellStyle name="Normal 2" xfId="2" xr:uid="{E3526070-6356-4A29-B5BF-B60691250854}"/>
  </cellStyles>
  <dxfs count="47">
    <dxf>
      <font>
        <b val="0"/>
        <i val="0"/>
        <strike val="0"/>
        <condense val="0"/>
        <extend val="0"/>
        <outline val="0"/>
        <shadow val="0"/>
        <u val="none"/>
        <vertAlign val="baseline"/>
        <sz val="10"/>
        <color rgb="FF1F2328"/>
        <name val="-apple-system"/>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alignment horizontal="righ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30" formatCode="@"/>
      <alignment horizontal="left" vertical="bottom" textRotation="0" wrapText="0" indent="0" justifyLastLine="0" shrinkToFit="0" readingOrder="0"/>
    </dxf>
    <dxf>
      <numFmt numFmtId="0" formatCode="General"/>
    </dxf>
    <dxf>
      <font>
        <b val="0"/>
        <i val="0"/>
        <strike val="0"/>
        <condense val="0"/>
        <extend val="0"/>
        <outline val="0"/>
        <shadow val="0"/>
        <u val="none"/>
        <vertAlign val="baseline"/>
        <sz val="10"/>
        <color rgb="FF1F2328"/>
        <name val="-apple-system"/>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alignment horizontal="righ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alignment horizontal="righ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30" formatCode="@"/>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1" formatCode="0"/>
    </dxf>
    <dxf>
      <numFmt numFmtId="1" formatCode="0"/>
    </dxf>
    <dxf>
      <numFmt numFmtId="0" formatCode="General"/>
    </dxf>
    <dxf>
      <numFmt numFmtId="1" formatCode="0"/>
    </dxf>
    <dxf>
      <numFmt numFmtId="1" formatCode="0"/>
    </dxf>
    <dxf>
      <numFmt numFmtId="0" formatCode="General"/>
    </dxf>
    <dxf>
      <numFmt numFmtId="1" formatCode="0"/>
    </dxf>
    <dxf>
      <numFmt numFmtId="1" formatCode="0"/>
    </dxf>
    <dxf>
      <numFmt numFmtId="0" formatCode="General"/>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ACAE1D49-FB62-40EB-847C-FDEF0F7ED49E}">
      <tableStyleElement type="wholeTable" dxfId="46"/>
      <tableStyleElement type="headerRow" dxfId="45"/>
      <tableStyleElement type="firstRowStripe" dxfId="44"/>
      <tableStyleElement type="secondRowStripe" dxfId="4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6.1. Bar chart by hospital'!$B$1</c:f>
              <c:strCache>
                <c:ptCount val="1"/>
                <c:pt idx="0">
                  <c:v>Births</c:v>
                </c:pt>
              </c:strCache>
            </c:strRef>
          </c:tx>
          <c:spPr>
            <a:solidFill>
              <a:schemeClr val="accent1"/>
            </a:solidFill>
            <a:ln>
              <a:noFill/>
            </a:ln>
            <a:effectLst/>
          </c:spPr>
          <c:invertIfNegative val="0"/>
          <c:cat>
            <c:strRef>
              <c:f>'Fig 6.1. Bar chart by hospital'!$A$2:$A$3</c:f>
              <c:strCache>
                <c:ptCount val="2"/>
                <c:pt idx="0">
                  <c:v>Vienna General Hospital</c:v>
                </c:pt>
                <c:pt idx="1">
                  <c:v>Dublin Maternity Hospital</c:v>
                </c:pt>
              </c:strCache>
            </c:strRef>
          </c:cat>
          <c:val>
            <c:numRef>
              <c:f>'Fig 6.1. Bar chart by hospital'!$B$2:$B$3</c:f>
              <c:numCache>
                <c:formatCode>0</c:formatCode>
                <c:ptCount val="2"/>
                <c:pt idx="0">
                  <c:v>2872</c:v>
                </c:pt>
                <c:pt idx="1">
                  <c:v>2584</c:v>
                </c:pt>
              </c:numCache>
            </c:numRef>
          </c:val>
          <c:extLst>
            <c:ext xmlns:c16="http://schemas.microsoft.com/office/drawing/2014/chart" uri="{C3380CC4-5D6E-409C-BE32-E72D297353CC}">
              <c16:uniqueId val="{00000000-D672-4E92-AF6A-09B3FD5E51D2}"/>
            </c:ext>
          </c:extLst>
        </c:ser>
        <c:ser>
          <c:idx val="1"/>
          <c:order val="1"/>
          <c:tx>
            <c:strRef>
              <c:f>'Fig 6.1. Bar chart by hospital'!$C$1</c:f>
              <c:strCache>
                <c:ptCount val="1"/>
                <c:pt idx="0">
                  <c:v>Deaths</c:v>
                </c:pt>
              </c:strCache>
            </c:strRef>
          </c:tx>
          <c:spPr>
            <a:solidFill>
              <a:schemeClr val="accent2"/>
            </a:solidFill>
            <a:ln>
              <a:noFill/>
            </a:ln>
            <a:effectLst/>
          </c:spPr>
          <c:invertIfNegative val="0"/>
          <c:cat>
            <c:strRef>
              <c:f>'Fig 6.1. Bar chart by hospital'!$A$2:$A$3</c:f>
              <c:strCache>
                <c:ptCount val="2"/>
                <c:pt idx="0">
                  <c:v>Vienna General Hospital</c:v>
                </c:pt>
                <c:pt idx="1">
                  <c:v>Dublin Maternity Hospital</c:v>
                </c:pt>
              </c:strCache>
            </c:strRef>
          </c:cat>
          <c:val>
            <c:numRef>
              <c:f>'Fig 6.1. Bar chart by hospital'!$C$2:$C$3</c:f>
              <c:numCache>
                <c:formatCode>0</c:formatCode>
                <c:ptCount val="2"/>
                <c:pt idx="0">
                  <c:v>214</c:v>
                </c:pt>
                <c:pt idx="1">
                  <c:v>59</c:v>
                </c:pt>
              </c:numCache>
            </c:numRef>
          </c:val>
          <c:extLst>
            <c:ext xmlns:c16="http://schemas.microsoft.com/office/drawing/2014/chart" uri="{C3380CC4-5D6E-409C-BE32-E72D297353CC}">
              <c16:uniqueId val="{00000001-D672-4E92-AF6A-09B3FD5E51D2}"/>
            </c:ext>
          </c:extLst>
        </c:ser>
        <c:dLbls>
          <c:showLegendKey val="0"/>
          <c:showVal val="0"/>
          <c:showCatName val="0"/>
          <c:showSerName val="0"/>
          <c:showPercent val="0"/>
          <c:showBubbleSize val="0"/>
        </c:dLbls>
        <c:gapWidth val="219"/>
        <c:overlap val="-27"/>
        <c:axId val="654943568"/>
        <c:axId val="654952688"/>
      </c:barChart>
      <c:catAx>
        <c:axId val="65494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952688"/>
        <c:crosses val="autoZero"/>
        <c:auto val="1"/>
        <c:lblAlgn val="ctr"/>
        <c:lblOffset val="100"/>
        <c:noMultiLvlLbl val="0"/>
      </c:catAx>
      <c:valAx>
        <c:axId val="6549526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943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6.2. Births &amp; Deaths'!$B$1</c:f>
              <c:strCache>
                <c:ptCount val="1"/>
                <c:pt idx="0">
                  <c:v>Births</c:v>
                </c:pt>
              </c:strCache>
            </c:strRef>
          </c:tx>
          <c:spPr>
            <a:solidFill>
              <a:schemeClr val="accent1"/>
            </a:solidFill>
            <a:ln>
              <a:noFill/>
            </a:ln>
            <a:effectLst/>
          </c:spPr>
          <c:invertIfNegative val="0"/>
          <c:cat>
            <c:strRef>
              <c:f>'Fig 6.2. Births &amp; Deaths'!$A$2:$A$3</c:f>
              <c:strCache>
                <c:ptCount val="2"/>
                <c:pt idx="0">
                  <c:v>Vienna General Hospital</c:v>
                </c:pt>
                <c:pt idx="1">
                  <c:v>Dublin Maternity Hospital</c:v>
                </c:pt>
              </c:strCache>
            </c:strRef>
          </c:cat>
          <c:val>
            <c:numRef>
              <c:f>'Fig 6.2. Births &amp; Deaths'!$B$2:$B$3</c:f>
              <c:numCache>
                <c:formatCode>0</c:formatCode>
                <c:ptCount val="2"/>
                <c:pt idx="0">
                  <c:v>2872</c:v>
                </c:pt>
                <c:pt idx="1">
                  <c:v>2584</c:v>
                </c:pt>
              </c:numCache>
            </c:numRef>
          </c:val>
          <c:extLst>
            <c:ext xmlns:c16="http://schemas.microsoft.com/office/drawing/2014/chart" uri="{C3380CC4-5D6E-409C-BE32-E72D297353CC}">
              <c16:uniqueId val="{00000000-2517-45CD-86DA-D60A1CAD6D1B}"/>
            </c:ext>
          </c:extLst>
        </c:ser>
        <c:ser>
          <c:idx val="1"/>
          <c:order val="1"/>
          <c:tx>
            <c:strRef>
              <c:f>'Fig 6.2. Births &amp; Deaths'!$C$1</c:f>
              <c:strCache>
                <c:ptCount val="1"/>
                <c:pt idx="0">
                  <c:v>Deaths</c:v>
                </c:pt>
              </c:strCache>
            </c:strRef>
          </c:tx>
          <c:spPr>
            <a:solidFill>
              <a:schemeClr val="accent2"/>
            </a:solidFill>
            <a:ln>
              <a:noFill/>
            </a:ln>
            <a:effectLst/>
          </c:spPr>
          <c:invertIfNegative val="0"/>
          <c:cat>
            <c:strRef>
              <c:f>'Fig 6.2. Births &amp; Deaths'!$A$2:$A$3</c:f>
              <c:strCache>
                <c:ptCount val="2"/>
                <c:pt idx="0">
                  <c:v>Vienna General Hospital</c:v>
                </c:pt>
                <c:pt idx="1">
                  <c:v>Dublin Maternity Hospital</c:v>
                </c:pt>
              </c:strCache>
            </c:strRef>
          </c:cat>
          <c:val>
            <c:numRef>
              <c:f>'Fig 6.2. Births &amp; Deaths'!$C$2:$C$3</c:f>
              <c:numCache>
                <c:formatCode>0</c:formatCode>
                <c:ptCount val="2"/>
                <c:pt idx="0">
                  <c:v>214</c:v>
                </c:pt>
                <c:pt idx="1">
                  <c:v>59</c:v>
                </c:pt>
              </c:numCache>
            </c:numRef>
          </c:val>
          <c:extLst>
            <c:ext xmlns:c16="http://schemas.microsoft.com/office/drawing/2014/chart" uri="{C3380CC4-5D6E-409C-BE32-E72D297353CC}">
              <c16:uniqueId val="{00000001-2517-45CD-86DA-D60A1CAD6D1B}"/>
            </c:ext>
          </c:extLst>
        </c:ser>
        <c:dLbls>
          <c:showLegendKey val="0"/>
          <c:showVal val="0"/>
          <c:showCatName val="0"/>
          <c:showSerName val="0"/>
          <c:showPercent val="0"/>
          <c:showBubbleSize val="0"/>
        </c:dLbls>
        <c:gapWidth val="219"/>
        <c:overlap val="-27"/>
        <c:axId val="654943568"/>
        <c:axId val="654952688"/>
      </c:barChart>
      <c:catAx>
        <c:axId val="65494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952688"/>
        <c:crosses val="autoZero"/>
        <c:auto val="1"/>
        <c:lblAlgn val="ctr"/>
        <c:lblOffset val="100"/>
        <c:noMultiLvlLbl val="0"/>
      </c:catAx>
      <c:valAx>
        <c:axId val="654952688"/>
        <c:scaling>
          <c:orientation val="minMax"/>
          <c:min val="25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943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'Fig 6.3. Stacked bar chart'!$B$1</c:f>
              <c:strCache>
                <c:ptCount val="1"/>
                <c:pt idx="0">
                  <c:v>Births</c:v>
                </c:pt>
              </c:strCache>
            </c:strRef>
          </c:tx>
          <c:spPr>
            <a:solidFill>
              <a:schemeClr val="accent1"/>
            </a:solidFill>
            <a:ln>
              <a:noFill/>
            </a:ln>
            <a:effectLst/>
          </c:spPr>
          <c:invertIfNegative val="0"/>
          <c:cat>
            <c:strRef>
              <c:f>'Fig 6.3. Stacked bar chart'!$A$2:$A$3</c:f>
              <c:strCache>
                <c:ptCount val="2"/>
                <c:pt idx="0">
                  <c:v>Vienna General Hospital</c:v>
                </c:pt>
                <c:pt idx="1">
                  <c:v>Dublin Maternity Hospital</c:v>
                </c:pt>
              </c:strCache>
            </c:strRef>
          </c:cat>
          <c:val>
            <c:numRef>
              <c:f>'Fig 6.3. Stacked bar chart'!$B$2:$B$3</c:f>
              <c:numCache>
                <c:formatCode>0</c:formatCode>
                <c:ptCount val="2"/>
                <c:pt idx="0">
                  <c:v>2872</c:v>
                </c:pt>
                <c:pt idx="1">
                  <c:v>2584</c:v>
                </c:pt>
              </c:numCache>
            </c:numRef>
          </c:val>
          <c:extLst>
            <c:ext xmlns:c16="http://schemas.microsoft.com/office/drawing/2014/chart" uri="{C3380CC4-5D6E-409C-BE32-E72D297353CC}">
              <c16:uniqueId val="{00000000-D685-41A3-B9E5-AC2AA873E91E}"/>
            </c:ext>
          </c:extLst>
        </c:ser>
        <c:ser>
          <c:idx val="1"/>
          <c:order val="1"/>
          <c:tx>
            <c:strRef>
              <c:f>'Fig 6.3. Stacked bar chart'!$C$1</c:f>
              <c:strCache>
                <c:ptCount val="1"/>
                <c:pt idx="0">
                  <c:v>Deaths</c:v>
                </c:pt>
              </c:strCache>
            </c:strRef>
          </c:tx>
          <c:spPr>
            <a:solidFill>
              <a:schemeClr val="accent2"/>
            </a:solidFill>
            <a:ln>
              <a:noFill/>
            </a:ln>
            <a:effectLst/>
          </c:spPr>
          <c:invertIfNegative val="0"/>
          <c:cat>
            <c:strRef>
              <c:f>'Fig 6.3. Stacked bar chart'!$A$2:$A$3</c:f>
              <c:strCache>
                <c:ptCount val="2"/>
                <c:pt idx="0">
                  <c:v>Vienna General Hospital</c:v>
                </c:pt>
                <c:pt idx="1">
                  <c:v>Dublin Maternity Hospital</c:v>
                </c:pt>
              </c:strCache>
            </c:strRef>
          </c:cat>
          <c:val>
            <c:numRef>
              <c:f>'Fig 6.3. Stacked bar chart'!$C$2:$C$3</c:f>
              <c:numCache>
                <c:formatCode>0</c:formatCode>
                <c:ptCount val="2"/>
                <c:pt idx="0">
                  <c:v>214</c:v>
                </c:pt>
                <c:pt idx="1">
                  <c:v>59</c:v>
                </c:pt>
              </c:numCache>
            </c:numRef>
          </c:val>
          <c:extLst>
            <c:ext xmlns:c16="http://schemas.microsoft.com/office/drawing/2014/chart" uri="{C3380CC4-5D6E-409C-BE32-E72D297353CC}">
              <c16:uniqueId val="{00000001-D685-41A3-B9E5-AC2AA873E91E}"/>
            </c:ext>
          </c:extLst>
        </c:ser>
        <c:dLbls>
          <c:showLegendKey val="0"/>
          <c:showVal val="0"/>
          <c:showCatName val="0"/>
          <c:showSerName val="0"/>
          <c:showPercent val="0"/>
          <c:showBubbleSize val="0"/>
        </c:dLbls>
        <c:gapWidth val="150"/>
        <c:overlap val="100"/>
        <c:axId val="952684192"/>
        <c:axId val="952683232"/>
      </c:barChart>
      <c:catAx>
        <c:axId val="95268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683232"/>
        <c:crosses val="autoZero"/>
        <c:auto val="1"/>
        <c:lblAlgn val="ctr"/>
        <c:lblOffset val="100"/>
        <c:noMultiLvlLbl val="0"/>
      </c:catAx>
      <c:valAx>
        <c:axId val="952683232"/>
        <c:scaling>
          <c:orientation val="minMax"/>
          <c:max val="3100"/>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684192"/>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'Fig 6.4. Pie chart'!$C$1</c:f>
              <c:strCache>
                <c:ptCount val="1"/>
                <c:pt idx="0">
                  <c:v>Deaths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DB-4781-B0A6-1B9D515CA8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DB-4781-B0A6-1B9D515CA8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'Fig 6.4. Pie chart'!$A$2:$A$3</c:f>
              <c:strCache>
                <c:ptCount val="2"/>
                <c:pt idx="0">
                  <c:v>Vienna General Hospital</c:v>
                </c:pt>
                <c:pt idx="1">
                  <c:v>Dublin Maternity Hospital</c:v>
                </c:pt>
              </c:strCache>
            </c:strRef>
          </c:cat>
          <c:val>
            <c:numRef>
              <c:f>'Fig 6.4. Pie chart'!$C$2:$C$3</c:f>
              <c:numCache>
                <c:formatCode>General</c:formatCode>
                <c:ptCount val="2"/>
                <c:pt idx="0">
                  <c:v>214</c:v>
                </c:pt>
                <c:pt idx="1">
                  <c:v>59</c:v>
                </c:pt>
              </c:numCache>
            </c:numRef>
          </c:val>
          <c:extLst>
            <c:ext xmlns:c16="http://schemas.microsoft.com/office/drawing/2014/chart" uri="{C3380CC4-5D6E-409C-BE32-E72D297353CC}">
              <c16:uniqueId val="{00000000-82B1-4A65-B683-419EAED52D74}"/>
            </c:ext>
          </c:extLst>
        </c:ser>
        <c:ser>
          <c:idx val="1"/>
          <c:order val="1"/>
          <c:tx>
            <c:strRef>
              <c:f>'Fig 6.4. Pie chart'!$D$1</c:f>
              <c:strCache>
                <c:ptCount val="1"/>
                <c:pt idx="0">
                  <c:v>Percent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53DB-4781-B0A6-1B9D515CA8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53DB-4781-B0A6-1B9D515CA8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'Fig 6.4. Pie chart'!$A$2:$A$3</c:f>
              <c:strCache>
                <c:ptCount val="2"/>
                <c:pt idx="0">
                  <c:v>Vienna General Hospital</c:v>
                </c:pt>
                <c:pt idx="1">
                  <c:v>Dublin Maternity Hospital</c:v>
                </c:pt>
              </c:strCache>
            </c:strRef>
          </c:cat>
          <c:val>
            <c:numRef>
              <c:f>'Fig 6.4. Pie chart'!$D$2:$D$3</c:f>
              <c:numCache>
                <c:formatCode>General</c:formatCode>
                <c:ptCount val="2"/>
                <c:pt idx="0">
                  <c:v>78.400000000000006</c:v>
                </c:pt>
                <c:pt idx="1">
                  <c:v>21.6</c:v>
                </c:pt>
              </c:numCache>
            </c:numRef>
          </c:val>
          <c:extLst>
            <c:ext xmlns:c16="http://schemas.microsoft.com/office/drawing/2014/chart" uri="{C3380CC4-5D6E-409C-BE32-E72D297353CC}">
              <c16:uniqueId val="{00000001-82B1-4A65-B683-419EAED52D74}"/>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6.5. Bar chart of deaths'!$D$1</c:f>
              <c:strCache>
                <c:ptCount val="1"/>
                <c:pt idx="0">
                  <c:v>Percent</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6.5. Bar chart of deaths'!$A$2:$A$3</c:f>
              <c:strCache>
                <c:ptCount val="2"/>
                <c:pt idx="0">
                  <c:v>Vienna General Hospital</c:v>
                </c:pt>
                <c:pt idx="1">
                  <c:v>Dublin Maternity Hospital</c:v>
                </c:pt>
              </c:strCache>
            </c:strRef>
          </c:cat>
          <c:val>
            <c:numRef>
              <c:f>'Fig 6.5. Bar chart of deaths'!$D$2:$D$3</c:f>
              <c:numCache>
                <c:formatCode>0</c:formatCode>
                <c:ptCount val="2"/>
                <c:pt idx="0">
                  <c:v>78.400000000000006</c:v>
                </c:pt>
                <c:pt idx="1">
                  <c:v>21.6</c:v>
                </c:pt>
              </c:numCache>
            </c:numRef>
          </c:val>
          <c:extLst>
            <c:ext xmlns:c16="http://schemas.microsoft.com/office/drawing/2014/chart" uri="{C3380CC4-5D6E-409C-BE32-E72D297353CC}">
              <c16:uniqueId val="{00000000-DC7D-43C5-9639-FD81C2D325EB}"/>
            </c:ext>
          </c:extLst>
        </c:ser>
        <c:dLbls>
          <c:showLegendKey val="0"/>
          <c:showVal val="0"/>
          <c:showCatName val="0"/>
          <c:showSerName val="0"/>
          <c:showPercent val="0"/>
          <c:showBubbleSize val="0"/>
        </c:dLbls>
        <c:gapWidth val="219"/>
        <c:overlap val="-27"/>
        <c:axId val="952701952"/>
        <c:axId val="952699072"/>
      </c:barChart>
      <c:catAx>
        <c:axId val="95270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699072"/>
        <c:crosses val="autoZero"/>
        <c:auto val="1"/>
        <c:lblAlgn val="ctr"/>
        <c:lblOffset val="100"/>
        <c:noMultiLvlLbl val="0"/>
      </c:catAx>
      <c:valAx>
        <c:axId val="952699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t>
                </a:r>
                <a:r>
                  <a:rPr lang="en-US" baseline="0"/>
                  <a:t> of Total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7019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6.6. Deviation chart'!$D$1</c:f>
              <c:strCache>
                <c:ptCount val="1"/>
                <c:pt idx="0">
                  <c:v>% Change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6.6. Deviation chart'!$A$2:$A$3</c:f>
              <c:strCache>
                <c:ptCount val="2"/>
                <c:pt idx="0">
                  <c:v>Vienna General Hospital</c:v>
                </c:pt>
                <c:pt idx="1">
                  <c:v>Dublin Maternity Hospital</c:v>
                </c:pt>
              </c:strCache>
            </c:strRef>
          </c:cat>
          <c:val>
            <c:numRef>
              <c:f>'Fig 6.6. Deviation chart'!$D$2:$D$3</c:f>
              <c:numCache>
                <c:formatCode>General</c:formatCode>
                <c:ptCount val="2"/>
                <c:pt idx="0">
                  <c:v>1.4</c:v>
                </c:pt>
                <c:pt idx="1">
                  <c:v>-5.3</c:v>
                </c:pt>
              </c:numCache>
            </c:numRef>
          </c:val>
          <c:extLst>
            <c:ext xmlns:c16="http://schemas.microsoft.com/office/drawing/2014/chart" uri="{C3380CC4-5D6E-409C-BE32-E72D297353CC}">
              <c16:uniqueId val="{00000000-2012-48E7-9DA4-E120C7569955}"/>
            </c:ext>
          </c:extLst>
        </c:ser>
        <c:dLbls>
          <c:dLblPos val="outEnd"/>
          <c:showLegendKey val="0"/>
          <c:showVal val="1"/>
          <c:showCatName val="0"/>
          <c:showSerName val="0"/>
          <c:showPercent val="0"/>
          <c:showBubbleSize val="0"/>
        </c:dLbls>
        <c:gapWidth val="219"/>
        <c:overlap val="-27"/>
        <c:axId val="96776192"/>
        <c:axId val="96776672"/>
      </c:barChart>
      <c:catAx>
        <c:axId val="9677619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76672"/>
        <c:crosses val="autoZero"/>
        <c:auto val="1"/>
        <c:lblAlgn val="ctr"/>
        <c:lblOffset val="100"/>
        <c:noMultiLvlLbl val="0"/>
      </c:catAx>
      <c:valAx>
        <c:axId val="96776672"/>
        <c:scaling>
          <c:orientation val="minMax"/>
        </c:scaling>
        <c:delete val="1"/>
        <c:axPos val="l"/>
        <c:numFmt formatCode="General" sourceLinked="1"/>
        <c:majorTickMark val="none"/>
        <c:minorTickMark val="none"/>
        <c:tickLblPos val="nextTo"/>
        <c:crossAx val="9677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6.7. Pareto chart'!$C$1</c:f>
              <c:strCache>
                <c:ptCount val="1"/>
                <c:pt idx="0">
                  <c:v>Number of Deaths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6.7. Pareto chart'!$B$2:$B$17</c:f>
              <c:strCache>
                <c:ptCount val="16"/>
                <c:pt idx="0">
                  <c:v>Respiratory</c:v>
                </c:pt>
                <c:pt idx="1">
                  <c:v>Consumption</c:v>
                </c:pt>
                <c:pt idx="2">
                  <c:v>Fever</c:v>
                </c:pt>
                <c:pt idx="3">
                  <c:v>Diarrhea</c:v>
                </c:pt>
                <c:pt idx="4">
                  <c:v>Violence</c:v>
                </c:pt>
                <c:pt idx="5">
                  <c:v>Scarlatina</c:v>
                </c:pt>
                <c:pt idx="6">
                  <c:v>Whooping Cough</c:v>
                </c:pt>
                <c:pt idx="7">
                  <c:v>Dysentery</c:v>
                </c:pt>
                <c:pt idx="8">
                  <c:v>Diphtheria</c:v>
                </c:pt>
                <c:pt idx="9">
                  <c:v>Childbed Fever</c:v>
                </c:pt>
                <c:pt idx="10">
                  <c:v>Erysipelas</c:v>
                </c:pt>
                <c:pt idx="11">
                  <c:v>Influenza</c:v>
                </c:pt>
                <c:pt idx="12">
                  <c:v>Smallpox</c:v>
                </c:pt>
                <c:pt idx="13">
                  <c:v>Childbirth</c:v>
                </c:pt>
                <c:pt idx="14">
                  <c:v>Measles</c:v>
                </c:pt>
                <c:pt idx="15">
                  <c:v>Cholera</c:v>
                </c:pt>
              </c:strCache>
            </c:strRef>
          </c:cat>
          <c:val>
            <c:numRef>
              <c:f>'Fig 6.7. Pareto chart'!$C$2:$C$17</c:f>
              <c:numCache>
                <c:formatCode>General</c:formatCode>
                <c:ptCount val="16"/>
                <c:pt idx="0">
                  <c:v>1582</c:v>
                </c:pt>
                <c:pt idx="1">
                  <c:v>974</c:v>
                </c:pt>
                <c:pt idx="2">
                  <c:v>394</c:v>
                </c:pt>
                <c:pt idx="3">
                  <c:v>213</c:v>
                </c:pt>
                <c:pt idx="4">
                  <c:v>194</c:v>
                </c:pt>
                <c:pt idx="5">
                  <c:v>153</c:v>
                </c:pt>
                <c:pt idx="6">
                  <c:v>82</c:v>
                </c:pt>
                <c:pt idx="7">
                  <c:v>47</c:v>
                </c:pt>
                <c:pt idx="8">
                  <c:v>43</c:v>
                </c:pt>
                <c:pt idx="9">
                  <c:v>43</c:v>
                </c:pt>
                <c:pt idx="10">
                  <c:v>39</c:v>
                </c:pt>
                <c:pt idx="11">
                  <c:v>27</c:v>
                </c:pt>
                <c:pt idx="12">
                  <c:v>25.18</c:v>
                </c:pt>
                <c:pt idx="13">
                  <c:v>18</c:v>
                </c:pt>
                <c:pt idx="14">
                  <c:v>15</c:v>
                </c:pt>
                <c:pt idx="15">
                  <c:v>12</c:v>
                </c:pt>
              </c:numCache>
            </c:numRef>
          </c:val>
          <c:extLst>
            <c:ext xmlns:c16="http://schemas.microsoft.com/office/drawing/2014/chart" uri="{C3380CC4-5D6E-409C-BE32-E72D297353CC}">
              <c16:uniqueId val="{00000000-61E7-4010-B58C-B68FEA1934C2}"/>
            </c:ext>
          </c:extLst>
        </c:ser>
        <c:dLbls>
          <c:showLegendKey val="0"/>
          <c:showVal val="0"/>
          <c:showCatName val="0"/>
          <c:showSerName val="0"/>
          <c:showPercent val="0"/>
          <c:showBubbleSize val="0"/>
        </c:dLbls>
        <c:gapWidth val="219"/>
        <c:overlap val="-27"/>
        <c:axId val="952702912"/>
        <c:axId val="952703872"/>
      </c:barChart>
      <c:catAx>
        <c:axId val="95270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703872"/>
        <c:crosses val="autoZero"/>
        <c:auto val="1"/>
        <c:lblAlgn val="ctr"/>
        <c:lblOffset val="100"/>
        <c:noMultiLvlLbl val="0"/>
      </c:catAx>
      <c:valAx>
        <c:axId val="952703872"/>
        <c:scaling>
          <c:orientation val="minMax"/>
        </c:scaling>
        <c:delete val="1"/>
        <c:axPos val="l"/>
        <c:numFmt formatCode="General" sourceLinked="1"/>
        <c:majorTickMark val="none"/>
        <c:minorTickMark val="none"/>
        <c:tickLblPos val="nextTo"/>
        <c:crossAx val="95270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6.8. Cumulative % curve'!$C$1</c:f>
              <c:strCache>
                <c:ptCount val="1"/>
                <c:pt idx="0">
                  <c:v>Number of Deaths</c:v>
                </c:pt>
              </c:strCache>
            </c:strRef>
          </c:tx>
          <c:spPr>
            <a:solidFill>
              <a:schemeClr val="accent1"/>
            </a:solidFill>
            <a:ln>
              <a:noFill/>
            </a:ln>
            <a:effectLst/>
          </c:spPr>
          <c:invertIfNegative val="0"/>
          <c:cat>
            <c:strRef>
              <c:f>'Fig 6.8. Cumulative % curve'!$B$2:$B$17</c:f>
              <c:strCache>
                <c:ptCount val="16"/>
                <c:pt idx="0">
                  <c:v>Respiratory</c:v>
                </c:pt>
                <c:pt idx="1">
                  <c:v>Consumption</c:v>
                </c:pt>
                <c:pt idx="2">
                  <c:v>Fever</c:v>
                </c:pt>
                <c:pt idx="3">
                  <c:v>Diarrhea</c:v>
                </c:pt>
                <c:pt idx="4">
                  <c:v>Violence</c:v>
                </c:pt>
                <c:pt idx="5">
                  <c:v>Scarlatina</c:v>
                </c:pt>
                <c:pt idx="6">
                  <c:v>Whooping Cough</c:v>
                </c:pt>
                <c:pt idx="7">
                  <c:v>Dysentery</c:v>
                </c:pt>
                <c:pt idx="8">
                  <c:v>Diphtheria</c:v>
                </c:pt>
                <c:pt idx="9">
                  <c:v>Childbed Fever</c:v>
                </c:pt>
                <c:pt idx="10">
                  <c:v>Erysipelas</c:v>
                </c:pt>
                <c:pt idx="11">
                  <c:v>Influenza</c:v>
                </c:pt>
                <c:pt idx="12">
                  <c:v>Smallpox</c:v>
                </c:pt>
                <c:pt idx="13">
                  <c:v>Childbirth</c:v>
                </c:pt>
                <c:pt idx="14">
                  <c:v>Measles</c:v>
                </c:pt>
                <c:pt idx="15">
                  <c:v>Cholera</c:v>
                </c:pt>
              </c:strCache>
            </c:strRef>
          </c:cat>
          <c:val>
            <c:numRef>
              <c:f>'Fig 6.8. Cumulative % curve'!$C$2:$C$17</c:f>
              <c:numCache>
                <c:formatCode>General</c:formatCode>
                <c:ptCount val="16"/>
                <c:pt idx="0">
                  <c:v>1582</c:v>
                </c:pt>
                <c:pt idx="1">
                  <c:v>974</c:v>
                </c:pt>
                <c:pt idx="2">
                  <c:v>394</c:v>
                </c:pt>
                <c:pt idx="3">
                  <c:v>213</c:v>
                </c:pt>
                <c:pt idx="4">
                  <c:v>194</c:v>
                </c:pt>
                <c:pt idx="5">
                  <c:v>153</c:v>
                </c:pt>
                <c:pt idx="6">
                  <c:v>82</c:v>
                </c:pt>
                <c:pt idx="7">
                  <c:v>47</c:v>
                </c:pt>
                <c:pt idx="8">
                  <c:v>43</c:v>
                </c:pt>
                <c:pt idx="9">
                  <c:v>43</c:v>
                </c:pt>
                <c:pt idx="10">
                  <c:v>39</c:v>
                </c:pt>
                <c:pt idx="11">
                  <c:v>27</c:v>
                </c:pt>
                <c:pt idx="12">
                  <c:v>25.18</c:v>
                </c:pt>
                <c:pt idx="13">
                  <c:v>18</c:v>
                </c:pt>
                <c:pt idx="14">
                  <c:v>15</c:v>
                </c:pt>
                <c:pt idx="15">
                  <c:v>12</c:v>
                </c:pt>
              </c:numCache>
            </c:numRef>
          </c:val>
          <c:extLst>
            <c:ext xmlns:c16="http://schemas.microsoft.com/office/drawing/2014/chart" uri="{C3380CC4-5D6E-409C-BE32-E72D297353CC}">
              <c16:uniqueId val="{00000000-13AF-4044-BF59-41917AE41F8F}"/>
            </c:ext>
          </c:extLst>
        </c:ser>
        <c:dLbls>
          <c:showLegendKey val="0"/>
          <c:showVal val="0"/>
          <c:showCatName val="0"/>
          <c:showSerName val="0"/>
          <c:showPercent val="0"/>
          <c:showBubbleSize val="0"/>
        </c:dLbls>
        <c:gapWidth val="219"/>
        <c:overlap val="-27"/>
        <c:axId val="446621200"/>
        <c:axId val="446623120"/>
      </c:barChart>
      <c:lineChart>
        <c:grouping val="standard"/>
        <c:varyColors val="0"/>
        <c:ser>
          <c:idx val="1"/>
          <c:order val="1"/>
          <c:tx>
            <c:strRef>
              <c:f>'Fig 6.8. Cumulative % curve'!$E$1</c:f>
              <c:strCache>
                <c:ptCount val="1"/>
                <c:pt idx="0">
                  <c:v>Cumulative %</c:v>
                </c:pt>
              </c:strCache>
            </c:strRef>
          </c:tx>
          <c:spPr>
            <a:ln w="28575" cap="rnd">
              <a:solidFill>
                <a:schemeClr val="accent2"/>
              </a:solidFill>
              <a:round/>
            </a:ln>
            <a:effectLst/>
          </c:spPr>
          <c:marker>
            <c:symbol val="none"/>
          </c:marker>
          <c:cat>
            <c:strRef>
              <c:f>'Fig 6.8. Cumulative % curve'!$B$2:$B$17</c:f>
              <c:strCache>
                <c:ptCount val="16"/>
                <c:pt idx="0">
                  <c:v>Respiratory</c:v>
                </c:pt>
                <c:pt idx="1">
                  <c:v>Consumption</c:v>
                </c:pt>
                <c:pt idx="2">
                  <c:v>Fever</c:v>
                </c:pt>
                <c:pt idx="3">
                  <c:v>Diarrhea</c:v>
                </c:pt>
                <c:pt idx="4">
                  <c:v>Violence</c:v>
                </c:pt>
                <c:pt idx="5">
                  <c:v>Scarlatina</c:v>
                </c:pt>
                <c:pt idx="6">
                  <c:v>Whooping Cough</c:v>
                </c:pt>
                <c:pt idx="7">
                  <c:v>Dysentery</c:v>
                </c:pt>
                <c:pt idx="8">
                  <c:v>Diphtheria</c:v>
                </c:pt>
                <c:pt idx="9">
                  <c:v>Childbed Fever</c:v>
                </c:pt>
                <c:pt idx="10">
                  <c:v>Erysipelas</c:v>
                </c:pt>
                <c:pt idx="11">
                  <c:v>Influenza</c:v>
                </c:pt>
                <c:pt idx="12">
                  <c:v>Smallpox</c:v>
                </c:pt>
                <c:pt idx="13">
                  <c:v>Childbirth</c:v>
                </c:pt>
                <c:pt idx="14">
                  <c:v>Measles</c:v>
                </c:pt>
                <c:pt idx="15">
                  <c:v>Cholera</c:v>
                </c:pt>
              </c:strCache>
            </c:strRef>
          </c:cat>
          <c:val>
            <c:numRef>
              <c:f>'Fig 6.8. Cumulative % curve'!$E$2:$E$17</c:f>
              <c:numCache>
                <c:formatCode>General</c:formatCode>
                <c:ptCount val="16"/>
                <c:pt idx="0">
                  <c:v>40.97</c:v>
                </c:pt>
                <c:pt idx="1">
                  <c:v>66.2</c:v>
                </c:pt>
                <c:pt idx="2">
                  <c:v>76.400000000000006</c:v>
                </c:pt>
                <c:pt idx="3">
                  <c:v>81.92</c:v>
                </c:pt>
                <c:pt idx="4">
                  <c:v>86.94</c:v>
                </c:pt>
                <c:pt idx="5">
                  <c:v>90.899999999999991</c:v>
                </c:pt>
                <c:pt idx="6">
                  <c:v>93.02</c:v>
                </c:pt>
                <c:pt idx="7">
                  <c:v>94.24</c:v>
                </c:pt>
                <c:pt idx="8">
                  <c:v>95.35</c:v>
                </c:pt>
                <c:pt idx="9">
                  <c:v>96.46</c:v>
                </c:pt>
                <c:pt idx="10">
                  <c:v>97.47</c:v>
                </c:pt>
                <c:pt idx="11">
                  <c:v>98.17</c:v>
                </c:pt>
                <c:pt idx="12">
                  <c:v>98.820000000000007</c:v>
                </c:pt>
                <c:pt idx="13">
                  <c:v>99.29</c:v>
                </c:pt>
                <c:pt idx="14">
                  <c:v>99.68</c:v>
                </c:pt>
                <c:pt idx="15">
                  <c:v>99.990000000000009</c:v>
                </c:pt>
              </c:numCache>
            </c:numRef>
          </c:val>
          <c:smooth val="0"/>
          <c:extLst>
            <c:ext xmlns:c16="http://schemas.microsoft.com/office/drawing/2014/chart" uri="{C3380CC4-5D6E-409C-BE32-E72D297353CC}">
              <c16:uniqueId val="{00000001-13AF-4044-BF59-41917AE41F8F}"/>
            </c:ext>
          </c:extLst>
        </c:ser>
        <c:dLbls>
          <c:showLegendKey val="0"/>
          <c:showVal val="0"/>
          <c:showCatName val="0"/>
          <c:showSerName val="0"/>
          <c:showPercent val="0"/>
          <c:showBubbleSize val="0"/>
        </c:dLbls>
        <c:marker val="1"/>
        <c:smooth val="0"/>
        <c:axId val="99972384"/>
        <c:axId val="99970464"/>
      </c:lineChart>
      <c:catAx>
        <c:axId val="44662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23120"/>
        <c:crosses val="autoZero"/>
        <c:auto val="1"/>
        <c:lblAlgn val="ctr"/>
        <c:lblOffset val="100"/>
        <c:noMultiLvlLbl val="0"/>
      </c:catAx>
      <c:valAx>
        <c:axId val="446623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21200"/>
        <c:crosses val="autoZero"/>
        <c:crossBetween val="between"/>
      </c:valAx>
      <c:valAx>
        <c:axId val="9997046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Cumulative</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72384"/>
        <c:crosses val="max"/>
        <c:crossBetween val="between"/>
      </c:valAx>
      <c:catAx>
        <c:axId val="99972384"/>
        <c:scaling>
          <c:orientation val="minMax"/>
        </c:scaling>
        <c:delete val="1"/>
        <c:axPos val="b"/>
        <c:numFmt formatCode="General" sourceLinked="1"/>
        <c:majorTickMark val="out"/>
        <c:minorTickMark val="none"/>
        <c:tickLblPos val="nextTo"/>
        <c:crossAx val="9997046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88900</xdr:rowOff>
    </xdr:to>
    <xdr:pic>
      <xdr:nvPicPr>
        <xdr:cNvPr id="3" name="image1.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xfrm>
          <a:off x="6273800" y="196850"/>
          <a:ext cx="2683933" cy="40259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6</xdr:col>
      <xdr:colOff>0</xdr:colOff>
      <xdr:row>18</xdr:row>
      <xdr:rowOff>0</xdr:rowOff>
    </xdr:to>
    <xdr:graphicFrame macro="">
      <xdr:nvGraphicFramePr>
        <xdr:cNvPr id="3" name="Chart 2">
          <a:extLst>
            <a:ext uri="{FF2B5EF4-FFF2-40B4-BE49-F238E27FC236}">
              <a16:creationId xmlns:a16="http://schemas.microsoft.com/office/drawing/2014/main" id="{FC4D9707-0E11-E82E-5C59-230EFD59F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0</xdr:rowOff>
    </xdr:from>
    <xdr:to>
      <xdr:col>6</xdr:col>
      <xdr:colOff>0</xdr:colOff>
      <xdr:row>18</xdr:row>
      <xdr:rowOff>0</xdr:rowOff>
    </xdr:to>
    <xdr:graphicFrame macro="">
      <xdr:nvGraphicFramePr>
        <xdr:cNvPr id="2" name="Chart 1">
          <a:extLst>
            <a:ext uri="{FF2B5EF4-FFF2-40B4-BE49-F238E27FC236}">
              <a16:creationId xmlns:a16="http://schemas.microsoft.com/office/drawing/2014/main" id="{3A13E468-BCAD-424D-AA66-884E837C6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xdr:row>
      <xdr:rowOff>0</xdr:rowOff>
    </xdr:from>
    <xdr:to>
      <xdr:col>5</xdr:col>
      <xdr:colOff>866774</xdr:colOff>
      <xdr:row>17</xdr:row>
      <xdr:rowOff>144780</xdr:rowOff>
    </xdr:to>
    <xdr:graphicFrame macro="">
      <xdr:nvGraphicFramePr>
        <xdr:cNvPr id="3" name="Chart 2">
          <a:extLst>
            <a:ext uri="{FF2B5EF4-FFF2-40B4-BE49-F238E27FC236}">
              <a16:creationId xmlns:a16="http://schemas.microsoft.com/office/drawing/2014/main" id="{F424A272-8001-5F03-2388-1F6E748AA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4</xdr:row>
      <xdr:rowOff>179070</xdr:rowOff>
    </xdr:from>
    <xdr:to>
      <xdr:col>5</xdr:col>
      <xdr:colOff>866774</xdr:colOff>
      <xdr:row>18</xdr:row>
      <xdr:rowOff>129540</xdr:rowOff>
    </xdr:to>
    <xdr:graphicFrame macro="">
      <xdr:nvGraphicFramePr>
        <xdr:cNvPr id="3" name="Chart 2">
          <a:extLst>
            <a:ext uri="{FF2B5EF4-FFF2-40B4-BE49-F238E27FC236}">
              <a16:creationId xmlns:a16="http://schemas.microsoft.com/office/drawing/2014/main" id="{71409836-F6BE-4C11-8C56-7C4159E989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5</xdr:row>
      <xdr:rowOff>0</xdr:rowOff>
    </xdr:from>
    <xdr:to>
      <xdr:col>6</xdr:col>
      <xdr:colOff>0</xdr:colOff>
      <xdr:row>18</xdr:row>
      <xdr:rowOff>139065</xdr:rowOff>
    </xdr:to>
    <xdr:graphicFrame macro="">
      <xdr:nvGraphicFramePr>
        <xdr:cNvPr id="3" name="Chart 2">
          <a:extLst>
            <a:ext uri="{FF2B5EF4-FFF2-40B4-BE49-F238E27FC236}">
              <a16:creationId xmlns:a16="http://schemas.microsoft.com/office/drawing/2014/main" id="{EA001CFB-6582-645D-DACA-AE1C18320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4</xdr:row>
      <xdr:rowOff>0</xdr:rowOff>
    </xdr:from>
    <xdr:to>
      <xdr:col>6</xdr:col>
      <xdr:colOff>0</xdr:colOff>
      <xdr:row>17</xdr:row>
      <xdr:rowOff>144780</xdr:rowOff>
    </xdr:to>
    <xdr:graphicFrame macro="">
      <xdr:nvGraphicFramePr>
        <xdr:cNvPr id="3" name="Chart 2">
          <a:extLst>
            <a:ext uri="{FF2B5EF4-FFF2-40B4-BE49-F238E27FC236}">
              <a16:creationId xmlns:a16="http://schemas.microsoft.com/office/drawing/2014/main" id="{BBCF64A6-6C85-AD30-FE48-09D0D742A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0</xdr:rowOff>
    </xdr:from>
    <xdr:to>
      <xdr:col>12</xdr:col>
      <xdr:colOff>0</xdr:colOff>
      <xdr:row>17</xdr:row>
      <xdr:rowOff>0</xdr:rowOff>
    </xdr:to>
    <xdr:graphicFrame macro="">
      <xdr:nvGraphicFramePr>
        <xdr:cNvPr id="3" name="Chart 2">
          <a:extLst>
            <a:ext uri="{FF2B5EF4-FFF2-40B4-BE49-F238E27FC236}">
              <a16:creationId xmlns:a16="http://schemas.microsoft.com/office/drawing/2014/main" id="{128F811B-20CF-2EA3-32C0-40A8C268B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1</xdr:row>
      <xdr:rowOff>0</xdr:rowOff>
    </xdr:from>
    <xdr:to>
      <xdr:col>14</xdr:col>
      <xdr:colOff>190500</xdr:colOff>
      <xdr:row>17</xdr:row>
      <xdr:rowOff>0</xdr:rowOff>
    </xdr:to>
    <xdr:graphicFrame macro="">
      <xdr:nvGraphicFramePr>
        <xdr:cNvPr id="3" name="Chart 2">
          <a:extLst>
            <a:ext uri="{FF2B5EF4-FFF2-40B4-BE49-F238E27FC236}">
              <a16:creationId xmlns:a16="http://schemas.microsoft.com/office/drawing/2014/main" id="{479CD64D-8659-2849-8E93-DA13EE286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47EFB90A-B9A6-4057-8EE7-98EF70E26C5D}" autoFormatId="16" applyNumberFormats="0" applyBorderFormats="0" applyFontFormats="0" applyPatternFormats="0" applyAlignmentFormats="0" applyWidthHeightFormats="0">
  <queryTableRefresh nextId="6">
    <queryTableFields count="3">
      <queryTableField id="1" name="Hospital" tableColumnId="1"/>
      <queryTableField id="3" name="Births" tableColumnId="3"/>
      <queryTableField id="4" name="Deaths" tableColumnId="4"/>
    </queryTableFields>
    <queryTableDeletedFields count="1">
      <deletedField name="Year"/>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9" xr16:uid="{87EA88D0-F4EE-48F5-BE7B-DAD5BD012E2E}" autoFormatId="16" applyNumberFormats="0" applyBorderFormats="0" applyFontFormats="0" applyPatternFormats="0" applyAlignmentFormats="0" applyWidthHeightFormats="0">
  <queryTableRefresh nextId="6">
    <queryTableFields count="3">
      <queryTableField id="1" name="Hospital" tableColumnId="1"/>
      <queryTableField id="3" name="Births" tableColumnId="3"/>
      <queryTableField id="4" name="Deaths" tableColumnId="4"/>
    </queryTableFields>
    <queryTableDeletedFields count="1">
      <deletedField name="Year"/>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0" xr16:uid="{1AFD0022-1B58-4853-BE1E-86810E24E474}" autoFormatId="16" applyNumberFormats="0" applyBorderFormats="0" applyFontFormats="0" applyPatternFormats="0" applyAlignmentFormats="0" applyWidthHeightFormats="0">
  <queryTableRefresh nextId="6">
    <queryTableFields count="3">
      <queryTableField id="1" name="Hospital" tableColumnId="1"/>
      <queryTableField id="3" name="Births" tableColumnId="3"/>
      <queryTableField id="4" name="Deaths" tableColumnId="4"/>
    </queryTableFields>
    <queryTableDeletedFields count="1">
      <deletedField name="Year"/>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8" xr16:uid="{A7D68B94-DF47-439C-9215-51813767831C}" autoFormatId="16" applyNumberFormats="0" applyBorderFormats="0" applyFontFormats="0" applyPatternFormats="0" applyAlignmentFormats="0" applyWidthHeightFormats="0">
  <queryTableRefresh nextId="7" unboundColumnsRight="1">
    <queryTableFields count="4">
      <queryTableField id="1" name="Hospital" tableColumnId="1"/>
      <queryTableField id="3" name="Births" tableColumnId="3"/>
      <queryTableField id="4" name="Deaths" tableColumnId="4"/>
      <queryTableField id="6" dataBound="0" tableColumnId="6"/>
    </queryTableFields>
    <queryTableDeletedFields count="1">
      <deletedField name="Year"/>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1" xr16:uid="{2DEE0361-2CD5-44EA-BEC0-C140E71E73BB}" autoFormatId="16" applyNumberFormats="0" applyBorderFormats="0" applyFontFormats="0" applyPatternFormats="0" applyAlignmentFormats="0" applyWidthHeightFormats="0">
  <queryTableRefresh nextId="7" unboundColumnsRight="1">
    <queryTableFields count="4">
      <queryTableField id="1" name="Hospital" tableColumnId="1"/>
      <queryTableField id="3" name="Births" tableColumnId="3"/>
      <queryTableField id="4" name="Deaths" tableColumnId="4"/>
      <queryTableField id="6" dataBound="0" tableColumnId="6"/>
    </queryTableFields>
    <queryTableDeletedFields count="1">
      <deletedField name="Year"/>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5" xr16:uid="{C1D69AD6-E517-4FA2-9E2D-589362E969B0}" autoFormatId="16" applyNumberFormats="0" applyBorderFormats="0" applyFontFormats="0" applyPatternFormats="0" applyAlignmentFormats="0" applyWidthHeightFormats="0">
  <queryTableRefresh nextId="5" unboundColumnsRight="1">
    <queryTableFields count="4">
      <queryTableField id="1" name="Hospital" tableColumnId="1"/>
      <queryTableField id="2" name="1823" tableColumnId="2"/>
      <queryTableField id="3" name="1824" tableColumnId="3"/>
      <queryTableField id="4" dataBound="0"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2" xr16:uid="{5CD4915B-9CC7-49E7-B7FB-A0199EA54445}" autoFormatId="16" applyNumberFormats="0" applyBorderFormats="0" applyFontFormats="0" applyPatternFormats="0" applyAlignmentFormats="0" applyWidthHeightFormats="0">
  <queryTableRefresh nextId="4">
    <queryTableFields count="3">
      <queryTableField id="1" name="City" tableColumnId="1"/>
      <queryTableField id="2" name="Cause of Death" tableColumnId="2"/>
      <queryTableField id="3" name="Number of Deaths"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3" xr16:uid="{5DDB5CE7-5B99-45C9-85E2-B796405C1C82}" autoFormatId="16" applyNumberFormats="0" applyBorderFormats="0" applyFontFormats="0" applyPatternFormats="0" applyAlignmentFormats="0" applyWidthHeightFormats="0">
  <queryTableRefresh nextId="6" unboundColumnsRight="2">
    <queryTableFields count="5">
      <queryTableField id="1" name="City" tableColumnId="1"/>
      <queryTableField id="2" name="Cause of Death" tableColumnId="2"/>
      <queryTableField id="3" name="Number of Deaths" tableColumnId="3"/>
      <queryTableField id="4" dataBound="0" tableColumnId="4"/>
      <queryTableField id="5" dataBound="0" tableColumnId="5"/>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4" xr16:uid="{3CECFB0D-C721-4AA7-8728-97273C008010}" autoFormatId="16" applyNumberFormats="0" applyBorderFormats="0" applyFontFormats="0" applyPatternFormats="0" applyAlignmentFormats="0" applyWidthHeightFormats="0">
  <queryTableRefresh nextId="6" unboundColumnsRight="1">
    <queryTableFields count="5">
      <queryTableField id="1" name="Hospital" tableColumnId="1"/>
      <queryTableField id="2" name="Year" tableColumnId="2"/>
      <queryTableField id="3" name="Births" tableColumnId="3"/>
      <queryTableField id="4" name="Deaths" tableColumnId="4"/>
      <queryTableField id="5" dataBound="0" tableColumnId="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connectionId="6" xr16:uid="{FEDF3978-1603-4555-B909-572EDF3D130F}" autoFormatId="16" applyNumberFormats="0" applyBorderFormats="0" applyFontFormats="0" applyPatternFormats="0" applyAlignmentFormats="0" applyWidthHeightFormats="0">
  <queryTableRefresh nextId="5" unboundColumnsRight="1">
    <queryTableFields count="4">
      <queryTableField id="1" name="Hospital" tableColumnId="1"/>
      <queryTableField id="2" name="1823" tableColumnId="2"/>
      <queryTableField id="3" name="1824" tableColumnId="3"/>
      <queryTableField id="4" dataBound="0" tableColumnId="4"/>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3" connectionId="1" xr16:uid="{85A17403-E9A7-422C-B4D0-41766C6A155B}" autoFormatId="16" applyNumberFormats="0" applyBorderFormats="0" applyFontFormats="0" applyPatternFormats="0" applyAlignmentFormats="0" applyWidthHeightFormats="0">
  <queryTableRefresh nextId="4">
    <queryTableFields count="3">
      <queryTableField id="1" name="City" tableColumnId="1"/>
      <queryTableField id="2" name="Cause of Death" tableColumnId="2"/>
      <queryTableField id="3" name="Number of Deaths"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B122CFA-1508-4B7A-9ED8-592F73C3AF09}" name="death_to_birth_rates_by_hospital_1784_to_18496" displayName="death_to_birth_rates_by_hospital_1784_to_18496" ref="A1:C3" tableType="queryTable" totalsRowShown="0">
  <autoFilter ref="A1:C3" xr:uid="{2B122CFA-1508-4B7A-9ED8-592F73C3AF09}"/>
  <tableColumns count="3">
    <tableColumn id="1" xr3:uid="{E4DDF9F1-8D6C-4A4C-AD5C-241EA6B24B5E}" uniqueName="1" name="Hospital" queryTableFieldId="1" dataDxfId="42"/>
    <tableColumn id="3" xr3:uid="{92CB3BF9-44A8-4C29-86AD-29FA5BEF91AF}" uniqueName="3" name="Births" queryTableFieldId="3" dataDxfId="41"/>
    <tableColumn id="4" xr3:uid="{0A11F907-4286-4862-B7E1-2B0B5B5886F2}" uniqueName="4" name="Deaths" queryTableFieldId="4" dataDxfId="40"/>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EFA40D6-ECE2-4ACF-B3C5-6A03ECC83A4E}" name="death_to_birth_rates_by_hospital_1784_to_1849610" displayName="death_to_birth_rates_by_hospital_1784_to_1849610" ref="A1:C3" tableType="queryTable" totalsRowShown="0">
  <autoFilter ref="A1:C3" xr:uid="{2B122CFA-1508-4B7A-9ED8-592F73C3AF09}"/>
  <tableColumns count="3">
    <tableColumn id="1" xr3:uid="{57C7837D-E328-4720-B94E-1E7ED1F7B04B}" uniqueName="1" name="Hospital" queryTableFieldId="1" dataDxfId="39"/>
    <tableColumn id="3" xr3:uid="{080FA5F0-FABA-4663-8B5F-F326A8544557}" uniqueName="3" name="Births" queryTableFieldId="3" dataDxfId="38"/>
    <tableColumn id="4" xr3:uid="{E806A25B-3546-45E6-BF69-7BF5DEF7F6B7}" uniqueName="4" name="Deaths" queryTableFieldId="4" dataDxfId="37"/>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B7FD4C6-5495-4288-8568-BC151C92631D}" name="death_to_birth_rates_by_hospital_1784_to_184961011" displayName="death_to_birth_rates_by_hospital_1784_to_184961011" ref="A1:C3" tableType="queryTable" totalsRowShown="0">
  <autoFilter ref="A1:C3" xr:uid="{2B122CFA-1508-4B7A-9ED8-592F73C3AF09}"/>
  <tableColumns count="3">
    <tableColumn id="1" xr3:uid="{8CB604BD-5746-4DC7-8DA0-CC50A8D2204C}" uniqueName="1" name="Hospital" queryTableFieldId="1" dataDxfId="36"/>
    <tableColumn id="3" xr3:uid="{60E2CAB3-94BB-4288-9FB5-14CB3DE45292}" uniqueName="3" name="Births" queryTableFieldId="3" dataDxfId="35"/>
    <tableColumn id="4" xr3:uid="{CF8F29DE-5D40-4EDB-AB6C-5D7999EDA2CC}" uniqueName="4" name="Deaths" queryTableFieldId="4" dataDxfId="34"/>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14E629-4E71-4F9C-B9FC-66D4D0D0C58A}" name="death_to_birth_rates_by_hospital_1784_to_18499" displayName="death_to_birth_rates_by_hospital_1784_to_18499" ref="A1:D4" tableType="queryTable" totalsRowShown="0">
  <autoFilter ref="A1:D4" xr:uid="{AE14E629-4E71-4F9C-B9FC-66D4D0D0C58A}"/>
  <tableColumns count="4">
    <tableColumn id="1" xr3:uid="{FB9464EB-0E4F-4271-8506-8BCE67D57E91}" uniqueName="1" name="Hospital" queryTableFieldId="1" dataDxfId="33"/>
    <tableColumn id="3" xr3:uid="{EDD75699-874F-4174-BC24-C8C23A73276F}" uniqueName="3" name="Births" queryTableFieldId="3"/>
    <tableColumn id="4" xr3:uid="{DFE8CA80-9EF2-4C84-9FF7-0D126A28B996}" uniqueName="4" name="Deaths" queryTableFieldId="4"/>
    <tableColumn id="6" xr3:uid="{E9222370-034F-4E33-922E-A2AB8E91D6FD}" uniqueName="6" name="Percent" queryTableFieldId="6" dataDxfId="32">
      <calculatedColumnFormula>ROUND((C2/$C$4)*100,1)</calculatedColumnFormula>
    </tableColumn>
  </tableColumns>
  <tableStyleInfo name="The Virus of Variatio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ECCEF7E-A5C7-4774-8E22-37D3A026E1EA}" name="death_to_birth_rates_by_hospital_1784_to_1849912" displayName="death_to_birth_rates_by_hospital_1784_to_1849912" ref="A1:D4" tableType="queryTable" totalsRowShown="0">
  <autoFilter ref="A1:D4" xr:uid="{AE14E629-4E71-4F9C-B9FC-66D4D0D0C58A}"/>
  <tableColumns count="4">
    <tableColumn id="1" xr3:uid="{E9E17DB3-8A6F-4B5C-9BE1-0D4F07AB686B}" uniqueName="1" name="Hospital" queryTableFieldId="1" dataDxfId="31"/>
    <tableColumn id="3" xr3:uid="{B9FA4787-4774-43B0-9270-6E501AA74AA2}" uniqueName="3" name="Births" queryTableFieldId="3"/>
    <tableColumn id="4" xr3:uid="{E6C13AF4-0823-4A2C-BE66-E19689960DF8}" uniqueName="4" name="Deaths" queryTableFieldId="4"/>
    <tableColumn id="6" xr3:uid="{4F9523E8-CD9D-42DF-8954-59719348E08E}" uniqueName="6" name="Percent" queryTableFieldId="6" dataDxfId="30">
      <calculatedColumnFormula>ROUND((C2/$C$4)*100,1)</calculatedColumnFormula>
    </tableColumn>
  </tableColumns>
  <tableStyleInfo name="The Virus of Variation"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1EFFFE9-8213-49EB-A4EB-D35D0A93AF9D}" name="death_to_birth_rates_by_hospital_1784_to_1849__213" displayName="death_to_birth_rates_by_hospital_1784_to_1849__213" ref="A1:D3" tableType="queryTable" totalsRowShown="0" headerRowDxfId="29" dataDxfId="28">
  <autoFilter ref="A1:D3" xr:uid="{C1EFFFE9-8213-49EB-A4EB-D35D0A93AF9D}"/>
  <sortState xmlns:xlrd2="http://schemas.microsoft.com/office/spreadsheetml/2017/richdata2" ref="A2:D3">
    <sortCondition descending="1" ref="A1:A3"/>
  </sortState>
  <tableColumns count="4">
    <tableColumn id="1" xr3:uid="{8DDE6DA3-ADC3-4A93-9276-94F4D2C7FF8E}" uniqueName="1" name="Hospital" queryTableFieldId="1" dataDxfId="27"/>
    <tableColumn id="2" xr3:uid="{73DF17E7-65AF-4B48-8E6D-91D90A255593}" uniqueName="2" name="1823" queryTableFieldId="2" dataDxfId="26"/>
    <tableColumn id="3" xr3:uid="{98801197-0B2F-4A8F-8331-ECC7205B24B2}" uniqueName="3" name="1824" queryTableFieldId="3" dataDxfId="25"/>
    <tableColumn id="4" xr3:uid="{669B074D-F578-41BE-9069-DF5E8B434918}" uniqueName="4" name="% Change" queryTableFieldId="4" dataDxfId="24">
      <calculatedColumnFormula>ROUND((C2-B2)/(B2)*100,1)</calculatedColumnFormula>
    </tableColumn>
  </tableColumns>
  <tableStyleInfo name="The Virus of Variation"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EC3DE23-E41D-47FD-8DDF-DC8E30B632AD}" name="causes_of_death_in_1864_dublin14" displayName="causes_of_death_in_1864_dublin14" ref="A1:C17" tableType="queryTable" totalsRowShown="0" headerRowDxfId="23" dataDxfId="22">
  <autoFilter ref="A1:C17" xr:uid="{DEC3DE23-E41D-47FD-8DDF-DC8E30B632AD}"/>
  <sortState xmlns:xlrd2="http://schemas.microsoft.com/office/spreadsheetml/2017/richdata2" ref="A2:C17">
    <sortCondition descending="1" ref="C1:C17"/>
  </sortState>
  <tableColumns count="3">
    <tableColumn id="1" xr3:uid="{B0D35EF1-9202-46CF-8583-409BD6E514ED}" uniqueName="1" name="City" queryTableFieldId="1" dataDxfId="21"/>
    <tableColumn id="2" xr3:uid="{0B66B618-A7C6-4A9E-8404-B25547C5A32C}" uniqueName="2" name="Cause of Death" queryTableFieldId="2" dataDxfId="20"/>
    <tableColumn id="3" xr3:uid="{99603C54-3A98-44C6-84DC-9DEA7BB5E9AD}" uniqueName="3" name="Number of Deaths" queryTableFieldId="3" dataDxfId="19"/>
  </tableColumns>
  <tableStyleInfo name="The Virus of Variation"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D506100-0C12-4A52-846E-167BE4570149}" name="causes_of_death_in_1864_dublin1415" displayName="causes_of_death_in_1864_dublin1415" ref="A1:E17" tableType="queryTable" totalsRowShown="0" headerRowDxfId="18" dataDxfId="17">
  <autoFilter ref="A1:E17" xr:uid="{DEC3DE23-E41D-47FD-8DDF-DC8E30B632AD}"/>
  <sortState xmlns:xlrd2="http://schemas.microsoft.com/office/spreadsheetml/2017/richdata2" ref="A2:C17">
    <sortCondition descending="1" ref="C1:C17"/>
  </sortState>
  <tableColumns count="5">
    <tableColumn id="1" xr3:uid="{79276238-706C-4883-8AF8-4F6F873D1757}" uniqueName="1" name="City" queryTableFieldId="1" dataDxfId="16"/>
    <tableColumn id="2" xr3:uid="{B896F28C-1E36-45C3-9C73-45D59E6F7FF7}" uniqueName="2" name="Cause of Death" queryTableFieldId="2" dataDxfId="15"/>
    <tableColumn id="3" xr3:uid="{E4EB3147-FBDC-4AB4-A914-B8A0E42FFB08}" uniqueName="3" name="Number of Deaths" queryTableFieldId="3" dataDxfId="14"/>
    <tableColumn id="4" xr3:uid="{8D8DF5DD-EB1D-4B2A-BD6F-D9DE4D6EACF4}" uniqueName="4" name="% of Total" queryTableFieldId="4" dataDxfId="13">
      <calculatedColumnFormula>ROUND((C2/$C$18)*100,2)</calculatedColumnFormula>
    </tableColumn>
    <tableColumn id="5" xr3:uid="{BBA43010-359E-4531-8B32-9878D44C9C19}" uniqueName="5" name="Cumulative %" queryTableFieldId="5" dataDxfId="12">
      <calculatedColumnFormula>D2</calculatedColumnFormula>
    </tableColumn>
  </tableColumns>
  <tableStyleInfo name="The Virus of Variation"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BAC730-ECB7-4D1F-84E9-9313272941D9}" name="death_to_birth_rates_by_hospital_1784_to_1849" displayName="death_to_birth_rates_by_hospital_1784_to_1849" ref="A1:E3" tableType="queryTable" totalsRowShown="0">
  <autoFilter ref="A1:E3" xr:uid="{5EBAC730-ECB7-4D1F-84E9-9313272941D9}"/>
  <tableColumns count="5">
    <tableColumn id="1" xr3:uid="{8E7CACD7-EBFD-433B-8102-23295886A76F}" uniqueName="1" name="Hospital" queryTableFieldId="1" dataDxfId="11"/>
    <tableColumn id="2" xr3:uid="{8F79EE71-AC19-46FB-8331-A242CA5924A2}" uniqueName="2" name="Year" queryTableFieldId="2"/>
    <tableColumn id="3" xr3:uid="{03C39A01-F4C9-4385-BD1B-8589DD567764}" uniqueName="3" name="Births" queryTableFieldId="3"/>
    <tableColumn id="4" xr3:uid="{141DD1A1-0BEC-4C7A-B232-3E1740A4DB3A}" uniqueName="4" name="Deaths" queryTableFieldId="4"/>
    <tableColumn id="5" xr3:uid="{B22DB194-35C6-4941-91A1-ECB2FBFB9C17}" uniqueName="5" name="Figure" queryTableFieldId="5"/>
  </tableColumns>
  <tableStyleInfo name="The Virus of Variation"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096259-DC0C-40BE-9A62-7A6FAF95F4B9}" name="death_to_birth_rates_by_hospital_1784_to_1849__2" displayName="death_to_birth_rates_by_hospital_1784_to_1849__2" ref="G1:J3" tableType="queryTable" totalsRowShown="0" headerRowDxfId="10" dataDxfId="9">
  <autoFilter ref="G1:J3" xr:uid="{7A096259-DC0C-40BE-9A62-7A6FAF95F4B9}"/>
  <tableColumns count="4">
    <tableColumn id="1" xr3:uid="{B1C748F6-0584-489F-BAFA-62946C1EC929}" uniqueName="1" name="Hospital" queryTableFieldId="1" dataDxfId="8"/>
    <tableColumn id="2" xr3:uid="{C0AC9365-D12E-4D9A-9BD2-F7EA8A3537EA}" uniqueName="2" name="1823" queryTableFieldId="2" dataDxfId="7"/>
    <tableColumn id="3" xr3:uid="{671BCBB4-3A92-43DD-8C2F-F553E88C5075}" uniqueName="3" name="1824" queryTableFieldId="3" dataDxfId="6"/>
    <tableColumn id="4" xr3:uid="{65C486A7-B669-4401-94D6-3B2E8579A58A}" uniqueName="4" name="Figure" queryTableFieldId="4" dataDxfId="5"/>
  </tableColumns>
  <tableStyleInfo name="The Virus of Variation"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08DD14-87D5-48F8-B3EE-E8F4C2490729}" name="causes_of_death_in_1864_dublin" displayName="causes_of_death_in_1864_dublin" ref="L1:N17" tableType="queryTable" totalsRowShown="0" headerRowDxfId="4" dataDxfId="3">
  <autoFilter ref="L1:N17" xr:uid="{9B08DD14-87D5-48F8-B3EE-E8F4C2490729}"/>
  <tableColumns count="3">
    <tableColumn id="1" xr3:uid="{AB89E087-AEAB-423D-84B3-E77BE074ACE3}" uniqueName="1" name="City" queryTableFieldId="1" dataDxfId="2"/>
    <tableColumn id="2" xr3:uid="{2A951708-0B95-4B13-9B4A-9C29B495E500}" uniqueName="2" name="Cause of Death" queryTableFieldId="2" dataDxfId="1"/>
    <tableColumn id="3" xr3:uid="{0F9414FC-CE29-49C0-9589-E85CFC3B89E9}" uniqueName="3" name="Number of Deaths" queryTableFieldId="3" dataDxfId="0"/>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44"/>
  <sheetViews>
    <sheetView showGridLines="0" tabSelected="1" workbookViewId="0">
      <selection sqref="A1:G1"/>
    </sheetView>
  </sheetViews>
  <sheetFormatPr defaultColWidth="12.6640625" defaultRowHeight="15.75" customHeight="1"/>
  <cols>
    <col min="8" max="8" width="1.33203125" customWidth="1"/>
    <col min="13" max="13" width="1.33203125" customWidth="1"/>
  </cols>
  <sheetData>
    <row r="1" spans="1:12" ht="24.6">
      <c r="A1" s="53" t="s">
        <v>0</v>
      </c>
      <c r="B1" s="54"/>
      <c r="C1" s="54"/>
      <c r="D1" s="54"/>
      <c r="E1" s="54"/>
      <c r="F1" s="54"/>
      <c r="G1" s="55"/>
      <c r="H1" s="1"/>
      <c r="I1" s="1"/>
      <c r="J1" s="1"/>
      <c r="K1" s="1"/>
      <c r="L1" s="1"/>
    </row>
    <row r="2" spans="1:12" ht="15.75" customHeight="1">
      <c r="A2" s="41" t="s">
        <v>30</v>
      </c>
      <c r="B2" s="42"/>
      <c r="C2" s="42"/>
      <c r="D2" s="42"/>
      <c r="E2" s="42"/>
      <c r="F2" s="42"/>
      <c r="G2" s="43"/>
      <c r="H2" s="1"/>
      <c r="I2" s="1"/>
    </row>
    <row r="3" spans="1:12" ht="15.75" customHeight="1">
      <c r="A3" s="44"/>
      <c r="B3" s="45"/>
      <c r="C3" s="45"/>
      <c r="D3" s="45"/>
      <c r="E3" s="45"/>
      <c r="F3" s="45"/>
      <c r="G3" s="46"/>
      <c r="H3" s="1"/>
    </row>
    <row r="4" spans="1:12" ht="15.75" customHeight="1">
      <c r="A4" s="44"/>
      <c r="B4" s="45"/>
      <c r="C4" s="45"/>
      <c r="D4" s="45"/>
      <c r="E4" s="45"/>
      <c r="F4" s="45"/>
      <c r="G4" s="46"/>
      <c r="H4" s="1"/>
    </row>
    <row r="5" spans="1:12" ht="15.75" customHeight="1">
      <c r="A5" s="44"/>
      <c r="B5" s="45"/>
      <c r="C5" s="45"/>
      <c r="D5" s="45"/>
      <c r="E5" s="45"/>
      <c r="F5" s="45"/>
      <c r="G5" s="46"/>
      <c r="H5" s="1"/>
    </row>
    <row r="6" spans="1:12" ht="15.75" customHeight="1">
      <c r="A6" s="44"/>
      <c r="B6" s="45"/>
      <c r="C6" s="45"/>
      <c r="D6" s="45"/>
      <c r="E6" s="45"/>
      <c r="F6" s="45"/>
      <c r="G6" s="46"/>
      <c r="H6" s="1"/>
    </row>
    <row r="7" spans="1:12" ht="15.75" customHeight="1">
      <c r="A7" s="44"/>
      <c r="B7" s="45"/>
      <c r="C7" s="45"/>
      <c r="D7" s="45"/>
      <c r="E7" s="45"/>
      <c r="F7" s="45"/>
      <c r="G7" s="46"/>
      <c r="H7" s="1"/>
    </row>
    <row r="8" spans="1:12" ht="15.75" customHeight="1">
      <c r="A8" s="44"/>
      <c r="B8" s="45"/>
      <c r="C8" s="45"/>
      <c r="D8" s="45"/>
      <c r="E8" s="45"/>
      <c r="F8" s="45"/>
      <c r="G8" s="46"/>
      <c r="H8" s="1"/>
    </row>
    <row r="9" spans="1:12" ht="15.75" customHeight="1">
      <c r="A9" s="44"/>
      <c r="B9" s="45"/>
      <c r="C9" s="45"/>
      <c r="D9" s="45"/>
      <c r="E9" s="45"/>
      <c r="F9" s="45"/>
      <c r="G9" s="46"/>
      <c r="H9" s="1"/>
    </row>
    <row r="10" spans="1:12" ht="15.75" customHeight="1">
      <c r="A10" s="44"/>
      <c r="B10" s="45"/>
      <c r="C10" s="45"/>
      <c r="D10" s="45"/>
      <c r="E10" s="45"/>
      <c r="F10" s="45"/>
      <c r="G10" s="46"/>
      <c r="H10" s="1"/>
    </row>
    <row r="11" spans="1:12" ht="15.75" customHeight="1">
      <c r="A11" s="44"/>
      <c r="B11" s="45"/>
      <c r="C11" s="45"/>
      <c r="D11" s="45"/>
      <c r="E11" s="45"/>
      <c r="F11" s="45"/>
      <c r="G11" s="46"/>
      <c r="H11" s="1"/>
    </row>
    <row r="12" spans="1:12" ht="15.75" customHeight="1">
      <c r="A12" s="44"/>
      <c r="B12" s="45"/>
      <c r="C12" s="45"/>
      <c r="D12" s="45"/>
      <c r="E12" s="45"/>
      <c r="F12" s="45"/>
      <c r="G12" s="46"/>
      <c r="H12" s="1"/>
    </row>
    <row r="13" spans="1:12" ht="15.75" customHeight="1">
      <c r="A13" s="44"/>
      <c r="B13" s="45"/>
      <c r="C13" s="45"/>
      <c r="D13" s="45"/>
      <c r="E13" s="45"/>
      <c r="F13" s="45"/>
      <c r="G13" s="46"/>
      <c r="H13" s="1"/>
    </row>
    <row r="14" spans="1:12" ht="15.75" customHeight="1">
      <c r="A14" s="44"/>
      <c r="B14" s="45"/>
      <c r="C14" s="45"/>
      <c r="D14" s="45"/>
      <c r="E14" s="45"/>
      <c r="F14" s="45"/>
      <c r="G14" s="46"/>
      <c r="H14" s="1"/>
    </row>
    <row r="15" spans="1:12" ht="15.75" customHeight="1">
      <c r="A15" s="44"/>
      <c r="B15" s="45"/>
      <c r="C15" s="45"/>
      <c r="D15" s="45"/>
      <c r="E15" s="45"/>
      <c r="F15" s="45"/>
      <c r="G15" s="46"/>
      <c r="H15" s="1"/>
    </row>
    <row r="16" spans="1:12" ht="15.75" customHeight="1">
      <c r="A16" s="44"/>
      <c r="B16" s="45"/>
      <c r="C16" s="45"/>
      <c r="D16" s="45"/>
      <c r="E16" s="45"/>
      <c r="F16" s="45"/>
      <c r="G16" s="46"/>
      <c r="H16" s="1"/>
    </row>
    <row r="17" spans="1:8" ht="15.75" customHeight="1">
      <c r="A17" s="44"/>
      <c r="B17" s="45"/>
      <c r="C17" s="45"/>
      <c r="D17" s="45"/>
      <c r="E17" s="45"/>
      <c r="F17" s="45"/>
      <c r="G17" s="46"/>
      <c r="H17" s="1"/>
    </row>
    <row r="18" spans="1:8" ht="15.75" customHeight="1">
      <c r="A18" s="44"/>
      <c r="B18" s="45"/>
      <c r="C18" s="45"/>
      <c r="D18" s="45"/>
      <c r="E18" s="45"/>
      <c r="F18" s="45"/>
      <c r="G18" s="46"/>
      <c r="H18" s="1"/>
    </row>
    <row r="19" spans="1:8" ht="15.75" customHeight="1">
      <c r="A19" s="44"/>
      <c r="B19" s="45"/>
      <c r="C19" s="45"/>
      <c r="D19" s="45"/>
      <c r="E19" s="45"/>
      <c r="F19" s="45"/>
      <c r="G19" s="46"/>
      <c r="H19" s="1"/>
    </row>
    <row r="20" spans="1:8" ht="15.75" customHeight="1">
      <c r="A20" s="44"/>
      <c r="B20" s="45"/>
      <c r="C20" s="45"/>
      <c r="D20" s="45"/>
      <c r="E20" s="45"/>
      <c r="F20" s="45"/>
      <c r="G20" s="46"/>
      <c r="H20" s="1"/>
    </row>
    <row r="21" spans="1:8" ht="15.75" customHeight="1">
      <c r="A21" s="44"/>
      <c r="B21" s="45"/>
      <c r="C21" s="45"/>
      <c r="D21" s="45"/>
      <c r="E21" s="45"/>
      <c r="F21" s="45"/>
      <c r="G21" s="46"/>
      <c r="H21" s="1"/>
    </row>
    <row r="22" spans="1:8" ht="15.75" customHeight="1">
      <c r="A22" s="44"/>
      <c r="B22" s="45"/>
      <c r="C22" s="45"/>
      <c r="D22" s="45"/>
      <c r="E22" s="45"/>
      <c r="F22" s="45"/>
      <c r="G22" s="46"/>
      <c r="H22" s="1"/>
    </row>
    <row r="23" spans="1:8" ht="15.75" customHeight="1">
      <c r="A23" s="44"/>
      <c r="B23" s="45"/>
      <c r="C23" s="45"/>
      <c r="D23" s="45"/>
      <c r="E23" s="45"/>
      <c r="F23" s="45"/>
      <c r="G23" s="46"/>
      <c r="H23" s="1"/>
    </row>
    <row r="24" spans="1:8" ht="15.75" customHeight="1">
      <c r="A24" s="44"/>
      <c r="B24" s="45"/>
      <c r="C24" s="45"/>
      <c r="D24" s="45"/>
      <c r="E24" s="45"/>
      <c r="F24" s="45"/>
      <c r="G24" s="46"/>
      <c r="H24" s="1"/>
    </row>
    <row r="25" spans="1:8" ht="15.75" customHeight="1">
      <c r="A25" s="44"/>
      <c r="B25" s="45"/>
      <c r="C25" s="45"/>
      <c r="D25" s="45"/>
      <c r="E25" s="45"/>
      <c r="F25" s="45"/>
      <c r="G25" s="46"/>
      <c r="H25" s="1"/>
    </row>
    <row r="26" spans="1:8" ht="15.75" customHeight="1">
      <c r="A26" s="44"/>
      <c r="B26" s="45"/>
      <c r="C26" s="45"/>
      <c r="D26" s="45"/>
      <c r="E26" s="45"/>
      <c r="F26" s="45"/>
      <c r="G26" s="46"/>
      <c r="H26" s="1"/>
    </row>
    <row r="27" spans="1:8" ht="13.2" customHeight="1">
      <c r="A27" s="44"/>
      <c r="B27" s="45"/>
      <c r="C27" s="45"/>
      <c r="D27" s="45"/>
      <c r="E27" s="45"/>
      <c r="F27" s="45"/>
      <c r="G27" s="46"/>
      <c r="H27" s="1"/>
    </row>
    <row r="28" spans="1:8" ht="15.75" customHeight="1">
      <c r="A28" s="44"/>
      <c r="B28" s="45"/>
      <c r="C28" s="45"/>
      <c r="D28" s="45"/>
      <c r="E28" s="45"/>
      <c r="F28" s="45"/>
      <c r="G28" s="46"/>
    </row>
    <row r="29" spans="1:8" ht="15.75" customHeight="1">
      <c r="A29" s="44"/>
      <c r="B29" s="45"/>
      <c r="C29" s="45"/>
      <c r="D29" s="45"/>
      <c r="E29" s="45"/>
      <c r="F29" s="45"/>
      <c r="G29" s="46"/>
    </row>
    <row r="30" spans="1:8" ht="15.75" customHeight="1">
      <c r="A30" s="44"/>
      <c r="B30" s="45"/>
      <c r="C30" s="45"/>
      <c r="D30" s="45"/>
      <c r="E30" s="45"/>
      <c r="F30" s="45"/>
      <c r="G30" s="46"/>
    </row>
    <row r="31" spans="1:8" ht="15.75" customHeight="1">
      <c r="A31" s="44"/>
      <c r="B31" s="45"/>
      <c r="C31" s="45"/>
      <c r="D31" s="45"/>
      <c r="E31" s="45"/>
      <c r="F31" s="45"/>
      <c r="G31" s="46"/>
    </row>
    <row r="32" spans="1:8" ht="15.75" customHeight="1">
      <c r="A32" s="44"/>
      <c r="B32" s="45"/>
      <c r="C32" s="45"/>
      <c r="D32" s="45"/>
      <c r="E32" s="45"/>
      <c r="F32" s="45"/>
      <c r="G32" s="46"/>
    </row>
    <row r="33" spans="1:7" ht="15.75" customHeight="1">
      <c r="A33" s="44"/>
      <c r="B33" s="45"/>
      <c r="C33" s="45"/>
      <c r="D33" s="45"/>
      <c r="E33" s="45"/>
      <c r="F33" s="45"/>
      <c r="G33" s="46"/>
    </row>
    <row r="34" spans="1:7" ht="15.75" customHeight="1">
      <c r="A34" s="47"/>
      <c r="B34" s="48"/>
      <c r="C34" s="48"/>
      <c r="D34" s="48"/>
      <c r="E34" s="48"/>
      <c r="F34" s="48"/>
      <c r="G34" s="49"/>
    </row>
    <row r="35" spans="1:7" ht="15.75" customHeight="1">
      <c r="A35" s="50" t="s">
        <v>31</v>
      </c>
      <c r="B35" s="51"/>
      <c r="C35" s="51"/>
      <c r="D35" s="51"/>
      <c r="E35" s="51"/>
      <c r="F35" s="51"/>
      <c r="G35" s="52"/>
    </row>
    <row r="36" spans="1:7" ht="15.75" customHeight="1">
      <c r="A36" s="32" t="s">
        <v>32</v>
      </c>
      <c r="B36" s="33"/>
      <c r="C36" s="33"/>
      <c r="D36" s="33"/>
      <c r="E36" s="33"/>
      <c r="F36" s="33"/>
      <c r="G36" s="34"/>
    </row>
    <row r="37" spans="1:7" ht="15.75" customHeight="1">
      <c r="A37" s="35" t="s">
        <v>33</v>
      </c>
      <c r="B37" s="36"/>
      <c r="C37" s="36"/>
      <c r="D37" s="36"/>
      <c r="E37" s="36"/>
      <c r="F37" s="36"/>
      <c r="G37" s="37"/>
    </row>
    <row r="38" spans="1:7" ht="15.75" customHeight="1">
      <c r="A38" s="32" t="s">
        <v>34</v>
      </c>
      <c r="B38" s="33"/>
      <c r="C38" s="33"/>
      <c r="D38" s="33"/>
      <c r="E38" s="33"/>
      <c r="F38" s="33"/>
      <c r="G38" s="34"/>
    </row>
    <row r="39" spans="1:7" ht="15.75" customHeight="1">
      <c r="A39" s="35" t="s">
        <v>35</v>
      </c>
      <c r="B39" s="36"/>
      <c r="C39" s="36"/>
      <c r="D39" s="36"/>
      <c r="E39" s="36"/>
      <c r="F39" s="36"/>
      <c r="G39" s="37"/>
    </row>
    <row r="40" spans="1:7" ht="15.75" customHeight="1">
      <c r="A40" s="32" t="s">
        <v>36</v>
      </c>
      <c r="B40" s="33"/>
      <c r="C40" s="33"/>
      <c r="D40" s="33"/>
      <c r="E40" s="33"/>
      <c r="F40" s="33"/>
      <c r="G40" s="34"/>
    </row>
    <row r="41" spans="1:7" ht="15.75" customHeight="1">
      <c r="A41" s="32" t="s">
        <v>37</v>
      </c>
      <c r="B41" s="33"/>
      <c r="C41" s="33"/>
      <c r="D41" s="33"/>
      <c r="E41" s="33"/>
      <c r="F41" s="33"/>
      <c r="G41" s="34"/>
    </row>
    <row r="42" spans="1:7" ht="15.75" customHeight="1">
      <c r="A42" s="27" t="s">
        <v>45</v>
      </c>
      <c r="B42" s="28"/>
      <c r="C42" s="28"/>
      <c r="D42" s="28"/>
      <c r="E42" s="28"/>
      <c r="F42" s="28"/>
      <c r="G42" s="29"/>
    </row>
    <row r="43" spans="1:7" ht="39.6">
      <c r="A43" s="25" t="s">
        <v>47</v>
      </c>
      <c r="B43" s="38" t="s">
        <v>48</v>
      </c>
      <c r="C43" s="39"/>
      <c r="D43" s="39"/>
      <c r="E43" s="39"/>
      <c r="F43" s="39"/>
      <c r="G43" s="40"/>
    </row>
    <row r="44" spans="1:7" ht="15.75" customHeight="1">
      <c r="A44" s="26" t="s">
        <v>46</v>
      </c>
      <c r="B44" s="30" t="s">
        <v>44</v>
      </c>
      <c r="C44" s="30"/>
      <c r="D44" s="30"/>
      <c r="E44" s="30"/>
      <c r="F44" s="30"/>
      <c r="G44" s="31"/>
    </row>
  </sheetData>
  <mergeCells count="12">
    <mergeCell ref="A1:G1"/>
    <mergeCell ref="A2:G34"/>
    <mergeCell ref="A35:G35"/>
    <mergeCell ref="A36:G36"/>
    <mergeCell ref="A37:G37"/>
    <mergeCell ref="A42:G42"/>
    <mergeCell ref="B44:G44"/>
    <mergeCell ref="A38:G38"/>
    <mergeCell ref="A39:G39"/>
    <mergeCell ref="A40:G40"/>
    <mergeCell ref="A41:G41"/>
    <mergeCell ref="B43:G43"/>
  </mergeCells>
  <hyperlinks>
    <hyperlink ref="A38" r:id="rId1" xr:uid="{5EBCF407-A7D1-4DBC-98AF-6F4F181C09F7}"/>
    <hyperlink ref="A36" r:id="rId2" xr:uid="{B9628994-91CD-4651-A896-82D94BBE72D3}"/>
    <hyperlink ref="A40" r:id="rId3" xr:uid="{E4178B4C-E9E5-4A2C-9C47-7EBD2865AF53}"/>
    <hyperlink ref="A41" r:id="rId4" xr:uid="{0A5B94CC-813E-450E-8E2E-A45012C3D3AF}"/>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
  <sheetViews>
    <sheetView workbookViewId="0">
      <selection sqref="A1:C3"/>
    </sheetView>
  </sheetViews>
  <sheetFormatPr defaultColWidth="12.6640625" defaultRowHeight="15.75" customHeight="1"/>
  <cols>
    <col min="1" max="1" width="21.5546875" bestFit="1" customWidth="1"/>
    <col min="2" max="2" width="9.5546875" bestFit="1" customWidth="1"/>
    <col min="3" max="3" width="8.5546875" bestFit="1" customWidth="1"/>
  </cols>
  <sheetData>
    <row r="1" spans="1:3" ht="15.75" customHeight="1">
      <c r="A1" t="s">
        <v>2</v>
      </c>
      <c r="B1" t="s">
        <v>3</v>
      </c>
      <c r="C1" t="s">
        <v>4</v>
      </c>
    </row>
    <row r="2" spans="1:3" ht="15.75" customHeight="1">
      <c r="A2" t="s">
        <v>5</v>
      </c>
      <c r="B2" s="22">
        <v>2872</v>
      </c>
      <c r="C2" s="22">
        <v>214</v>
      </c>
    </row>
    <row r="3" spans="1:3" ht="15.75" customHeight="1">
      <c r="A3" t="s">
        <v>6</v>
      </c>
      <c r="B3" s="22">
        <v>2584</v>
      </c>
      <c r="C3" s="22">
        <v>59</v>
      </c>
    </row>
    <row r="4" spans="1:3" ht="15.75" customHeight="1">
      <c r="A4" s="2"/>
      <c r="B4" s="4"/>
      <c r="C4" s="4"/>
    </row>
    <row r="5" spans="1:3" ht="15.75" customHeight="1">
      <c r="A5" s="2"/>
      <c r="B5" s="4"/>
      <c r="C5" s="4"/>
    </row>
    <row r="6" spans="1:3" ht="15.75" customHeight="1">
      <c r="A6" s="2"/>
      <c r="B6" s="4"/>
      <c r="C6" s="4"/>
    </row>
    <row r="7" spans="1:3" ht="15.75" customHeight="1">
      <c r="A7" s="2"/>
      <c r="B7" s="4"/>
      <c r="C7" s="4"/>
    </row>
    <row r="8" spans="1:3" ht="15.75" customHeight="1">
      <c r="A8" s="2"/>
      <c r="B8" s="4"/>
      <c r="C8" s="4"/>
    </row>
    <row r="9" spans="1:3" ht="15.75" customHeight="1">
      <c r="A9" s="2"/>
      <c r="B9" s="4"/>
      <c r="C9" s="4"/>
    </row>
    <row r="10" spans="1:3" ht="15.75" customHeight="1">
      <c r="A10" s="2"/>
      <c r="B10" s="4"/>
      <c r="C10" s="4"/>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E37D1-5EA1-466F-8069-BF1FCEB33579}">
  <sheetPr>
    <outlinePr summaryBelow="0" summaryRight="0"/>
  </sheetPr>
  <dimension ref="A1:C10"/>
  <sheetViews>
    <sheetView workbookViewId="0">
      <selection sqref="A1:C3"/>
    </sheetView>
  </sheetViews>
  <sheetFormatPr defaultColWidth="12.6640625" defaultRowHeight="15.75" customHeight="1"/>
  <cols>
    <col min="1" max="1" width="21.5546875" bestFit="1" customWidth="1"/>
    <col min="2" max="2" width="9.5546875" bestFit="1" customWidth="1"/>
    <col min="3" max="3" width="8.5546875" bestFit="1" customWidth="1"/>
  </cols>
  <sheetData>
    <row r="1" spans="1:3" ht="15.75" customHeight="1">
      <c r="A1" t="s">
        <v>2</v>
      </c>
      <c r="B1" t="s">
        <v>3</v>
      </c>
      <c r="C1" t="s">
        <v>4</v>
      </c>
    </row>
    <row r="2" spans="1:3" ht="15.75" customHeight="1">
      <c r="A2" t="s">
        <v>5</v>
      </c>
      <c r="B2" s="22">
        <v>2872</v>
      </c>
      <c r="C2" s="22">
        <v>214</v>
      </c>
    </row>
    <row r="3" spans="1:3" ht="15.75" customHeight="1">
      <c r="A3" t="s">
        <v>6</v>
      </c>
      <c r="B3" s="22">
        <v>2584</v>
      </c>
      <c r="C3" s="22">
        <v>59</v>
      </c>
    </row>
    <row r="4" spans="1:3" ht="15.75" customHeight="1">
      <c r="A4" s="2"/>
      <c r="B4" s="4"/>
      <c r="C4" s="4"/>
    </row>
    <row r="5" spans="1:3" ht="15.75" customHeight="1">
      <c r="A5" s="2"/>
      <c r="B5" s="4"/>
      <c r="C5" s="4"/>
    </row>
    <row r="6" spans="1:3" ht="15.75" customHeight="1">
      <c r="A6" s="2"/>
      <c r="B6" s="4"/>
      <c r="C6" s="4"/>
    </row>
    <row r="7" spans="1:3" ht="15.75" customHeight="1">
      <c r="A7" s="2"/>
      <c r="B7" s="4"/>
      <c r="C7" s="4"/>
    </row>
    <row r="8" spans="1:3" ht="15.75" customHeight="1">
      <c r="A8" s="2"/>
      <c r="B8" s="4"/>
      <c r="C8" s="4"/>
    </row>
    <row r="9" spans="1:3" ht="15.75" customHeight="1">
      <c r="A9" s="2"/>
      <c r="B9" s="4"/>
      <c r="C9" s="4"/>
    </row>
    <row r="10" spans="1:3" ht="15.75" customHeight="1">
      <c r="A10" s="2"/>
      <c r="B10" s="4"/>
      <c r="C10" s="4"/>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D352-E022-4FDD-BCEF-63D352E030EB}">
  <sheetPr>
    <outlinePr summaryBelow="0" summaryRight="0"/>
  </sheetPr>
  <dimension ref="A1:C10"/>
  <sheetViews>
    <sheetView workbookViewId="0">
      <selection sqref="A1:C3"/>
    </sheetView>
  </sheetViews>
  <sheetFormatPr defaultColWidth="12.6640625" defaultRowHeight="15.75" customHeight="1"/>
  <cols>
    <col min="1" max="1" width="21.5546875" bestFit="1" customWidth="1"/>
    <col min="2" max="2" width="9.5546875" bestFit="1" customWidth="1"/>
    <col min="3" max="3" width="8.5546875" bestFit="1" customWidth="1"/>
  </cols>
  <sheetData>
    <row r="1" spans="1:3" ht="15.75" customHeight="1">
      <c r="A1" t="s">
        <v>2</v>
      </c>
      <c r="B1" t="s">
        <v>3</v>
      </c>
      <c r="C1" t="s">
        <v>4</v>
      </c>
    </row>
    <row r="2" spans="1:3" ht="15.75" customHeight="1">
      <c r="A2" t="s">
        <v>5</v>
      </c>
      <c r="B2" s="22">
        <v>2872</v>
      </c>
      <c r="C2" s="22">
        <v>214</v>
      </c>
    </row>
    <row r="3" spans="1:3" ht="15.75" customHeight="1">
      <c r="A3" t="s">
        <v>6</v>
      </c>
      <c r="B3" s="22">
        <v>2584</v>
      </c>
      <c r="C3" s="22">
        <v>59</v>
      </c>
    </row>
    <row r="4" spans="1:3" ht="15.75" customHeight="1">
      <c r="A4" s="2"/>
      <c r="B4" s="4"/>
      <c r="C4" s="4"/>
    </row>
    <row r="5" spans="1:3" ht="15.75" customHeight="1">
      <c r="A5" s="2"/>
      <c r="B5" s="4"/>
      <c r="C5" s="4"/>
    </row>
    <row r="6" spans="1:3" ht="15.75" customHeight="1">
      <c r="A6" s="2"/>
      <c r="B6" s="4"/>
      <c r="C6" s="4"/>
    </row>
    <row r="7" spans="1:3" ht="15.75" customHeight="1">
      <c r="A7" s="2"/>
      <c r="B7" s="4"/>
      <c r="C7" s="4"/>
    </row>
    <row r="8" spans="1:3" ht="15.75" customHeight="1">
      <c r="A8" s="2"/>
      <c r="B8" s="4"/>
      <c r="C8" s="4"/>
    </row>
    <row r="9" spans="1:3" ht="15.75" customHeight="1">
      <c r="A9" s="2"/>
      <c r="B9" s="4"/>
      <c r="C9" s="4"/>
    </row>
    <row r="10" spans="1:3" ht="15.75" customHeight="1">
      <c r="A10" s="2"/>
      <c r="B10" s="4"/>
      <c r="C10" s="4"/>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16"/>
  <sheetViews>
    <sheetView workbookViewId="0">
      <selection sqref="A1:D4"/>
    </sheetView>
  </sheetViews>
  <sheetFormatPr defaultColWidth="12.6640625" defaultRowHeight="15.75" customHeight="1"/>
  <cols>
    <col min="1" max="1" width="21.5546875" bestFit="1" customWidth="1"/>
    <col min="2" max="2" width="7.88671875" bestFit="1" customWidth="1"/>
    <col min="3" max="3" width="8.88671875" bestFit="1" customWidth="1"/>
  </cols>
  <sheetData>
    <row r="1" spans="1:4" ht="15.75" customHeight="1">
      <c r="A1" t="s">
        <v>2</v>
      </c>
      <c r="B1" t="s">
        <v>3</v>
      </c>
      <c r="C1" t="s">
        <v>4</v>
      </c>
      <c r="D1" s="17" t="s">
        <v>7</v>
      </c>
    </row>
    <row r="2" spans="1:4" ht="15.75" customHeight="1">
      <c r="A2" t="s">
        <v>5</v>
      </c>
      <c r="B2">
        <v>2872</v>
      </c>
      <c r="C2">
        <v>214</v>
      </c>
      <c r="D2">
        <f t="shared" ref="D2:D4" si="0">ROUND((C2/$C$4)*100,1)</f>
        <v>78.400000000000006</v>
      </c>
    </row>
    <row r="3" spans="1:4" ht="15.75" customHeight="1">
      <c r="A3" t="s">
        <v>6</v>
      </c>
      <c r="B3">
        <v>2584</v>
      </c>
      <c r="C3">
        <v>59</v>
      </c>
      <c r="D3">
        <f t="shared" si="0"/>
        <v>21.6</v>
      </c>
    </row>
    <row r="4" spans="1:4" ht="15.75" customHeight="1">
      <c r="A4" s="23"/>
      <c r="B4" s="4" t="s">
        <v>8</v>
      </c>
      <c r="C4" s="4">
        <f>SUM(C2:C3)</f>
        <v>273</v>
      </c>
      <c r="D4">
        <f t="shared" si="0"/>
        <v>100</v>
      </c>
    </row>
    <row r="5" spans="1:4" ht="15.75" customHeight="1">
      <c r="A5" s="2"/>
      <c r="B5" s="4"/>
      <c r="C5" s="4"/>
    </row>
    <row r="6" spans="1:4" ht="15.75" customHeight="1">
      <c r="A6" s="2"/>
      <c r="B6" s="4"/>
      <c r="C6" s="4"/>
    </row>
    <row r="7" spans="1:4" ht="15.75" customHeight="1">
      <c r="A7" s="2"/>
      <c r="B7" s="4"/>
      <c r="C7" s="4"/>
    </row>
    <row r="8" spans="1:4" ht="15.75" customHeight="1">
      <c r="A8" s="2"/>
      <c r="B8" s="4"/>
      <c r="C8" s="4"/>
    </row>
    <row r="9" spans="1:4" ht="15.75" customHeight="1">
      <c r="A9" s="2"/>
      <c r="B9" s="4"/>
      <c r="C9" s="4"/>
    </row>
    <row r="10" spans="1:4" ht="15.75" customHeight="1">
      <c r="A10" s="2"/>
      <c r="B10" s="4"/>
      <c r="C10" s="4"/>
    </row>
    <row r="11" spans="1:4" ht="15.75" customHeight="1">
      <c r="A11" s="2"/>
      <c r="B11" s="4"/>
      <c r="C11" s="4"/>
    </row>
    <row r="12" spans="1:4" ht="15.75" customHeight="1">
      <c r="A12" s="2"/>
      <c r="B12" s="4"/>
      <c r="C12" s="4"/>
    </row>
    <row r="13" spans="1:4" ht="15.75" customHeight="1">
      <c r="A13" s="2"/>
      <c r="B13" s="4"/>
      <c r="C13" s="4"/>
    </row>
    <row r="14" spans="1:4" ht="15.75" customHeight="1">
      <c r="A14" s="2"/>
      <c r="B14" s="4"/>
      <c r="C14" s="4"/>
    </row>
    <row r="15" spans="1:4" ht="15.75" customHeight="1">
      <c r="A15" s="2"/>
      <c r="B15" s="4"/>
      <c r="C15" s="4"/>
    </row>
    <row r="16" spans="1:4" ht="15.75" customHeight="1">
      <c r="A16" s="2"/>
      <c r="B16" s="4"/>
      <c r="C16" s="4"/>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CBA71-AB66-4D5B-B0AE-DA0BA37F4FCD}">
  <sheetPr>
    <outlinePr summaryBelow="0" summaryRight="0"/>
  </sheetPr>
  <dimension ref="A1:D16"/>
  <sheetViews>
    <sheetView workbookViewId="0">
      <selection sqref="A1:D4"/>
    </sheetView>
  </sheetViews>
  <sheetFormatPr defaultColWidth="12.6640625" defaultRowHeight="15.75" customHeight="1"/>
  <cols>
    <col min="1" max="1" width="21.5546875" bestFit="1" customWidth="1"/>
    <col min="2" max="2" width="7.88671875" bestFit="1" customWidth="1"/>
    <col min="3" max="3" width="8.88671875" bestFit="1" customWidth="1"/>
  </cols>
  <sheetData>
    <row r="1" spans="1:4" ht="15.75" customHeight="1">
      <c r="A1" t="s">
        <v>2</v>
      </c>
      <c r="B1" t="s">
        <v>3</v>
      </c>
      <c r="C1" t="s">
        <v>4</v>
      </c>
      <c r="D1" s="17" t="s">
        <v>7</v>
      </c>
    </row>
    <row r="2" spans="1:4" ht="15.75" customHeight="1">
      <c r="A2" t="s">
        <v>5</v>
      </c>
      <c r="B2">
        <v>2872</v>
      </c>
      <c r="C2">
        <v>214</v>
      </c>
      <c r="D2" s="22">
        <f t="shared" ref="D2:D4" si="0">ROUND((C2/$C$4)*100,1)</f>
        <v>78.400000000000006</v>
      </c>
    </row>
    <row r="3" spans="1:4" ht="15.75" customHeight="1">
      <c r="A3" t="s">
        <v>6</v>
      </c>
      <c r="B3">
        <v>2584</v>
      </c>
      <c r="C3">
        <v>59</v>
      </c>
      <c r="D3" s="22">
        <f t="shared" si="0"/>
        <v>21.6</v>
      </c>
    </row>
    <row r="4" spans="1:4" ht="15.75" customHeight="1">
      <c r="A4" s="23"/>
      <c r="B4" s="4" t="s">
        <v>8</v>
      </c>
      <c r="C4" s="4">
        <f>SUM(C2:C3)</f>
        <v>273</v>
      </c>
      <c r="D4">
        <f t="shared" si="0"/>
        <v>100</v>
      </c>
    </row>
    <row r="5" spans="1:4" ht="15.75" customHeight="1">
      <c r="A5" s="2"/>
      <c r="B5" s="4"/>
      <c r="C5" s="4"/>
    </row>
    <row r="6" spans="1:4" ht="15.75" customHeight="1">
      <c r="A6" s="2"/>
      <c r="B6" s="4"/>
      <c r="C6" s="4"/>
    </row>
    <row r="7" spans="1:4" ht="15.75" customHeight="1">
      <c r="A7" s="2"/>
      <c r="B7" s="4"/>
      <c r="C7" s="4"/>
    </row>
    <row r="8" spans="1:4" ht="15.75" customHeight="1">
      <c r="A8" s="2"/>
      <c r="B8" s="4"/>
      <c r="C8" s="4"/>
    </row>
    <row r="9" spans="1:4" ht="15.75" customHeight="1">
      <c r="A9" s="2"/>
      <c r="B9" s="4"/>
      <c r="C9" s="4"/>
    </row>
    <row r="10" spans="1:4" ht="15.75" customHeight="1">
      <c r="A10" s="2"/>
      <c r="B10" s="4"/>
      <c r="C10" s="4"/>
    </row>
    <row r="11" spans="1:4" ht="15.75" customHeight="1">
      <c r="A11" s="2"/>
      <c r="B11" s="4"/>
      <c r="C11" s="4"/>
    </row>
    <row r="12" spans="1:4" ht="15.75" customHeight="1">
      <c r="A12" s="2"/>
      <c r="B12" s="4"/>
      <c r="C12" s="4"/>
    </row>
    <row r="13" spans="1:4" ht="15.75" customHeight="1">
      <c r="A13" s="2"/>
      <c r="B13" s="4"/>
      <c r="C13" s="4"/>
    </row>
    <row r="14" spans="1:4" ht="15.75" customHeight="1">
      <c r="A14" s="2"/>
      <c r="B14" s="4"/>
      <c r="C14" s="4"/>
    </row>
    <row r="15" spans="1:4" ht="15.75" customHeight="1">
      <c r="A15" s="2"/>
      <c r="B15" s="4"/>
      <c r="C15" s="4"/>
    </row>
    <row r="16" spans="1:4" ht="15.75" customHeight="1">
      <c r="A16" s="2"/>
      <c r="B16" s="4"/>
      <c r="C16" s="4"/>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4"/>
  <sheetViews>
    <sheetView workbookViewId="0">
      <selection sqref="A1:D3"/>
    </sheetView>
  </sheetViews>
  <sheetFormatPr defaultColWidth="12.6640625" defaultRowHeight="15.75" customHeight="1"/>
  <cols>
    <col min="1" max="1" width="20.109375" bestFit="1" customWidth="1"/>
    <col min="2" max="3" width="7.21875" bestFit="1" customWidth="1"/>
    <col min="4" max="4" width="11.77734375" bestFit="1" customWidth="1"/>
  </cols>
  <sheetData>
    <row r="1" spans="1:4" ht="15.75" customHeight="1">
      <c r="A1" s="13" t="s">
        <v>2</v>
      </c>
      <c r="B1" s="13" t="s">
        <v>39</v>
      </c>
      <c r="C1" s="13" t="s">
        <v>40</v>
      </c>
      <c r="D1" s="13" t="s">
        <v>9</v>
      </c>
    </row>
    <row r="2" spans="1:4" ht="15.75" customHeight="1">
      <c r="A2" s="18" t="s">
        <v>5</v>
      </c>
      <c r="B2">
        <v>2872</v>
      </c>
      <c r="C2">
        <v>2911</v>
      </c>
      <c r="D2" s="18">
        <f t="shared" ref="D2:D3" si="0">ROUND((C2-B2)/(B2)*100,1)</f>
        <v>1.4</v>
      </c>
    </row>
    <row r="3" spans="1:4" ht="15.75" customHeight="1">
      <c r="A3" s="18" t="s">
        <v>6</v>
      </c>
      <c r="B3">
        <v>2584</v>
      </c>
      <c r="C3">
        <v>2446</v>
      </c>
      <c r="D3" s="18">
        <f t="shared" si="0"/>
        <v>-5.3</v>
      </c>
    </row>
    <row r="4" spans="1:4" ht="15.75" customHeight="1">
      <c r="A4" s="3"/>
      <c r="B4" s="4"/>
      <c r="C4" s="4"/>
    </row>
    <row r="5" spans="1:4" ht="15.75" customHeight="1">
      <c r="A5" s="3"/>
      <c r="B5" s="4"/>
      <c r="C5" s="4"/>
    </row>
    <row r="6" spans="1:4" ht="15.75" customHeight="1">
      <c r="A6" s="3"/>
      <c r="B6" s="4"/>
      <c r="C6" s="4"/>
    </row>
    <row r="7" spans="1:4" ht="15.75" customHeight="1">
      <c r="A7" s="3"/>
      <c r="B7" s="4"/>
      <c r="C7" s="4"/>
    </row>
    <row r="8" spans="1:4" ht="15.75" customHeight="1">
      <c r="A8" s="3"/>
      <c r="B8" s="4"/>
      <c r="C8" s="4"/>
    </row>
    <row r="9" spans="1:4" ht="15.75" customHeight="1">
      <c r="A9" s="3"/>
      <c r="B9" s="4"/>
      <c r="C9" s="4"/>
    </row>
    <row r="10" spans="1:4" ht="15.75" customHeight="1">
      <c r="A10" s="3"/>
      <c r="B10" s="4"/>
      <c r="C10" s="4"/>
    </row>
    <row r="11" spans="1:4" ht="15.75" customHeight="1">
      <c r="A11" s="3"/>
      <c r="B11" s="4"/>
      <c r="C11" s="4"/>
    </row>
    <row r="12" spans="1:4" ht="15.75" customHeight="1">
      <c r="A12" s="3"/>
      <c r="B12" s="4"/>
      <c r="C12" s="4"/>
    </row>
    <row r="13" spans="1:4" ht="15.75" customHeight="1">
      <c r="A13" s="3"/>
      <c r="B13" s="4"/>
      <c r="C13" s="4"/>
    </row>
    <row r="14" spans="1:4" ht="15.75" customHeight="1">
      <c r="A14" s="3"/>
      <c r="B14" s="4"/>
      <c r="C14" s="4"/>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17"/>
  <sheetViews>
    <sheetView workbookViewId="0">
      <selection sqref="A1:C17"/>
    </sheetView>
  </sheetViews>
  <sheetFormatPr defaultColWidth="12.6640625" defaultRowHeight="15.75" customHeight="1"/>
  <cols>
    <col min="1" max="1" width="17.44140625" bestFit="1" customWidth="1"/>
    <col min="2" max="2" width="16" bestFit="1" customWidth="1"/>
    <col min="3" max="3" width="18" bestFit="1" customWidth="1"/>
  </cols>
  <sheetData>
    <row r="1" spans="1:3" ht="15.75" customHeight="1">
      <c r="A1" s="20" t="s">
        <v>41</v>
      </c>
      <c r="B1" s="20" t="s">
        <v>10</v>
      </c>
      <c r="C1" s="20" t="s">
        <v>11</v>
      </c>
    </row>
    <row r="2" spans="1:3" ht="15.75" customHeight="1">
      <c r="A2" s="21" t="s">
        <v>12</v>
      </c>
      <c r="B2" s="18" t="s">
        <v>13</v>
      </c>
      <c r="C2">
        <v>1582</v>
      </c>
    </row>
    <row r="3" spans="1:3" ht="15.75" customHeight="1">
      <c r="A3" s="21" t="s">
        <v>12</v>
      </c>
      <c r="B3" s="18" t="s">
        <v>14</v>
      </c>
      <c r="C3">
        <v>974</v>
      </c>
    </row>
    <row r="4" spans="1:3" ht="15.75" customHeight="1">
      <c r="A4" s="14" t="s">
        <v>12</v>
      </c>
      <c r="B4" s="12" t="s">
        <v>15</v>
      </c>
      <c r="C4">
        <v>394</v>
      </c>
    </row>
    <row r="5" spans="1:3" ht="15.75" customHeight="1">
      <c r="A5" s="21" t="s">
        <v>12</v>
      </c>
      <c r="B5" s="18" t="s">
        <v>16</v>
      </c>
      <c r="C5">
        <v>213</v>
      </c>
    </row>
    <row r="6" spans="1:3" ht="15.75" customHeight="1">
      <c r="A6" s="21" t="s">
        <v>12</v>
      </c>
      <c r="B6" s="18" t="s">
        <v>17</v>
      </c>
      <c r="C6">
        <v>194</v>
      </c>
    </row>
    <row r="7" spans="1:3" ht="15.75" customHeight="1">
      <c r="A7" s="21" t="s">
        <v>12</v>
      </c>
      <c r="B7" s="18" t="s">
        <v>18</v>
      </c>
      <c r="C7">
        <v>153</v>
      </c>
    </row>
    <row r="8" spans="1:3" ht="15.75" customHeight="1">
      <c r="A8" s="14" t="s">
        <v>12</v>
      </c>
      <c r="B8" s="12" t="s">
        <v>43</v>
      </c>
      <c r="C8">
        <v>82</v>
      </c>
    </row>
    <row r="9" spans="1:3" ht="15.75" customHeight="1">
      <c r="A9" s="21" t="s">
        <v>12</v>
      </c>
      <c r="B9" s="18" t="s">
        <v>19</v>
      </c>
      <c r="C9">
        <v>47</v>
      </c>
    </row>
    <row r="10" spans="1:3" ht="15.75" customHeight="1">
      <c r="A10" s="14" t="s">
        <v>12</v>
      </c>
      <c r="B10" s="12" t="s">
        <v>20</v>
      </c>
      <c r="C10">
        <v>43</v>
      </c>
    </row>
    <row r="11" spans="1:3" ht="15.75" customHeight="1">
      <c r="A11" s="21" t="s">
        <v>12</v>
      </c>
      <c r="B11" s="18" t="s">
        <v>21</v>
      </c>
      <c r="C11">
        <v>43</v>
      </c>
    </row>
    <row r="12" spans="1:3" ht="15.75" customHeight="1">
      <c r="A12" s="21" t="s">
        <v>12</v>
      </c>
      <c r="B12" s="18" t="s">
        <v>22</v>
      </c>
      <c r="C12">
        <v>39</v>
      </c>
    </row>
    <row r="13" spans="1:3" ht="15.75" customHeight="1">
      <c r="A13" s="21" t="s">
        <v>12</v>
      </c>
      <c r="B13" s="18" t="s">
        <v>23</v>
      </c>
      <c r="C13">
        <v>27</v>
      </c>
    </row>
    <row r="14" spans="1:3" ht="15.75" customHeight="1">
      <c r="A14" s="20" t="s">
        <v>12</v>
      </c>
      <c r="B14" s="19" t="s">
        <v>42</v>
      </c>
      <c r="C14">
        <v>25.18</v>
      </c>
    </row>
    <row r="15" spans="1:3" ht="15.75" customHeight="1">
      <c r="A15" s="21" t="s">
        <v>12</v>
      </c>
      <c r="B15" s="18" t="s">
        <v>24</v>
      </c>
      <c r="C15">
        <v>18</v>
      </c>
    </row>
    <row r="16" spans="1:3" ht="15.75" customHeight="1">
      <c r="A16" s="20" t="s">
        <v>12</v>
      </c>
      <c r="B16" s="19" t="s">
        <v>25</v>
      </c>
      <c r="C16">
        <v>15</v>
      </c>
    </row>
    <row r="17" spans="1:3" ht="15.75" customHeight="1">
      <c r="A17" s="21" t="s">
        <v>12</v>
      </c>
      <c r="B17" s="18" t="s">
        <v>26</v>
      </c>
      <c r="C17">
        <v>12</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40AE0-F00F-4624-8763-38FF0477F9EB}">
  <sheetPr>
    <outlinePr summaryBelow="0" summaryRight="0"/>
  </sheetPr>
  <dimension ref="A1:I18"/>
  <sheetViews>
    <sheetView workbookViewId="0">
      <selection sqref="A1:E17"/>
    </sheetView>
  </sheetViews>
  <sheetFormatPr defaultColWidth="12.6640625" defaultRowHeight="15.75" customHeight="1"/>
  <cols>
    <col min="1" max="1" width="17.44140625" customWidth="1"/>
    <col min="2" max="2" width="16" bestFit="1" customWidth="1"/>
    <col min="3" max="3" width="18" customWidth="1"/>
    <col min="4" max="4" width="11.33203125" bestFit="1" customWidth="1"/>
    <col min="5" max="5" width="14.21875" bestFit="1" customWidth="1"/>
    <col min="6" max="6" width="14.21875" customWidth="1"/>
  </cols>
  <sheetData>
    <row r="1" spans="1:9" ht="15.75" customHeight="1">
      <c r="A1" s="20" t="s">
        <v>41</v>
      </c>
      <c r="B1" s="20" t="s">
        <v>10</v>
      </c>
      <c r="C1" s="20" t="s">
        <v>11</v>
      </c>
      <c r="D1" s="24" t="s">
        <v>27</v>
      </c>
      <c r="E1" s="24" t="s">
        <v>28</v>
      </c>
      <c r="F1" s="24"/>
      <c r="H1" s="5"/>
      <c r="I1" s="5"/>
    </row>
    <row r="2" spans="1:9" ht="15.75" customHeight="1">
      <c r="A2" s="21" t="s">
        <v>12</v>
      </c>
      <c r="B2" s="18" t="s">
        <v>13</v>
      </c>
      <c r="C2">
        <v>1582</v>
      </c>
      <c r="D2" s="18">
        <f t="shared" ref="D2:D17" si="0">ROUND((C2/$C$18)*100,2)</f>
        <v>40.97</v>
      </c>
      <c r="E2" s="18">
        <f t="shared" ref="E2" si="1">D2</f>
        <v>40.97</v>
      </c>
      <c r="F2" s="18"/>
      <c r="H2" s="6"/>
      <c r="I2" s="6"/>
    </row>
    <row r="3" spans="1:9" ht="15.75" customHeight="1">
      <c r="A3" s="21" t="s">
        <v>12</v>
      </c>
      <c r="B3" s="18" t="s">
        <v>14</v>
      </c>
      <c r="C3">
        <v>974</v>
      </c>
      <c r="D3" s="18">
        <f t="shared" si="0"/>
        <v>25.23</v>
      </c>
      <c r="E3" s="18">
        <f>D3+E2</f>
        <v>66.2</v>
      </c>
      <c r="F3" s="18"/>
      <c r="H3" s="6"/>
      <c r="I3" s="6"/>
    </row>
    <row r="4" spans="1:9" ht="15.75" customHeight="1">
      <c r="A4" s="14" t="s">
        <v>12</v>
      </c>
      <c r="B4" s="12" t="s">
        <v>15</v>
      </c>
      <c r="C4">
        <v>394</v>
      </c>
      <c r="D4" s="18">
        <f t="shared" si="0"/>
        <v>10.199999999999999</v>
      </c>
      <c r="E4" s="18">
        <f t="shared" ref="E4:E17" si="2">D4+E3</f>
        <v>76.400000000000006</v>
      </c>
      <c r="F4" s="18"/>
      <c r="H4" s="6"/>
      <c r="I4" s="6"/>
    </row>
    <row r="5" spans="1:9" ht="15.75" customHeight="1">
      <c r="A5" s="21" t="s">
        <v>12</v>
      </c>
      <c r="B5" s="18" t="s">
        <v>16</v>
      </c>
      <c r="C5">
        <v>213</v>
      </c>
      <c r="D5" s="18">
        <f t="shared" si="0"/>
        <v>5.52</v>
      </c>
      <c r="E5" s="18">
        <f t="shared" si="2"/>
        <v>81.92</v>
      </c>
      <c r="F5" s="18"/>
      <c r="H5" s="6"/>
      <c r="I5" s="6"/>
    </row>
    <row r="6" spans="1:9" ht="15.75" customHeight="1">
      <c r="A6" s="21" t="s">
        <v>12</v>
      </c>
      <c r="B6" s="18" t="s">
        <v>17</v>
      </c>
      <c r="C6">
        <v>194</v>
      </c>
      <c r="D6" s="18">
        <f t="shared" si="0"/>
        <v>5.0199999999999996</v>
      </c>
      <c r="E6" s="18">
        <f t="shared" si="2"/>
        <v>86.94</v>
      </c>
      <c r="F6" s="18"/>
      <c r="H6" s="6"/>
      <c r="I6" s="6"/>
    </row>
    <row r="7" spans="1:9" ht="15.75" customHeight="1">
      <c r="A7" s="21" t="s">
        <v>12</v>
      </c>
      <c r="B7" s="18" t="s">
        <v>18</v>
      </c>
      <c r="C7">
        <v>153</v>
      </c>
      <c r="D7" s="18">
        <f t="shared" si="0"/>
        <v>3.96</v>
      </c>
      <c r="E7" s="18">
        <f t="shared" si="2"/>
        <v>90.899999999999991</v>
      </c>
      <c r="F7" s="18"/>
      <c r="H7" s="6"/>
      <c r="I7" s="6"/>
    </row>
    <row r="8" spans="1:9" ht="15.75" customHeight="1">
      <c r="A8" s="14" t="s">
        <v>12</v>
      </c>
      <c r="B8" s="12" t="s">
        <v>43</v>
      </c>
      <c r="C8">
        <v>82</v>
      </c>
      <c r="D8" s="18">
        <f t="shared" si="0"/>
        <v>2.12</v>
      </c>
      <c r="E8" s="18">
        <f t="shared" si="2"/>
        <v>93.02</v>
      </c>
      <c r="F8" s="18"/>
      <c r="H8" s="6"/>
      <c r="I8" s="6"/>
    </row>
    <row r="9" spans="1:9" ht="15.75" customHeight="1">
      <c r="A9" s="21" t="s">
        <v>12</v>
      </c>
      <c r="B9" s="18" t="s">
        <v>19</v>
      </c>
      <c r="C9">
        <v>47</v>
      </c>
      <c r="D9" s="18">
        <f t="shared" si="0"/>
        <v>1.22</v>
      </c>
      <c r="E9" s="18">
        <f t="shared" si="2"/>
        <v>94.24</v>
      </c>
      <c r="F9" s="18"/>
      <c r="H9" s="6"/>
      <c r="I9" s="6"/>
    </row>
    <row r="10" spans="1:9" ht="15.75" customHeight="1">
      <c r="A10" s="14" t="s">
        <v>12</v>
      </c>
      <c r="B10" s="12" t="s">
        <v>20</v>
      </c>
      <c r="C10">
        <v>43</v>
      </c>
      <c r="D10" s="18">
        <f t="shared" si="0"/>
        <v>1.1100000000000001</v>
      </c>
      <c r="E10" s="18">
        <f t="shared" si="2"/>
        <v>95.35</v>
      </c>
      <c r="F10" s="18"/>
      <c r="H10" s="6"/>
      <c r="I10" s="6"/>
    </row>
    <row r="11" spans="1:9" ht="15.75" customHeight="1">
      <c r="A11" s="21" t="s">
        <v>12</v>
      </c>
      <c r="B11" s="18" t="s">
        <v>21</v>
      </c>
      <c r="C11">
        <v>43</v>
      </c>
      <c r="D11" s="18">
        <f t="shared" si="0"/>
        <v>1.1100000000000001</v>
      </c>
      <c r="E11" s="18">
        <f t="shared" si="2"/>
        <v>96.46</v>
      </c>
      <c r="F11" s="18"/>
      <c r="H11" s="6"/>
      <c r="I11" s="6"/>
    </row>
    <row r="12" spans="1:9" ht="15.75" customHeight="1">
      <c r="A12" s="21" t="s">
        <v>12</v>
      </c>
      <c r="B12" s="18" t="s">
        <v>22</v>
      </c>
      <c r="C12">
        <v>39</v>
      </c>
      <c r="D12" s="18">
        <f t="shared" si="0"/>
        <v>1.01</v>
      </c>
      <c r="E12" s="18">
        <f t="shared" si="2"/>
        <v>97.47</v>
      </c>
      <c r="F12" s="18"/>
      <c r="H12" s="6"/>
      <c r="I12" s="6"/>
    </row>
    <row r="13" spans="1:9" ht="15.75" customHeight="1">
      <c r="A13" s="21" t="s">
        <v>12</v>
      </c>
      <c r="B13" s="18" t="s">
        <v>23</v>
      </c>
      <c r="C13">
        <v>27</v>
      </c>
      <c r="D13" s="18">
        <f t="shared" si="0"/>
        <v>0.7</v>
      </c>
      <c r="E13" s="18">
        <f t="shared" si="2"/>
        <v>98.17</v>
      </c>
      <c r="F13" s="18"/>
      <c r="H13" s="6"/>
      <c r="I13" s="6"/>
    </row>
    <row r="14" spans="1:9" ht="15.75" customHeight="1">
      <c r="A14" s="20" t="s">
        <v>12</v>
      </c>
      <c r="B14" s="19" t="s">
        <v>42</v>
      </c>
      <c r="C14">
        <v>25.18</v>
      </c>
      <c r="D14" s="18">
        <f t="shared" si="0"/>
        <v>0.65</v>
      </c>
      <c r="E14" s="18">
        <f t="shared" si="2"/>
        <v>98.820000000000007</v>
      </c>
      <c r="F14" s="18"/>
      <c r="H14" s="6"/>
      <c r="I14" s="6"/>
    </row>
    <row r="15" spans="1:9" ht="15.75" customHeight="1">
      <c r="A15" s="21" t="s">
        <v>12</v>
      </c>
      <c r="B15" s="18" t="s">
        <v>24</v>
      </c>
      <c r="C15">
        <v>18</v>
      </c>
      <c r="D15" s="18">
        <f t="shared" si="0"/>
        <v>0.47</v>
      </c>
      <c r="E15" s="18">
        <f>D15+E14</f>
        <v>99.29</v>
      </c>
      <c r="F15" s="18"/>
      <c r="H15" s="6"/>
      <c r="I15" s="6"/>
    </row>
    <row r="16" spans="1:9" ht="15.75" customHeight="1">
      <c r="A16" s="20" t="s">
        <v>12</v>
      </c>
      <c r="B16" s="19" t="s">
        <v>25</v>
      </c>
      <c r="C16">
        <v>15</v>
      </c>
      <c r="D16" s="18">
        <f t="shared" si="0"/>
        <v>0.39</v>
      </c>
      <c r="E16" s="18">
        <f t="shared" si="2"/>
        <v>99.68</v>
      </c>
      <c r="F16" s="18"/>
      <c r="H16" s="6"/>
      <c r="I16" s="6"/>
    </row>
    <row r="17" spans="1:9" ht="15.75" customHeight="1">
      <c r="A17" s="21" t="s">
        <v>12</v>
      </c>
      <c r="B17" s="18" t="s">
        <v>26</v>
      </c>
      <c r="C17">
        <v>12</v>
      </c>
      <c r="D17" s="18">
        <f t="shared" si="0"/>
        <v>0.31</v>
      </c>
      <c r="E17" s="18">
        <f t="shared" si="2"/>
        <v>99.990000000000009</v>
      </c>
      <c r="F17" s="18"/>
      <c r="H17" s="7"/>
      <c r="I17" s="7"/>
    </row>
    <row r="18" spans="1:9" ht="15.75" customHeight="1">
      <c r="B18" s="17" t="s">
        <v>8</v>
      </c>
      <c r="C18">
        <f>SUM(causes_of_death_in_1864_dublin1415[Number of Deaths])</f>
        <v>3861.18</v>
      </c>
      <c r="D18">
        <f>SUM(causes_of_death_in_1864_dublin1415[% of Total])</f>
        <v>99.990000000000009</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S17"/>
  <sheetViews>
    <sheetView showGridLines="0" workbookViewId="0">
      <selection activeCell="L1" sqref="L1:N17"/>
    </sheetView>
  </sheetViews>
  <sheetFormatPr defaultColWidth="12.6640625" defaultRowHeight="15.75" customHeight="1"/>
  <cols>
    <col min="1" max="1" width="21.5546875" bestFit="1" customWidth="1"/>
    <col min="2" max="2" width="7.21875" bestFit="1" customWidth="1"/>
    <col min="3" max="3" width="8.5546875" bestFit="1" customWidth="1"/>
    <col min="4" max="4" width="9.33203125" bestFit="1" customWidth="1"/>
    <col min="5" max="5" width="16.44140625" bestFit="1" customWidth="1"/>
    <col min="6" max="6" width="8" customWidth="1"/>
    <col min="7" max="7" width="21.5546875" bestFit="1" customWidth="1"/>
    <col min="8" max="9" width="7.21875" bestFit="1" customWidth="1"/>
    <col min="10" max="10" width="8.88671875" bestFit="1" customWidth="1"/>
    <col min="11" max="11" width="7.21875" bestFit="1" customWidth="1"/>
    <col min="12" max="12" width="19.5546875" bestFit="1" customWidth="1"/>
    <col min="13" max="13" width="15.33203125" bestFit="1" customWidth="1"/>
    <col min="14" max="14" width="18" bestFit="1" customWidth="1"/>
    <col min="15" max="15" width="14.33203125" customWidth="1"/>
    <col min="16" max="16" width="12.109375" bestFit="1" customWidth="1"/>
    <col min="17" max="17" width="19.5546875" bestFit="1" customWidth="1"/>
    <col min="18" max="18" width="15.109375" bestFit="1" customWidth="1"/>
    <col min="19" max="19" width="15.77734375" bestFit="1" customWidth="1"/>
  </cols>
  <sheetData>
    <row r="1" spans="1:19" ht="13.2">
      <c r="A1" t="s">
        <v>2</v>
      </c>
      <c r="B1" t="s">
        <v>1</v>
      </c>
      <c r="C1" t="s">
        <v>3</v>
      </c>
      <c r="D1" t="s">
        <v>4</v>
      </c>
      <c r="E1" s="17" t="s">
        <v>29</v>
      </c>
      <c r="F1" s="8"/>
      <c r="G1" s="13" t="s">
        <v>2</v>
      </c>
      <c r="H1" s="13" t="s">
        <v>39</v>
      </c>
      <c r="I1" s="13" t="s">
        <v>40</v>
      </c>
      <c r="J1" s="13" t="s">
        <v>29</v>
      </c>
      <c r="K1" s="9"/>
      <c r="L1" s="20" t="s">
        <v>41</v>
      </c>
      <c r="M1" s="20" t="s">
        <v>10</v>
      </c>
      <c r="N1" s="20" t="s">
        <v>11</v>
      </c>
      <c r="O1" s="8"/>
      <c r="P1" s="10"/>
      <c r="Q1" s="10"/>
      <c r="R1" s="10"/>
      <c r="S1" s="10"/>
    </row>
    <row r="2" spans="1:19" ht="13.2">
      <c r="A2" t="s">
        <v>5</v>
      </c>
      <c r="B2">
        <v>1823</v>
      </c>
      <c r="C2">
        <v>2872</v>
      </c>
      <c r="D2">
        <v>214</v>
      </c>
      <c r="E2" s="17" t="s">
        <v>38</v>
      </c>
      <c r="F2" s="8"/>
      <c r="G2" s="18" t="s">
        <v>6</v>
      </c>
      <c r="H2">
        <v>2584</v>
      </c>
      <c r="I2">
        <v>2446</v>
      </c>
      <c r="J2" s="18">
        <v>6.6</v>
      </c>
      <c r="K2" s="9"/>
      <c r="L2" s="20" t="s">
        <v>12</v>
      </c>
      <c r="M2" s="19" t="s">
        <v>42</v>
      </c>
      <c r="N2">
        <v>25.18</v>
      </c>
      <c r="O2" s="8"/>
      <c r="P2" s="10"/>
      <c r="Q2" s="10"/>
      <c r="R2" s="11"/>
      <c r="S2" s="12"/>
    </row>
    <row r="3" spans="1:19" ht="13.2">
      <c r="A3" t="s">
        <v>6</v>
      </c>
      <c r="B3">
        <v>1823</v>
      </c>
      <c r="C3">
        <v>2584</v>
      </c>
      <c r="D3">
        <v>59</v>
      </c>
      <c r="E3" s="17" t="s">
        <v>38</v>
      </c>
      <c r="F3" s="8"/>
      <c r="G3" s="18" t="s">
        <v>5</v>
      </c>
      <c r="H3">
        <v>2872</v>
      </c>
      <c r="I3">
        <v>2911</v>
      </c>
      <c r="J3" s="18">
        <v>6.6</v>
      </c>
      <c r="K3" s="9"/>
      <c r="L3" s="20" t="s">
        <v>12</v>
      </c>
      <c r="M3" s="19" t="s">
        <v>25</v>
      </c>
      <c r="N3">
        <v>15</v>
      </c>
      <c r="O3" s="8"/>
      <c r="P3" s="10"/>
      <c r="Q3" s="10"/>
      <c r="R3" s="11"/>
      <c r="S3" s="12"/>
    </row>
    <row r="4" spans="1:19" ht="13.2">
      <c r="F4" s="8"/>
      <c r="G4" s="8"/>
      <c r="H4" s="8"/>
      <c r="I4" s="8"/>
      <c r="J4" s="8"/>
      <c r="K4" s="13"/>
      <c r="L4" s="21" t="s">
        <v>12</v>
      </c>
      <c r="M4" s="18" t="s">
        <v>18</v>
      </c>
      <c r="N4">
        <v>153</v>
      </c>
      <c r="O4" s="8"/>
      <c r="P4" s="10"/>
      <c r="Q4" s="10"/>
      <c r="R4" s="11"/>
      <c r="S4" s="12"/>
    </row>
    <row r="5" spans="1:19" ht="13.2">
      <c r="F5" s="12"/>
      <c r="G5" s="12"/>
      <c r="H5" s="12"/>
      <c r="I5" s="12"/>
      <c r="J5" s="12"/>
      <c r="K5" s="14"/>
      <c r="L5" s="14" t="s">
        <v>12</v>
      </c>
      <c r="M5" s="12" t="s">
        <v>20</v>
      </c>
      <c r="N5">
        <v>43</v>
      </c>
      <c r="O5" s="12"/>
      <c r="P5" s="10"/>
      <c r="Q5" s="10"/>
      <c r="R5" s="11"/>
      <c r="S5" s="12"/>
    </row>
    <row r="6" spans="1:19" ht="13.2">
      <c r="F6" s="15"/>
      <c r="G6" s="15"/>
      <c r="H6" s="15"/>
      <c r="I6" s="15"/>
      <c r="J6" s="15"/>
      <c r="K6" s="16"/>
      <c r="L6" s="14" t="s">
        <v>12</v>
      </c>
      <c r="M6" s="12" t="s">
        <v>43</v>
      </c>
      <c r="N6">
        <v>82</v>
      </c>
      <c r="O6" s="15"/>
      <c r="P6" s="10"/>
      <c r="Q6" s="10"/>
      <c r="R6" s="11"/>
      <c r="S6" s="12"/>
    </row>
    <row r="7" spans="1:19" ht="13.2">
      <c r="F7" s="15"/>
      <c r="G7" s="15"/>
      <c r="H7" s="15"/>
      <c r="I7" s="15"/>
      <c r="J7" s="15"/>
      <c r="K7" s="16"/>
      <c r="L7" s="14" t="s">
        <v>12</v>
      </c>
      <c r="M7" s="12" t="s">
        <v>15</v>
      </c>
      <c r="N7">
        <v>394</v>
      </c>
      <c r="O7" s="15"/>
      <c r="P7" s="10"/>
      <c r="Q7" s="10"/>
      <c r="R7" s="11"/>
      <c r="S7" s="12"/>
    </row>
    <row r="8" spans="1:19" ht="13.2">
      <c r="F8" s="8"/>
      <c r="G8" s="8"/>
      <c r="H8" s="8"/>
      <c r="I8" s="8"/>
      <c r="J8" s="8"/>
      <c r="K8" s="13"/>
      <c r="L8" s="21" t="s">
        <v>12</v>
      </c>
      <c r="M8" s="18" t="s">
        <v>22</v>
      </c>
      <c r="N8">
        <v>39</v>
      </c>
      <c r="O8" s="8"/>
      <c r="P8" s="10"/>
      <c r="Q8" s="10"/>
      <c r="R8" s="11"/>
      <c r="S8" s="12"/>
    </row>
    <row r="9" spans="1:19" ht="13.2">
      <c r="F9" s="8"/>
      <c r="G9" s="8"/>
      <c r="H9" s="8"/>
      <c r="I9" s="8"/>
      <c r="J9" s="8"/>
      <c r="K9" s="13"/>
      <c r="L9" s="21" t="s">
        <v>12</v>
      </c>
      <c r="M9" s="18" t="s">
        <v>21</v>
      </c>
      <c r="N9">
        <v>43</v>
      </c>
      <c r="O9" s="8"/>
      <c r="P9" s="10"/>
      <c r="Q9" s="10"/>
      <c r="R9" s="11"/>
      <c r="S9" s="12"/>
    </row>
    <row r="10" spans="1:19" ht="13.2">
      <c r="F10" s="8"/>
      <c r="G10" s="8"/>
      <c r="H10" s="8"/>
      <c r="I10" s="8"/>
      <c r="J10" s="8"/>
      <c r="K10" s="13"/>
      <c r="L10" s="21" t="s">
        <v>12</v>
      </c>
      <c r="M10" s="18" t="s">
        <v>24</v>
      </c>
      <c r="N10">
        <v>18</v>
      </c>
      <c r="O10" s="8"/>
      <c r="P10" s="10"/>
      <c r="Q10" s="10"/>
      <c r="R10" s="11"/>
      <c r="S10" s="12"/>
    </row>
    <row r="11" spans="1:19" ht="13.2">
      <c r="F11" s="8"/>
      <c r="G11" s="8"/>
      <c r="H11" s="8"/>
      <c r="I11" s="8"/>
      <c r="J11" s="8"/>
      <c r="K11" s="13"/>
      <c r="L11" s="21" t="s">
        <v>12</v>
      </c>
      <c r="M11" s="18" t="s">
        <v>23</v>
      </c>
      <c r="N11">
        <v>27</v>
      </c>
      <c r="O11" s="8"/>
      <c r="P11" s="10"/>
      <c r="Q11" s="10"/>
      <c r="R11" s="11"/>
      <c r="S11" s="12"/>
    </row>
    <row r="12" spans="1:19" ht="13.2">
      <c r="F12" s="8"/>
      <c r="G12" s="8"/>
      <c r="H12" s="8"/>
      <c r="I12" s="8"/>
      <c r="J12" s="8"/>
      <c r="K12" s="13"/>
      <c r="L12" s="21" t="s">
        <v>12</v>
      </c>
      <c r="M12" s="18" t="s">
        <v>19</v>
      </c>
      <c r="N12">
        <v>47</v>
      </c>
      <c r="O12" s="8"/>
      <c r="P12" s="10"/>
      <c r="Q12" s="10"/>
      <c r="R12" s="10"/>
      <c r="S12" s="12"/>
    </row>
    <row r="13" spans="1:19" ht="13.2">
      <c r="F13" s="8"/>
      <c r="G13" s="8"/>
      <c r="H13" s="8"/>
      <c r="I13" s="8"/>
      <c r="J13" s="8"/>
      <c r="K13" s="13"/>
      <c r="L13" s="21" t="s">
        <v>12</v>
      </c>
      <c r="M13" s="18" t="s">
        <v>16</v>
      </c>
      <c r="N13">
        <v>213</v>
      </c>
      <c r="O13" s="8"/>
      <c r="P13" s="10"/>
      <c r="Q13" s="10"/>
      <c r="R13" s="10"/>
      <c r="S13" s="12"/>
    </row>
    <row r="14" spans="1:19" ht="13.2">
      <c r="F14" s="8"/>
      <c r="G14" s="8"/>
      <c r="H14" s="8"/>
      <c r="I14" s="8"/>
      <c r="J14" s="8"/>
      <c r="K14" s="13"/>
      <c r="L14" s="21" t="s">
        <v>12</v>
      </c>
      <c r="M14" s="18" t="s">
        <v>26</v>
      </c>
      <c r="N14">
        <v>12</v>
      </c>
      <c r="O14" s="8"/>
      <c r="P14" s="10"/>
      <c r="Q14" s="10"/>
      <c r="R14" s="10"/>
      <c r="S14" s="12"/>
    </row>
    <row r="15" spans="1:19" ht="13.2">
      <c r="F15" s="8"/>
      <c r="G15" s="8"/>
      <c r="H15" s="8"/>
      <c r="I15" s="8"/>
      <c r="J15" s="8"/>
      <c r="K15" s="13"/>
      <c r="L15" s="21" t="s">
        <v>12</v>
      </c>
      <c r="M15" s="18" t="s">
        <v>14</v>
      </c>
      <c r="N15">
        <v>974</v>
      </c>
      <c r="O15" s="8"/>
      <c r="P15" s="10"/>
      <c r="Q15" s="10"/>
      <c r="R15" s="10"/>
      <c r="S15" s="12"/>
    </row>
    <row r="16" spans="1:19" ht="13.2">
      <c r="F16" s="8"/>
      <c r="G16" s="8"/>
      <c r="H16" s="8"/>
      <c r="I16" s="8"/>
      <c r="J16" s="8"/>
      <c r="K16" s="13"/>
      <c r="L16" s="21" t="s">
        <v>12</v>
      </c>
      <c r="M16" s="18" t="s">
        <v>13</v>
      </c>
      <c r="N16">
        <v>1582</v>
      </c>
      <c r="O16" s="8"/>
      <c r="P16" s="10"/>
      <c r="Q16" s="10"/>
      <c r="R16" s="10"/>
      <c r="S16" s="12"/>
    </row>
    <row r="17" spans="6:19" ht="13.2">
      <c r="F17" s="8"/>
      <c r="G17" s="8"/>
      <c r="H17" s="8"/>
      <c r="I17" s="8"/>
      <c r="J17" s="8"/>
      <c r="K17" s="13"/>
      <c r="L17" s="21" t="s">
        <v>12</v>
      </c>
      <c r="M17" s="18" t="s">
        <v>17</v>
      </c>
      <c r="N17">
        <v>194</v>
      </c>
      <c r="O17" s="8"/>
      <c r="P17" s="10"/>
      <c r="Q17" s="10"/>
      <c r="R17" s="10"/>
      <c r="S17" s="12"/>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B88EB1-5FEB-4664-9798-30BC537C61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Fig 6.1. Bar chart by hospital</vt:lpstr>
      <vt:lpstr>Fig 6.2. Births &amp; Deaths</vt:lpstr>
      <vt:lpstr>Fig 6.3. Stacked bar chart</vt:lpstr>
      <vt:lpstr>Fig 6.4. Pie chart</vt:lpstr>
      <vt:lpstr>Fig 6.5. Bar chart of deaths</vt:lpstr>
      <vt:lpstr>Fig 6.6. Deviation chart</vt:lpstr>
      <vt:lpstr>Fig 6.7. Pareto chart</vt:lpstr>
      <vt:lpstr>Fig 6.8. Cumulative % curve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2026-05-07T16:27:51Z</dcterms:modified>
</cp:coreProperties>
</file>