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2.xml" ContentType="application/vnd.openxmlformats-officedocument.themeOverride+xml"/>
  <Override PartName="/xl/drawings/drawing3.xml" ContentType="application/vnd.openxmlformats-officedocument.drawing+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3.xml" ContentType="application/vnd.openxmlformats-officedocument.themeOverrid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4.xml" ContentType="application/vnd.openxmlformats-officedocument.themeOverrid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5.xml" ContentType="application/vnd.openxmlformats-officedocument.themeOverrid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heme/themeOverride6.xml" ContentType="application/vnd.openxmlformats-officedocument.themeOverride+xml"/>
  <Override PartName="/xl/drawings/drawing4.xml" ContentType="application/vnd.openxmlformats-officedocument.drawing+xml"/>
  <Override PartName="/xl/tables/table4.xml" ContentType="application/vnd.openxmlformats-officedocument.spreadsheetml.table+xml"/>
  <Override PartName="/xl/queryTables/queryTable4.xml" ContentType="application/vnd.openxmlformats-officedocument.spreadsheetml.queryTab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heme/themeOverride7.xml" ContentType="application/vnd.openxmlformats-officedocument.themeOverrid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heme/themeOverride8.xml" ContentType="application/vnd.openxmlformats-officedocument.themeOverride+xml"/>
  <Override PartName="/xl/tables/table5.xml" ContentType="application/vnd.openxmlformats-officedocument.spreadsheetml.table+xml"/>
  <Override PartName="/xl/queryTables/queryTable5.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james\OneDrive\Documents\GitHub\the-virus-of-variation\excel_files_2\"/>
    </mc:Choice>
  </mc:AlternateContent>
  <xr:revisionPtr revIDLastSave="0" documentId="13_ncr:1_{DBA2A330-E8A8-40FF-B8C8-A98DB54634F5}" xr6:coauthVersionLast="47" xr6:coauthVersionMax="47" xr10:uidLastSave="{00000000-0000-0000-0000-000000000000}"/>
  <bookViews>
    <workbookView xWindow="-105" yWindow="-16200" windowWidth="14610" windowHeight="15585" xr2:uid="{00000000-000D-0000-FFFF-FFFF00000000}"/>
  </bookViews>
  <sheets>
    <sheet name="Overview" sheetId="1" r:id="rId1"/>
    <sheet name="Fig 14.1 &amp; 14.2 XmR chart" sheetId="2" r:id="rId2"/>
    <sheet name="Fig 14.3. Before &amp; After" sheetId="7" r:id="rId3"/>
    <sheet name="Fig 14.4. After-handwashing" sheetId="8" r:id="rId4"/>
    <sheet name="Data" sheetId="5" r:id="rId5"/>
  </sheets>
  <definedNames>
    <definedName name="ExternalData_1" localSheetId="4" hidden="1">Data!$A$1:$H$100</definedName>
    <definedName name="ExternalData_1" localSheetId="1" hidden="1">'Fig 14.1 &amp; 14.2 XmR chart'!$A$1:$C$100</definedName>
    <definedName name="ExternalData_1" localSheetId="2" hidden="1">'Fig 14.3. Before &amp; After'!$A$1:$D$78</definedName>
    <definedName name="ExternalData_1" localSheetId="3" hidden="1">'Fig 14.4. After-handwashing'!#REF!</definedName>
    <definedName name="ExternalData_2" localSheetId="2" hidden="1">'Fig 14.3. Before &amp; After'!$A$80:$D$102</definedName>
    <definedName name="ExternalData_2" localSheetId="3" hidden="1">'Fig 14.4. After-handwashing'!$A$1:$D$23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3" i="8" l="1"/>
  <c r="E23" i="8"/>
  <c r="H22" i="8"/>
  <c r="E22" i="8"/>
  <c r="H21" i="8"/>
  <c r="E21" i="8"/>
  <c r="H20" i="8"/>
  <c r="E20" i="8"/>
  <c r="H19" i="8"/>
  <c r="E19" i="8"/>
  <c r="H18" i="8"/>
  <c r="E18" i="8"/>
  <c r="H17" i="8"/>
  <c r="E17" i="8"/>
  <c r="H16" i="8"/>
  <c r="E16" i="8"/>
  <c r="H15" i="8"/>
  <c r="E15" i="8"/>
  <c r="H14" i="8"/>
  <c r="E14" i="8"/>
  <c r="H13" i="8"/>
  <c r="E13" i="8"/>
  <c r="H12" i="8"/>
  <c r="E12" i="8"/>
  <c r="H11" i="8"/>
  <c r="E11" i="8"/>
  <c r="H10" i="8"/>
  <c r="E10" i="8"/>
  <c r="H9" i="8"/>
  <c r="E9" i="8"/>
  <c r="H8" i="8"/>
  <c r="E8" i="8"/>
  <c r="H7" i="8"/>
  <c r="E7" i="8"/>
  <c r="H6" i="8"/>
  <c r="E6" i="8"/>
  <c r="H5" i="8"/>
  <c r="E5" i="8"/>
  <c r="H4" i="8"/>
  <c r="E4" i="8"/>
  <c r="H3" i="8"/>
  <c r="I2" i="8" s="1"/>
  <c r="J2" i="8" s="1"/>
  <c r="E3" i="8"/>
  <c r="E2" i="8"/>
  <c r="G2" i="7"/>
  <c r="G3" i="7"/>
  <c r="G4" i="7"/>
  <c r="G5" i="7"/>
  <c r="G6" i="7"/>
  <c r="G7" i="7"/>
  <c r="G8" i="7"/>
  <c r="G9" i="7"/>
  <c r="G10" i="7"/>
  <c r="G11" i="7"/>
  <c r="G12" i="7"/>
  <c r="G13" i="7"/>
  <c r="G14" i="7"/>
  <c r="G15" i="7"/>
  <c r="G16" i="7"/>
  <c r="G17" i="7"/>
  <c r="G18" i="7"/>
  <c r="G19" i="7"/>
  <c r="G20" i="7"/>
  <c r="G21" i="7"/>
  <c r="G22" i="7"/>
  <c r="G23" i="7"/>
  <c r="G24" i="7"/>
  <c r="G25" i="7"/>
  <c r="G26" i="7"/>
  <c r="G27" i="7"/>
  <c r="G28" i="7"/>
  <c r="G29" i="7"/>
  <c r="G30" i="7"/>
  <c r="G31" i="7"/>
  <c r="G32" i="7"/>
  <c r="G33" i="7"/>
  <c r="G34" i="7"/>
  <c r="G35" i="7"/>
  <c r="G36" i="7"/>
  <c r="G37" i="7"/>
  <c r="G38" i="7"/>
  <c r="G39" i="7"/>
  <c r="G40" i="7"/>
  <c r="G41" i="7"/>
  <c r="G42" i="7"/>
  <c r="G43" i="7"/>
  <c r="G44" i="7"/>
  <c r="G45" i="7"/>
  <c r="G46" i="7"/>
  <c r="G47" i="7"/>
  <c r="G48" i="7"/>
  <c r="G49" i="7"/>
  <c r="G50" i="7"/>
  <c r="G51" i="7"/>
  <c r="G52" i="7"/>
  <c r="G53" i="7"/>
  <c r="G54" i="7"/>
  <c r="G55" i="7"/>
  <c r="G56" i="7"/>
  <c r="G57" i="7"/>
  <c r="G58" i="7"/>
  <c r="G59" i="7"/>
  <c r="G60" i="7"/>
  <c r="G61" i="7"/>
  <c r="G62" i="7"/>
  <c r="G63" i="7"/>
  <c r="G64" i="7"/>
  <c r="G65" i="7"/>
  <c r="G66" i="7"/>
  <c r="G67" i="7"/>
  <c r="G68" i="7"/>
  <c r="G69" i="7"/>
  <c r="G70" i="7"/>
  <c r="G71" i="7"/>
  <c r="G72" i="7"/>
  <c r="G73" i="7"/>
  <c r="G74" i="7"/>
  <c r="G75" i="7"/>
  <c r="G76" i="7"/>
  <c r="G77" i="7"/>
  <c r="G78" i="7"/>
  <c r="F2" i="7"/>
  <c r="F3" i="7"/>
  <c r="F4" i="7"/>
  <c r="F5" i="7"/>
  <c r="F6" i="7"/>
  <c r="F7" i="7"/>
  <c r="F8" i="7"/>
  <c r="F9" i="7"/>
  <c r="F10" i="7"/>
  <c r="F11" i="7"/>
  <c r="F12" i="7"/>
  <c r="F13" i="7"/>
  <c r="F14" i="7"/>
  <c r="F15" i="7"/>
  <c r="F16" i="7"/>
  <c r="F17" i="7"/>
  <c r="F18" i="7"/>
  <c r="F19" i="7"/>
  <c r="F20" i="7"/>
  <c r="F21" i="7"/>
  <c r="F22" i="7"/>
  <c r="F23" i="7"/>
  <c r="F24" i="7"/>
  <c r="F25" i="7"/>
  <c r="F26" i="7"/>
  <c r="F27" i="7"/>
  <c r="F28" i="7"/>
  <c r="F29" i="7"/>
  <c r="F30" i="7"/>
  <c r="F31" i="7"/>
  <c r="F32" i="7"/>
  <c r="F33" i="7"/>
  <c r="F34" i="7"/>
  <c r="F35" i="7"/>
  <c r="F36" i="7"/>
  <c r="F37" i="7"/>
  <c r="F38" i="7"/>
  <c r="F39" i="7"/>
  <c r="F40" i="7"/>
  <c r="F41" i="7"/>
  <c r="F42" i="7"/>
  <c r="F43" i="7"/>
  <c r="F44" i="7"/>
  <c r="F45" i="7"/>
  <c r="F46" i="7"/>
  <c r="F47" i="7"/>
  <c r="F48" i="7"/>
  <c r="F49" i="7"/>
  <c r="F50" i="7"/>
  <c r="F51" i="7"/>
  <c r="F52" i="7"/>
  <c r="F53" i="7"/>
  <c r="F54" i="7"/>
  <c r="F55" i="7"/>
  <c r="F56" i="7"/>
  <c r="F57" i="7"/>
  <c r="F58" i="7"/>
  <c r="F59" i="7"/>
  <c r="F60" i="7"/>
  <c r="F61" i="7"/>
  <c r="F62" i="7"/>
  <c r="F63" i="7"/>
  <c r="F64" i="7"/>
  <c r="F65" i="7"/>
  <c r="F66" i="7"/>
  <c r="F67" i="7"/>
  <c r="F68" i="7"/>
  <c r="F69" i="7"/>
  <c r="F70" i="7"/>
  <c r="F71" i="7"/>
  <c r="F72" i="7"/>
  <c r="F73" i="7"/>
  <c r="F74" i="7"/>
  <c r="F75" i="7"/>
  <c r="F76" i="7"/>
  <c r="F77" i="7"/>
  <c r="F78" i="7"/>
  <c r="J2" i="7"/>
  <c r="J3" i="7"/>
  <c r="J4" i="7"/>
  <c r="J5" i="7"/>
  <c r="J6" i="7"/>
  <c r="J7" i="7"/>
  <c r="J8" i="7"/>
  <c r="J9" i="7"/>
  <c r="J10" i="7"/>
  <c r="J11" i="7"/>
  <c r="J12" i="7"/>
  <c r="J13" i="7"/>
  <c r="J14" i="7"/>
  <c r="J15" i="7"/>
  <c r="J16" i="7"/>
  <c r="J17" i="7"/>
  <c r="J18" i="7"/>
  <c r="J19" i="7"/>
  <c r="J20" i="7"/>
  <c r="J21" i="7"/>
  <c r="J22" i="7"/>
  <c r="J23" i="7"/>
  <c r="J24" i="7"/>
  <c r="J25" i="7"/>
  <c r="J26" i="7"/>
  <c r="J27" i="7"/>
  <c r="J28" i="7"/>
  <c r="J29" i="7"/>
  <c r="J30" i="7"/>
  <c r="J31" i="7"/>
  <c r="J32" i="7"/>
  <c r="J33" i="7"/>
  <c r="J34" i="7"/>
  <c r="J35" i="7"/>
  <c r="J36" i="7"/>
  <c r="J37" i="7"/>
  <c r="J38" i="7"/>
  <c r="J39" i="7"/>
  <c r="J40" i="7"/>
  <c r="J41" i="7"/>
  <c r="J42" i="7"/>
  <c r="J43" i="7"/>
  <c r="J44" i="7"/>
  <c r="J45" i="7"/>
  <c r="J46" i="7"/>
  <c r="J47" i="7"/>
  <c r="J48" i="7"/>
  <c r="J49" i="7"/>
  <c r="J50" i="7"/>
  <c r="J51" i="7"/>
  <c r="J52" i="7"/>
  <c r="J53" i="7"/>
  <c r="J54" i="7"/>
  <c r="J55" i="7"/>
  <c r="J56" i="7"/>
  <c r="J57" i="7"/>
  <c r="J58" i="7"/>
  <c r="J59" i="7"/>
  <c r="J60" i="7"/>
  <c r="J61" i="7"/>
  <c r="J62" i="7"/>
  <c r="J63" i="7"/>
  <c r="J64" i="7"/>
  <c r="J65" i="7"/>
  <c r="J66" i="7"/>
  <c r="J67" i="7"/>
  <c r="J68" i="7"/>
  <c r="J69" i="7"/>
  <c r="J70" i="7"/>
  <c r="J71" i="7"/>
  <c r="J72" i="7"/>
  <c r="J73" i="7"/>
  <c r="J74" i="7"/>
  <c r="J75" i="7"/>
  <c r="J76" i="7"/>
  <c r="J77" i="7"/>
  <c r="J78" i="7"/>
  <c r="I2" i="7"/>
  <c r="I3" i="7"/>
  <c r="I4" i="7"/>
  <c r="I5" i="7"/>
  <c r="I6" i="7"/>
  <c r="I7" i="7"/>
  <c r="I8" i="7"/>
  <c r="I9" i="7"/>
  <c r="I10" i="7"/>
  <c r="I11" i="7"/>
  <c r="I12" i="7"/>
  <c r="I13" i="7"/>
  <c r="I14" i="7"/>
  <c r="I15" i="7"/>
  <c r="I16" i="7"/>
  <c r="I17" i="7"/>
  <c r="I18" i="7"/>
  <c r="I19" i="7"/>
  <c r="I20" i="7"/>
  <c r="I21" i="7"/>
  <c r="I22" i="7"/>
  <c r="I23" i="7"/>
  <c r="I24" i="7"/>
  <c r="I25" i="7"/>
  <c r="I26" i="7"/>
  <c r="I27" i="7"/>
  <c r="I28" i="7"/>
  <c r="I29" i="7"/>
  <c r="I30" i="7"/>
  <c r="I31" i="7"/>
  <c r="I32" i="7"/>
  <c r="I33" i="7"/>
  <c r="I34" i="7"/>
  <c r="I35" i="7"/>
  <c r="I36" i="7"/>
  <c r="I37" i="7"/>
  <c r="I38" i="7"/>
  <c r="I39" i="7"/>
  <c r="I40" i="7"/>
  <c r="I41" i="7"/>
  <c r="I42" i="7"/>
  <c r="I43" i="7"/>
  <c r="I44" i="7"/>
  <c r="I45" i="7"/>
  <c r="I46" i="7"/>
  <c r="I47" i="7"/>
  <c r="I48" i="7"/>
  <c r="I49" i="7"/>
  <c r="I50" i="7"/>
  <c r="I51" i="7"/>
  <c r="I52" i="7"/>
  <c r="I53" i="7"/>
  <c r="I54" i="7"/>
  <c r="I55" i="7"/>
  <c r="I56" i="7"/>
  <c r="I57" i="7"/>
  <c r="I58" i="7"/>
  <c r="I59" i="7"/>
  <c r="I60" i="7"/>
  <c r="I61" i="7"/>
  <c r="I62" i="7"/>
  <c r="I63" i="7"/>
  <c r="I64" i="7"/>
  <c r="I65" i="7"/>
  <c r="I66" i="7"/>
  <c r="I67" i="7"/>
  <c r="I68" i="7"/>
  <c r="I69" i="7"/>
  <c r="I70" i="7"/>
  <c r="I71" i="7"/>
  <c r="I72" i="7"/>
  <c r="I73" i="7"/>
  <c r="I74" i="7"/>
  <c r="I75" i="7"/>
  <c r="I76" i="7"/>
  <c r="I77" i="7"/>
  <c r="I78" i="7"/>
  <c r="H3" i="7"/>
  <c r="H4" i="7"/>
  <c r="H5" i="7"/>
  <c r="H6" i="7"/>
  <c r="H7" i="7"/>
  <c r="H8" i="7"/>
  <c r="H9" i="7"/>
  <c r="H10" i="7"/>
  <c r="H11" i="7"/>
  <c r="H12" i="7"/>
  <c r="H15" i="7"/>
  <c r="H16" i="7"/>
  <c r="H17" i="7"/>
  <c r="H18" i="7"/>
  <c r="H19" i="7"/>
  <c r="H20" i="7"/>
  <c r="H21" i="7"/>
  <c r="H22" i="7"/>
  <c r="H23" i="7"/>
  <c r="H24" i="7"/>
  <c r="H25" i="7"/>
  <c r="H26" i="7"/>
  <c r="H27" i="7"/>
  <c r="H28" i="7"/>
  <c r="H29" i="7"/>
  <c r="H30" i="7"/>
  <c r="H31" i="7"/>
  <c r="H32" i="7"/>
  <c r="H33" i="7"/>
  <c r="H34" i="7"/>
  <c r="H35" i="7"/>
  <c r="H36" i="7"/>
  <c r="H37" i="7"/>
  <c r="H38" i="7"/>
  <c r="H39" i="7"/>
  <c r="H40" i="7"/>
  <c r="H41" i="7"/>
  <c r="H42" i="7"/>
  <c r="H43" i="7"/>
  <c r="H44" i="7"/>
  <c r="H45" i="7"/>
  <c r="H46" i="7"/>
  <c r="H47" i="7"/>
  <c r="H48" i="7"/>
  <c r="H49" i="7"/>
  <c r="H50" i="7"/>
  <c r="H51" i="7"/>
  <c r="H52" i="7"/>
  <c r="H53" i="7"/>
  <c r="H54" i="7"/>
  <c r="H55" i="7"/>
  <c r="H56" i="7"/>
  <c r="H57" i="7"/>
  <c r="H58" i="7"/>
  <c r="H59" i="7"/>
  <c r="H60" i="7"/>
  <c r="H61" i="7"/>
  <c r="H62" i="7"/>
  <c r="H63" i="7"/>
  <c r="H64" i="7"/>
  <c r="H65" i="7"/>
  <c r="H66" i="7"/>
  <c r="H67" i="7"/>
  <c r="H68" i="7"/>
  <c r="H69" i="7"/>
  <c r="H70" i="7"/>
  <c r="H71" i="7"/>
  <c r="H72" i="7"/>
  <c r="H73" i="7"/>
  <c r="H74" i="7"/>
  <c r="H75" i="7"/>
  <c r="H76" i="7"/>
  <c r="H77" i="7"/>
  <c r="H78" i="7"/>
  <c r="E2" i="7"/>
  <c r="E3" i="7"/>
  <c r="E4" i="7"/>
  <c r="E5" i="7"/>
  <c r="E6" i="7"/>
  <c r="E7" i="7"/>
  <c r="E8" i="7"/>
  <c r="E9" i="7"/>
  <c r="E10" i="7"/>
  <c r="E11" i="7"/>
  <c r="E12" i="7"/>
  <c r="E13" i="7"/>
  <c r="E14" i="7"/>
  <c r="E15" i="7"/>
  <c r="E16" i="7"/>
  <c r="E17" i="7"/>
  <c r="E18" i="7"/>
  <c r="E19" i="7"/>
  <c r="E20" i="7"/>
  <c r="E21" i="7"/>
  <c r="E22" i="7"/>
  <c r="E23" i="7"/>
  <c r="E24" i="7"/>
  <c r="E25" i="7"/>
  <c r="E26" i="7"/>
  <c r="E27" i="7"/>
  <c r="E28" i="7"/>
  <c r="E29" i="7"/>
  <c r="E30" i="7"/>
  <c r="E31" i="7"/>
  <c r="E32" i="7"/>
  <c r="E33" i="7"/>
  <c r="E34" i="7"/>
  <c r="E35" i="7"/>
  <c r="E36" i="7"/>
  <c r="E37" i="7"/>
  <c r="E38" i="7"/>
  <c r="E39" i="7"/>
  <c r="E40" i="7"/>
  <c r="E41" i="7"/>
  <c r="E42" i="7"/>
  <c r="E43" i="7"/>
  <c r="E44" i="7"/>
  <c r="E45" i="7"/>
  <c r="E46" i="7"/>
  <c r="E47" i="7"/>
  <c r="E48" i="7"/>
  <c r="E49" i="7"/>
  <c r="E50" i="7"/>
  <c r="E51" i="7"/>
  <c r="E52" i="7"/>
  <c r="E53" i="7"/>
  <c r="E54" i="7"/>
  <c r="E55" i="7"/>
  <c r="E56" i="7"/>
  <c r="E57" i="7"/>
  <c r="E58" i="7"/>
  <c r="E59" i="7"/>
  <c r="E60" i="7"/>
  <c r="E61" i="7"/>
  <c r="E62" i="7"/>
  <c r="E63" i="7"/>
  <c r="E64" i="7"/>
  <c r="E65" i="7"/>
  <c r="E66" i="7"/>
  <c r="E67" i="7"/>
  <c r="E68" i="7"/>
  <c r="E69" i="7"/>
  <c r="E70" i="7"/>
  <c r="E71" i="7"/>
  <c r="E72" i="7"/>
  <c r="E73" i="7"/>
  <c r="E74" i="7"/>
  <c r="E75" i="7"/>
  <c r="E76" i="7"/>
  <c r="E77" i="7"/>
  <c r="E78" i="7"/>
  <c r="G81" i="7"/>
  <c r="G82" i="7"/>
  <c r="G83" i="7"/>
  <c r="G84" i="7"/>
  <c r="G85" i="7"/>
  <c r="G86" i="7"/>
  <c r="G87" i="7"/>
  <c r="G88" i="7"/>
  <c r="G89" i="7"/>
  <c r="G90" i="7"/>
  <c r="G91" i="7"/>
  <c r="G92" i="7"/>
  <c r="G93" i="7"/>
  <c r="G94" i="7"/>
  <c r="G95" i="7"/>
  <c r="G96" i="7"/>
  <c r="G97" i="7"/>
  <c r="G98" i="7"/>
  <c r="G99" i="7"/>
  <c r="G100" i="7"/>
  <c r="G101" i="7"/>
  <c r="G102" i="7"/>
  <c r="J81" i="7"/>
  <c r="J82" i="7"/>
  <c r="J83" i="7"/>
  <c r="J84" i="7"/>
  <c r="J85" i="7"/>
  <c r="J86" i="7"/>
  <c r="J87" i="7"/>
  <c r="J88" i="7"/>
  <c r="J89" i="7"/>
  <c r="J90" i="7"/>
  <c r="J91" i="7"/>
  <c r="J92" i="7"/>
  <c r="J93" i="7"/>
  <c r="J94" i="7"/>
  <c r="J95" i="7"/>
  <c r="J96" i="7"/>
  <c r="J97" i="7"/>
  <c r="J98" i="7"/>
  <c r="J99" i="7"/>
  <c r="J100" i="7"/>
  <c r="J101" i="7"/>
  <c r="J102" i="7"/>
  <c r="I81" i="7"/>
  <c r="F81" i="7" s="1"/>
  <c r="I82" i="7"/>
  <c r="F82" i="7" s="1"/>
  <c r="I83" i="7"/>
  <c r="F83" i="7" s="1"/>
  <c r="I84" i="7"/>
  <c r="F84" i="7" s="1"/>
  <c r="I85" i="7"/>
  <c r="F85" i="7" s="1"/>
  <c r="I86" i="7"/>
  <c r="F86" i="7" s="1"/>
  <c r="I87" i="7"/>
  <c r="F87" i="7" s="1"/>
  <c r="I88" i="7"/>
  <c r="F88" i="7" s="1"/>
  <c r="I89" i="7"/>
  <c r="F89" i="7" s="1"/>
  <c r="I90" i="7"/>
  <c r="F90" i="7" s="1"/>
  <c r="I91" i="7"/>
  <c r="F91" i="7" s="1"/>
  <c r="I92" i="7"/>
  <c r="F92" i="7" s="1"/>
  <c r="I93" i="7"/>
  <c r="F93" i="7" s="1"/>
  <c r="I94" i="7"/>
  <c r="I95" i="7"/>
  <c r="I96" i="7"/>
  <c r="I97" i="7"/>
  <c r="I98" i="7"/>
  <c r="I99" i="7"/>
  <c r="I100" i="7"/>
  <c r="I101" i="7"/>
  <c r="I102" i="7"/>
  <c r="H83" i="7"/>
  <c r="H84" i="7"/>
  <c r="H85" i="7"/>
  <c r="H86" i="7"/>
  <c r="H87" i="7"/>
  <c r="H88" i="7"/>
  <c r="H89" i="7"/>
  <c r="H90" i="7"/>
  <c r="H91" i="7"/>
  <c r="H92" i="7"/>
  <c r="H93" i="7"/>
  <c r="H94" i="7"/>
  <c r="H95" i="7"/>
  <c r="H96" i="7"/>
  <c r="H97" i="7"/>
  <c r="H98" i="7"/>
  <c r="H99" i="7"/>
  <c r="H100" i="7"/>
  <c r="H101" i="7"/>
  <c r="H102" i="7"/>
  <c r="H82" i="7"/>
  <c r="E81" i="7"/>
  <c r="E82" i="7"/>
  <c r="E83" i="7"/>
  <c r="E84" i="7"/>
  <c r="E85" i="7"/>
  <c r="E86" i="7"/>
  <c r="E87" i="7"/>
  <c r="E88" i="7"/>
  <c r="E89" i="7"/>
  <c r="E90" i="7"/>
  <c r="E91" i="7"/>
  <c r="E92" i="7"/>
  <c r="E93" i="7"/>
  <c r="E94" i="7"/>
  <c r="E95" i="7"/>
  <c r="E96" i="7"/>
  <c r="E97" i="7"/>
  <c r="E98" i="7"/>
  <c r="E99" i="7"/>
  <c r="E100" i="7"/>
  <c r="E101" i="7"/>
  <c r="E102" i="7"/>
  <c r="G3" i="2"/>
  <c r="G4" i="2"/>
  <c r="G5" i="2"/>
  <c r="G6" i="2"/>
  <c r="G7" i="2"/>
  <c r="G8" i="2"/>
  <c r="G9" i="2"/>
  <c r="G10" i="2"/>
  <c r="G11" i="2"/>
  <c r="G12"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D2" i="2"/>
  <c r="D3" i="2"/>
  <c r="D4" i="2"/>
  <c r="D5" i="2"/>
  <c r="D6" i="2"/>
  <c r="D7"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80" i="2"/>
  <c r="D81" i="2"/>
  <c r="D82" i="2"/>
  <c r="D83" i="2"/>
  <c r="D84" i="2"/>
  <c r="D85" i="2"/>
  <c r="D86" i="2"/>
  <c r="D87" i="2"/>
  <c r="D88" i="2"/>
  <c r="D89" i="2"/>
  <c r="D90" i="2"/>
  <c r="D91" i="2"/>
  <c r="D92" i="2"/>
  <c r="D93" i="2"/>
  <c r="D94" i="2"/>
  <c r="D95" i="2"/>
  <c r="D96" i="2"/>
  <c r="D97" i="2"/>
  <c r="D98" i="2"/>
  <c r="D99" i="2"/>
  <c r="D100" i="2"/>
  <c r="I13" i="8" l="1"/>
  <c r="I9" i="8"/>
  <c r="I8" i="8"/>
  <c r="I6" i="8"/>
  <c r="I5" i="8"/>
  <c r="I17" i="8"/>
  <c r="I15" i="8"/>
  <c r="I3" i="8"/>
  <c r="J3" i="8" s="1"/>
  <c r="I7" i="8"/>
  <c r="I23" i="8"/>
  <c r="I14" i="8"/>
  <c r="I22" i="8"/>
  <c r="I18" i="8"/>
  <c r="I21" i="8"/>
  <c r="I4" i="8"/>
  <c r="I10" i="8"/>
  <c r="I16" i="8"/>
  <c r="I19" i="8"/>
  <c r="I12" i="8"/>
  <c r="I20" i="8"/>
  <c r="I11" i="8"/>
  <c r="G3" i="8"/>
  <c r="F3" i="8"/>
  <c r="F2" i="8"/>
  <c r="G2" i="8"/>
  <c r="F94" i="7"/>
  <c r="F95" i="7"/>
  <c r="F96" i="7"/>
  <c r="F97" i="7"/>
  <c r="F98" i="7"/>
  <c r="F99" i="7"/>
  <c r="F100" i="7"/>
  <c r="F101" i="7"/>
  <c r="F102" i="7"/>
  <c r="H80" i="2"/>
  <c r="I80" i="2" s="1"/>
  <c r="H4" i="2"/>
  <c r="I4" i="2" s="1"/>
  <c r="H50" i="2"/>
  <c r="I50" i="2" s="1"/>
  <c r="H45" i="2"/>
  <c r="I45" i="2" s="1"/>
  <c r="H41" i="2"/>
  <c r="I41" i="2" s="1"/>
  <c r="H36" i="2"/>
  <c r="I36" i="2" s="1"/>
  <c r="H31" i="2"/>
  <c r="I31" i="2" s="1"/>
  <c r="H26" i="2"/>
  <c r="I26" i="2" s="1"/>
  <c r="H21" i="2"/>
  <c r="I21" i="2" s="1"/>
  <c r="H18" i="2"/>
  <c r="I18" i="2" s="1"/>
  <c r="H6" i="2"/>
  <c r="I6" i="2" s="1"/>
  <c r="H83" i="2"/>
  <c r="H84" i="2"/>
  <c r="H85" i="2"/>
  <c r="H86" i="2"/>
  <c r="H87" i="2"/>
  <c r="H88" i="2"/>
  <c r="H89" i="2"/>
  <c r="H90" i="2"/>
  <c r="H82" i="2"/>
  <c r="H81" i="2"/>
  <c r="H59" i="2"/>
  <c r="I59" i="2" s="1"/>
  <c r="H79" i="2"/>
  <c r="H78" i="2"/>
  <c r="H77" i="2"/>
  <c r="H76" i="2"/>
  <c r="H75" i="2"/>
  <c r="H74" i="2"/>
  <c r="H73" i="2"/>
  <c r="H72" i="2"/>
  <c r="H71" i="2"/>
  <c r="H69" i="2"/>
  <c r="H68" i="2"/>
  <c r="H67" i="2"/>
  <c r="H66" i="2"/>
  <c r="H65" i="2"/>
  <c r="H64" i="2"/>
  <c r="H70" i="2"/>
  <c r="H63" i="2"/>
  <c r="H62" i="2"/>
  <c r="H61" i="2"/>
  <c r="H60" i="2"/>
  <c r="H91" i="2"/>
  <c r="H58" i="2"/>
  <c r="I58" i="2" s="1"/>
  <c r="H92" i="2"/>
  <c r="H93" i="2"/>
  <c r="H94" i="2"/>
  <c r="H95" i="2"/>
  <c r="H96" i="2"/>
  <c r="H97" i="2"/>
  <c r="H98" i="2"/>
  <c r="H99" i="2"/>
  <c r="H100" i="2"/>
  <c r="H5" i="2"/>
  <c r="I5" i="2" s="1"/>
  <c r="H15" i="2"/>
  <c r="I15" i="2" s="1"/>
  <c r="H24" i="2"/>
  <c r="I24" i="2" s="1"/>
  <c r="H33" i="2"/>
  <c r="I33" i="2" s="1"/>
  <c r="H38" i="2"/>
  <c r="I38" i="2" s="1"/>
  <c r="H51" i="2"/>
  <c r="I51" i="2" s="1"/>
  <c r="H57" i="2"/>
  <c r="I57" i="2" s="1"/>
  <c r="H56" i="2"/>
  <c r="I56" i="2" s="1"/>
  <c r="H55" i="2"/>
  <c r="I55" i="2" s="1"/>
  <c r="H54" i="2"/>
  <c r="I54" i="2" s="1"/>
  <c r="H46" i="2"/>
  <c r="I46" i="2" s="1"/>
  <c r="H40" i="2"/>
  <c r="I40" i="2" s="1"/>
  <c r="H34" i="2"/>
  <c r="I34" i="2" s="1"/>
  <c r="H27" i="2"/>
  <c r="I27" i="2" s="1"/>
  <c r="H20" i="2"/>
  <c r="I20" i="2" s="1"/>
  <c r="H17" i="2"/>
  <c r="I17" i="2" s="1"/>
  <c r="H12" i="2"/>
  <c r="I12" i="2" s="1"/>
  <c r="H10" i="2"/>
  <c r="I10" i="2" s="1"/>
  <c r="H9" i="2"/>
  <c r="I9" i="2" s="1"/>
  <c r="H8" i="2"/>
  <c r="I8" i="2" s="1"/>
  <c r="H7" i="2"/>
  <c r="I7" i="2" s="1"/>
  <c r="H3" i="2"/>
  <c r="I3" i="2" s="1"/>
  <c r="H53" i="2"/>
  <c r="I53" i="2" s="1"/>
  <c r="H47" i="2"/>
  <c r="I47" i="2" s="1"/>
  <c r="H43" i="2"/>
  <c r="I43" i="2" s="1"/>
  <c r="H37" i="2"/>
  <c r="I37" i="2" s="1"/>
  <c r="H13" i="2"/>
  <c r="I13" i="2" s="1"/>
  <c r="H25" i="2"/>
  <c r="I25" i="2" s="1"/>
  <c r="H30" i="2"/>
  <c r="I30" i="2" s="1"/>
  <c r="H35" i="2"/>
  <c r="I35" i="2" s="1"/>
  <c r="H39" i="2"/>
  <c r="I39" i="2" s="1"/>
  <c r="H44" i="2"/>
  <c r="I44" i="2" s="1"/>
  <c r="H48" i="2"/>
  <c r="I48" i="2" s="1"/>
  <c r="H52" i="2"/>
  <c r="I52" i="2" s="1"/>
  <c r="H32" i="2"/>
  <c r="I32" i="2" s="1"/>
  <c r="H28" i="2"/>
  <c r="I28" i="2" s="1"/>
  <c r="H23" i="2"/>
  <c r="I23" i="2" s="1"/>
  <c r="H19" i="2"/>
  <c r="I19" i="2" s="1"/>
  <c r="H16" i="2"/>
  <c r="I16" i="2" s="1"/>
  <c r="H11" i="2"/>
  <c r="I11" i="2" s="1"/>
  <c r="H14" i="2"/>
  <c r="I14" i="2" s="1"/>
  <c r="H2" i="2"/>
  <c r="I2" i="2" s="1"/>
  <c r="H49" i="2"/>
  <c r="I49" i="2" s="1"/>
  <c r="H42" i="2"/>
  <c r="I42" i="2" s="1"/>
  <c r="H29" i="2"/>
  <c r="I29" i="2" s="1"/>
  <c r="H22" i="2"/>
  <c r="I22" i="2" s="1"/>
  <c r="F2" i="2"/>
  <c r="E2" i="2"/>
  <c r="F3" i="2"/>
  <c r="E3" i="2"/>
  <c r="F4" i="2"/>
  <c r="E4" i="2"/>
  <c r="E5" i="2"/>
  <c r="F5" i="2"/>
  <c r="F6" i="2"/>
  <c r="E6" i="2"/>
  <c r="F7" i="2"/>
  <c r="E7" i="2"/>
  <c r="F8" i="2"/>
  <c r="E8" i="2"/>
  <c r="E9" i="2"/>
  <c r="F9" i="2"/>
  <c r="E10" i="2"/>
  <c r="F10" i="2"/>
  <c r="F11" i="2"/>
  <c r="E11" i="2"/>
  <c r="F12" i="2"/>
  <c r="E12" i="2"/>
  <c r="F13" i="2"/>
  <c r="E13" i="2"/>
  <c r="F14" i="2"/>
  <c r="E14" i="2"/>
  <c r="F15" i="2"/>
  <c r="E15" i="2"/>
  <c r="E16" i="2"/>
  <c r="F16" i="2"/>
  <c r="F17" i="2"/>
  <c r="E17" i="2"/>
  <c r="E18" i="2"/>
  <c r="F18" i="2"/>
  <c r="F19" i="2"/>
  <c r="E19" i="2"/>
  <c r="E20" i="2"/>
  <c r="F20" i="2"/>
  <c r="F21" i="2"/>
  <c r="E21" i="2"/>
  <c r="E22" i="2"/>
  <c r="F22" i="2"/>
  <c r="E23" i="2"/>
  <c r="F23" i="2"/>
  <c r="F24" i="2"/>
  <c r="E24" i="2"/>
  <c r="E25" i="2"/>
  <c r="F25" i="2"/>
  <c r="E26" i="2"/>
  <c r="F26" i="2"/>
  <c r="E27" i="2"/>
  <c r="F27" i="2"/>
  <c r="F28" i="2"/>
  <c r="E28" i="2"/>
  <c r="E29" i="2"/>
  <c r="F29" i="2"/>
  <c r="F30" i="2"/>
  <c r="E30" i="2"/>
  <c r="F31" i="2"/>
  <c r="E31" i="2"/>
  <c r="F32" i="2"/>
  <c r="E32" i="2"/>
  <c r="E33" i="2"/>
  <c r="F33" i="2"/>
  <c r="E34" i="2"/>
  <c r="F34" i="2"/>
  <c r="F35" i="2"/>
  <c r="E35" i="2"/>
  <c r="E36" i="2"/>
  <c r="F36" i="2"/>
  <c r="E37" i="2"/>
  <c r="F37" i="2"/>
  <c r="F38" i="2"/>
  <c r="E38" i="2"/>
  <c r="F39" i="2"/>
  <c r="E39" i="2"/>
  <c r="E40" i="2"/>
  <c r="F40" i="2"/>
  <c r="E41" i="2"/>
  <c r="F41" i="2"/>
  <c r="F42" i="2"/>
  <c r="E42" i="2"/>
  <c r="E43" i="2"/>
  <c r="F43" i="2"/>
  <c r="F44" i="2"/>
  <c r="E44" i="2"/>
  <c r="F45" i="2"/>
  <c r="E45" i="2"/>
  <c r="E46" i="2"/>
  <c r="F46" i="2"/>
  <c r="F47" i="2"/>
  <c r="E47" i="2"/>
  <c r="E48" i="2"/>
  <c r="F48" i="2"/>
  <c r="F49" i="2"/>
  <c r="E49" i="2"/>
  <c r="E50" i="2"/>
  <c r="F50" i="2"/>
  <c r="F51" i="2"/>
  <c r="E51" i="2"/>
  <c r="F52" i="2"/>
  <c r="E52" i="2"/>
  <c r="E53" i="2"/>
  <c r="F53" i="2"/>
  <c r="F54" i="2"/>
  <c r="E54" i="2"/>
  <c r="E55" i="2"/>
  <c r="F55" i="2"/>
  <c r="E56" i="2"/>
  <c r="F56" i="2"/>
  <c r="E57" i="2"/>
  <c r="F57" i="2"/>
  <c r="E58" i="2"/>
  <c r="F58" i="2"/>
  <c r="F59" i="2"/>
  <c r="E59" i="2"/>
  <c r="E60" i="2"/>
  <c r="E80" i="2"/>
  <c r="F80" i="2"/>
  <c r="J13" i="8" l="1"/>
  <c r="F13" i="8"/>
  <c r="G13" i="8"/>
  <c r="J9" i="8"/>
  <c r="F9" i="8"/>
  <c r="G9" i="8"/>
  <c r="J8" i="8"/>
  <c r="G8" i="8"/>
  <c r="F8" i="8"/>
  <c r="J6" i="8"/>
  <c r="F6" i="8"/>
  <c r="G6" i="8"/>
  <c r="J5" i="8"/>
  <c r="F5" i="8"/>
  <c r="G5" i="8"/>
  <c r="J17" i="8"/>
  <c r="G17" i="8"/>
  <c r="F17" i="8"/>
  <c r="J15" i="8"/>
  <c r="F15" i="8"/>
  <c r="G15" i="8"/>
  <c r="J7" i="8"/>
  <c r="F7" i="8"/>
  <c r="G7" i="8"/>
  <c r="J23" i="8"/>
  <c r="F23" i="8"/>
  <c r="G23" i="8"/>
  <c r="J14" i="8"/>
  <c r="G14" i="8"/>
  <c r="F14" i="8"/>
  <c r="J22" i="8"/>
  <c r="G22" i="8"/>
  <c r="F22" i="8"/>
  <c r="J18" i="8"/>
  <c r="G18" i="8"/>
  <c r="F18" i="8"/>
  <c r="J21" i="8"/>
  <c r="F21" i="8"/>
  <c r="G21" i="8"/>
  <c r="J4" i="8"/>
  <c r="G4" i="8"/>
  <c r="F4" i="8"/>
  <c r="J10" i="8"/>
  <c r="G10" i="8"/>
  <c r="F10" i="8"/>
  <c r="J16" i="8"/>
  <c r="F16" i="8"/>
  <c r="G16" i="8"/>
  <c r="J19" i="8"/>
  <c r="F19" i="8"/>
  <c r="G19" i="8"/>
  <c r="J12" i="8"/>
  <c r="G12" i="8"/>
  <c r="F12" i="8"/>
  <c r="J20" i="8"/>
  <c r="G20" i="8"/>
  <c r="F20" i="8"/>
  <c r="J11" i="8"/>
  <c r="F11" i="8"/>
  <c r="G11" i="8"/>
  <c r="I83" i="2"/>
  <c r="E83" i="2"/>
  <c r="F83" i="2"/>
  <c r="I84" i="2"/>
  <c r="F84" i="2"/>
  <c r="E84" i="2"/>
  <c r="I85" i="2"/>
  <c r="F85" i="2"/>
  <c r="E85" i="2"/>
  <c r="I86" i="2"/>
  <c r="E86" i="2"/>
  <c r="F86" i="2"/>
  <c r="I87" i="2"/>
  <c r="E87" i="2"/>
  <c r="F87" i="2"/>
  <c r="I88" i="2"/>
  <c r="F88" i="2"/>
  <c r="E88" i="2"/>
  <c r="I89" i="2"/>
  <c r="E89" i="2"/>
  <c r="F89" i="2"/>
  <c r="I90" i="2"/>
  <c r="E90" i="2"/>
  <c r="F90" i="2"/>
  <c r="I82" i="2"/>
  <c r="E82" i="2"/>
  <c r="F82" i="2"/>
  <c r="I81" i="2"/>
  <c r="E81" i="2"/>
  <c r="F81" i="2"/>
  <c r="I79" i="2"/>
  <c r="E79" i="2"/>
  <c r="F79" i="2"/>
  <c r="I78" i="2"/>
  <c r="F78" i="2"/>
  <c r="E78" i="2"/>
  <c r="I77" i="2"/>
  <c r="E77" i="2"/>
  <c r="F77" i="2"/>
  <c r="I76" i="2"/>
  <c r="F76" i="2"/>
  <c r="E76" i="2"/>
  <c r="I75" i="2"/>
  <c r="F75" i="2"/>
  <c r="E75" i="2"/>
  <c r="I74" i="2"/>
  <c r="E74" i="2"/>
  <c r="F74" i="2"/>
  <c r="I73" i="2"/>
  <c r="E73" i="2"/>
  <c r="F73" i="2"/>
  <c r="I72" i="2"/>
  <c r="F72" i="2"/>
  <c r="E72" i="2"/>
  <c r="I71" i="2"/>
  <c r="F71" i="2"/>
  <c r="E71" i="2"/>
  <c r="I69" i="2"/>
  <c r="E69" i="2"/>
  <c r="F69" i="2"/>
  <c r="I68" i="2"/>
  <c r="F68" i="2"/>
  <c r="E68" i="2"/>
  <c r="I67" i="2"/>
  <c r="E67" i="2"/>
  <c r="F67" i="2"/>
  <c r="I66" i="2"/>
  <c r="E66" i="2"/>
  <c r="F66" i="2"/>
  <c r="I65" i="2"/>
  <c r="E65" i="2"/>
  <c r="F65" i="2"/>
  <c r="I64" i="2"/>
  <c r="E64" i="2"/>
  <c r="F64" i="2"/>
  <c r="I70" i="2"/>
  <c r="F70" i="2"/>
  <c r="E70" i="2"/>
  <c r="I63" i="2"/>
  <c r="E63" i="2"/>
  <c r="F63" i="2"/>
  <c r="I62" i="2"/>
  <c r="F62" i="2"/>
  <c r="E62" i="2"/>
  <c r="I61" i="2"/>
  <c r="E61" i="2"/>
  <c r="F61" i="2"/>
  <c r="I60" i="2"/>
  <c r="F60" i="2"/>
  <c r="I91" i="2"/>
  <c r="F91" i="2"/>
  <c r="E91" i="2"/>
  <c r="I92" i="2"/>
  <c r="E92" i="2"/>
  <c r="F92" i="2"/>
  <c r="I93" i="2"/>
  <c r="E93" i="2"/>
  <c r="F93" i="2"/>
  <c r="I94" i="2"/>
  <c r="F94" i="2"/>
  <c r="E94" i="2"/>
  <c r="I95" i="2"/>
  <c r="E95" i="2"/>
  <c r="F95" i="2"/>
  <c r="I96" i="2"/>
  <c r="F96" i="2"/>
  <c r="E96" i="2"/>
  <c r="I97" i="2"/>
  <c r="E97" i="2"/>
  <c r="F97" i="2"/>
  <c r="I98" i="2"/>
  <c r="E98" i="2"/>
  <c r="F98" i="2"/>
  <c r="I99" i="2"/>
  <c r="F99" i="2"/>
  <c r="E99" i="2"/>
  <c r="I100" i="2"/>
  <c r="E100" i="2"/>
  <c r="F100"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C2DCA99-BFC6-4BC4-8AF8-E8C14AEB6C3B}" keepAlive="1" name="Query - impact-of-handwashing-death-to-birth-rates" description="Connection to the 'impact-of-handwashing-death-to-birth-rates' query in the workbook." type="5" refreshedVersion="8" background="1" saveData="1">
    <dbPr connection="Provider=Microsoft.Mashup.OleDb.1;Data Source=$Workbook$;Location=impact-of-handwashing-death-to-birth-rates;Extended Properties=&quot;&quot;" command="SELECT * FROM [impact-of-handwashing-death-to-birth-rates]"/>
  </connection>
  <connection id="2" xr16:uid="{9B9A8F0F-466C-42EB-B5F7-5A4432E5418F}" keepAlive="1" name="Query - impact-of-handwashing-death-to-birth-rates (2)" description="Connection to the 'impact-of-handwashing-death-to-birth-rates (2)' query in the workbook." type="5" refreshedVersion="8" background="1" saveData="1">
    <dbPr connection="Provider=Microsoft.Mashup.OleDb.1;Data Source=$Workbook$;Location=&quot;impact-of-handwashing-death-to-birth-rates (2)&quot;;Extended Properties=&quot;&quot;" command="SELECT * FROM [impact-of-handwashing-death-to-birth-rates (2)]"/>
  </connection>
  <connection id="3" xr16:uid="{60D2C495-C716-46A6-ACFA-E9A8945178B0}" keepAlive="1" name="Query - impact-of-handwashing-death-to-birth-rates (3)" description="Connection to the 'impact-of-handwashing-death-to-birth-rates (3)' query in the workbook." type="5" refreshedVersion="8" background="1" saveData="1">
    <dbPr connection="Provider=Microsoft.Mashup.OleDb.1;Data Source=$Workbook$;Location=&quot;impact-of-handwashing-death-to-birth-rates (3)&quot;;Extended Properties=&quot;&quot;" command="SELECT * FROM [impact-of-handwashing-death-to-birth-rates (3)]"/>
  </connection>
  <connection id="4" xr16:uid="{99E24F7F-A2B5-4B2F-86D2-0CE411C2B310}" keepAlive="1" name="Query - impact-of-handwashing-death-to-birth-rates (4)" description="Connection to the 'impact-of-handwashing-death-to-birth-rates (4)' query in the workbook." type="5" refreshedVersion="8" background="1" saveData="1">
    <dbPr connection="Provider=Microsoft.Mashup.OleDb.1;Data Source=$Workbook$;Location=&quot;impact-of-handwashing-death-to-birth-rates (4)&quot;;Extended Properties=&quot;&quot;" command="SELECT * FROM [impact-of-handwashing-death-to-birth-rates (4)]"/>
  </connection>
  <connection id="5" xr16:uid="{32A42D2C-66ED-4441-B3F9-4410D584D87F}" keepAlive="1" name="Query - impact-of-handwashing-death-to-birth-rates (5)" description="Connection to the 'impact-of-handwashing-death-to-birth-rates (5)' query in the workbook." type="5" refreshedVersion="8" background="1" saveData="1">
    <dbPr connection="Provider=Microsoft.Mashup.OleDb.1;Data Source=$Workbook$;Location=&quot;impact-of-handwashing-death-to-birth-rates (5)&quot;;Extended Properties=&quot;&quot;" command="SELECT * FROM [impact-of-handwashing-death-to-birth-rates (5)]"/>
  </connection>
  <connection id="6" xr16:uid="{1B249704-D89C-4C8D-BE24-3611AB333ACA}" keepAlive="1" name="Query - impact-of-handwashing-death-to-birth-rates (7)" description="Connection to the 'impact-of-handwashing-death-to-birth-rates (7)' query in the workbook." type="5" refreshedVersion="8" background="1" saveData="1">
    <dbPr connection="Provider=Microsoft.Mashup.OleDb.1;Data Source=$Workbook$;Location=&quot;impact-of-handwashing-death-to-birth-rates (7)&quot;;Extended Properties=&quot;&quot;" command="SELECT * FROM [impact-of-handwashing-death-to-birth-rates (7)]"/>
  </connection>
</connections>
</file>

<file path=xl/sharedStrings.xml><?xml version="1.0" encoding="utf-8"?>
<sst xmlns="http://schemas.openxmlformats.org/spreadsheetml/2006/main" count="1016" uniqueCount="141">
  <si>
    <t>Chapter 14. Revisiting Vienna</t>
  </si>
  <si>
    <t>MonthYear</t>
  </si>
  <si>
    <t>Rate</t>
  </si>
  <si>
    <t>Mean</t>
  </si>
  <si>
    <t>UPL</t>
  </si>
  <si>
    <t>LPL</t>
  </si>
  <si>
    <t>mR</t>
  </si>
  <si>
    <t>Ave. mR</t>
  </si>
  <si>
    <t>URL</t>
  </si>
  <si>
    <t>Jan-41</t>
  </si>
  <si>
    <t>Feb-41</t>
  </si>
  <si>
    <t>Mar-41</t>
  </si>
  <si>
    <t>Apr-41</t>
  </si>
  <si>
    <t>May-41</t>
  </si>
  <si>
    <t>Jun-41</t>
  </si>
  <si>
    <t>Jul-41</t>
  </si>
  <si>
    <t>Aug-41</t>
  </si>
  <si>
    <t>Sep-41</t>
  </si>
  <si>
    <t>Oct-41</t>
  </si>
  <si>
    <t>Nov-41</t>
  </si>
  <si>
    <t>Dec-41</t>
  </si>
  <si>
    <t>Jan-42</t>
  </si>
  <si>
    <t>Feb-42</t>
  </si>
  <si>
    <t>Mar-42</t>
  </si>
  <si>
    <t>Apr-42</t>
  </si>
  <si>
    <t>May-42</t>
  </si>
  <si>
    <t>Jun-42</t>
  </si>
  <si>
    <t>Jul-42</t>
  </si>
  <si>
    <t>Aug-42</t>
  </si>
  <si>
    <t>Sep-42</t>
  </si>
  <si>
    <t>Oct-42</t>
  </si>
  <si>
    <t>Nov-42</t>
  </si>
  <si>
    <t>Dec-42</t>
  </si>
  <si>
    <t>Jan-43</t>
  </si>
  <si>
    <t>Feb-43</t>
  </si>
  <si>
    <t>Mar-43</t>
  </si>
  <si>
    <t>Apr-43</t>
  </si>
  <si>
    <t>May-43</t>
  </si>
  <si>
    <t>Jun-43</t>
  </si>
  <si>
    <t>Jul-43</t>
  </si>
  <si>
    <t>Aug-43</t>
  </si>
  <si>
    <t>Sep-43</t>
  </si>
  <si>
    <t>Oct-43</t>
  </si>
  <si>
    <t>Nov-43</t>
  </si>
  <si>
    <t>Dec-43</t>
  </si>
  <si>
    <t>Jan-44</t>
  </si>
  <si>
    <t>Feb-44</t>
  </si>
  <si>
    <t>Mar-44</t>
  </si>
  <si>
    <t>Apr-44</t>
  </si>
  <si>
    <t>May-44</t>
  </si>
  <si>
    <t>Jun-44</t>
  </si>
  <si>
    <t>Jul-44</t>
  </si>
  <si>
    <t>Aug-44</t>
  </si>
  <si>
    <t>Sep-44</t>
  </si>
  <si>
    <t>Oct-44</t>
  </si>
  <si>
    <t>Nov-44</t>
  </si>
  <si>
    <t>Dec-44</t>
  </si>
  <si>
    <t>Jan-45</t>
  </si>
  <si>
    <t>Feb-45</t>
  </si>
  <si>
    <t>Mar-45</t>
  </si>
  <si>
    <t>Apr-45</t>
  </si>
  <si>
    <t>May-45</t>
  </si>
  <si>
    <t>Jun-45</t>
  </si>
  <si>
    <t>Jul-45</t>
  </si>
  <si>
    <t>Aug-45</t>
  </si>
  <si>
    <t>Sep-45</t>
  </si>
  <si>
    <t>Oct-45</t>
  </si>
  <si>
    <t>Nov-45</t>
  </si>
  <si>
    <t>Dec-45</t>
  </si>
  <si>
    <t>Jan-46</t>
  </si>
  <si>
    <t>Feb-46</t>
  </si>
  <si>
    <t>Mar-46</t>
  </si>
  <si>
    <t>Apr-46</t>
  </si>
  <si>
    <t>May-46</t>
  </si>
  <si>
    <t>Jun-46</t>
  </si>
  <si>
    <t>Jul-46</t>
  </si>
  <si>
    <t>Aug-46</t>
  </si>
  <si>
    <t>Sep-46</t>
  </si>
  <si>
    <t>Oct-46</t>
  </si>
  <si>
    <t>Nov-46</t>
  </si>
  <si>
    <t>Dec-46</t>
  </si>
  <si>
    <t>Jan-47</t>
  </si>
  <si>
    <t>Feb-47</t>
  </si>
  <si>
    <t>Mar-47</t>
  </si>
  <si>
    <t>Apr-47</t>
  </si>
  <si>
    <t>May-47</t>
  </si>
  <si>
    <t>Jun-47</t>
  </si>
  <si>
    <t>Jul-47</t>
  </si>
  <si>
    <t>Aug-47</t>
  </si>
  <si>
    <t>Sep-47</t>
  </si>
  <si>
    <t>Oct-47</t>
  </si>
  <si>
    <t>Nov-47</t>
  </si>
  <si>
    <t>Dec-47</t>
  </si>
  <si>
    <t>Jan-48</t>
  </si>
  <si>
    <t>Feb-48</t>
  </si>
  <si>
    <t>Mar-48</t>
  </si>
  <si>
    <t>Apr-48</t>
  </si>
  <si>
    <t>May-48</t>
  </si>
  <si>
    <t>Jun-48</t>
  </si>
  <si>
    <t>Jul-48</t>
  </si>
  <si>
    <t>Aug-48</t>
  </si>
  <si>
    <t>Sep-48</t>
  </si>
  <si>
    <t>Oct-48</t>
  </si>
  <si>
    <t>Nov-48</t>
  </si>
  <si>
    <t>Dec-48</t>
  </si>
  <si>
    <t>Jan-49</t>
  </si>
  <si>
    <t>Feb-49</t>
  </si>
  <si>
    <t>Mar-49</t>
  </si>
  <si>
    <t>Stage</t>
  </si>
  <si>
    <t>Before handwashing</t>
  </si>
  <si>
    <t>After handwashing</t>
  </si>
  <si>
    <t>Hospital</t>
  </si>
  <si>
    <t>Vienna General Hospital</t>
  </si>
  <si>
    <t>Link to book:</t>
  </si>
  <si>
    <t>https://www.brokenquality.com/book</t>
  </si>
  <si>
    <t>Link to GitHub:</t>
  </si>
  <si>
    <t>https://github.com/jimlehner/virus-of-variation-book</t>
  </si>
  <si>
    <t>Contact:</t>
  </si>
  <si>
    <t>James.Lehner@gmail.com</t>
  </si>
  <si>
    <t>QualityIsBroken@gmail.com</t>
  </si>
  <si>
    <r>
      <t>This file serves as a resource for building some of the figures in Chapter 14 of The Virus of Variation using Microsoft Excel or Google Sheets.
The figures included here are:
Figure 14.1. XmR chart of Rates
Figure 14.3. XmR charts of before- and after-handwashing rates
Figure 14.4. XmR chart of after-handwashing rates
Each figure has its own tab. The data used in the figures can be found in the Data tab.
For additional details regarding each of these figures, see Chapter 14 of 
The Virus of Variation.
(</t>
    </r>
    <r>
      <rPr>
        <b/>
        <sz val="12"/>
        <color rgb="FF000000"/>
        <rFont val="Montserrat"/>
      </rPr>
      <t>BrokenQuality.com/book</t>
    </r>
    <r>
      <rPr>
        <sz val="12"/>
        <color rgb="FF000000"/>
        <rFont val="Montserrat"/>
      </rPr>
      <t xml:space="preserve">).
If you are familiar with Python (or would like to learn), the Python code used to generate the figures, as they appear in The Virus of Variation, can be found at:
</t>
    </r>
    <r>
      <rPr>
        <b/>
        <sz val="12"/>
        <color rgb="FF000000"/>
        <rFont val="Montserrat"/>
      </rPr>
      <t>github.com/jimlehner/the-virus-of-variation</t>
    </r>
    <r>
      <rPr>
        <sz val="12"/>
        <color rgb="FF000000"/>
        <rFont val="Montserrat"/>
      </rPr>
      <t xml:space="preserve">
If you have question or feedback email us at:
</t>
    </r>
    <r>
      <rPr>
        <b/>
        <sz val="12"/>
        <color rgb="FF000000"/>
        <rFont val="Montserrat"/>
      </rPr>
      <t>James.Lehner@gmail.com</t>
    </r>
    <r>
      <rPr>
        <sz val="12"/>
        <color rgb="FF000000"/>
        <rFont val="Montserrat"/>
      </rPr>
      <t xml:space="preserve"> or </t>
    </r>
    <r>
      <rPr>
        <b/>
        <sz val="12"/>
        <color rgb="FF000000"/>
        <rFont val="Montserrat"/>
      </rPr>
      <t>QualityIsBroken@gmail.com</t>
    </r>
    <r>
      <rPr>
        <sz val="12"/>
        <color rgb="FF000000"/>
        <rFont val="Montserrat"/>
      </rPr>
      <t>.</t>
    </r>
  </si>
  <si>
    <t>https://raw.githubusercontent.com/jimlehner/virus-of-variation-book/refs/heads/main/data/impact-of-handwashing-death-to-birth-rates.csv</t>
  </si>
  <si>
    <t>Fig 14.1, 14.2, 14.3, 14.4</t>
  </si>
  <si>
    <t>Raw GitHub Data URLs:</t>
  </si>
  <si>
    <t>Month</t>
  </si>
  <si>
    <t>Year</t>
  </si>
  <si>
    <t>Births</t>
  </si>
  <si>
    <t>Deaths</t>
  </si>
  <si>
    <t>January</t>
  </si>
  <si>
    <t>February</t>
  </si>
  <si>
    <t>March</t>
  </si>
  <si>
    <t>April</t>
  </si>
  <si>
    <t>May</t>
  </si>
  <si>
    <t>June</t>
  </si>
  <si>
    <t>July</t>
  </si>
  <si>
    <t>August</t>
  </si>
  <si>
    <t>September</t>
  </si>
  <si>
    <t>October</t>
  </si>
  <si>
    <t>November</t>
  </si>
  <si>
    <t>December</t>
  </si>
  <si>
    <t>Mar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</si>
</sst>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
    <numFmt numFmtId="165" formatCode="0.0"/>
  </numFmts>
  <fonts count="9" x14ac:knownFonts="1">
    <font>
      <sz val="10"/>
      <color rgb="FF000000"/>
      <name val="Arial"/>
      <scheme val="minor"/>
    </font>
    <font>
      <b/>
      <sz val="16"/>
      <color rgb="FFD72323"/>
      <name val="Montserrat"/>
    </font>
    <font>
      <sz val="10"/>
      <color theme="1"/>
      <name val="Arial"/>
      <family val="2"/>
    </font>
    <font>
      <sz val="10"/>
      <color theme="1"/>
      <name val="Arial"/>
      <family val="2"/>
      <scheme val="minor"/>
    </font>
    <font>
      <u/>
      <sz val="10"/>
      <color theme="10"/>
      <name val="Arial"/>
      <family val="2"/>
      <scheme val="minor"/>
    </font>
    <font>
      <sz val="10"/>
      <color rgb="FF000000"/>
      <name val="Arial"/>
      <family val="2"/>
      <scheme val="minor"/>
    </font>
    <font>
      <b/>
      <sz val="10"/>
      <color rgb="FF000000"/>
      <name val="Arial"/>
      <family val="2"/>
      <scheme val="minor"/>
    </font>
    <font>
      <sz val="12"/>
      <color rgb="FF000000"/>
      <name val="Montserrat"/>
    </font>
    <font>
      <b/>
      <sz val="12"/>
      <color rgb="FF000000"/>
      <name val="Montserrat"/>
    </font>
  </fonts>
  <fills count="2">
    <fill>
      <patternFill patternType="none"/>
    </fill>
    <fill>
      <patternFill patternType="gray125"/>
    </fill>
  </fills>
  <borders count="12">
    <border>
      <left/>
      <right/>
      <top/>
      <bottom/>
      <diagonal/>
    </border>
    <border>
      <left style="thin">
        <color theme="0" tint="-0.14999847407452621"/>
      </left>
      <right/>
      <top style="thin">
        <color theme="0" tint="-0.14999847407452621"/>
      </top>
      <bottom/>
      <diagonal/>
    </border>
    <border>
      <left/>
      <right/>
      <top style="thin">
        <color theme="0" tint="-0.14999847407452621"/>
      </top>
      <bottom/>
      <diagonal/>
    </border>
    <border>
      <left/>
      <right style="thin">
        <color theme="0" tint="-0.14999847407452621"/>
      </right>
      <top style="thin">
        <color theme="0" tint="-0.14999847407452621"/>
      </top>
      <bottom/>
      <diagonal/>
    </border>
    <border>
      <left style="thin">
        <color theme="0" tint="-0.14999847407452621"/>
      </left>
      <right/>
      <top/>
      <bottom/>
      <diagonal/>
    </border>
    <border>
      <left/>
      <right style="thin">
        <color theme="0" tint="-0.14999847407452621"/>
      </right>
      <top/>
      <bottom/>
      <diagonal/>
    </border>
    <border>
      <left style="thin">
        <color theme="0" tint="-0.14999847407452621"/>
      </left>
      <right/>
      <top/>
      <bottom style="thin">
        <color theme="0" tint="-0.14999847407452621"/>
      </bottom>
      <diagonal/>
    </border>
    <border>
      <left/>
      <right/>
      <top/>
      <bottom style="thin">
        <color theme="0" tint="-0.14999847407452621"/>
      </bottom>
      <diagonal/>
    </border>
    <border>
      <left/>
      <right style="thin">
        <color theme="0" tint="-0.14999847407452621"/>
      </right>
      <top/>
      <bottom style="thin">
        <color theme="0" tint="-0.14999847407452621"/>
      </bottom>
      <diagonal/>
    </border>
    <border>
      <left style="thin">
        <color theme="0" tint="-0.14999847407452621"/>
      </left>
      <right/>
      <top style="thin">
        <color theme="0" tint="-0.14999847407452621"/>
      </top>
      <bottom style="thin">
        <color theme="0" tint="-0.14999847407452621"/>
      </bottom>
      <diagonal/>
    </border>
    <border>
      <left/>
      <right/>
      <top style="thin">
        <color theme="0" tint="-0.14999847407452621"/>
      </top>
      <bottom style="thin">
        <color theme="0" tint="-0.14999847407452621"/>
      </bottom>
      <diagonal/>
    </border>
    <border>
      <left/>
      <right style="thin">
        <color theme="0" tint="-0.14999847407452621"/>
      </right>
      <top style="thin">
        <color theme="0" tint="-0.14999847407452621"/>
      </top>
      <bottom style="thin">
        <color theme="0" tint="-0.14999847407452621"/>
      </bottom>
      <diagonal/>
    </border>
  </borders>
  <cellStyleXfs count="3">
    <xf numFmtId="0" fontId="0" fillId="0" borderId="0"/>
    <xf numFmtId="0" fontId="4" fillId="0" borderId="0" applyNumberFormat="0" applyFill="0" applyBorder="0" applyAlignment="0" applyProtection="0"/>
    <xf numFmtId="0" fontId="5" fillId="0" borderId="0"/>
  </cellStyleXfs>
  <cellXfs count="44">
    <xf numFmtId="0" fontId="0" fillId="0" borderId="0" xfId="0"/>
    <xf numFmtId="0" fontId="2" fillId="0" borderId="0" xfId="0" applyFont="1"/>
    <xf numFmtId="49" fontId="2" fillId="0" borderId="0" xfId="0" applyNumberFormat="1" applyFont="1" applyAlignment="1">
      <alignment horizontal="right"/>
    </xf>
    <xf numFmtId="165" fontId="2" fillId="0" borderId="0" xfId="0" applyNumberFormat="1" applyFont="1" applyAlignment="1">
      <alignment horizontal="right"/>
    </xf>
    <xf numFmtId="165" fontId="2" fillId="0" borderId="0" xfId="0" applyNumberFormat="1" applyFont="1"/>
    <xf numFmtId="164" fontId="2" fillId="0" borderId="0" xfId="0" applyNumberFormat="1" applyFont="1"/>
    <xf numFmtId="0" fontId="2" fillId="0" borderId="0" xfId="0" applyFont="1" applyAlignment="1">
      <alignment horizontal="right"/>
    </xf>
    <xf numFmtId="49" fontId="2" fillId="0" borderId="0" xfId="0" applyNumberFormat="1" applyFont="1"/>
    <xf numFmtId="0" fontId="2" fillId="0" borderId="0" xfId="0" applyFont="1" applyAlignment="1">
      <alignment horizontal="left"/>
    </xf>
    <xf numFmtId="0" fontId="5" fillId="0" borderId="0" xfId="0" applyFont="1"/>
    <xf numFmtId="0" fontId="3" fillId="0" borderId="0" xfId="0" applyFont="1" applyAlignment="1">
      <alignment horizontal="left"/>
    </xf>
    <xf numFmtId="0" fontId="0" fillId="0" borderId="0" xfId="0" applyAlignment="1">
      <alignment horizontal="left"/>
    </xf>
    <xf numFmtId="0" fontId="5" fillId="0" borderId="0" xfId="0" applyFont="1" applyAlignment="1">
      <alignment horizontal="left"/>
    </xf>
    <xf numFmtId="0" fontId="4" fillId="0" borderId="4" xfId="1" applyBorder="1" applyAlignment="1">
      <alignment horizontal="center"/>
    </xf>
    <xf numFmtId="0" fontId="4" fillId="0" borderId="0" xfId="1" applyBorder="1" applyAlignment="1">
      <alignment horizontal="center"/>
    </xf>
    <xf numFmtId="0" fontId="4" fillId="0" borderId="5" xfId="1" applyBorder="1" applyAlignment="1">
      <alignment horizontal="center"/>
    </xf>
    <xf numFmtId="0" fontId="6" fillId="0" borderId="4" xfId="0" applyFont="1" applyBorder="1" applyAlignment="1">
      <alignment horizontal="center"/>
    </xf>
    <xf numFmtId="0" fontId="6" fillId="0" borderId="0" xfId="0" applyFont="1" applyAlignment="1">
      <alignment horizontal="center"/>
    </xf>
    <xf numFmtId="0" fontId="6" fillId="0" borderId="5" xfId="0" applyFont="1" applyBorder="1" applyAlignment="1">
      <alignment horizontal="center"/>
    </xf>
    <xf numFmtId="0" fontId="4" fillId="0" borderId="6" xfId="1" applyBorder="1" applyAlignment="1">
      <alignment horizontal="center"/>
    </xf>
    <xf numFmtId="0" fontId="4" fillId="0" borderId="7" xfId="1" applyBorder="1" applyAlignment="1">
      <alignment horizontal="center"/>
    </xf>
    <xf numFmtId="0" fontId="4" fillId="0" borderId="8" xfId="1" applyBorder="1" applyAlignment="1">
      <alignment horizontal="center"/>
    </xf>
    <xf numFmtId="0" fontId="7" fillId="0" borderId="1" xfId="0" applyFont="1" applyBorder="1" applyAlignment="1">
      <alignment horizontal="center" vertical="center" wrapText="1"/>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0" xfId="0"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6" fillId="0" borderId="1" xfId="0" applyFont="1" applyBorder="1" applyAlignment="1">
      <alignment horizontal="center" wrapText="1"/>
    </xf>
    <xf numFmtId="0" fontId="6" fillId="0" borderId="2" xfId="0" applyFont="1" applyBorder="1" applyAlignment="1">
      <alignment horizontal="center" wrapText="1"/>
    </xf>
    <xf numFmtId="0" fontId="6" fillId="0" borderId="3" xfId="0" applyFont="1" applyBorder="1" applyAlignment="1">
      <alignment horizontal="center" wrapText="1"/>
    </xf>
    <xf numFmtId="0" fontId="1" fillId="0" borderId="9" xfId="0" applyFont="1" applyBorder="1" applyAlignment="1">
      <alignment horizontal="center"/>
    </xf>
    <xf numFmtId="0" fontId="0" fillId="0" borderId="10" xfId="0" applyBorder="1"/>
    <xf numFmtId="0" fontId="0" fillId="0" borderId="11" xfId="0" applyBorder="1"/>
    <xf numFmtId="0" fontId="6" fillId="0" borderId="1" xfId="0" applyFont="1" applyBorder="1" applyAlignment="1">
      <alignment horizontal="center"/>
    </xf>
    <xf numFmtId="0" fontId="6" fillId="0" borderId="2" xfId="0" applyFont="1" applyBorder="1" applyAlignment="1">
      <alignment horizontal="center"/>
    </xf>
    <xf numFmtId="0" fontId="6" fillId="0" borderId="3" xfId="0" applyFont="1" applyBorder="1" applyAlignment="1">
      <alignment horizontal="center"/>
    </xf>
    <xf numFmtId="0" fontId="0" fillId="0" borderId="7" xfId="0" applyBorder="1" applyAlignment="1">
      <alignment horizontal="left" vertical="center"/>
    </xf>
    <xf numFmtId="0" fontId="0" fillId="0" borderId="8" xfId="0" applyBorder="1" applyAlignment="1">
      <alignment horizontal="left" vertical="center"/>
    </xf>
    <xf numFmtId="0" fontId="6" fillId="0" borderId="6" xfId="0" applyFont="1" applyBorder="1" applyAlignment="1">
      <alignment horizontal="left" vertical="center" wrapText="1"/>
    </xf>
    <xf numFmtId="0" fontId="0" fillId="0" borderId="0" xfId="0" applyNumberFormat="1"/>
  </cellXfs>
  <cellStyles count="3">
    <cellStyle name="Hyperlink" xfId="1" builtinId="8"/>
    <cellStyle name="Normal" xfId="0" builtinId="0"/>
    <cellStyle name="Normal 2" xfId="2" xr:uid="{96C3B3BB-78A3-4182-BC23-3945205C2A18}"/>
  </cellStyles>
  <dxfs count="44">
    <dxf>
      <alignment horizontal="left" vertical="bottom"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ill>
        <patternFill>
          <bgColor rgb="FFFFFFFF"/>
        </patternFill>
      </fill>
    </dxf>
    <dxf>
      <fill>
        <patternFill>
          <bgColor rgb="FFE8F3F7"/>
        </patternFill>
      </fill>
    </dxf>
    <dxf>
      <fill>
        <patternFill>
          <bgColor rgb="FF3688A4"/>
        </patternFill>
      </fill>
    </dxf>
    <dxf>
      <border>
        <left style="thin">
          <color rgb="FF8BB4C5"/>
        </left>
        <right style="thin">
          <color rgb="FF8BB4C5"/>
        </right>
        <top style="thin">
          <color rgb="FF8BB4C5"/>
        </top>
        <bottom style="thin">
          <color rgb="FF8BB4C5"/>
        </bottom>
        <vertical style="thin">
          <color rgb="FFC8DDE6"/>
        </vertical>
        <horizontal style="thin">
          <color rgb="FF8BB4C5"/>
        </horizontal>
      </border>
    </dxf>
  </dxfs>
  <tableStyles count="1" defaultTableStyle="TableStyleMedium2" defaultPivotStyle="PivotStyleLight16">
    <tableStyle name="The Virus of Variation" pivot="0" count="4" xr9:uid="{FB1BA76C-85E3-4801-9701-40BCE221B5D5}">
      <tableStyleElement type="wholeTable" dxfId="43"/>
      <tableStyleElement type="headerRow" dxfId="42"/>
      <tableStyleElement type="firstRowStripe" dxfId="41"/>
      <tableStyleElement type="secondRowStripe" dxfId="4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5.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themeOverride" Target="../theme/themeOverride6.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themeOverride" Target="../theme/themeOverride7.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themeOverride" Target="../theme/themeOverride8.xml"/><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lineChart>
        <c:grouping val="standard"/>
        <c:varyColors val="0"/>
        <c:ser>
          <c:idx val="0"/>
          <c:order val="0"/>
          <c:tx>
            <c:strRef>
              <c:f>'Fig 14.1 &amp; 14.2 XmR chart'!$C$1</c:f>
              <c:strCache>
                <c:ptCount val="1"/>
                <c:pt idx="0">
                  <c:v>Rate</c:v>
                </c:pt>
              </c:strCache>
            </c:strRef>
          </c:tx>
          <c:spPr>
            <a:ln w="28575" cap="rnd">
              <a:solidFill>
                <a:schemeClr val="accent1"/>
              </a:solidFill>
              <a:round/>
            </a:ln>
            <a:effectLst/>
          </c:spPr>
          <c:marker>
            <c:symbol val="circle"/>
            <c:size val="6"/>
            <c:spPr>
              <a:solidFill>
                <a:schemeClr val="accent1"/>
              </a:solidFill>
              <a:ln w="9525">
                <a:solidFill>
                  <a:schemeClr val="accent1"/>
                </a:solidFill>
              </a:ln>
              <a:effectLst/>
            </c:spPr>
          </c:marker>
          <c:cat>
            <c:strRef>
              <c:f>'Fig 14.1 &amp; 14.2 XmR chart'!$B$2:$B$100</c:f>
              <c:strCache>
                <c:ptCount val="99"/>
                <c:pt idx="0">
                  <c:v>Jan-41</c:v>
                </c:pt>
                <c:pt idx="1">
                  <c:v>Feb-41</c:v>
                </c:pt>
                <c:pt idx="2">
                  <c:v>Mar-41</c:v>
                </c:pt>
                <c:pt idx="3">
                  <c:v>Apr-41</c:v>
                </c:pt>
                <c:pt idx="4">
                  <c:v>May-41</c:v>
                </c:pt>
                <c:pt idx="5">
                  <c:v>Jun-41</c:v>
                </c:pt>
                <c:pt idx="6">
                  <c:v>Jul-41</c:v>
                </c:pt>
                <c:pt idx="7">
                  <c:v>Aug-41</c:v>
                </c:pt>
                <c:pt idx="8">
                  <c:v>Sep-41</c:v>
                </c:pt>
                <c:pt idx="9">
                  <c:v>Oct-41</c:v>
                </c:pt>
                <c:pt idx="10">
                  <c:v>Nov-41</c:v>
                </c:pt>
                <c:pt idx="11">
                  <c:v>Dec-41</c:v>
                </c:pt>
                <c:pt idx="12">
                  <c:v>Jan-42</c:v>
                </c:pt>
                <c:pt idx="13">
                  <c:v>Feb-42</c:v>
                </c:pt>
                <c:pt idx="14">
                  <c:v>Mar-42</c:v>
                </c:pt>
                <c:pt idx="15">
                  <c:v>Apr-42</c:v>
                </c:pt>
                <c:pt idx="16">
                  <c:v>May-42</c:v>
                </c:pt>
                <c:pt idx="17">
                  <c:v>Jun-42</c:v>
                </c:pt>
                <c:pt idx="18">
                  <c:v>Jul-42</c:v>
                </c:pt>
                <c:pt idx="19">
                  <c:v>Aug-42</c:v>
                </c:pt>
                <c:pt idx="20">
                  <c:v>Sep-42</c:v>
                </c:pt>
                <c:pt idx="21">
                  <c:v>Oct-42</c:v>
                </c:pt>
                <c:pt idx="22">
                  <c:v>Nov-42</c:v>
                </c:pt>
                <c:pt idx="23">
                  <c:v>Dec-42</c:v>
                </c:pt>
                <c:pt idx="24">
                  <c:v>Jan-43</c:v>
                </c:pt>
                <c:pt idx="25">
                  <c:v>Feb-43</c:v>
                </c:pt>
                <c:pt idx="26">
                  <c:v>Mar-43</c:v>
                </c:pt>
                <c:pt idx="27">
                  <c:v>Apr-43</c:v>
                </c:pt>
                <c:pt idx="28">
                  <c:v>May-43</c:v>
                </c:pt>
                <c:pt idx="29">
                  <c:v>Jun-43</c:v>
                </c:pt>
                <c:pt idx="30">
                  <c:v>Jul-43</c:v>
                </c:pt>
                <c:pt idx="31">
                  <c:v>Aug-43</c:v>
                </c:pt>
                <c:pt idx="32">
                  <c:v>Sep-43</c:v>
                </c:pt>
                <c:pt idx="33">
                  <c:v>Oct-43</c:v>
                </c:pt>
                <c:pt idx="34">
                  <c:v>Nov-43</c:v>
                </c:pt>
                <c:pt idx="35">
                  <c:v>Dec-43</c:v>
                </c:pt>
                <c:pt idx="36">
                  <c:v>Jan-44</c:v>
                </c:pt>
                <c:pt idx="37">
                  <c:v>Feb-44</c:v>
                </c:pt>
                <c:pt idx="38">
                  <c:v>Mar-44</c:v>
                </c:pt>
                <c:pt idx="39">
                  <c:v>Apr-44</c:v>
                </c:pt>
                <c:pt idx="40">
                  <c:v>May-44</c:v>
                </c:pt>
                <c:pt idx="41">
                  <c:v>Jun-44</c:v>
                </c:pt>
                <c:pt idx="42">
                  <c:v>Jul-44</c:v>
                </c:pt>
                <c:pt idx="43">
                  <c:v>Aug-44</c:v>
                </c:pt>
                <c:pt idx="44">
                  <c:v>Sep-44</c:v>
                </c:pt>
                <c:pt idx="45">
                  <c:v>Oct-44</c:v>
                </c:pt>
                <c:pt idx="46">
                  <c:v>Nov-44</c:v>
                </c:pt>
                <c:pt idx="47">
                  <c:v>Dec-44</c:v>
                </c:pt>
                <c:pt idx="48">
                  <c:v>Jan-45</c:v>
                </c:pt>
                <c:pt idx="49">
                  <c:v>Feb-45</c:v>
                </c:pt>
                <c:pt idx="50">
                  <c:v>Mar-45</c:v>
                </c:pt>
                <c:pt idx="51">
                  <c:v>Apr-45</c:v>
                </c:pt>
                <c:pt idx="52">
                  <c:v>May-45</c:v>
                </c:pt>
                <c:pt idx="53">
                  <c:v>Jun-45</c:v>
                </c:pt>
                <c:pt idx="54">
                  <c:v>Jul-45</c:v>
                </c:pt>
                <c:pt idx="55">
                  <c:v>Aug-45</c:v>
                </c:pt>
                <c:pt idx="56">
                  <c:v>Sep-45</c:v>
                </c:pt>
                <c:pt idx="57">
                  <c:v>Oct-45</c:v>
                </c:pt>
                <c:pt idx="58">
                  <c:v>Nov-45</c:v>
                </c:pt>
                <c:pt idx="59">
                  <c:v>Dec-45</c:v>
                </c:pt>
                <c:pt idx="60">
                  <c:v>Jan-46</c:v>
                </c:pt>
                <c:pt idx="61">
                  <c:v>Feb-46</c:v>
                </c:pt>
                <c:pt idx="62">
                  <c:v>Mar-46</c:v>
                </c:pt>
                <c:pt idx="63">
                  <c:v>Apr-46</c:v>
                </c:pt>
                <c:pt idx="64">
                  <c:v>May-46</c:v>
                </c:pt>
                <c:pt idx="65">
                  <c:v>Jun-46</c:v>
                </c:pt>
                <c:pt idx="66">
                  <c:v>Jul-46</c:v>
                </c:pt>
                <c:pt idx="67">
                  <c:v>Aug-46</c:v>
                </c:pt>
                <c:pt idx="68">
                  <c:v>Sep-46</c:v>
                </c:pt>
                <c:pt idx="69">
                  <c:v>Oct-46</c:v>
                </c:pt>
                <c:pt idx="70">
                  <c:v>Nov-46</c:v>
                </c:pt>
                <c:pt idx="71">
                  <c:v>Dec-46</c:v>
                </c:pt>
                <c:pt idx="72">
                  <c:v>Jan-47</c:v>
                </c:pt>
                <c:pt idx="73">
                  <c:v>Feb-47</c:v>
                </c:pt>
                <c:pt idx="74">
                  <c:v>Mar-47</c:v>
                </c:pt>
                <c:pt idx="75">
                  <c:v>Apr-47</c:v>
                </c:pt>
                <c:pt idx="76">
                  <c:v>May-47</c:v>
                </c:pt>
                <c:pt idx="77">
                  <c:v>Jun-47</c:v>
                </c:pt>
                <c:pt idx="78">
                  <c:v>Jul-47</c:v>
                </c:pt>
                <c:pt idx="79">
                  <c:v>Aug-47</c:v>
                </c:pt>
                <c:pt idx="80">
                  <c:v>Sep-47</c:v>
                </c:pt>
                <c:pt idx="81">
                  <c:v>Oct-47</c:v>
                </c:pt>
                <c:pt idx="82">
                  <c:v>Nov-47</c:v>
                </c:pt>
                <c:pt idx="83">
                  <c:v>Dec-47</c:v>
                </c:pt>
                <c:pt idx="84">
                  <c:v>Jan-48</c:v>
                </c:pt>
                <c:pt idx="85">
                  <c:v>Feb-48</c:v>
                </c:pt>
                <c:pt idx="86">
                  <c:v>Mar-48</c:v>
                </c:pt>
                <c:pt idx="87">
                  <c:v>Apr-48</c:v>
                </c:pt>
                <c:pt idx="88">
                  <c:v>May-48</c:v>
                </c:pt>
                <c:pt idx="89">
                  <c:v>Jun-48</c:v>
                </c:pt>
                <c:pt idx="90">
                  <c:v>Jul-48</c:v>
                </c:pt>
                <c:pt idx="91">
                  <c:v>Aug-48</c:v>
                </c:pt>
                <c:pt idx="92">
                  <c:v>Sep-48</c:v>
                </c:pt>
                <c:pt idx="93">
                  <c:v>Oct-48</c:v>
                </c:pt>
                <c:pt idx="94">
                  <c:v>Nov-48</c:v>
                </c:pt>
                <c:pt idx="95">
                  <c:v>Dec-48</c:v>
                </c:pt>
                <c:pt idx="96">
                  <c:v>Jan-49</c:v>
                </c:pt>
                <c:pt idx="97">
                  <c:v>Feb-49</c:v>
                </c:pt>
                <c:pt idx="98">
                  <c:v>Mar-49</c:v>
                </c:pt>
              </c:strCache>
            </c:strRef>
          </c:cat>
          <c:val>
            <c:numRef>
              <c:f>'Fig 14.1 &amp; 14.2 XmR chart'!$C$2:$C$100</c:f>
              <c:numCache>
                <c:formatCode>General</c:formatCode>
                <c:ptCount val="99"/>
                <c:pt idx="0">
                  <c:v>14.6</c:v>
                </c:pt>
                <c:pt idx="1">
                  <c:v>7.5</c:v>
                </c:pt>
                <c:pt idx="2">
                  <c:v>4.3</c:v>
                </c:pt>
                <c:pt idx="3">
                  <c:v>1.6</c:v>
                </c:pt>
                <c:pt idx="4">
                  <c:v>0.8</c:v>
                </c:pt>
                <c:pt idx="5">
                  <c:v>5</c:v>
                </c:pt>
                <c:pt idx="6">
                  <c:v>8.4</c:v>
                </c:pt>
                <c:pt idx="7">
                  <c:v>1.4</c:v>
                </c:pt>
                <c:pt idx="8">
                  <c:v>1.9</c:v>
                </c:pt>
                <c:pt idx="9">
                  <c:v>11</c:v>
                </c:pt>
                <c:pt idx="10">
                  <c:v>22.6</c:v>
                </c:pt>
                <c:pt idx="12">
                  <c:v>20.8</c:v>
                </c:pt>
                <c:pt idx="13">
                  <c:v>12.2</c:v>
                </c:pt>
                <c:pt idx="14">
                  <c:v>10.199999999999999</c:v>
                </c:pt>
                <c:pt idx="15">
                  <c:v>10.7</c:v>
                </c:pt>
                <c:pt idx="16">
                  <c:v>3.2</c:v>
                </c:pt>
                <c:pt idx="17">
                  <c:v>6.6</c:v>
                </c:pt>
                <c:pt idx="18">
                  <c:v>20.8</c:v>
                </c:pt>
                <c:pt idx="19">
                  <c:v>25.5</c:v>
                </c:pt>
                <c:pt idx="20">
                  <c:v>18.399999999999999</c:v>
                </c:pt>
                <c:pt idx="21">
                  <c:v>29.3</c:v>
                </c:pt>
                <c:pt idx="22">
                  <c:v>23</c:v>
                </c:pt>
                <c:pt idx="23">
                  <c:v>31.4</c:v>
                </c:pt>
                <c:pt idx="24">
                  <c:v>19.100000000000001</c:v>
                </c:pt>
                <c:pt idx="25">
                  <c:v>16</c:v>
                </c:pt>
                <c:pt idx="26">
                  <c:v>12.4</c:v>
                </c:pt>
                <c:pt idx="27">
                  <c:v>11.9</c:v>
                </c:pt>
                <c:pt idx="28">
                  <c:v>6.1</c:v>
                </c:pt>
                <c:pt idx="29">
                  <c:v>4.0999999999999996</c:v>
                </c:pt>
                <c:pt idx="30">
                  <c:v>0.5</c:v>
                </c:pt>
                <c:pt idx="31">
                  <c:v>1.6</c:v>
                </c:pt>
                <c:pt idx="32">
                  <c:v>2.2999999999999998</c:v>
                </c:pt>
                <c:pt idx="33">
                  <c:v>17.600000000000001</c:v>
                </c:pt>
                <c:pt idx="34">
                  <c:v>7.1</c:v>
                </c:pt>
                <c:pt idx="35">
                  <c:v>8.1</c:v>
                </c:pt>
                <c:pt idx="36">
                  <c:v>15.2</c:v>
                </c:pt>
                <c:pt idx="37">
                  <c:v>11.3</c:v>
                </c:pt>
                <c:pt idx="38">
                  <c:v>17</c:v>
                </c:pt>
                <c:pt idx="39">
                  <c:v>17.3</c:v>
                </c:pt>
                <c:pt idx="40">
                  <c:v>5.8</c:v>
                </c:pt>
                <c:pt idx="41">
                  <c:v>2.7</c:v>
                </c:pt>
                <c:pt idx="42">
                  <c:v>4.4000000000000004</c:v>
                </c:pt>
                <c:pt idx="43">
                  <c:v>6.3</c:v>
                </c:pt>
                <c:pt idx="44">
                  <c:v>1.2</c:v>
                </c:pt>
                <c:pt idx="45">
                  <c:v>3.2</c:v>
                </c:pt>
                <c:pt idx="46">
                  <c:v>11</c:v>
                </c:pt>
                <c:pt idx="47">
                  <c:v>10.5</c:v>
                </c:pt>
                <c:pt idx="48">
                  <c:v>7.6</c:v>
                </c:pt>
                <c:pt idx="49">
                  <c:v>4.7</c:v>
                </c:pt>
                <c:pt idx="50">
                  <c:v>4.5</c:v>
                </c:pt>
                <c:pt idx="51">
                  <c:v>4.2</c:v>
                </c:pt>
                <c:pt idx="52">
                  <c:v>4.4000000000000004</c:v>
                </c:pt>
                <c:pt idx="53">
                  <c:v>7.1</c:v>
                </c:pt>
                <c:pt idx="54">
                  <c:v>6.1</c:v>
                </c:pt>
                <c:pt idx="55">
                  <c:v>3.6</c:v>
                </c:pt>
                <c:pt idx="56">
                  <c:v>10.5</c:v>
                </c:pt>
                <c:pt idx="57">
                  <c:v>14.8</c:v>
                </c:pt>
                <c:pt idx="58">
                  <c:v>10.9</c:v>
                </c:pt>
                <c:pt idx="59">
                  <c:v>10.5</c:v>
                </c:pt>
                <c:pt idx="60">
                  <c:v>13.4</c:v>
                </c:pt>
                <c:pt idx="61">
                  <c:v>18.100000000000001</c:v>
                </c:pt>
                <c:pt idx="62">
                  <c:v>15.4</c:v>
                </c:pt>
                <c:pt idx="63">
                  <c:v>19</c:v>
                </c:pt>
                <c:pt idx="64">
                  <c:v>13.4</c:v>
                </c:pt>
                <c:pt idx="65">
                  <c:v>10.199999999999999</c:v>
                </c:pt>
                <c:pt idx="66">
                  <c:v>13.1</c:v>
                </c:pt>
                <c:pt idx="67">
                  <c:v>18.100000000000001</c:v>
                </c:pt>
                <c:pt idx="68">
                  <c:v>14.4</c:v>
                </c:pt>
                <c:pt idx="69">
                  <c:v>15</c:v>
                </c:pt>
                <c:pt idx="70">
                  <c:v>10.8</c:v>
                </c:pt>
                <c:pt idx="71">
                  <c:v>5.4</c:v>
                </c:pt>
                <c:pt idx="72">
                  <c:v>3.2</c:v>
                </c:pt>
                <c:pt idx="73">
                  <c:v>1.9</c:v>
                </c:pt>
                <c:pt idx="74">
                  <c:v>3.6</c:v>
                </c:pt>
                <c:pt idx="75">
                  <c:v>18.3</c:v>
                </c:pt>
                <c:pt idx="76">
                  <c:v>12.2</c:v>
                </c:pt>
                <c:pt idx="77">
                  <c:v>2.2000000000000002</c:v>
                </c:pt>
                <c:pt idx="78">
                  <c:v>1.2</c:v>
                </c:pt>
                <c:pt idx="79">
                  <c:v>1.9</c:v>
                </c:pt>
                <c:pt idx="80">
                  <c:v>4.5999999999999996</c:v>
                </c:pt>
                <c:pt idx="81">
                  <c:v>4</c:v>
                </c:pt>
                <c:pt idx="82">
                  <c:v>4.5</c:v>
                </c:pt>
                <c:pt idx="83">
                  <c:v>2.9</c:v>
                </c:pt>
                <c:pt idx="84">
                  <c:v>3.5</c:v>
                </c:pt>
                <c:pt idx="85">
                  <c:v>0.7</c:v>
                </c:pt>
                <c:pt idx="86">
                  <c:v>0</c:v>
                </c:pt>
                <c:pt idx="87">
                  <c:v>0.7</c:v>
                </c:pt>
                <c:pt idx="88">
                  <c:v>1</c:v>
                </c:pt>
                <c:pt idx="89">
                  <c:v>1.1000000000000001</c:v>
                </c:pt>
                <c:pt idx="90">
                  <c:v>0.4</c:v>
                </c:pt>
                <c:pt idx="91">
                  <c:v>0</c:v>
                </c:pt>
                <c:pt idx="92">
                  <c:v>1</c:v>
                </c:pt>
                <c:pt idx="93">
                  <c:v>2.2999999999999998</c:v>
                </c:pt>
                <c:pt idx="94">
                  <c:v>2.9</c:v>
                </c:pt>
                <c:pt idx="95">
                  <c:v>1.3</c:v>
                </c:pt>
                <c:pt idx="96">
                  <c:v>2.2000000000000002</c:v>
                </c:pt>
                <c:pt idx="97">
                  <c:v>3.1</c:v>
                </c:pt>
                <c:pt idx="98">
                  <c:v>4.9000000000000004</c:v>
                </c:pt>
              </c:numCache>
            </c:numRef>
          </c:val>
          <c:smooth val="0"/>
          <c:extLst>
            <c:ext xmlns:c16="http://schemas.microsoft.com/office/drawing/2014/chart" uri="{C3380CC4-5D6E-409C-BE32-E72D297353CC}">
              <c16:uniqueId val="{00000000-329B-41D6-8340-43856FD2F6C5}"/>
            </c:ext>
          </c:extLst>
        </c:ser>
        <c:ser>
          <c:idx val="1"/>
          <c:order val="1"/>
          <c:tx>
            <c:strRef>
              <c:f>'Fig 14.1 &amp; 14.2 XmR chart'!$D$1</c:f>
              <c:strCache>
                <c:ptCount val="1"/>
                <c:pt idx="0">
                  <c:v>Mean</c:v>
                </c:pt>
              </c:strCache>
            </c:strRef>
          </c:tx>
          <c:spPr>
            <a:ln w="28575" cap="rnd">
              <a:solidFill>
                <a:schemeClr val="tx1"/>
              </a:solidFill>
              <a:round/>
            </a:ln>
            <a:effectLst/>
          </c:spPr>
          <c:marker>
            <c:symbol val="none"/>
          </c:marker>
          <c:cat>
            <c:strRef>
              <c:f>'Fig 14.1 &amp; 14.2 XmR chart'!$B$2:$B$100</c:f>
              <c:strCache>
                <c:ptCount val="99"/>
                <c:pt idx="0">
                  <c:v>Jan-41</c:v>
                </c:pt>
                <c:pt idx="1">
                  <c:v>Feb-41</c:v>
                </c:pt>
                <c:pt idx="2">
                  <c:v>Mar-41</c:v>
                </c:pt>
                <c:pt idx="3">
                  <c:v>Apr-41</c:v>
                </c:pt>
                <c:pt idx="4">
                  <c:v>May-41</c:v>
                </c:pt>
                <c:pt idx="5">
                  <c:v>Jun-41</c:v>
                </c:pt>
                <c:pt idx="6">
                  <c:v>Jul-41</c:v>
                </c:pt>
                <c:pt idx="7">
                  <c:v>Aug-41</c:v>
                </c:pt>
                <c:pt idx="8">
                  <c:v>Sep-41</c:v>
                </c:pt>
                <c:pt idx="9">
                  <c:v>Oct-41</c:v>
                </c:pt>
                <c:pt idx="10">
                  <c:v>Nov-41</c:v>
                </c:pt>
                <c:pt idx="11">
                  <c:v>Dec-41</c:v>
                </c:pt>
                <c:pt idx="12">
                  <c:v>Jan-42</c:v>
                </c:pt>
                <c:pt idx="13">
                  <c:v>Feb-42</c:v>
                </c:pt>
                <c:pt idx="14">
                  <c:v>Mar-42</c:v>
                </c:pt>
                <c:pt idx="15">
                  <c:v>Apr-42</c:v>
                </c:pt>
                <c:pt idx="16">
                  <c:v>May-42</c:v>
                </c:pt>
                <c:pt idx="17">
                  <c:v>Jun-42</c:v>
                </c:pt>
                <c:pt idx="18">
                  <c:v>Jul-42</c:v>
                </c:pt>
                <c:pt idx="19">
                  <c:v>Aug-42</c:v>
                </c:pt>
                <c:pt idx="20">
                  <c:v>Sep-42</c:v>
                </c:pt>
                <c:pt idx="21">
                  <c:v>Oct-42</c:v>
                </c:pt>
                <c:pt idx="22">
                  <c:v>Nov-42</c:v>
                </c:pt>
                <c:pt idx="23">
                  <c:v>Dec-42</c:v>
                </c:pt>
                <c:pt idx="24">
                  <c:v>Jan-43</c:v>
                </c:pt>
                <c:pt idx="25">
                  <c:v>Feb-43</c:v>
                </c:pt>
                <c:pt idx="26">
                  <c:v>Mar-43</c:v>
                </c:pt>
                <c:pt idx="27">
                  <c:v>Apr-43</c:v>
                </c:pt>
                <c:pt idx="28">
                  <c:v>May-43</c:v>
                </c:pt>
                <c:pt idx="29">
                  <c:v>Jun-43</c:v>
                </c:pt>
                <c:pt idx="30">
                  <c:v>Jul-43</c:v>
                </c:pt>
                <c:pt idx="31">
                  <c:v>Aug-43</c:v>
                </c:pt>
                <c:pt idx="32">
                  <c:v>Sep-43</c:v>
                </c:pt>
                <c:pt idx="33">
                  <c:v>Oct-43</c:v>
                </c:pt>
                <c:pt idx="34">
                  <c:v>Nov-43</c:v>
                </c:pt>
                <c:pt idx="35">
                  <c:v>Dec-43</c:v>
                </c:pt>
                <c:pt idx="36">
                  <c:v>Jan-44</c:v>
                </c:pt>
                <c:pt idx="37">
                  <c:v>Feb-44</c:v>
                </c:pt>
                <c:pt idx="38">
                  <c:v>Mar-44</c:v>
                </c:pt>
                <c:pt idx="39">
                  <c:v>Apr-44</c:v>
                </c:pt>
                <c:pt idx="40">
                  <c:v>May-44</c:v>
                </c:pt>
                <c:pt idx="41">
                  <c:v>Jun-44</c:v>
                </c:pt>
                <c:pt idx="42">
                  <c:v>Jul-44</c:v>
                </c:pt>
                <c:pt idx="43">
                  <c:v>Aug-44</c:v>
                </c:pt>
                <c:pt idx="44">
                  <c:v>Sep-44</c:v>
                </c:pt>
                <c:pt idx="45">
                  <c:v>Oct-44</c:v>
                </c:pt>
                <c:pt idx="46">
                  <c:v>Nov-44</c:v>
                </c:pt>
                <c:pt idx="47">
                  <c:v>Dec-44</c:v>
                </c:pt>
                <c:pt idx="48">
                  <c:v>Jan-45</c:v>
                </c:pt>
                <c:pt idx="49">
                  <c:v>Feb-45</c:v>
                </c:pt>
                <c:pt idx="50">
                  <c:v>Mar-45</c:v>
                </c:pt>
                <c:pt idx="51">
                  <c:v>Apr-45</c:v>
                </c:pt>
                <c:pt idx="52">
                  <c:v>May-45</c:v>
                </c:pt>
                <c:pt idx="53">
                  <c:v>Jun-45</c:v>
                </c:pt>
                <c:pt idx="54">
                  <c:v>Jul-45</c:v>
                </c:pt>
                <c:pt idx="55">
                  <c:v>Aug-45</c:v>
                </c:pt>
                <c:pt idx="56">
                  <c:v>Sep-45</c:v>
                </c:pt>
                <c:pt idx="57">
                  <c:v>Oct-45</c:v>
                </c:pt>
                <c:pt idx="58">
                  <c:v>Nov-45</c:v>
                </c:pt>
                <c:pt idx="59">
                  <c:v>Dec-45</c:v>
                </c:pt>
                <c:pt idx="60">
                  <c:v>Jan-46</c:v>
                </c:pt>
                <c:pt idx="61">
                  <c:v>Feb-46</c:v>
                </c:pt>
                <c:pt idx="62">
                  <c:v>Mar-46</c:v>
                </c:pt>
                <c:pt idx="63">
                  <c:v>Apr-46</c:v>
                </c:pt>
                <c:pt idx="64">
                  <c:v>May-46</c:v>
                </c:pt>
                <c:pt idx="65">
                  <c:v>Jun-46</c:v>
                </c:pt>
                <c:pt idx="66">
                  <c:v>Jul-46</c:v>
                </c:pt>
                <c:pt idx="67">
                  <c:v>Aug-46</c:v>
                </c:pt>
                <c:pt idx="68">
                  <c:v>Sep-46</c:v>
                </c:pt>
                <c:pt idx="69">
                  <c:v>Oct-46</c:v>
                </c:pt>
                <c:pt idx="70">
                  <c:v>Nov-46</c:v>
                </c:pt>
                <c:pt idx="71">
                  <c:v>Dec-46</c:v>
                </c:pt>
                <c:pt idx="72">
                  <c:v>Jan-47</c:v>
                </c:pt>
                <c:pt idx="73">
                  <c:v>Feb-47</c:v>
                </c:pt>
                <c:pt idx="74">
                  <c:v>Mar-47</c:v>
                </c:pt>
                <c:pt idx="75">
                  <c:v>Apr-47</c:v>
                </c:pt>
                <c:pt idx="76">
                  <c:v>May-47</c:v>
                </c:pt>
                <c:pt idx="77">
                  <c:v>Jun-47</c:v>
                </c:pt>
                <c:pt idx="78">
                  <c:v>Jul-47</c:v>
                </c:pt>
                <c:pt idx="79">
                  <c:v>Aug-47</c:v>
                </c:pt>
                <c:pt idx="80">
                  <c:v>Sep-47</c:v>
                </c:pt>
                <c:pt idx="81">
                  <c:v>Oct-47</c:v>
                </c:pt>
                <c:pt idx="82">
                  <c:v>Nov-47</c:v>
                </c:pt>
                <c:pt idx="83">
                  <c:v>Dec-47</c:v>
                </c:pt>
                <c:pt idx="84">
                  <c:v>Jan-48</c:v>
                </c:pt>
                <c:pt idx="85">
                  <c:v>Feb-48</c:v>
                </c:pt>
                <c:pt idx="86">
                  <c:v>Mar-48</c:v>
                </c:pt>
                <c:pt idx="87">
                  <c:v>Apr-48</c:v>
                </c:pt>
                <c:pt idx="88">
                  <c:v>May-48</c:v>
                </c:pt>
                <c:pt idx="89">
                  <c:v>Jun-48</c:v>
                </c:pt>
                <c:pt idx="90">
                  <c:v>Jul-48</c:v>
                </c:pt>
                <c:pt idx="91">
                  <c:v>Aug-48</c:v>
                </c:pt>
                <c:pt idx="92">
                  <c:v>Sep-48</c:v>
                </c:pt>
                <c:pt idx="93">
                  <c:v>Oct-48</c:v>
                </c:pt>
                <c:pt idx="94">
                  <c:v>Nov-48</c:v>
                </c:pt>
                <c:pt idx="95">
                  <c:v>Dec-48</c:v>
                </c:pt>
                <c:pt idx="96">
                  <c:v>Jan-49</c:v>
                </c:pt>
                <c:pt idx="97">
                  <c:v>Feb-49</c:v>
                </c:pt>
                <c:pt idx="98">
                  <c:v>Mar-49</c:v>
                </c:pt>
              </c:strCache>
            </c:strRef>
          </c:cat>
          <c:val>
            <c:numRef>
              <c:f>'Fig 14.1 &amp; 14.2 XmR chart'!$D$2:$D$100</c:f>
              <c:numCache>
                <c:formatCode>General</c:formatCode>
                <c:ptCount val="99"/>
                <c:pt idx="0">
                  <c:v>8.6</c:v>
                </c:pt>
                <c:pt idx="1">
                  <c:v>8.6</c:v>
                </c:pt>
                <c:pt idx="2">
                  <c:v>8.6</c:v>
                </c:pt>
                <c:pt idx="3">
                  <c:v>8.6</c:v>
                </c:pt>
                <c:pt idx="4">
                  <c:v>8.6</c:v>
                </c:pt>
                <c:pt idx="5">
                  <c:v>8.6</c:v>
                </c:pt>
                <c:pt idx="6">
                  <c:v>8.6</c:v>
                </c:pt>
                <c:pt idx="7">
                  <c:v>8.6</c:v>
                </c:pt>
                <c:pt idx="8">
                  <c:v>8.6</c:v>
                </c:pt>
                <c:pt idx="9">
                  <c:v>8.6</c:v>
                </c:pt>
                <c:pt idx="10">
                  <c:v>8.6</c:v>
                </c:pt>
                <c:pt idx="11">
                  <c:v>8.6</c:v>
                </c:pt>
                <c:pt idx="12">
                  <c:v>8.6</c:v>
                </c:pt>
                <c:pt idx="13">
                  <c:v>8.6</c:v>
                </c:pt>
                <c:pt idx="14">
                  <c:v>8.6</c:v>
                </c:pt>
                <c:pt idx="15">
                  <c:v>8.6</c:v>
                </c:pt>
                <c:pt idx="16">
                  <c:v>8.6</c:v>
                </c:pt>
                <c:pt idx="17">
                  <c:v>8.6</c:v>
                </c:pt>
                <c:pt idx="18">
                  <c:v>8.6</c:v>
                </c:pt>
                <c:pt idx="19">
                  <c:v>8.6</c:v>
                </c:pt>
                <c:pt idx="20">
                  <c:v>8.6</c:v>
                </c:pt>
                <c:pt idx="21">
                  <c:v>8.6</c:v>
                </c:pt>
                <c:pt idx="22">
                  <c:v>8.6</c:v>
                </c:pt>
                <c:pt idx="23">
                  <c:v>8.6</c:v>
                </c:pt>
                <c:pt idx="24">
                  <c:v>8.6</c:v>
                </c:pt>
                <c:pt idx="25">
                  <c:v>8.6</c:v>
                </c:pt>
                <c:pt idx="26">
                  <c:v>8.6</c:v>
                </c:pt>
                <c:pt idx="27">
                  <c:v>8.6</c:v>
                </c:pt>
                <c:pt idx="28">
                  <c:v>8.6</c:v>
                </c:pt>
                <c:pt idx="29">
                  <c:v>8.6</c:v>
                </c:pt>
                <c:pt idx="30">
                  <c:v>8.6</c:v>
                </c:pt>
                <c:pt idx="31">
                  <c:v>8.6</c:v>
                </c:pt>
                <c:pt idx="32">
                  <c:v>8.6</c:v>
                </c:pt>
                <c:pt idx="33">
                  <c:v>8.6</c:v>
                </c:pt>
                <c:pt idx="34">
                  <c:v>8.6</c:v>
                </c:pt>
                <c:pt idx="35">
                  <c:v>8.6</c:v>
                </c:pt>
                <c:pt idx="36">
                  <c:v>8.6</c:v>
                </c:pt>
                <c:pt idx="37">
                  <c:v>8.6</c:v>
                </c:pt>
                <c:pt idx="38">
                  <c:v>8.6</c:v>
                </c:pt>
                <c:pt idx="39">
                  <c:v>8.6</c:v>
                </c:pt>
                <c:pt idx="40">
                  <c:v>8.6</c:v>
                </c:pt>
                <c:pt idx="41">
                  <c:v>8.6</c:v>
                </c:pt>
                <c:pt idx="42">
                  <c:v>8.6</c:v>
                </c:pt>
                <c:pt idx="43">
                  <c:v>8.6</c:v>
                </c:pt>
                <c:pt idx="44">
                  <c:v>8.6</c:v>
                </c:pt>
                <c:pt idx="45">
                  <c:v>8.6</c:v>
                </c:pt>
                <c:pt idx="46">
                  <c:v>8.6</c:v>
                </c:pt>
                <c:pt idx="47">
                  <c:v>8.6</c:v>
                </c:pt>
                <c:pt idx="48">
                  <c:v>8.6</c:v>
                </c:pt>
                <c:pt idx="49">
                  <c:v>8.6</c:v>
                </c:pt>
                <c:pt idx="50">
                  <c:v>8.6</c:v>
                </c:pt>
                <c:pt idx="51">
                  <c:v>8.6</c:v>
                </c:pt>
                <c:pt idx="52">
                  <c:v>8.6</c:v>
                </c:pt>
                <c:pt idx="53">
                  <c:v>8.6</c:v>
                </c:pt>
                <c:pt idx="54">
                  <c:v>8.6</c:v>
                </c:pt>
                <c:pt idx="55">
                  <c:v>8.6</c:v>
                </c:pt>
                <c:pt idx="56">
                  <c:v>8.6</c:v>
                </c:pt>
                <c:pt idx="57">
                  <c:v>8.6</c:v>
                </c:pt>
                <c:pt idx="58">
                  <c:v>8.6</c:v>
                </c:pt>
                <c:pt idx="59">
                  <c:v>8.6</c:v>
                </c:pt>
                <c:pt idx="60">
                  <c:v>8.6</c:v>
                </c:pt>
                <c:pt idx="61">
                  <c:v>8.6</c:v>
                </c:pt>
                <c:pt idx="62">
                  <c:v>8.6</c:v>
                </c:pt>
                <c:pt idx="63">
                  <c:v>8.6</c:v>
                </c:pt>
                <c:pt idx="64">
                  <c:v>8.6</c:v>
                </c:pt>
                <c:pt idx="65">
                  <c:v>8.6</c:v>
                </c:pt>
                <c:pt idx="66">
                  <c:v>8.6</c:v>
                </c:pt>
                <c:pt idx="67">
                  <c:v>8.6</c:v>
                </c:pt>
                <c:pt idx="68">
                  <c:v>8.6</c:v>
                </c:pt>
                <c:pt idx="69">
                  <c:v>8.6</c:v>
                </c:pt>
                <c:pt idx="70">
                  <c:v>8.6</c:v>
                </c:pt>
                <c:pt idx="71">
                  <c:v>8.6</c:v>
                </c:pt>
                <c:pt idx="72">
                  <c:v>8.6</c:v>
                </c:pt>
                <c:pt idx="73">
                  <c:v>8.6</c:v>
                </c:pt>
                <c:pt idx="74">
                  <c:v>8.6</c:v>
                </c:pt>
                <c:pt idx="75">
                  <c:v>8.6</c:v>
                </c:pt>
                <c:pt idx="76">
                  <c:v>8.6</c:v>
                </c:pt>
                <c:pt idx="77">
                  <c:v>8.6</c:v>
                </c:pt>
                <c:pt idx="78">
                  <c:v>8.6</c:v>
                </c:pt>
                <c:pt idx="79">
                  <c:v>8.6</c:v>
                </c:pt>
                <c:pt idx="80">
                  <c:v>8.6</c:v>
                </c:pt>
                <c:pt idx="81">
                  <c:v>8.6</c:v>
                </c:pt>
                <c:pt idx="82">
                  <c:v>8.6</c:v>
                </c:pt>
                <c:pt idx="83">
                  <c:v>8.6</c:v>
                </c:pt>
                <c:pt idx="84">
                  <c:v>8.6</c:v>
                </c:pt>
                <c:pt idx="85">
                  <c:v>8.6</c:v>
                </c:pt>
                <c:pt idx="86">
                  <c:v>8.6</c:v>
                </c:pt>
                <c:pt idx="87">
                  <c:v>8.6</c:v>
                </c:pt>
                <c:pt idx="88">
                  <c:v>8.6</c:v>
                </c:pt>
                <c:pt idx="89">
                  <c:v>8.6</c:v>
                </c:pt>
                <c:pt idx="90">
                  <c:v>8.6</c:v>
                </c:pt>
                <c:pt idx="91">
                  <c:v>8.6</c:v>
                </c:pt>
                <c:pt idx="92">
                  <c:v>8.6</c:v>
                </c:pt>
                <c:pt idx="93">
                  <c:v>8.6</c:v>
                </c:pt>
                <c:pt idx="94">
                  <c:v>8.6</c:v>
                </c:pt>
                <c:pt idx="95">
                  <c:v>8.6</c:v>
                </c:pt>
                <c:pt idx="96">
                  <c:v>8.6</c:v>
                </c:pt>
                <c:pt idx="97">
                  <c:v>8.6</c:v>
                </c:pt>
                <c:pt idx="98">
                  <c:v>8.6</c:v>
                </c:pt>
              </c:numCache>
            </c:numRef>
          </c:val>
          <c:smooth val="0"/>
          <c:extLst>
            <c:ext xmlns:c16="http://schemas.microsoft.com/office/drawing/2014/chart" uri="{C3380CC4-5D6E-409C-BE32-E72D297353CC}">
              <c16:uniqueId val="{00000001-329B-41D6-8340-43856FD2F6C5}"/>
            </c:ext>
          </c:extLst>
        </c:ser>
        <c:ser>
          <c:idx val="2"/>
          <c:order val="2"/>
          <c:tx>
            <c:strRef>
              <c:f>'Fig 14.1 &amp; 14.2 XmR chart'!$E$1</c:f>
              <c:strCache>
                <c:ptCount val="1"/>
                <c:pt idx="0">
                  <c:v>UPL</c:v>
                </c:pt>
              </c:strCache>
            </c:strRef>
          </c:tx>
          <c:spPr>
            <a:ln w="28575" cap="rnd">
              <a:solidFill>
                <a:srgbClr val="D72323"/>
              </a:solidFill>
              <a:prstDash val="dash"/>
              <a:round/>
            </a:ln>
            <a:effectLst/>
          </c:spPr>
          <c:marker>
            <c:symbol val="none"/>
          </c:marker>
          <c:cat>
            <c:strRef>
              <c:f>'Fig 14.1 &amp; 14.2 XmR chart'!$B$2:$B$100</c:f>
              <c:strCache>
                <c:ptCount val="99"/>
                <c:pt idx="0">
                  <c:v>Jan-41</c:v>
                </c:pt>
                <c:pt idx="1">
                  <c:v>Feb-41</c:v>
                </c:pt>
                <c:pt idx="2">
                  <c:v>Mar-41</c:v>
                </c:pt>
                <c:pt idx="3">
                  <c:v>Apr-41</c:v>
                </c:pt>
                <c:pt idx="4">
                  <c:v>May-41</c:v>
                </c:pt>
                <c:pt idx="5">
                  <c:v>Jun-41</c:v>
                </c:pt>
                <c:pt idx="6">
                  <c:v>Jul-41</c:v>
                </c:pt>
                <c:pt idx="7">
                  <c:v>Aug-41</c:v>
                </c:pt>
                <c:pt idx="8">
                  <c:v>Sep-41</c:v>
                </c:pt>
                <c:pt idx="9">
                  <c:v>Oct-41</c:v>
                </c:pt>
                <c:pt idx="10">
                  <c:v>Nov-41</c:v>
                </c:pt>
                <c:pt idx="11">
                  <c:v>Dec-41</c:v>
                </c:pt>
                <c:pt idx="12">
                  <c:v>Jan-42</c:v>
                </c:pt>
                <c:pt idx="13">
                  <c:v>Feb-42</c:v>
                </c:pt>
                <c:pt idx="14">
                  <c:v>Mar-42</c:v>
                </c:pt>
                <c:pt idx="15">
                  <c:v>Apr-42</c:v>
                </c:pt>
                <c:pt idx="16">
                  <c:v>May-42</c:v>
                </c:pt>
                <c:pt idx="17">
                  <c:v>Jun-42</c:v>
                </c:pt>
                <c:pt idx="18">
                  <c:v>Jul-42</c:v>
                </c:pt>
                <c:pt idx="19">
                  <c:v>Aug-42</c:v>
                </c:pt>
                <c:pt idx="20">
                  <c:v>Sep-42</c:v>
                </c:pt>
                <c:pt idx="21">
                  <c:v>Oct-42</c:v>
                </c:pt>
                <c:pt idx="22">
                  <c:v>Nov-42</c:v>
                </c:pt>
                <c:pt idx="23">
                  <c:v>Dec-42</c:v>
                </c:pt>
                <c:pt idx="24">
                  <c:v>Jan-43</c:v>
                </c:pt>
                <c:pt idx="25">
                  <c:v>Feb-43</c:v>
                </c:pt>
                <c:pt idx="26">
                  <c:v>Mar-43</c:v>
                </c:pt>
                <c:pt idx="27">
                  <c:v>Apr-43</c:v>
                </c:pt>
                <c:pt idx="28">
                  <c:v>May-43</c:v>
                </c:pt>
                <c:pt idx="29">
                  <c:v>Jun-43</c:v>
                </c:pt>
                <c:pt idx="30">
                  <c:v>Jul-43</c:v>
                </c:pt>
                <c:pt idx="31">
                  <c:v>Aug-43</c:v>
                </c:pt>
                <c:pt idx="32">
                  <c:v>Sep-43</c:v>
                </c:pt>
                <c:pt idx="33">
                  <c:v>Oct-43</c:v>
                </c:pt>
                <c:pt idx="34">
                  <c:v>Nov-43</c:v>
                </c:pt>
                <c:pt idx="35">
                  <c:v>Dec-43</c:v>
                </c:pt>
                <c:pt idx="36">
                  <c:v>Jan-44</c:v>
                </c:pt>
                <c:pt idx="37">
                  <c:v>Feb-44</c:v>
                </c:pt>
                <c:pt idx="38">
                  <c:v>Mar-44</c:v>
                </c:pt>
                <c:pt idx="39">
                  <c:v>Apr-44</c:v>
                </c:pt>
                <c:pt idx="40">
                  <c:v>May-44</c:v>
                </c:pt>
                <c:pt idx="41">
                  <c:v>Jun-44</c:v>
                </c:pt>
                <c:pt idx="42">
                  <c:v>Jul-44</c:v>
                </c:pt>
                <c:pt idx="43">
                  <c:v>Aug-44</c:v>
                </c:pt>
                <c:pt idx="44">
                  <c:v>Sep-44</c:v>
                </c:pt>
                <c:pt idx="45">
                  <c:v>Oct-44</c:v>
                </c:pt>
                <c:pt idx="46">
                  <c:v>Nov-44</c:v>
                </c:pt>
                <c:pt idx="47">
                  <c:v>Dec-44</c:v>
                </c:pt>
                <c:pt idx="48">
                  <c:v>Jan-45</c:v>
                </c:pt>
                <c:pt idx="49">
                  <c:v>Feb-45</c:v>
                </c:pt>
                <c:pt idx="50">
                  <c:v>Mar-45</c:v>
                </c:pt>
                <c:pt idx="51">
                  <c:v>Apr-45</c:v>
                </c:pt>
                <c:pt idx="52">
                  <c:v>May-45</c:v>
                </c:pt>
                <c:pt idx="53">
                  <c:v>Jun-45</c:v>
                </c:pt>
                <c:pt idx="54">
                  <c:v>Jul-45</c:v>
                </c:pt>
                <c:pt idx="55">
                  <c:v>Aug-45</c:v>
                </c:pt>
                <c:pt idx="56">
                  <c:v>Sep-45</c:v>
                </c:pt>
                <c:pt idx="57">
                  <c:v>Oct-45</c:v>
                </c:pt>
                <c:pt idx="58">
                  <c:v>Nov-45</c:v>
                </c:pt>
                <c:pt idx="59">
                  <c:v>Dec-45</c:v>
                </c:pt>
                <c:pt idx="60">
                  <c:v>Jan-46</c:v>
                </c:pt>
                <c:pt idx="61">
                  <c:v>Feb-46</c:v>
                </c:pt>
                <c:pt idx="62">
                  <c:v>Mar-46</c:v>
                </c:pt>
                <c:pt idx="63">
                  <c:v>Apr-46</c:v>
                </c:pt>
                <c:pt idx="64">
                  <c:v>May-46</c:v>
                </c:pt>
                <c:pt idx="65">
                  <c:v>Jun-46</c:v>
                </c:pt>
                <c:pt idx="66">
                  <c:v>Jul-46</c:v>
                </c:pt>
                <c:pt idx="67">
                  <c:v>Aug-46</c:v>
                </c:pt>
                <c:pt idx="68">
                  <c:v>Sep-46</c:v>
                </c:pt>
                <c:pt idx="69">
                  <c:v>Oct-46</c:v>
                </c:pt>
                <c:pt idx="70">
                  <c:v>Nov-46</c:v>
                </c:pt>
                <c:pt idx="71">
                  <c:v>Dec-46</c:v>
                </c:pt>
                <c:pt idx="72">
                  <c:v>Jan-47</c:v>
                </c:pt>
                <c:pt idx="73">
                  <c:v>Feb-47</c:v>
                </c:pt>
                <c:pt idx="74">
                  <c:v>Mar-47</c:v>
                </c:pt>
                <c:pt idx="75">
                  <c:v>Apr-47</c:v>
                </c:pt>
                <c:pt idx="76">
                  <c:v>May-47</c:v>
                </c:pt>
                <c:pt idx="77">
                  <c:v>Jun-47</c:v>
                </c:pt>
                <c:pt idx="78">
                  <c:v>Jul-47</c:v>
                </c:pt>
                <c:pt idx="79">
                  <c:v>Aug-47</c:v>
                </c:pt>
                <c:pt idx="80">
                  <c:v>Sep-47</c:v>
                </c:pt>
                <c:pt idx="81">
                  <c:v>Oct-47</c:v>
                </c:pt>
                <c:pt idx="82">
                  <c:v>Nov-47</c:v>
                </c:pt>
                <c:pt idx="83">
                  <c:v>Dec-47</c:v>
                </c:pt>
                <c:pt idx="84">
                  <c:v>Jan-48</c:v>
                </c:pt>
                <c:pt idx="85">
                  <c:v>Feb-48</c:v>
                </c:pt>
                <c:pt idx="86">
                  <c:v>Mar-48</c:v>
                </c:pt>
                <c:pt idx="87">
                  <c:v>Apr-48</c:v>
                </c:pt>
                <c:pt idx="88">
                  <c:v>May-48</c:v>
                </c:pt>
                <c:pt idx="89">
                  <c:v>Jun-48</c:v>
                </c:pt>
                <c:pt idx="90">
                  <c:v>Jul-48</c:v>
                </c:pt>
                <c:pt idx="91">
                  <c:v>Aug-48</c:v>
                </c:pt>
                <c:pt idx="92">
                  <c:v>Sep-48</c:v>
                </c:pt>
                <c:pt idx="93">
                  <c:v>Oct-48</c:v>
                </c:pt>
                <c:pt idx="94">
                  <c:v>Nov-48</c:v>
                </c:pt>
                <c:pt idx="95">
                  <c:v>Dec-48</c:v>
                </c:pt>
                <c:pt idx="96">
                  <c:v>Jan-49</c:v>
                </c:pt>
                <c:pt idx="97">
                  <c:v>Feb-49</c:v>
                </c:pt>
                <c:pt idx="98">
                  <c:v>Mar-49</c:v>
                </c:pt>
              </c:strCache>
            </c:strRef>
          </c:cat>
          <c:val>
            <c:numRef>
              <c:f>'Fig 14.1 &amp; 14.2 XmR chart'!$E$2:$E$100</c:f>
              <c:numCache>
                <c:formatCode>General</c:formatCode>
                <c:ptCount val="99"/>
                <c:pt idx="0">
                  <c:v>18.7</c:v>
                </c:pt>
                <c:pt idx="1">
                  <c:v>18.7</c:v>
                </c:pt>
                <c:pt idx="2">
                  <c:v>18.7</c:v>
                </c:pt>
                <c:pt idx="3">
                  <c:v>18.7</c:v>
                </c:pt>
                <c:pt idx="4">
                  <c:v>18.7</c:v>
                </c:pt>
                <c:pt idx="5">
                  <c:v>18.7</c:v>
                </c:pt>
                <c:pt idx="6">
                  <c:v>18.7</c:v>
                </c:pt>
                <c:pt idx="7">
                  <c:v>18.7</c:v>
                </c:pt>
                <c:pt idx="8">
                  <c:v>18.7</c:v>
                </c:pt>
                <c:pt idx="9">
                  <c:v>18.7</c:v>
                </c:pt>
                <c:pt idx="10">
                  <c:v>18.7</c:v>
                </c:pt>
                <c:pt idx="11">
                  <c:v>18.7</c:v>
                </c:pt>
                <c:pt idx="12">
                  <c:v>18.7</c:v>
                </c:pt>
                <c:pt idx="13">
                  <c:v>18.7</c:v>
                </c:pt>
                <c:pt idx="14">
                  <c:v>18.7</c:v>
                </c:pt>
                <c:pt idx="15">
                  <c:v>18.7</c:v>
                </c:pt>
                <c:pt idx="16">
                  <c:v>18.7</c:v>
                </c:pt>
                <c:pt idx="17">
                  <c:v>18.7</c:v>
                </c:pt>
                <c:pt idx="18">
                  <c:v>18.7</c:v>
                </c:pt>
                <c:pt idx="19">
                  <c:v>18.7</c:v>
                </c:pt>
                <c:pt idx="20">
                  <c:v>18.7</c:v>
                </c:pt>
                <c:pt idx="21">
                  <c:v>18.7</c:v>
                </c:pt>
                <c:pt idx="22">
                  <c:v>18.7</c:v>
                </c:pt>
                <c:pt idx="23">
                  <c:v>18.7</c:v>
                </c:pt>
                <c:pt idx="24">
                  <c:v>18.7</c:v>
                </c:pt>
                <c:pt idx="25">
                  <c:v>18.7</c:v>
                </c:pt>
                <c:pt idx="26">
                  <c:v>18.7</c:v>
                </c:pt>
                <c:pt idx="27">
                  <c:v>18.7</c:v>
                </c:pt>
                <c:pt idx="28">
                  <c:v>18.7</c:v>
                </c:pt>
                <c:pt idx="29">
                  <c:v>18.7</c:v>
                </c:pt>
                <c:pt idx="30">
                  <c:v>18.7</c:v>
                </c:pt>
                <c:pt idx="31">
                  <c:v>18.7</c:v>
                </c:pt>
                <c:pt idx="32">
                  <c:v>18.7</c:v>
                </c:pt>
                <c:pt idx="33">
                  <c:v>18.7</c:v>
                </c:pt>
                <c:pt idx="34">
                  <c:v>18.7</c:v>
                </c:pt>
                <c:pt idx="35">
                  <c:v>18.7</c:v>
                </c:pt>
                <c:pt idx="36">
                  <c:v>18.7</c:v>
                </c:pt>
                <c:pt idx="37">
                  <c:v>18.7</c:v>
                </c:pt>
                <c:pt idx="38">
                  <c:v>18.7</c:v>
                </c:pt>
                <c:pt idx="39">
                  <c:v>18.7</c:v>
                </c:pt>
                <c:pt idx="40">
                  <c:v>18.7</c:v>
                </c:pt>
                <c:pt idx="41">
                  <c:v>18.7</c:v>
                </c:pt>
                <c:pt idx="42">
                  <c:v>18.7</c:v>
                </c:pt>
                <c:pt idx="43">
                  <c:v>18.7</c:v>
                </c:pt>
                <c:pt idx="44">
                  <c:v>18.7</c:v>
                </c:pt>
                <c:pt idx="45">
                  <c:v>18.7</c:v>
                </c:pt>
                <c:pt idx="46">
                  <c:v>18.7</c:v>
                </c:pt>
                <c:pt idx="47">
                  <c:v>18.7</c:v>
                </c:pt>
                <c:pt idx="48">
                  <c:v>18.7</c:v>
                </c:pt>
                <c:pt idx="49">
                  <c:v>18.7</c:v>
                </c:pt>
                <c:pt idx="50">
                  <c:v>18.7</c:v>
                </c:pt>
                <c:pt idx="51">
                  <c:v>18.7</c:v>
                </c:pt>
                <c:pt idx="52">
                  <c:v>18.7</c:v>
                </c:pt>
                <c:pt idx="53">
                  <c:v>18.7</c:v>
                </c:pt>
                <c:pt idx="54">
                  <c:v>18.7</c:v>
                </c:pt>
                <c:pt idx="55">
                  <c:v>18.7</c:v>
                </c:pt>
                <c:pt idx="56">
                  <c:v>18.7</c:v>
                </c:pt>
                <c:pt idx="57">
                  <c:v>18.7</c:v>
                </c:pt>
                <c:pt idx="58">
                  <c:v>18.7</c:v>
                </c:pt>
                <c:pt idx="59">
                  <c:v>18.7</c:v>
                </c:pt>
                <c:pt idx="60">
                  <c:v>18.7</c:v>
                </c:pt>
                <c:pt idx="61">
                  <c:v>18.7</c:v>
                </c:pt>
                <c:pt idx="62">
                  <c:v>18.7</c:v>
                </c:pt>
                <c:pt idx="63">
                  <c:v>18.7</c:v>
                </c:pt>
                <c:pt idx="64">
                  <c:v>18.7</c:v>
                </c:pt>
                <c:pt idx="65">
                  <c:v>18.7</c:v>
                </c:pt>
                <c:pt idx="66">
                  <c:v>18.7</c:v>
                </c:pt>
                <c:pt idx="67">
                  <c:v>18.7</c:v>
                </c:pt>
                <c:pt idx="68">
                  <c:v>18.7</c:v>
                </c:pt>
                <c:pt idx="69">
                  <c:v>18.7</c:v>
                </c:pt>
                <c:pt idx="70">
                  <c:v>18.7</c:v>
                </c:pt>
                <c:pt idx="71">
                  <c:v>18.7</c:v>
                </c:pt>
                <c:pt idx="72">
                  <c:v>18.7</c:v>
                </c:pt>
                <c:pt idx="73">
                  <c:v>18.7</c:v>
                </c:pt>
                <c:pt idx="74">
                  <c:v>18.7</c:v>
                </c:pt>
                <c:pt idx="75">
                  <c:v>18.7</c:v>
                </c:pt>
                <c:pt idx="76">
                  <c:v>18.7</c:v>
                </c:pt>
                <c:pt idx="77">
                  <c:v>18.7</c:v>
                </c:pt>
                <c:pt idx="78">
                  <c:v>18.7</c:v>
                </c:pt>
                <c:pt idx="79">
                  <c:v>18.7</c:v>
                </c:pt>
                <c:pt idx="80">
                  <c:v>18.7</c:v>
                </c:pt>
                <c:pt idx="81">
                  <c:v>18.7</c:v>
                </c:pt>
                <c:pt idx="82">
                  <c:v>18.7</c:v>
                </c:pt>
                <c:pt idx="83">
                  <c:v>18.7</c:v>
                </c:pt>
                <c:pt idx="84">
                  <c:v>18.7</c:v>
                </c:pt>
                <c:pt idx="85">
                  <c:v>18.7</c:v>
                </c:pt>
                <c:pt idx="86">
                  <c:v>18.7</c:v>
                </c:pt>
                <c:pt idx="87">
                  <c:v>18.7</c:v>
                </c:pt>
                <c:pt idx="88">
                  <c:v>18.7</c:v>
                </c:pt>
                <c:pt idx="89">
                  <c:v>18.7</c:v>
                </c:pt>
                <c:pt idx="90">
                  <c:v>18.7</c:v>
                </c:pt>
                <c:pt idx="91">
                  <c:v>18.7</c:v>
                </c:pt>
                <c:pt idx="92">
                  <c:v>18.7</c:v>
                </c:pt>
                <c:pt idx="93">
                  <c:v>18.7</c:v>
                </c:pt>
                <c:pt idx="94">
                  <c:v>18.7</c:v>
                </c:pt>
                <c:pt idx="95">
                  <c:v>18.7</c:v>
                </c:pt>
                <c:pt idx="96">
                  <c:v>18.7</c:v>
                </c:pt>
                <c:pt idx="97">
                  <c:v>18.7</c:v>
                </c:pt>
                <c:pt idx="98">
                  <c:v>18.7</c:v>
                </c:pt>
              </c:numCache>
            </c:numRef>
          </c:val>
          <c:smooth val="0"/>
          <c:extLst>
            <c:ext xmlns:c16="http://schemas.microsoft.com/office/drawing/2014/chart" uri="{C3380CC4-5D6E-409C-BE32-E72D297353CC}">
              <c16:uniqueId val="{00000002-329B-41D6-8340-43856FD2F6C5}"/>
            </c:ext>
          </c:extLst>
        </c:ser>
        <c:ser>
          <c:idx val="3"/>
          <c:order val="3"/>
          <c:tx>
            <c:strRef>
              <c:f>'Fig 14.1 &amp; 14.2 XmR chart'!$F$1</c:f>
              <c:strCache>
                <c:ptCount val="1"/>
                <c:pt idx="0">
                  <c:v>LPL</c:v>
                </c:pt>
              </c:strCache>
            </c:strRef>
          </c:tx>
          <c:spPr>
            <a:ln w="28575" cap="rnd">
              <a:solidFill>
                <a:srgbClr val="D72323"/>
              </a:solidFill>
              <a:prstDash val="dash"/>
              <a:round/>
            </a:ln>
            <a:effectLst/>
          </c:spPr>
          <c:marker>
            <c:symbol val="none"/>
          </c:marker>
          <c:cat>
            <c:strRef>
              <c:f>'Fig 14.1 &amp; 14.2 XmR chart'!$B$2:$B$100</c:f>
              <c:strCache>
                <c:ptCount val="99"/>
                <c:pt idx="0">
                  <c:v>Jan-41</c:v>
                </c:pt>
                <c:pt idx="1">
                  <c:v>Feb-41</c:v>
                </c:pt>
                <c:pt idx="2">
                  <c:v>Mar-41</c:v>
                </c:pt>
                <c:pt idx="3">
                  <c:v>Apr-41</c:v>
                </c:pt>
                <c:pt idx="4">
                  <c:v>May-41</c:v>
                </c:pt>
                <c:pt idx="5">
                  <c:v>Jun-41</c:v>
                </c:pt>
                <c:pt idx="6">
                  <c:v>Jul-41</c:v>
                </c:pt>
                <c:pt idx="7">
                  <c:v>Aug-41</c:v>
                </c:pt>
                <c:pt idx="8">
                  <c:v>Sep-41</c:v>
                </c:pt>
                <c:pt idx="9">
                  <c:v>Oct-41</c:v>
                </c:pt>
                <c:pt idx="10">
                  <c:v>Nov-41</c:v>
                </c:pt>
                <c:pt idx="11">
                  <c:v>Dec-41</c:v>
                </c:pt>
                <c:pt idx="12">
                  <c:v>Jan-42</c:v>
                </c:pt>
                <c:pt idx="13">
                  <c:v>Feb-42</c:v>
                </c:pt>
                <c:pt idx="14">
                  <c:v>Mar-42</c:v>
                </c:pt>
                <c:pt idx="15">
                  <c:v>Apr-42</c:v>
                </c:pt>
                <c:pt idx="16">
                  <c:v>May-42</c:v>
                </c:pt>
                <c:pt idx="17">
                  <c:v>Jun-42</c:v>
                </c:pt>
                <c:pt idx="18">
                  <c:v>Jul-42</c:v>
                </c:pt>
                <c:pt idx="19">
                  <c:v>Aug-42</c:v>
                </c:pt>
                <c:pt idx="20">
                  <c:v>Sep-42</c:v>
                </c:pt>
                <c:pt idx="21">
                  <c:v>Oct-42</c:v>
                </c:pt>
                <c:pt idx="22">
                  <c:v>Nov-42</c:v>
                </c:pt>
                <c:pt idx="23">
                  <c:v>Dec-42</c:v>
                </c:pt>
                <c:pt idx="24">
                  <c:v>Jan-43</c:v>
                </c:pt>
                <c:pt idx="25">
                  <c:v>Feb-43</c:v>
                </c:pt>
                <c:pt idx="26">
                  <c:v>Mar-43</c:v>
                </c:pt>
                <c:pt idx="27">
                  <c:v>Apr-43</c:v>
                </c:pt>
                <c:pt idx="28">
                  <c:v>May-43</c:v>
                </c:pt>
                <c:pt idx="29">
                  <c:v>Jun-43</c:v>
                </c:pt>
                <c:pt idx="30">
                  <c:v>Jul-43</c:v>
                </c:pt>
                <c:pt idx="31">
                  <c:v>Aug-43</c:v>
                </c:pt>
                <c:pt idx="32">
                  <c:v>Sep-43</c:v>
                </c:pt>
                <c:pt idx="33">
                  <c:v>Oct-43</c:v>
                </c:pt>
                <c:pt idx="34">
                  <c:v>Nov-43</c:v>
                </c:pt>
                <c:pt idx="35">
                  <c:v>Dec-43</c:v>
                </c:pt>
                <c:pt idx="36">
                  <c:v>Jan-44</c:v>
                </c:pt>
                <c:pt idx="37">
                  <c:v>Feb-44</c:v>
                </c:pt>
                <c:pt idx="38">
                  <c:v>Mar-44</c:v>
                </c:pt>
                <c:pt idx="39">
                  <c:v>Apr-44</c:v>
                </c:pt>
                <c:pt idx="40">
                  <c:v>May-44</c:v>
                </c:pt>
                <c:pt idx="41">
                  <c:v>Jun-44</c:v>
                </c:pt>
                <c:pt idx="42">
                  <c:v>Jul-44</c:v>
                </c:pt>
                <c:pt idx="43">
                  <c:v>Aug-44</c:v>
                </c:pt>
                <c:pt idx="44">
                  <c:v>Sep-44</c:v>
                </c:pt>
                <c:pt idx="45">
                  <c:v>Oct-44</c:v>
                </c:pt>
                <c:pt idx="46">
                  <c:v>Nov-44</c:v>
                </c:pt>
                <c:pt idx="47">
                  <c:v>Dec-44</c:v>
                </c:pt>
                <c:pt idx="48">
                  <c:v>Jan-45</c:v>
                </c:pt>
                <c:pt idx="49">
                  <c:v>Feb-45</c:v>
                </c:pt>
                <c:pt idx="50">
                  <c:v>Mar-45</c:v>
                </c:pt>
                <c:pt idx="51">
                  <c:v>Apr-45</c:v>
                </c:pt>
                <c:pt idx="52">
                  <c:v>May-45</c:v>
                </c:pt>
                <c:pt idx="53">
                  <c:v>Jun-45</c:v>
                </c:pt>
                <c:pt idx="54">
                  <c:v>Jul-45</c:v>
                </c:pt>
                <c:pt idx="55">
                  <c:v>Aug-45</c:v>
                </c:pt>
                <c:pt idx="56">
                  <c:v>Sep-45</c:v>
                </c:pt>
                <c:pt idx="57">
                  <c:v>Oct-45</c:v>
                </c:pt>
                <c:pt idx="58">
                  <c:v>Nov-45</c:v>
                </c:pt>
                <c:pt idx="59">
                  <c:v>Dec-45</c:v>
                </c:pt>
                <c:pt idx="60">
                  <c:v>Jan-46</c:v>
                </c:pt>
                <c:pt idx="61">
                  <c:v>Feb-46</c:v>
                </c:pt>
                <c:pt idx="62">
                  <c:v>Mar-46</c:v>
                </c:pt>
                <c:pt idx="63">
                  <c:v>Apr-46</c:v>
                </c:pt>
                <c:pt idx="64">
                  <c:v>May-46</c:v>
                </c:pt>
                <c:pt idx="65">
                  <c:v>Jun-46</c:v>
                </c:pt>
                <c:pt idx="66">
                  <c:v>Jul-46</c:v>
                </c:pt>
                <c:pt idx="67">
                  <c:v>Aug-46</c:v>
                </c:pt>
                <c:pt idx="68">
                  <c:v>Sep-46</c:v>
                </c:pt>
                <c:pt idx="69">
                  <c:v>Oct-46</c:v>
                </c:pt>
                <c:pt idx="70">
                  <c:v>Nov-46</c:v>
                </c:pt>
                <c:pt idx="71">
                  <c:v>Dec-46</c:v>
                </c:pt>
                <c:pt idx="72">
                  <c:v>Jan-47</c:v>
                </c:pt>
                <c:pt idx="73">
                  <c:v>Feb-47</c:v>
                </c:pt>
                <c:pt idx="74">
                  <c:v>Mar-47</c:v>
                </c:pt>
                <c:pt idx="75">
                  <c:v>Apr-47</c:v>
                </c:pt>
                <c:pt idx="76">
                  <c:v>May-47</c:v>
                </c:pt>
                <c:pt idx="77">
                  <c:v>Jun-47</c:v>
                </c:pt>
                <c:pt idx="78">
                  <c:v>Jul-47</c:v>
                </c:pt>
                <c:pt idx="79">
                  <c:v>Aug-47</c:v>
                </c:pt>
                <c:pt idx="80">
                  <c:v>Sep-47</c:v>
                </c:pt>
                <c:pt idx="81">
                  <c:v>Oct-47</c:v>
                </c:pt>
                <c:pt idx="82">
                  <c:v>Nov-47</c:v>
                </c:pt>
                <c:pt idx="83">
                  <c:v>Dec-47</c:v>
                </c:pt>
                <c:pt idx="84">
                  <c:v>Jan-48</c:v>
                </c:pt>
                <c:pt idx="85">
                  <c:v>Feb-48</c:v>
                </c:pt>
                <c:pt idx="86">
                  <c:v>Mar-48</c:v>
                </c:pt>
                <c:pt idx="87">
                  <c:v>Apr-48</c:v>
                </c:pt>
                <c:pt idx="88">
                  <c:v>May-48</c:v>
                </c:pt>
                <c:pt idx="89">
                  <c:v>Jun-48</c:v>
                </c:pt>
                <c:pt idx="90">
                  <c:v>Jul-48</c:v>
                </c:pt>
                <c:pt idx="91">
                  <c:v>Aug-48</c:v>
                </c:pt>
                <c:pt idx="92">
                  <c:v>Sep-48</c:v>
                </c:pt>
                <c:pt idx="93">
                  <c:v>Oct-48</c:v>
                </c:pt>
                <c:pt idx="94">
                  <c:v>Nov-48</c:v>
                </c:pt>
                <c:pt idx="95">
                  <c:v>Dec-48</c:v>
                </c:pt>
                <c:pt idx="96">
                  <c:v>Jan-49</c:v>
                </c:pt>
                <c:pt idx="97">
                  <c:v>Feb-49</c:v>
                </c:pt>
                <c:pt idx="98">
                  <c:v>Mar-49</c:v>
                </c:pt>
              </c:strCache>
            </c:strRef>
          </c:cat>
          <c:val>
            <c:numRef>
              <c:f>'Fig 14.1 &amp; 14.2 XmR chart'!$F$2:$F$100</c:f>
              <c:numCache>
                <c:formatCode>General</c:formatCode>
                <c:ptCount val="9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numCache>
            </c:numRef>
          </c:val>
          <c:smooth val="0"/>
          <c:extLst>
            <c:ext xmlns:c16="http://schemas.microsoft.com/office/drawing/2014/chart" uri="{C3380CC4-5D6E-409C-BE32-E72D297353CC}">
              <c16:uniqueId val="{00000003-329B-41D6-8340-43856FD2F6C5}"/>
            </c:ext>
          </c:extLst>
        </c:ser>
        <c:dLbls>
          <c:showLegendKey val="0"/>
          <c:showVal val="0"/>
          <c:showCatName val="0"/>
          <c:showSerName val="0"/>
          <c:showPercent val="0"/>
          <c:showBubbleSize val="0"/>
        </c:dLbls>
        <c:marker val="1"/>
        <c:smooth val="0"/>
        <c:axId val="2024056368"/>
        <c:axId val="2024057808"/>
      </c:lineChart>
      <c:catAx>
        <c:axId val="2024056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057808"/>
        <c:crosses val="autoZero"/>
        <c:auto val="1"/>
        <c:lblAlgn val="ctr"/>
        <c:lblOffset val="100"/>
        <c:noMultiLvlLbl val="0"/>
      </c:catAx>
      <c:valAx>
        <c:axId val="202405780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Death-to-Birth Rate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056368"/>
        <c:crosses val="autoZero"/>
        <c:crossBetween val="between"/>
      </c:valAx>
      <c:spPr>
        <a:noFill/>
        <a:ln w="25400">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lineChart>
        <c:grouping val="standard"/>
        <c:varyColors val="0"/>
        <c:ser>
          <c:idx val="0"/>
          <c:order val="0"/>
          <c:tx>
            <c:strRef>
              <c:f>'Fig 14.1 &amp; 14.2 XmR chart'!$G$1</c:f>
              <c:strCache>
                <c:ptCount val="1"/>
                <c:pt idx="0">
                  <c:v>mR</c:v>
                </c:pt>
              </c:strCache>
            </c:strRef>
          </c:tx>
          <c:spPr>
            <a:ln w="28575" cap="rnd">
              <a:solidFill>
                <a:schemeClr val="accent1"/>
              </a:solidFill>
              <a:round/>
            </a:ln>
            <a:effectLst/>
          </c:spPr>
          <c:marker>
            <c:symbol val="circle"/>
            <c:size val="6"/>
            <c:spPr>
              <a:solidFill>
                <a:schemeClr val="accent1"/>
              </a:solidFill>
              <a:ln w="9525">
                <a:solidFill>
                  <a:schemeClr val="accent1"/>
                </a:solidFill>
              </a:ln>
              <a:effectLst/>
            </c:spPr>
          </c:marker>
          <c:val>
            <c:numRef>
              <c:f>'Fig 14.1 &amp; 14.2 XmR chart'!$G$2:$G$100</c:f>
              <c:numCache>
                <c:formatCode>General</c:formatCode>
                <c:ptCount val="99"/>
                <c:pt idx="1">
                  <c:v>7.1</c:v>
                </c:pt>
                <c:pt idx="2">
                  <c:v>3.2</c:v>
                </c:pt>
                <c:pt idx="3">
                  <c:v>2.7</c:v>
                </c:pt>
                <c:pt idx="4">
                  <c:v>0.8</c:v>
                </c:pt>
                <c:pt idx="5">
                  <c:v>4.2</c:v>
                </c:pt>
                <c:pt idx="6">
                  <c:v>3.4</c:v>
                </c:pt>
                <c:pt idx="7">
                  <c:v>7</c:v>
                </c:pt>
                <c:pt idx="8">
                  <c:v>0.5</c:v>
                </c:pt>
                <c:pt idx="9">
                  <c:v>9.1</c:v>
                </c:pt>
                <c:pt idx="10">
                  <c:v>11.6</c:v>
                </c:pt>
                <c:pt idx="13">
                  <c:v>8.6</c:v>
                </c:pt>
                <c:pt idx="14">
                  <c:v>2</c:v>
                </c:pt>
                <c:pt idx="15">
                  <c:v>0.5</c:v>
                </c:pt>
                <c:pt idx="16">
                  <c:v>7.5</c:v>
                </c:pt>
                <c:pt idx="17">
                  <c:v>3.4</c:v>
                </c:pt>
                <c:pt idx="18">
                  <c:v>14.2</c:v>
                </c:pt>
                <c:pt idx="19">
                  <c:v>4.7</c:v>
                </c:pt>
                <c:pt idx="20">
                  <c:v>7.1</c:v>
                </c:pt>
                <c:pt idx="21">
                  <c:v>10.9</c:v>
                </c:pt>
                <c:pt idx="22">
                  <c:v>6.3</c:v>
                </c:pt>
                <c:pt idx="23">
                  <c:v>8.4</c:v>
                </c:pt>
                <c:pt idx="24">
                  <c:v>12.3</c:v>
                </c:pt>
                <c:pt idx="25">
                  <c:v>3.1</c:v>
                </c:pt>
                <c:pt idx="26">
                  <c:v>3.6</c:v>
                </c:pt>
                <c:pt idx="27">
                  <c:v>0.5</c:v>
                </c:pt>
                <c:pt idx="28">
                  <c:v>5.8</c:v>
                </c:pt>
                <c:pt idx="29">
                  <c:v>2</c:v>
                </c:pt>
                <c:pt idx="30">
                  <c:v>3.6</c:v>
                </c:pt>
                <c:pt idx="31">
                  <c:v>1.1000000000000001</c:v>
                </c:pt>
                <c:pt idx="32">
                  <c:v>0.7</c:v>
                </c:pt>
                <c:pt idx="33">
                  <c:v>15.3</c:v>
                </c:pt>
                <c:pt idx="34">
                  <c:v>10.5</c:v>
                </c:pt>
                <c:pt idx="35">
                  <c:v>1</c:v>
                </c:pt>
                <c:pt idx="36">
                  <c:v>7.1</c:v>
                </c:pt>
                <c:pt idx="37">
                  <c:v>3.9</c:v>
                </c:pt>
                <c:pt idx="38">
                  <c:v>5.7</c:v>
                </c:pt>
                <c:pt idx="39">
                  <c:v>0.3</c:v>
                </c:pt>
                <c:pt idx="40">
                  <c:v>11.5</c:v>
                </c:pt>
                <c:pt idx="41">
                  <c:v>3.1</c:v>
                </c:pt>
                <c:pt idx="42">
                  <c:v>1.7</c:v>
                </c:pt>
                <c:pt idx="43">
                  <c:v>1.9</c:v>
                </c:pt>
                <c:pt idx="44">
                  <c:v>5.0999999999999996</c:v>
                </c:pt>
                <c:pt idx="45">
                  <c:v>2</c:v>
                </c:pt>
                <c:pt idx="46">
                  <c:v>7.8</c:v>
                </c:pt>
                <c:pt idx="47">
                  <c:v>0.5</c:v>
                </c:pt>
                <c:pt idx="48">
                  <c:v>2.9</c:v>
                </c:pt>
                <c:pt idx="49">
                  <c:v>2.9</c:v>
                </c:pt>
                <c:pt idx="50">
                  <c:v>0.2</c:v>
                </c:pt>
                <c:pt idx="51">
                  <c:v>0.3</c:v>
                </c:pt>
                <c:pt idx="52">
                  <c:v>0.2</c:v>
                </c:pt>
                <c:pt idx="53">
                  <c:v>2.7</c:v>
                </c:pt>
                <c:pt idx="54">
                  <c:v>1</c:v>
                </c:pt>
                <c:pt idx="55">
                  <c:v>2.5</c:v>
                </c:pt>
                <c:pt idx="56">
                  <c:v>6.9</c:v>
                </c:pt>
                <c:pt idx="57">
                  <c:v>4.3</c:v>
                </c:pt>
                <c:pt idx="58">
                  <c:v>3.9</c:v>
                </c:pt>
                <c:pt idx="59">
                  <c:v>0.4</c:v>
                </c:pt>
                <c:pt idx="60">
                  <c:v>2.9</c:v>
                </c:pt>
                <c:pt idx="61">
                  <c:v>4.7</c:v>
                </c:pt>
                <c:pt idx="62">
                  <c:v>2.7</c:v>
                </c:pt>
                <c:pt idx="63">
                  <c:v>3.6</c:v>
                </c:pt>
                <c:pt idx="64">
                  <c:v>5.6</c:v>
                </c:pt>
                <c:pt idx="65">
                  <c:v>3.2</c:v>
                </c:pt>
                <c:pt idx="66">
                  <c:v>2.9</c:v>
                </c:pt>
                <c:pt idx="67">
                  <c:v>5</c:v>
                </c:pt>
                <c:pt idx="68">
                  <c:v>3.7</c:v>
                </c:pt>
                <c:pt idx="69">
                  <c:v>0.6</c:v>
                </c:pt>
                <c:pt idx="70">
                  <c:v>4.2</c:v>
                </c:pt>
                <c:pt idx="71">
                  <c:v>5.4</c:v>
                </c:pt>
                <c:pt idx="72">
                  <c:v>2.2000000000000002</c:v>
                </c:pt>
                <c:pt idx="73">
                  <c:v>1.3</c:v>
                </c:pt>
                <c:pt idx="74">
                  <c:v>1.7</c:v>
                </c:pt>
                <c:pt idx="75">
                  <c:v>14.7</c:v>
                </c:pt>
                <c:pt idx="76">
                  <c:v>6.1</c:v>
                </c:pt>
                <c:pt idx="77">
                  <c:v>10</c:v>
                </c:pt>
                <c:pt idx="78">
                  <c:v>1</c:v>
                </c:pt>
                <c:pt idx="79">
                  <c:v>0.7</c:v>
                </c:pt>
                <c:pt idx="80">
                  <c:v>2.7</c:v>
                </c:pt>
                <c:pt idx="81">
                  <c:v>0.6</c:v>
                </c:pt>
                <c:pt idx="82">
                  <c:v>0.5</c:v>
                </c:pt>
                <c:pt idx="83">
                  <c:v>1.6</c:v>
                </c:pt>
                <c:pt idx="84">
                  <c:v>0.6</c:v>
                </c:pt>
                <c:pt idx="85">
                  <c:v>2.8</c:v>
                </c:pt>
                <c:pt idx="86">
                  <c:v>0.7</c:v>
                </c:pt>
                <c:pt idx="87">
                  <c:v>0.7</c:v>
                </c:pt>
                <c:pt idx="88">
                  <c:v>0.3</c:v>
                </c:pt>
                <c:pt idx="89">
                  <c:v>0.1</c:v>
                </c:pt>
                <c:pt idx="90">
                  <c:v>0.7</c:v>
                </c:pt>
                <c:pt idx="91">
                  <c:v>0.4</c:v>
                </c:pt>
                <c:pt idx="92">
                  <c:v>1</c:v>
                </c:pt>
                <c:pt idx="93">
                  <c:v>1.3</c:v>
                </c:pt>
                <c:pt idx="94">
                  <c:v>0.6</c:v>
                </c:pt>
                <c:pt idx="95">
                  <c:v>1.6</c:v>
                </c:pt>
                <c:pt idx="96">
                  <c:v>0.9</c:v>
                </c:pt>
                <c:pt idx="97">
                  <c:v>0.9</c:v>
                </c:pt>
                <c:pt idx="98">
                  <c:v>1.8</c:v>
                </c:pt>
              </c:numCache>
            </c:numRef>
          </c:val>
          <c:smooth val="0"/>
          <c:extLst>
            <c:ext xmlns:c16="http://schemas.microsoft.com/office/drawing/2014/chart" uri="{C3380CC4-5D6E-409C-BE32-E72D297353CC}">
              <c16:uniqueId val="{00000000-5D18-47FA-93F7-2AB89D044415}"/>
            </c:ext>
          </c:extLst>
        </c:ser>
        <c:ser>
          <c:idx val="1"/>
          <c:order val="1"/>
          <c:tx>
            <c:strRef>
              <c:f>'Fig 14.1 &amp; 14.2 XmR chart'!$H$1</c:f>
              <c:strCache>
                <c:ptCount val="1"/>
                <c:pt idx="0">
                  <c:v>Ave. mR</c:v>
                </c:pt>
              </c:strCache>
            </c:strRef>
          </c:tx>
          <c:spPr>
            <a:ln w="28575" cap="rnd">
              <a:solidFill>
                <a:schemeClr val="tx1"/>
              </a:solidFill>
              <a:round/>
            </a:ln>
            <a:effectLst/>
          </c:spPr>
          <c:marker>
            <c:symbol val="none"/>
          </c:marker>
          <c:val>
            <c:numRef>
              <c:f>'Fig 14.1 &amp; 14.2 XmR chart'!$H$2:$H$100</c:f>
              <c:numCache>
                <c:formatCode>General</c:formatCode>
                <c:ptCount val="99"/>
                <c:pt idx="0">
                  <c:v>3.8</c:v>
                </c:pt>
                <c:pt idx="1">
                  <c:v>3.8</c:v>
                </c:pt>
                <c:pt idx="2">
                  <c:v>3.8</c:v>
                </c:pt>
                <c:pt idx="3">
                  <c:v>3.8</c:v>
                </c:pt>
                <c:pt idx="4">
                  <c:v>3.8</c:v>
                </c:pt>
                <c:pt idx="5">
                  <c:v>3.8</c:v>
                </c:pt>
                <c:pt idx="6">
                  <c:v>3.8</c:v>
                </c:pt>
                <c:pt idx="7">
                  <c:v>3.8</c:v>
                </c:pt>
                <c:pt idx="8">
                  <c:v>3.8</c:v>
                </c:pt>
                <c:pt idx="9">
                  <c:v>3.8</c:v>
                </c:pt>
                <c:pt idx="10">
                  <c:v>3.8</c:v>
                </c:pt>
                <c:pt idx="11">
                  <c:v>3.8</c:v>
                </c:pt>
                <c:pt idx="12">
                  <c:v>3.8</c:v>
                </c:pt>
                <c:pt idx="13">
                  <c:v>3.8</c:v>
                </c:pt>
                <c:pt idx="14">
                  <c:v>3.8</c:v>
                </c:pt>
                <c:pt idx="15">
                  <c:v>3.8</c:v>
                </c:pt>
                <c:pt idx="16">
                  <c:v>3.8</c:v>
                </c:pt>
                <c:pt idx="17">
                  <c:v>3.8</c:v>
                </c:pt>
                <c:pt idx="18">
                  <c:v>3.8</c:v>
                </c:pt>
                <c:pt idx="19">
                  <c:v>3.8</c:v>
                </c:pt>
                <c:pt idx="20">
                  <c:v>3.8</c:v>
                </c:pt>
                <c:pt idx="21">
                  <c:v>3.8</c:v>
                </c:pt>
                <c:pt idx="22">
                  <c:v>3.8</c:v>
                </c:pt>
                <c:pt idx="23">
                  <c:v>3.8</c:v>
                </c:pt>
                <c:pt idx="24">
                  <c:v>3.8</c:v>
                </c:pt>
                <c:pt idx="25">
                  <c:v>3.8</c:v>
                </c:pt>
                <c:pt idx="26">
                  <c:v>3.8</c:v>
                </c:pt>
                <c:pt idx="27">
                  <c:v>3.8</c:v>
                </c:pt>
                <c:pt idx="28">
                  <c:v>3.8</c:v>
                </c:pt>
                <c:pt idx="29">
                  <c:v>3.8</c:v>
                </c:pt>
                <c:pt idx="30">
                  <c:v>3.8</c:v>
                </c:pt>
                <c:pt idx="31">
                  <c:v>3.8</c:v>
                </c:pt>
                <c:pt idx="32">
                  <c:v>3.8</c:v>
                </c:pt>
                <c:pt idx="33">
                  <c:v>3.8</c:v>
                </c:pt>
                <c:pt idx="34">
                  <c:v>3.8</c:v>
                </c:pt>
                <c:pt idx="35">
                  <c:v>3.8</c:v>
                </c:pt>
                <c:pt idx="36">
                  <c:v>3.8</c:v>
                </c:pt>
                <c:pt idx="37">
                  <c:v>3.8</c:v>
                </c:pt>
                <c:pt idx="38">
                  <c:v>3.8</c:v>
                </c:pt>
                <c:pt idx="39">
                  <c:v>3.8</c:v>
                </c:pt>
                <c:pt idx="40">
                  <c:v>3.8</c:v>
                </c:pt>
                <c:pt idx="41">
                  <c:v>3.8</c:v>
                </c:pt>
                <c:pt idx="42">
                  <c:v>3.8</c:v>
                </c:pt>
                <c:pt idx="43">
                  <c:v>3.8</c:v>
                </c:pt>
                <c:pt idx="44">
                  <c:v>3.8</c:v>
                </c:pt>
                <c:pt idx="45">
                  <c:v>3.8</c:v>
                </c:pt>
                <c:pt idx="46">
                  <c:v>3.8</c:v>
                </c:pt>
                <c:pt idx="47">
                  <c:v>3.8</c:v>
                </c:pt>
                <c:pt idx="48">
                  <c:v>3.8</c:v>
                </c:pt>
                <c:pt idx="49">
                  <c:v>3.8</c:v>
                </c:pt>
                <c:pt idx="50">
                  <c:v>3.8</c:v>
                </c:pt>
                <c:pt idx="51">
                  <c:v>3.8</c:v>
                </c:pt>
                <c:pt idx="52">
                  <c:v>3.8</c:v>
                </c:pt>
                <c:pt idx="53">
                  <c:v>3.8</c:v>
                </c:pt>
                <c:pt idx="54">
                  <c:v>3.8</c:v>
                </c:pt>
                <c:pt idx="55">
                  <c:v>3.8</c:v>
                </c:pt>
                <c:pt idx="56">
                  <c:v>3.8</c:v>
                </c:pt>
                <c:pt idx="57">
                  <c:v>3.8</c:v>
                </c:pt>
                <c:pt idx="58">
                  <c:v>3.8</c:v>
                </c:pt>
                <c:pt idx="59">
                  <c:v>3.8</c:v>
                </c:pt>
                <c:pt idx="60">
                  <c:v>3.8</c:v>
                </c:pt>
                <c:pt idx="61">
                  <c:v>3.8</c:v>
                </c:pt>
                <c:pt idx="62">
                  <c:v>3.8</c:v>
                </c:pt>
                <c:pt idx="63">
                  <c:v>3.8</c:v>
                </c:pt>
                <c:pt idx="64">
                  <c:v>3.8</c:v>
                </c:pt>
                <c:pt idx="65">
                  <c:v>3.8</c:v>
                </c:pt>
                <c:pt idx="66">
                  <c:v>3.8</c:v>
                </c:pt>
                <c:pt idx="67">
                  <c:v>3.8</c:v>
                </c:pt>
                <c:pt idx="68">
                  <c:v>3.8</c:v>
                </c:pt>
                <c:pt idx="69">
                  <c:v>3.8</c:v>
                </c:pt>
                <c:pt idx="70">
                  <c:v>3.8</c:v>
                </c:pt>
                <c:pt idx="71">
                  <c:v>3.8</c:v>
                </c:pt>
                <c:pt idx="72">
                  <c:v>3.8</c:v>
                </c:pt>
                <c:pt idx="73">
                  <c:v>3.8</c:v>
                </c:pt>
                <c:pt idx="74">
                  <c:v>3.8</c:v>
                </c:pt>
                <c:pt idx="75">
                  <c:v>3.8</c:v>
                </c:pt>
                <c:pt idx="76">
                  <c:v>3.8</c:v>
                </c:pt>
                <c:pt idx="77">
                  <c:v>3.8</c:v>
                </c:pt>
                <c:pt idx="78">
                  <c:v>3.8</c:v>
                </c:pt>
                <c:pt idx="79">
                  <c:v>3.8</c:v>
                </c:pt>
                <c:pt idx="80">
                  <c:v>3.8</c:v>
                </c:pt>
                <c:pt idx="81">
                  <c:v>3.8</c:v>
                </c:pt>
                <c:pt idx="82">
                  <c:v>3.8</c:v>
                </c:pt>
                <c:pt idx="83">
                  <c:v>3.8</c:v>
                </c:pt>
                <c:pt idx="84">
                  <c:v>3.8</c:v>
                </c:pt>
                <c:pt idx="85">
                  <c:v>3.8</c:v>
                </c:pt>
                <c:pt idx="86">
                  <c:v>3.8</c:v>
                </c:pt>
                <c:pt idx="87">
                  <c:v>3.8</c:v>
                </c:pt>
                <c:pt idx="88">
                  <c:v>3.8</c:v>
                </c:pt>
                <c:pt idx="89">
                  <c:v>3.8</c:v>
                </c:pt>
                <c:pt idx="90">
                  <c:v>3.8</c:v>
                </c:pt>
                <c:pt idx="91">
                  <c:v>3.8</c:v>
                </c:pt>
                <c:pt idx="92">
                  <c:v>3.8</c:v>
                </c:pt>
                <c:pt idx="93">
                  <c:v>3.8</c:v>
                </c:pt>
                <c:pt idx="94">
                  <c:v>3.8</c:v>
                </c:pt>
                <c:pt idx="95">
                  <c:v>3.8</c:v>
                </c:pt>
                <c:pt idx="96">
                  <c:v>3.8</c:v>
                </c:pt>
                <c:pt idx="97">
                  <c:v>3.8</c:v>
                </c:pt>
                <c:pt idx="98">
                  <c:v>3.8</c:v>
                </c:pt>
              </c:numCache>
            </c:numRef>
          </c:val>
          <c:smooth val="0"/>
          <c:extLst>
            <c:ext xmlns:c16="http://schemas.microsoft.com/office/drawing/2014/chart" uri="{C3380CC4-5D6E-409C-BE32-E72D297353CC}">
              <c16:uniqueId val="{00000001-5D18-47FA-93F7-2AB89D044415}"/>
            </c:ext>
          </c:extLst>
        </c:ser>
        <c:ser>
          <c:idx val="2"/>
          <c:order val="2"/>
          <c:tx>
            <c:strRef>
              <c:f>'Fig 14.1 &amp; 14.2 XmR chart'!$I$1</c:f>
              <c:strCache>
                <c:ptCount val="1"/>
                <c:pt idx="0">
                  <c:v>URL</c:v>
                </c:pt>
              </c:strCache>
            </c:strRef>
          </c:tx>
          <c:spPr>
            <a:ln w="28575" cap="rnd">
              <a:solidFill>
                <a:srgbClr val="D72323"/>
              </a:solidFill>
              <a:prstDash val="dash"/>
              <a:round/>
            </a:ln>
            <a:effectLst/>
          </c:spPr>
          <c:marker>
            <c:symbol val="none"/>
          </c:marker>
          <c:val>
            <c:numRef>
              <c:f>'Fig 14.1 &amp; 14.2 XmR chart'!$I$2:$I$100</c:f>
              <c:numCache>
                <c:formatCode>General</c:formatCode>
                <c:ptCount val="99"/>
                <c:pt idx="0">
                  <c:v>12.4</c:v>
                </c:pt>
                <c:pt idx="1">
                  <c:v>12.4</c:v>
                </c:pt>
                <c:pt idx="2">
                  <c:v>12.4</c:v>
                </c:pt>
                <c:pt idx="3">
                  <c:v>12.4</c:v>
                </c:pt>
                <c:pt idx="4">
                  <c:v>12.4</c:v>
                </c:pt>
                <c:pt idx="5">
                  <c:v>12.4</c:v>
                </c:pt>
                <c:pt idx="6">
                  <c:v>12.4</c:v>
                </c:pt>
                <c:pt idx="7">
                  <c:v>12.4</c:v>
                </c:pt>
                <c:pt idx="8">
                  <c:v>12.4</c:v>
                </c:pt>
                <c:pt idx="9">
                  <c:v>12.4</c:v>
                </c:pt>
                <c:pt idx="10">
                  <c:v>12.4</c:v>
                </c:pt>
                <c:pt idx="11">
                  <c:v>12.4</c:v>
                </c:pt>
                <c:pt idx="12">
                  <c:v>12.4</c:v>
                </c:pt>
                <c:pt idx="13">
                  <c:v>12.4</c:v>
                </c:pt>
                <c:pt idx="14">
                  <c:v>12.4</c:v>
                </c:pt>
                <c:pt idx="15">
                  <c:v>12.4</c:v>
                </c:pt>
                <c:pt idx="16">
                  <c:v>12.4</c:v>
                </c:pt>
                <c:pt idx="17">
                  <c:v>12.4</c:v>
                </c:pt>
                <c:pt idx="18">
                  <c:v>12.4</c:v>
                </c:pt>
                <c:pt idx="19">
                  <c:v>12.4</c:v>
                </c:pt>
                <c:pt idx="20">
                  <c:v>12.4</c:v>
                </c:pt>
                <c:pt idx="21">
                  <c:v>12.4</c:v>
                </c:pt>
                <c:pt idx="22">
                  <c:v>12.4</c:v>
                </c:pt>
                <c:pt idx="23">
                  <c:v>12.4</c:v>
                </c:pt>
                <c:pt idx="24">
                  <c:v>12.4</c:v>
                </c:pt>
                <c:pt idx="25">
                  <c:v>12.4</c:v>
                </c:pt>
                <c:pt idx="26">
                  <c:v>12.4</c:v>
                </c:pt>
                <c:pt idx="27">
                  <c:v>12.4</c:v>
                </c:pt>
                <c:pt idx="28">
                  <c:v>12.4</c:v>
                </c:pt>
                <c:pt idx="29">
                  <c:v>12.4</c:v>
                </c:pt>
                <c:pt idx="30">
                  <c:v>12.4</c:v>
                </c:pt>
                <c:pt idx="31">
                  <c:v>12.4</c:v>
                </c:pt>
                <c:pt idx="32">
                  <c:v>12.4</c:v>
                </c:pt>
                <c:pt idx="33">
                  <c:v>12.4</c:v>
                </c:pt>
                <c:pt idx="34">
                  <c:v>12.4</c:v>
                </c:pt>
                <c:pt idx="35">
                  <c:v>12.4</c:v>
                </c:pt>
                <c:pt idx="36">
                  <c:v>12.4</c:v>
                </c:pt>
                <c:pt idx="37">
                  <c:v>12.4</c:v>
                </c:pt>
                <c:pt idx="38">
                  <c:v>12.4</c:v>
                </c:pt>
                <c:pt idx="39">
                  <c:v>12.4</c:v>
                </c:pt>
                <c:pt idx="40">
                  <c:v>12.4</c:v>
                </c:pt>
                <c:pt idx="41">
                  <c:v>12.4</c:v>
                </c:pt>
                <c:pt idx="42">
                  <c:v>12.4</c:v>
                </c:pt>
                <c:pt idx="43">
                  <c:v>12.4</c:v>
                </c:pt>
                <c:pt idx="44">
                  <c:v>12.4</c:v>
                </c:pt>
                <c:pt idx="45">
                  <c:v>12.4</c:v>
                </c:pt>
                <c:pt idx="46">
                  <c:v>12.4</c:v>
                </c:pt>
                <c:pt idx="47">
                  <c:v>12.4</c:v>
                </c:pt>
                <c:pt idx="48">
                  <c:v>12.4</c:v>
                </c:pt>
                <c:pt idx="49">
                  <c:v>12.4</c:v>
                </c:pt>
                <c:pt idx="50">
                  <c:v>12.4</c:v>
                </c:pt>
                <c:pt idx="51">
                  <c:v>12.4</c:v>
                </c:pt>
                <c:pt idx="52">
                  <c:v>12.4</c:v>
                </c:pt>
                <c:pt idx="53">
                  <c:v>12.4</c:v>
                </c:pt>
                <c:pt idx="54">
                  <c:v>12.4</c:v>
                </c:pt>
                <c:pt idx="55">
                  <c:v>12.4</c:v>
                </c:pt>
                <c:pt idx="56">
                  <c:v>12.4</c:v>
                </c:pt>
                <c:pt idx="57">
                  <c:v>12.4</c:v>
                </c:pt>
                <c:pt idx="58">
                  <c:v>12.4</c:v>
                </c:pt>
                <c:pt idx="59">
                  <c:v>12.4</c:v>
                </c:pt>
                <c:pt idx="60">
                  <c:v>12.4</c:v>
                </c:pt>
                <c:pt idx="61">
                  <c:v>12.4</c:v>
                </c:pt>
                <c:pt idx="62">
                  <c:v>12.4</c:v>
                </c:pt>
                <c:pt idx="63">
                  <c:v>12.4</c:v>
                </c:pt>
                <c:pt idx="64">
                  <c:v>12.4</c:v>
                </c:pt>
                <c:pt idx="65">
                  <c:v>12.4</c:v>
                </c:pt>
                <c:pt idx="66">
                  <c:v>12.4</c:v>
                </c:pt>
                <c:pt idx="67">
                  <c:v>12.4</c:v>
                </c:pt>
                <c:pt idx="68">
                  <c:v>12.4</c:v>
                </c:pt>
                <c:pt idx="69">
                  <c:v>12.4</c:v>
                </c:pt>
                <c:pt idx="70">
                  <c:v>12.4</c:v>
                </c:pt>
                <c:pt idx="71">
                  <c:v>12.4</c:v>
                </c:pt>
                <c:pt idx="72">
                  <c:v>12.4</c:v>
                </c:pt>
                <c:pt idx="73">
                  <c:v>12.4</c:v>
                </c:pt>
                <c:pt idx="74">
                  <c:v>12.4</c:v>
                </c:pt>
                <c:pt idx="75">
                  <c:v>12.4</c:v>
                </c:pt>
                <c:pt idx="76">
                  <c:v>12.4</c:v>
                </c:pt>
                <c:pt idx="77">
                  <c:v>12.4</c:v>
                </c:pt>
                <c:pt idx="78">
                  <c:v>12.4</c:v>
                </c:pt>
                <c:pt idx="79">
                  <c:v>12.4</c:v>
                </c:pt>
                <c:pt idx="80">
                  <c:v>12.4</c:v>
                </c:pt>
                <c:pt idx="81">
                  <c:v>12.4</c:v>
                </c:pt>
                <c:pt idx="82">
                  <c:v>12.4</c:v>
                </c:pt>
                <c:pt idx="83">
                  <c:v>12.4</c:v>
                </c:pt>
                <c:pt idx="84">
                  <c:v>12.4</c:v>
                </c:pt>
                <c:pt idx="85">
                  <c:v>12.4</c:v>
                </c:pt>
                <c:pt idx="86">
                  <c:v>12.4</c:v>
                </c:pt>
                <c:pt idx="87">
                  <c:v>12.4</c:v>
                </c:pt>
                <c:pt idx="88">
                  <c:v>12.4</c:v>
                </c:pt>
                <c:pt idx="89">
                  <c:v>12.4</c:v>
                </c:pt>
                <c:pt idx="90">
                  <c:v>12.4</c:v>
                </c:pt>
                <c:pt idx="91">
                  <c:v>12.4</c:v>
                </c:pt>
                <c:pt idx="92">
                  <c:v>12.4</c:v>
                </c:pt>
                <c:pt idx="93">
                  <c:v>12.4</c:v>
                </c:pt>
                <c:pt idx="94">
                  <c:v>12.4</c:v>
                </c:pt>
                <c:pt idx="95">
                  <c:v>12.4</c:v>
                </c:pt>
                <c:pt idx="96">
                  <c:v>12.4</c:v>
                </c:pt>
                <c:pt idx="97">
                  <c:v>12.4</c:v>
                </c:pt>
                <c:pt idx="98">
                  <c:v>12.4</c:v>
                </c:pt>
              </c:numCache>
            </c:numRef>
          </c:val>
          <c:smooth val="0"/>
          <c:extLst>
            <c:ext xmlns:c16="http://schemas.microsoft.com/office/drawing/2014/chart" uri="{C3380CC4-5D6E-409C-BE32-E72D297353CC}">
              <c16:uniqueId val="{00000002-5D18-47FA-93F7-2AB89D044415}"/>
            </c:ext>
          </c:extLst>
        </c:ser>
        <c:dLbls>
          <c:showLegendKey val="0"/>
          <c:showVal val="0"/>
          <c:showCatName val="0"/>
          <c:showSerName val="0"/>
          <c:showPercent val="0"/>
          <c:showBubbleSize val="0"/>
        </c:dLbls>
        <c:marker val="1"/>
        <c:smooth val="0"/>
        <c:axId val="2024086608"/>
        <c:axId val="2024084208"/>
      </c:lineChart>
      <c:catAx>
        <c:axId val="2024086608"/>
        <c:scaling>
          <c:orientation val="minMax"/>
        </c:scaling>
        <c:delete val="1"/>
        <c:axPos val="b"/>
        <c:majorTickMark val="none"/>
        <c:minorTickMark val="none"/>
        <c:tickLblPos val="nextTo"/>
        <c:crossAx val="2024084208"/>
        <c:crosses val="autoZero"/>
        <c:auto val="1"/>
        <c:lblAlgn val="ctr"/>
        <c:lblOffset val="100"/>
        <c:noMultiLvlLbl val="0"/>
      </c:catAx>
      <c:valAx>
        <c:axId val="202408420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Moving Range (mR)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086608"/>
        <c:crosses val="autoZero"/>
        <c:crossBetween val="between"/>
      </c:valAx>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After handwashing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'Fig 14.3. Before &amp; After'!$D$80</c:f>
              <c:strCache>
                <c:ptCount val="1"/>
                <c:pt idx="0">
                  <c:v>Rate</c:v>
                </c:pt>
              </c:strCache>
            </c:strRef>
          </c:tx>
          <c:spPr>
            <a:ln w="28575" cap="rnd">
              <a:solidFill>
                <a:schemeClr val="accent1"/>
              </a:solidFill>
              <a:round/>
            </a:ln>
            <a:effectLst/>
          </c:spPr>
          <c:marker>
            <c:symbol val="circle"/>
            <c:size val="6"/>
            <c:spPr>
              <a:solidFill>
                <a:schemeClr val="accent1"/>
              </a:solidFill>
              <a:ln w="9525">
                <a:solidFill>
                  <a:schemeClr val="accent1"/>
                </a:solidFill>
              </a:ln>
              <a:effectLst/>
            </c:spPr>
          </c:marker>
          <c:cat>
            <c:strRef>
              <c:f>'Fig 14.3. Before &amp; After'!$C$81:$C$102</c:f>
              <c:strCache>
                <c:ptCount val="22"/>
                <c:pt idx="0">
                  <c:v>Jun-47</c:v>
                </c:pt>
                <c:pt idx="1">
                  <c:v>Jul-47</c:v>
                </c:pt>
                <c:pt idx="2">
                  <c:v>Aug-47</c:v>
                </c:pt>
                <c:pt idx="3">
                  <c:v>Sep-47</c:v>
                </c:pt>
                <c:pt idx="4">
                  <c:v>Oct-47</c:v>
                </c:pt>
                <c:pt idx="5">
                  <c:v>Nov-47</c:v>
                </c:pt>
                <c:pt idx="6">
                  <c:v>Dec-47</c:v>
                </c:pt>
                <c:pt idx="7">
                  <c:v>Jan-48</c:v>
                </c:pt>
                <c:pt idx="8">
                  <c:v>Feb-48</c:v>
                </c:pt>
                <c:pt idx="9">
                  <c:v>Mar-48</c:v>
                </c:pt>
                <c:pt idx="10">
                  <c:v>Apr-48</c:v>
                </c:pt>
                <c:pt idx="11">
                  <c:v>May-48</c:v>
                </c:pt>
                <c:pt idx="12">
                  <c:v>Jun-48</c:v>
                </c:pt>
                <c:pt idx="13">
                  <c:v>Jul-48</c:v>
                </c:pt>
                <c:pt idx="14">
                  <c:v>Aug-48</c:v>
                </c:pt>
                <c:pt idx="15">
                  <c:v>Sep-48</c:v>
                </c:pt>
                <c:pt idx="16">
                  <c:v>Oct-48</c:v>
                </c:pt>
                <c:pt idx="17">
                  <c:v>Nov-48</c:v>
                </c:pt>
                <c:pt idx="18">
                  <c:v>Dec-48</c:v>
                </c:pt>
                <c:pt idx="19">
                  <c:v>Jan-49</c:v>
                </c:pt>
                <c:pt idx="20">
                  <c:v>Feb-49</c:v>
                </c:pt>
                <c:pt idx="21">
                  <c:v>Mar-49</c:v>
                </c:pt>
              </c:strCache>
            </c:strRef>
          </c:cat>
          <c:val>
            <c:numRef>
              <c:f>'Fig 14.3. Before &amp; After'!$D$81:$D$102</c:f>
              <c:numCache>
                <c:formatCode>General</c:formatCode>
                <c:ptCount val="22"/>
                <c:pt idx="0">
                  <c:v>2.2000000000000002</c:v>
                </c:pt>
                <c:pt idx="1">
                  <c:v>1.2</c:v>
                </c:pt>
                <c:pt idx="2">
                  <c:v>1.9</c:v>
                </c:pt>
                <c:pt idx="3">
                  <c:v>4.5999999999999996</c:v>
                </c:pt>
                <c:pt idx="4">
                  <c:v>4</c:v>
                </c:pt>
                <c:pt idx="5">
                  <c:v>4.5</c:v>
                </c:pt>
                <c:pt idx="6">
                  <c:v>2.9</c:v>
                </c:pt>
                <c:pt idx="7">
                  <c:v>3.5</c:v>
                </c:pt>
                <c:pt idx="8">
                  <c:v>0.7</c:v>
                </c:pt>
                <c:pt idx="9">
                  <c:v>0</c:v>
                </c:pt>
                <c:pt idx="10">
                  <c:v>0.7</c:v>
                </c:pt>
                <c:pt idx="11">
                  <c:v>1</c:v>
                </c:pt>
                <c:pt idx="12">
                  <c:v>1.1000000000000001</c:v>
                </c:pt>
                <c:pt idx="13">
                  <c:v>0.4</c:v>
                </c:pt>
                <c:pt idx="14">
                  <c:v>0</c:v>
                </c:pt>
                <c:pt idx="15">
                  <c:v>1</c:v>
                </c:pt>
                <c:pt idx="16">
                  <c:v>2.2999999999999998</c:v>
                </c:pt>
                <c:pt idx="17">
                  <c:v>2.9</c:v>
                </c:pt>
                <c:pt idx="18">
                  <c:v>1.3</c:v>
                </c:pt>
                <c:pt idx="19">
                  <c:v>2.2000000000000002</c:v>
                </c:pt>
                <c:pt idx="20">
                  <c:v>3.1</c:v>
                </c:pt>
                <c:pt idx="21">
                  <c:v>4.9000000000000004</c:v>
                </c:pt>
              </c:numCache>
            </c:numRef>
          </c:val>
          <c:smooth val="0"/>
          <c:extLst>
            <c:ext xmlns:c16="http://schemas.microsoft.com/office/drawing/2014/chart" uri="{C3380CC4-5D6E-409C-BE32-E72D297353CC}">
              <c16:uniqueId val="{00000000-329B-41D6-8340-43856FD2F6C5}"/>
            </c:ext>
          </c:extLst>
        </c:ser>
        <c:ser>
          <c:idx val="1"/>
          <c:order val="1"/>
          <c:tx>
            <c:strRef>
              <c:f>'Fig 14.3. Before &amp; After'!$E$80</c:f>
              <c:strCache>
                <c:ptCount val="1"/>
                <c:pt idx="0">
                  <c:v>Mean</c:v>
                </c:pt>
              </c:strCache>
            </c:strRef>
          </c:tx>
          <c:spPr>
            <a:ln w="28575" cap="rnd">
              <a:solidFill>
                <a:schemeClr val="tx1"/>
              </a:solidFill>
              <a:round/>
            </a:ln>
            <a:effectLst/>
          </c:spPr>
          <c:marker>
            <c:symbol val="none"/>
          </c:marker>
          <c:cat>
            <c:strRef>
              <c:f>'Fig 14.3. Before &amp; After'!$C$81:$C$102</c:f>
              <c:strCache>
                <c:ptCount val="22"/>
                <c:pt idx="0">
                  <c:v>Jun-47</c:v>
                </c:pt>
                <c:pt idx="1">
                  <c:v>Jul-47</c:v>
                </c:pt>
                <c:pt idx="2">
                  <c:v>Aug-47</c:v>
                </c:pt>
                <c:pt idx="3">
                  <c:v>Sep-47</c:v>
                </c:pt>
                <c:pt idx="4">
                  <c:v>Oct-47</c:v>
                </c:pt>
                <c:pt idx="5">
                  <c:v>Nov-47</c:v>
                </c:pt>
                <c:pt idx="6">
                  <c:v>Dec-47</c:v>
                </c:pt>
                <c:pt idx="7">
                  <c:v>Jan-48</c:v>
                </c:pt>
                <c:pt idx="8">
                  <c:v>Feb-48</c:v>
                </c:pt>
                <c:pt idx="9">
                  <c:v>Mar-48</c:v>
                </c:pt>
                <c:pt idx="10">
                  <c:v>Apr-48</c:v>
                </c:pt>
                <c:pt idx="11">
                  <c:v>May-48</c:v>
                </c:pt>
                <c:pt idx="12">
                  <c:v>Jun-48</c:v>
                </c:pt>
                <c:pt idx="13">
                  <c:v>Jul-48</c:v>
                </c:pt>
                <c:pt idx="14">
                  <c:v>Aug-48</c:v>
                </c:pt>
                <c:pt idx="15">
                  <c:v>Sep-48</c:v>
                </c:pt>
                <c:pt idx="16">
                  <c:v>Oct-48</c:v>
                </c:pt>
                <c:pt idx="17">
                  <c:v>Nov-48</c:v>
                </c:pt>
                <c:pt idx="18">
                  <c:v>Dec-48</c:v>
                </c:pt>
                <c:pt idx="19">
                  <c:v>Jan-49</c:v>
                </c:pt>
                <c:pt idx="20">
                  <c:v>Feb-49</c:v>
                </c:pt>
                <c:pt idx="21">
                  <c:v>Mar-49</c:v>
                </c:pt>
              </c:strCache>
            </c:strRef>
          </c:cat>
          <c:val>
            <c:numRef>
              <c:f>'Fig 14.3. Before &amp; After'!$E$81:$E$102</c:f>
              <c:numCache>
                <c:formatCode>General</c:formatCode>
                <c:ptCount val="22"/>
                <c:pt idx="0">
                  <c:v>2.1</c:v>
                </c:pt>
                <c:pt idx="1">
                  <c:v>2.1</c:v>
                </c:pt>
                <c:pt idx="2">
                  <c:v>2.1</c:v>
                </c:pt>
                <c:pt idx="3">
                  <c:v>2.1</c:v>
                </c:pt>
                <c:pt idx="4">
                  <c:v>2.1</c:v>
                </c:pt>
                <c:pt idx="5">
                  <c:v>2.1</c:v>
                </c:pt>
                <c:pt idx="6">
                  <c:v>2.1</c:v>
                </c:pt>
                <c:pt idx="7">
                  <c:v>2.1</c:v>
                </c:pt>
                <c:pt idx="8">
                  <c:v>2.1</c:v>
                </c:pt>
                <c:pt idx="9">
                  <c:v>2.1</c:v>
                </c:pt>
                <c:pt idx="10">
                  <c:v>2.1</c:v>
                </c:pt>
                <c:pt idx="11">
                  <c:v>2.1</c:v>
                </c:pt>
                <c:pt idx="12">
                  <c:v>2.1</c:v>
                </c:pt>
                <c:pt idx="13">
                  <c:v>2.1</c:v>
                </c:pt>
                <c:pt idx="14">
                  <c:v>2.1</c:v>
                </c:pt>
                <c:pt idx="15">
                  <c:v>2.1</c:v>
                </c:pt>
                <c:pt idx="16">
                  <c:v>2.1</c:v>
                </c:pt>
                <c:pt idx="17">
                  <c:v>2.1</c:v>
                </c:pt>
                <c:pt idx="18">
                  <c:v>2.1</c:v>
                </c:pt>
                <c:pt idx="19">
                  <c:v>2.1</c:v>
                </c:pt>
                <c:pt idx="20">
                  <c:v>2.1</c:v>
                </c:pt>
                <c:pt idx="21">
                  <c:v>2.1</c:v>
                </c:pt>
              </c:numCache>
            </c:numRef>
          </c:val>
          <c:smooth val="0"/>
          <c:extLst>
            <c:ext xmlns:c16="http://schemas.microsoft.com/office/drawing/2014/chart" uri="{C3380CC4-5D6E-409C-BE32-E72D297353CC}">
              <c16:uniqueId val="{00000001-329B-41D6-8340-43856FD2F6C5}"/>
            </c:ext>
          </c:extLst>
        </c:ser>
        <c:ser>
          <c:idx val="2"/>
          <c:order val="2"/>
          <c:tx>
            <c:strRef>
              <c:f>'Fig 14.3. Before &amp; After'!$F$80</c:f>
              <c:strCache>
                <c:ptCount val="1"/>
                <c:pt idx="0">
                  <c:v>UPL</c:v>
                </c:pt>
              </c:strCache>
            </c:strRef>
          </c:tx>
          <c:spPr>
            <a:ln w="28575" cap="rnd">
              <a:solidFill>
                <a:srgbClr val="D72323"/>
              </a:solidFill>
              <a:prstDash val="dash"/>
              <a:round/>
            </a:ln>
            <a:effectLst/>
          </c:spPr>
          <c:marker>
            <c:symbol val="none"/>
          </c:marker>
          <c:cat>
            <c:strRef>
              <c:f>'Fig 14.3. Before &amp; After'!$C$81:$C$102</c:f>
              <c:strCache>
                <c:ptCount val="22"/>
                <c:pt idx="0">
                  <c:v>Jun-47</c:v>
                </c:pt>
                <c:pt idx="1">
                  <c:v>Jul-47</c:v>
                </c:pt>
                <c:pt idx="2">
                  <c:v>Aug-47</c:v>
                </c:pt>
                <c:pt idx="3">
                  <c:v>Sep-47</c:v>
                </c:pt>
                <c:pt idx="4">
                  <c:v>Oct-47</c:v>
                </c:pt>
                <c:pt idx="5">
                  <c:v>Nov-47</c:v>
                </c:pt>
                <c:pt idx="6">
                  <c:v>Dec-47</c:v>
                </c:pt>
                <c:pt idx="7">
                  <c:v>Jan-48</c:v>
                </c:pt>
                <c:pt idx="8">
                  <c:v>Feb-48</c:v>
                </c:pt>
                <c:pt idx="9">
                  <c:v>Mar-48</c:v>
                </c:pt>
                <c:pt idx="10">
                  <c:v>Apr-48</c:v>
                </c:pt>
                <c:pt idx="11">
                  <c:v>May-48</c:v>
                </c:pt>
                <c:pt idx="12">
                  <c:v>Jun-48</c:v>
                </c:pt>
                <c:pt idx="13">
                  <c:v>Jul-48</c:v>
                </c:pt>
                <c:pt idx="14">
                  <c:v>Aug-48</c:v>
                </c:pt>
                <c:pt idx="15">
                  <c:v>Sep-48</c:v>
                </c:pt>
                <c:pt idx="16">
                  <c:v>Oct-48</c:v>
                </c:pt>
                <c:pt idx="17">
                  <c:v>Nov-48</c:v>
                </c:pt>
                <c:pt idx="18">
                  <c:v>Dec-48</c:v>
                </c:pt>
                <c:pt idx="19">
                  <c:v>Jan-49</c:v>
                </c:pt>
                <c:pt idx="20">
                  <c:v>Feb-49</c:v>
                </c:pt>
                <c:pt idx="21">
                  <c:v>Mar-49</c:v>
                </c:pt>
              </c:strCache>
            </c:strRef>
          </c:cat>
          <c:val>
            <c:numRef>
              <c:f>'Fig 14.3. Before &amp; After'!$F$81:$F$102</c:f>
              <c:numCache>
                <c:formatCode>General</c:formatCode>
                <c:ptCount val="22"/>
                <c:pt idx="0">
                  <c:v>4.8</c:v>
                </c:pt>
                <c:pt idx="1">
                  <c:v>4.8</c:v>
                </c:pt>
                <c:pt idx="2">
                  <c:v>4.8</c:v>
                </c:pt>
                <c:pt idx="3">
                  <c:v>4.8</c:v>
                </c:pt>
                <c:pt idx="4">
                  <c:v>4.8</c:v>
                </c:pt>
                <c:pt idx="5">
                  <c:v>4.8</c:v>
                </c:pt>
                <c:pt idx="6">
                  <c:v>4.8</c:v>
                </c:pt>
                <c:pt idx="7">
                  <c:v>4.8</c:v>
                </c:pt>
                <c:pt idx="8">
                  <c:v>4.8</c:v>
                </c:pt>
                <c:pt idx="9">
                  <c:v>4.8</c:v>
                </c:pt>
                <c:pt idx="10">
                  <c:v>4.8</c:v>
                </c:pt>
                <c:pt idx="11">
                  <c:v>4.8</c:v>
                </c:pt>
                <c:pt idx="12">
                  <c:v>4.8</c:v>
                </c:pt>
                <c:pt idx="13">
                  <c:v>4.8</c:v>
                </c:pt>
                <c:pt idx="14">
                  <c:v>4.8</c:v>
                </c:pt>
                <c:pt idx="15">
                  <c:v>4.8</c:v>
                </c:pt>
                <c:pt idx="16">
                  <c:v>4.8</c:v>
                </c:pt>
                <c:pt idx="17">
                  <c:v>4.8</c:v>
                </c:pt>
                <c:pt idx="18">
                  <c:v>4.8</c:v>
                </c:pt>
                <c:pt idx="19">
                  <c:v>4.8</c:v>
                </c:pt>
                <c:pt idx="20">
                  <c:v>4.8</c:v>
                </c:pt>
                <c:pt idx="21">
                  <c:v>4.8</c:v>
                </c:pt>
              </c:numCache>
            </c:numRef>
          </c:val>
          <c:smooth val="0"/>
          <c:extLst>
            <c:ext xmlns:c16="http://schemas.microsoft.com/office/drawing/2014/chart" uri="{C3380CC4-5D6E-409C-BE32-E72D297353CC}">
              <c16:uniqueId val="{00000002-329B-41D6-8340-43856FD2F6C5}"/>
            </c:ext>
          </c:extLst>
        </c:ser>
        <c:ser>
          <c:idx val="3"/>
          <c:order val="3"/>
          <c:tx>
            <c:strRef>
              <c:f>'Fig 14.3. Before &amp; After'!$G$80</c:f>
              <c:strCache>
                <c:ptCount val="1"/>
                <c:pt idx="0">
                  <c:v>LPL</c:v>
                </c:pt>
              </c:strCache>
            </c:strRef>
          </c:tx>
          <c:spPr>
            <a:ln w="28575" cap="rnd">
              <a:solidFill>
                <a:srgbClr val="D72323"/>
              </a:solidFill>
              <a:prstDash val="dash"/>
              <a:round/>
            </a:ln>
            <a:effectLst/>
          </c:spPr>
          <c:marker>
            <c:symbol val="none"/>
          </c:marker>
          <c:cat>
            <c:strRef>
              <c:f>'Fig 14.3. Before &amp; After'!$C$81:$C$102</c:f>
              <c:strCache>
                <c:ptCount val="22"/>
                <c:pt idx="0">
                  <c:v>Jun-47</c:v>
                </c:pt>
                <c:pt idx="1">
                  <c:v>Jul-47</c:v>
                </c:pt>
                <c:pt idx="2">
                  <c:v>Aug-47</c:v>
                </c:pt>
                <c:pt idx="3">
                  <c:v>Sep-47</c:v>
                </c:pt>
                <c:pt idx="4">
                  <c:v>Oct-47</c:v>
                </c:pt>
                <c:pt idx="5">
                  <c:v>Nov-47</c:v>
                </c:pt>
                <c:pt idx="6">
                  <c:v>Dec-47</c:v>
                </c:pt>
                <c:pt idx="7">
                  <c:v>Jan-48</c:v>
                </c:pt>
                <c:pt idx="8">
                  <c:v>Feb-48</c:v>
                </c:pt>
                <c:pt idx="9">
                  <c:v>Mar-48</c:v>
                </c:pt>
                <c:pt idx="10">
                  <c:v>Apr-48</c:v>
                </c:pt>
                <c:pt idx="11">
                  <c:v>May-48</c:v>
                </c:pt>
                <c:pt idx="12">
                  <c:v>Jun-48</c:v>
                </c:pt>
                <c:pt idx="13">
                  <c:v>Jul-48</c:v>
                </c:pt>
                <c:pt idx="14">
                  <c:v>Aug-48</c:v>
                </c:pt>
                <c:pt idx="15">
                  <c:v>Sep-48</c:v>
                </c:pt>
                <c:pt idx="16">
                  <c:v>Oct-48</c:v>
                </c:pt>
                <c:pt idx="17">
                  <c:v>Nov-48</c:v>
                </c:pt>
                <c:pt idx="18">
                  <c:v>Dec-48</c:v>
                </c:pt>
                <c:pt idx="19">
                  <c:v>Jan-49</c:v>
                </c:pt>
                <c:pt idx="20">
                  <c:v>Feb-49</c:v>
                </c:pt>
                <c:pt idx="21">
                  <c:v>Mar-49</c:v>
                </c:pt>
              </c:strCache>
            </c:strRef>
          </c:cat>
          <c:val>
            <c:numRef>
              <c:f>'Fig 14.3. Before &amp; After'!$G$81:$G$102</c:f>
              <c:numCache>
                <c:formatCode>General</c:formatCode>
                <c:ptCount val="2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numCache>
            </c:numRef>
          </c:val>
          <c:smooth val="0"/>
          <c:extLst>
            <c:ext xmlns:c16="http://schemas.microsoft.com/office/drawing/2014/chart" uri="{C3380CC4-5D6E-409C-BE32-E72D297353CC}">
              <c16:uniqueId val="{00000003-329B-41D6-8340-43856FD2F6C5}"/>
            </c:ext>
          </c:extLst>
        </c:ser>
        <c:dLbls>
          <c:showLegendKey val="0"/>
          <c:showVal val="0"/>
          <c:showCatName val="0"/>
          <c:showSerName val="0"/>
          <c:showPercent val="0"/>
          <c:showBubbleSize val="0"/>
        </c:dLbls>
        <c:marker val="1"/>
        <c:smooth val="0"/>
        <c:axId val="2024056368"/>
        <c:axId val="2024057808"/>
      </c:lineChart>
      <c:catAx>
        <c:axId val="2024056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057808"/>
        <c:crosses val="autoZero"/>
        <c:auto val="1"/>
        <c:lblAlgn val="ctr"/>
        <c:lblOffset val="100"/>
        <c:noMultiLvlLbl val="0"/>
      </c:catAx>
      <c:valAx>
        <c:axId val="2024057808"/>
        <c:scaling>
          <c:orientation val="minMax"/>
          <c:max val="35"/>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056368"/>
        <c:crosses val="autoZero"/>
        <c:crossBetween val="between"/>
      </c:valAx>
      <c:spPr>
        <a:noFill/>
        <a:ln w="25400">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lineChart>
        <c:grouping val="standard"/>
        <c:varyColors val="0"/>
        <c:ser>
          <c:idx val="0"/>
          <c:order val="0"/>
          <c:tx>
            <c:strRef>
              <c:f>'Fig 14.3. Before &amp; After'!$H$80</c:f>
              <c:strCache>
                <c:ptCount val="1"/>
                <c:pt idx="0">
                  <c:v>mR</c:v>
                </c:pt>
              </c:strCache>
            </c:strRef>
          </c:tx>
          <c:spPr>
            <a:ln w="28575" cap="rnd">
              <a:solidFill>
                <a:schemeClr val="accent1"/>
              </a:solidFill>
              <a:round/>
            </a:ln>
            <a:effectLst/>
          </c:spPr>
          <c:marker>
            <c:symbol val="circle"/>
            <c:size val="6"/>
            <c:spPr>
              <a:solidFill>
                <a:schemeClr val="accent1"/>
              </a:solidFill>
              <a:ln w="9525">
                <a:solidFill>
                  <a:schemeClr val="accent1"/>
                </a:solidFill>
              </a:ln>
              <a:effectLst/>
            </c:spPr>
          </c:marker>
          <c:val>
            <c:numRef>
              <c:f>'Fig 14.3. Before &amp; After'!$H$81:$H$102</c:f>
              <c:numCache>
                <c:formatCode>General</c:formatCode>
                <c:ptCount val="22"/>
                <c:pt idx="1">
                  <c:v>1</c:v>
                </c:pt>
                <c:pt idx="2">
                  <c:v>0.7</c:v>
                </c:pt>
                <c:pt idx="3">
                  <c:v>2.7</c:v>
                </c:pt>
                <c:pt idx="4">
                  <c:v>0.6</c:v>
                </c:pt>
                <c:pt idx="5">
                  <c:v>0.5</c:v>
                </c:pt>
                <c:pt idx="6">
                  <c:v>1.6</c:v>
                </c:pt>
                <c:pt idx="7">
                  <c:v>0.6</c:v>
                </c:pt>
                <c:pt idx="8">
                  <c:v>2.8</c:v>
                </c:pt>
                <c:pt idx="9">
                  <c:v>0.7</c:v>
                </c:pt>
                <c:pt idx="10">
                  <c:v>0.7</c:v>
                </c:pt>
                <c:pt idx="11">
                  <c:v>0.3</c:v>
                </c:pt>
                <c:pt idx="12">
                  <c:v>0.1</c:v>
                </c:pt>
                <c:pt idx="13">
                  <c:v>0.7</c:v>
                </c:pt>
                <c:pt idx="14">
                  <c:v>0.4</c:v>
                </c:pt>
                <c:pt idx="15">
                  <c:v>1</c:v>
                </c:pt>
                <c:pt idx="16">
                  <c:v>1.3</c:v>
                </c:pt>
                <c:pt idx="17">
                  <c:v>0.6</c:v>
                </c:pt>
                <c:pt idx="18">
                  <c:v>1.6</c:v>
                </c:pt>
                <c:pt idx="19">
                  <c:v>0.9</c:v>
                </c:pt>
                <c:pt idx="20">
                  <c:v>0.9</c:v>
                </c:pt>
                <c:pt idx="21">
                  <c:v>1.8</c:v>
                </c:pt>
              </c:numCache>
            </c:numRef>
          </c:val>
          <c:smooth val="0"/>
          <c:extLst>
            <c:ext xmlns:c16="http://schemas.microsoft.com/office/drawing/2014/chart" uri="{C3380CC4-5D6E-409C-BE32-E72D297353CC}">
              <c16:uniqueId val="{00000000-5D18-47FA-93F7-2AB89D044415}"/>
            </c:ext>
          </c:extLst>
        </c:ser>
        <c:ser>
          <c:idx val="1"/>
          <c:order val="1"/>
          <c:tx>
            <c:strRef>
              <c:f>'Fig 14.3. Before &amp; After'!$I$80</c:f>
              <c:strCache>
                <c:ptCount val="1"/>
                <c:pt idx="0">
                  <c:v>Ave. mR</c:v>
                </c:pt>
              </c:strCache>
            </c:strRef>
          </c:tx>
          <c:spPr>
            <a:ln w="28575" cap="rnd">
              <a:solidFill>
                <a:schemeClr val="tx1"/>
              </a:solidFill>
              <a:round/>
            </a:ln>
            <a:effectLst/>
          </c:spPr>
          <c:marker>
            <c:symbol val="none"/>
          </c:marker>
          <c:val>
            <c:numRef>
              <c:f>'Fig 14.3. Before &amp; After'!$I$81:$I$102</c:f>
              <c:numCache>
                <c:formatCode>General</c:formatCode>
                <c:ptCount val="22"/>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numCache>
            </c:numRef>
          </c:val>
          <c:smooth val="0"/>
          <c:extLst>
            <c:ext xmlns:c16="http://schemas.microsoft.com/office/drawing/2014/chart" uri="{C3380CC4-5D6E-409C-BE32-E72D297353CC}">
              <c16:uniqueId val="{00000001-5D18-47FA-93F7-2AB89D044415}"/>
            </c:ext>
          </c:extLst>
        </c:ser>
        <c:ser>
          <c:idx val="2"/>
          <c:order val="2"/>
          <c:tx>
            <c:strRef>
              <c:f>'Fig 14.3. Before &amp; After'!$J$80</c:f>
              <c:strCache>
                <c:ptCount val="1"/>
                <c:pt idx="0">
                  <c:v>URL</c:v>
                </c:pt>
              </c:strCache>
            </c:strRef>
          </c:tx>
          <c:spPr>
            <a:ln w="28575" cap="rnd">
              <a:solidFill>
                <a:srgbClr val="D72323"/>
              </a:solidFill>
              <a:prstDash val="dash"/>
              <a:round/>
            </a:ln>
            <a:effectLst/>
          </c:spPr>
          <c:marker>
            <c:symbol val="none"/>
          </c:marker>
          <c:val>
            <c:numRef>
              <c:f>'Fig 14.3. Before &amp; After'!$J$81:$J$102</c:f>
              <c:numCache>
                <c:formatCode>General</c:formatCode>
                <c:ptCount val="22"/>
                <c:pt idx="0">
                  <c:v>3.3</c:v>
                </c:pt>
                <c:pt idx="1">
                  <c:v>3.3</c:v>
                </c:pt>
                <c:pt idx="2">
                  <c:v>3.3</c:v>
                </c:pt>
                <c:pt idx="3">
                  <c:v>3.3</c:v>
                </c:pt>
                <c:pt idx="4">
                  <c:v>3.3</c:v>
                </c:pt>
                <c:pt idx="5">
                  <c:v>3.3</c:v>
                </c:pt>
                <c:pt idx="6">
                  <c:v>3.3</c:v>
                </c:pt>
                <c:pt idx="7">
                  <c:v>3.3</c:v>
                </c:pt>
                <c:pt idx="8">
                  <c:v>3.3</c:v>
                </c:pt>
                <c:pt idx="9">
                  <c:v>3.3</c:v>
                </c:pt>
                <c:pt idx="10">
                  <c:v>3.3</c:v>
                </c:pt>
                <c:pt idx="11">
                  <c:v>3.3</c:v>
                </c:pt>
                <c:pt idx="12">
                  <c:v>3.3</c:v>
                </c:pt>
                <c:pt idx="13">
                  <c:v>3.3</c:v>
                </c:pt>
                <c:pt idx="14">
                  <c:v>3.3</c:v>
                </c:pt>
                <c:pt idx="15">
                  <c:v>3.3</c:v>
                </c:pt>
                <c:pt idx="16">
                  <c:v>3.3</c:v>
                </c:pt>
                <c:pt idx="17">
                  <c:v>3.3</c:v>
                </c:pt>
                <c:pt idx="18">
                  <c:v>3.3</c:v>
                </c:pt>
                <c:pt idx="19">
                  <c:v>3.3</c:v>
                </c:pt>
                <c:pt idx="20">
                  <c:v>3.3</c:v>
                </c:pt>
                <c:pt idx="21">
                  <c:v>3.3</c:v>
                </c:pt>
              </c:numCache>
            </c:numRef>
          </c:val>
          <c:smooth val="0"/>
          <c:extLst>
            <c:ext xmlns:c16="http://schemas.microsoft.com/office/drawing/2014/chart" uri="{C3380CC4-5D6E-409C-BE32-E72D297353CC}">
              <c16:uniqueId val="{00000002-5D18-47FA-93F7-2AB89D044415}"/>
            </c:ext>
          </c:extLst>
        </c:ser>
        <c:dLbls>
          <c:showLegendKey val="0"/>
          <c:showVal val="0"/>
          <c:showCatName val="0"/>
          <c:showSerName val="0"/>
          <c:showPercent val="0"/>
          <c:showBubbleSize val="0"/>
        </c:dLbls>
        <c:marker val="1"/>
        <c:smooth val="0"/>
        <c:axId val="2024086608"/>
        <c:axId val="2024084208"/>
      </c:lineChart>
      <c:catAx>
        <c:axId val="2024086608"/>
        <c:scaling>
          <c:orientation val="minMax"/>
        </c:scaling>
        <c:delete val="1"/>
        <c:axPos val="b"/>
        <c:majorTickMark val="none"/>
        <c:minorTickMark val="none"/>
        <c:tickLblPos val="nextTo"/>
        <c:crossAx val="2024084208"/>
        <c:crosses val="autoZero"/>
        <c:auto val="1"/>
        <c:lblAlgn val="ctr"/>
        <c:lblOffset val="100"/>
        <c:noMultiLvlLbl val="0"/>
      </c:catAx>
      <c:valAx>
        <c:axId val="2024084208"/>
        <c:scaling>
          <c:orientation val="minMax"/>
          <c:max val="18"/>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086608"/>
        <c:crosses val="autoZero"/>
        <c:crossBetween val="between"/>
      </c:valAx>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Before</a:t>
            </a:r>
            <a:r>
              <a:rPr lang="en-US" baseline="0"/>
              <a:t> handwashing</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0424669443792053"/>
          <c:y val="6.4197530864197536E-2"/>
          <c:w val="0.87260196870995521"/>
          <c:h val="0.7605945367940119"/>
        </c:manualLayout>
      </c:layout>
      <c:lineChart>
        <c:grouping val="standard"/>
        <c:varyColors val="0"/>
        <c:ser>
          <c:idx val="0"/>
          <c:order val="0"/>
          <c:tx>
            <c:strRef>
              <c:f>'Fig 14.3. Before &amp; After'!$D$1</c:f>
              <c:strCache>
                <c:ptCount val="1"/>
                <c:pt idx="0">
                  <c:v>Rate</c:v>
                </c:pt>
              </c:strCache>
            </c:strRef>
          </c:tx>
          <c:spPr>
            <a:ln w="28575" cap="rnd">
              <a:solidFill>
                <a:schemeClr val="accent1"/>
              </a:solidFill>
              <a:round/>
            </a:ln>
            <a:effectLst/>
          </c:spPr>
          <c:marker>
            <c:symbol val="circle"/>
            <c:size val="6"/>
            <c:spPr>
              <a:solidFill>
                <a:schemeClr val="accent1"/>
              </a:solidFill>
              <a:ln w="9525">
                <a:solidFill>
                  <a:schemeClr val="accent1"/>
                </a:solidFill>
              </a:ln>
              <a:effectLst/>
            </c:spPr>
          </c:marker>
          <c:cat>
            <c:strRef>
              <c:f>'Fig 14.3. Before &amp; After'!$C$2:$C$78</c:f>
              <c:strCache>
                <c:ptCount val="77"/>
                <c:pt idx="0">
                  <c:v>Jan-41</c:v>
                </c:pt>
                <c:pt idx="1">
                  <c:v>Feb-41</c:v>
                </c:pt>
                <c:pt idx="2">
                  <c:v>Mar-41</c:v>
                </c:pt>
                <c:pt idx="3">
                  <c:v>Apr-41</c:v>
                </c:pt>
                <c:pt idx="4">
                  <c:v>May-41</c:v>
                </c:pt>
                <c:pt idx="5">
                  <c:v>Jun-41</c:v>
                </c:pt>
                <c:pt idx="6">
                  <c:v>Jul-41</c:v>
                </c:pt>
                <c:pt idx="7">
                  <c:v>Aug-41</c:v>
                </c:pt>
                <c:pt idx="8">
                  <c:v>Sep-41</c:v>
                </c:pt>
                <c:pt idx="9">
                  <c:v>Oct-41</c:v>
                </c:pt>
                <c:pt idx="10">
                  <c:v>Nov-41</c:v>
                </c:pt>
                <c:pt idx="11">
                  <c:v>Dec-41</c:v>
                </c:pt>
                <c:pt idx="12">
                  <c:v>Jan-42</c:v>
                </c:pt>
                <c:pt idx="13">
                  <c:v>Feb-42</c:v>
                </c:pt>
                <c:pt idx="14">
                  <c:v>Mar-42</c:v>
                </c:pt>
                <c:pt idx="15">
                  <c:v>Apr-42</c:v>
                </c:pt>
                <c:pt idx="16">
                  <c:v>May-42</c:v>
                </c:pt>
                <c:pt idx="17">
                  <c:v>Jun-42</c:v>
                </c:pt>
                <c:pt idx="18">
                  <c:v>Jul-42</c:v>
                </c:pt>
                <c:pt idx="19">
                  <c:v>Aug-42</c:v>
                </c:pt>
                <c:pt idx="20">
                  <c:v>Sep-42</c:v>
                </c:pt>
                <c:pt idx="21">
                  <c:v>Oct-42</c:v>
                </c:pt>
                <c:pt idx="22">
                  <c:v>Nov-42</c:v>
                </c:pt>
                <c:pt idx="23">
                  <c:v>Dec-42</c:v>
                </c:pt>
                <c:pt idx="24">
                  <c:v>Jan-43</c:v>
                </c:pt>
                <c:pt idx="25">
                  <c:v>Feb-43</c:v>
                </c:pt>
                <c:pt idx="26">
                  <c:v>Mar-43</c:v>
                </c:pt>
                <c:pt idx="27">
                  <c:v>Apr-43</c:v>
                </c:pt>
                <c:pt idx="28">
                  <c:v>May-43</c:v>
                </c:pt>
                <c:pt idx="29">
                  <c:v>Jun-43</c:v>
                </c:pt>
                <c:pt idx="30">
                  <c:v>Jul-43</c:v>
                </c:pt>
                <c:pt idx="31">
                  <c:v>Aug-43</c:v>
                </c:pt>
                <c:pt idx="32">
                  <c:v>Sep-43</c:v>
                </c:pt>
                <c:pt idx="33">
                  <c:v>Oct-43</c:v>
                </c:pt>
                <c:pt idx="34">
                  <c:v>Nov-43</c:v>
                </c:pt>
                <c:pt idx="35">
                  <c:v>Dec-43</c:v>
                </c:pt>
                <c:pt idx="36">
                  <c:v>Jan-44</c:v>
                </c:pt>
                <c:pt idx="37">
                  <c:v>Feb-44</c:v>
                </c:pt>
                <c:pt idx="38">
                  <c:v>Mar-44</c:v>
                </c:pt>
                <c:pt idx="39">
                  <c:v>Apr-44</c:v>
                </c:pt>
                <c:pt idx="40">
                  <c:v>May-44</c:v>
                </c:pt>
                <c:pt idx="41">
                  <c:v>Jun-44</c:v>
                </c:pt>
                <c:pt idx="42">
                  <c:v>Jul-44</c:v>
                </c:pt>
                <c:pt idx="43">
                  <c:v>Aug-44</c:v>
                </c:pt>
                <c:pt idx="44">
                  <c:v>Sep-44</c:v>
                </c:pt>
                <c:pt idx="45">
                  <c:v>Oct-44</c:v>
                </c:pt>
                <c:pt idx="46">
                  <c:v>Nov-44</c:v>
                </c:pt>
                <c:pt idx="47">
                  <c:v>Dec-44</c:v>
                </c:pt>
                <c:pt idx="48">
                  <c:v>Jan-45</c:v>
                </c:pt>
                <c:pt idx="49">
                  <c:v>Feb-45</c:v>
                </c:pt>
                <c:pt idx="50">
                  <c:v>Mar-45</c:v>
                </c:pt>
                <c:pt idx="51">
                  <c:v>Apr-45</c:v>
                </c:pt>
                <c:pt idx="52">
                  <c:v>May-45</c:v>
                </c:pt>
                <c:pt idx="53">
                  <c:v>Jun-45</c:v>
                </c:pt>
                <c:pt idx="54">
                  <c:v>Jul-45</c:v>
                </c:pt>
                <c:pt idx="55">
                  <c:v>Aug-45</c:v>
                </c:pt>
                <c:pt idx="56">
                  <c:v>Sep-45</c:v>
                </c:pt>
                <c:pt idx="57">
                  <c:v>Oct-45</c:v>
                </c:pt>
                <c:pt idx="58">
                  <c:v>Nov-45</c:v>
                </c:pt>
                <c:pt idx="59">
                  <c:v>Dec-45</c:v>
                </c:pt>
                <c:pt idx="60">
                  <c:v>Jan-46</c:v>
                </c:pt>
                <c:pt idx="61">
                  <c:v>Feb-46</c:v>
                </c:pt>
                <c:pt idx="62">
                  <c:v>Mar-46</c:v>
                </c:pt>
                <c:pt idx="63">
                  <c:v>Apr-46</c:v>
                </c:pt>
                <c:pt idx="64">
                  <c:v>May-46</c:v>
                </c:pt>
                <c:pt idx="65">
                  <c:v>Jun-46</c:v>
                </c:pt>
                <c:pt idx="66">
                  <c:v>Jul-46</c:v>
                </c:pt>
                <c:pt idx="67">
                  <c:v>Aug-46</c:v>
                </c:pt>
                <c:pt idx="68">
                  <c:v>Sep-46</c:v>
                </c:pt>
                <c:pt idx="69">
                  <c:v>Oct-46</c:v>
                </c:pt>
                <c:pt idx="70">
                  <c:v>Nov-46</c:v>
                </c:pt>
                <c:pt idx="71">
                  <c:v>Dec-46</c:v>
                </c:pt>
                <c:pt idx="72">
                  <c:v>Jan-47</c:v>
                </c:pt>
                <c:pt idx="73">
                  <c:v>Feb-47</c:v>
                </c:pt>
                <c:pt idx="74">
                  <c:v>Mar-47</c:v>
                </c:pt>
                <c:pt idx="75">
                  <c:v>Apr-47</c:v>
                </c:pt>
                <c:pt idx="76">
                  <c:v>May-47</c:v>
                </c:pt>
              </c:strCache>
            </c:strRef>
          </c:cat>
          <c:val>
            <c:numRef>
              <c:f>'Fig 14.3. Before &amp; After'!$D$2:$D$78</c:f>
              <c:numCache>
                <c:formatCode>General</c:formatCode>
                <c:ptCount val="77"/>
                <c:pt idx="0">
                  <c:v>14.6</c:v>
                </c:pt>
                <c:pt idx="1">
                  <c:v>7.5</c:v>
                </c:pt>
                <c:pt idx="2">
                  <c:v>4.3</c:v>
                </c:pt>
                <c:pt idx="3">
                  <c:v>1.6</c:v>
                </c:pt>
                <c:pt idx="4">
                  <c:v>0.8</c:v>
                </c:pt>
                <c:pt idx="5">
                  <c:v>5</c:v>
                </c:pt>
                <c:pt idx="6">
                  <c:v>8.4</c:v>
                </c:pt>
                <c:pt idx="7">
                  <c:v>1.4</c:v>
                </c:pt>
                <c:pt idx="8">
                  <c:v>1.9</c:v>
                </c:pt>
                <c:pt idx="9">
                  <c:v>11</c:v>
                </c:pt>
                <c:pt idx="10">
                  <c:v>22.6</c:v>
                </c:pt>
                <c:pt idx="12">
                  <c:v>20.8</c:v>
                </c:pt>
                <c:pt idx="13">
                  <c:v>12.2</c:v>
                </c:pt>
                <c:pt idx="14">
                  <c:v>10.199999999999999</c:v>
                </c:pt>
                <c:pt idx="15">
                  <c:v>10.7</c:v>
                </c:pt>
                <c:pt idx="16">
                  <c:v>3.2</c:v>
                </c:pt>
                <c:pt idx="17">
                  <c:v>6.6</c:v>
                </c:pt>
                <c:pt idx="18">
                  <c:v>20.8</c:v>
                </c:pt>
                <c:pt idx="19">
                  <c:v>25.5</c:v>
                </c:pt>
                <c:pt idx="20">
                  <c:v>18.399999999999999</c:v>
                </c:pt>
                <c:pt idx="21">
                  <c:v>29.3</c:v>
                </c:pt>
                <c:pt idx="22">
                  <c:v>23</c:v>
                </c:pt>
                <c:pt idx="23">
                  <c:v>31.4</c:v>
                </c:pt>
                <c:pt idx="24">
                  <c:v>19.100000000000001</c:v>
                </c:pt>
                <c:pt idx="25">
                  <c:v>16</c:v>
                </c:pt>
                <c:pt idx="26">
                  <c:v>12.4</c:v>
                </c:pt>
                <c:pt idx="27">
                  <c:v>11.9</c:v>
                </c:pt>
                <c:pt idx="28">
                  <c:v>6.1</c:v>
                </c:pt>
                <c:pt idx="29">
                  <c:v>4.0999999999999996</c:v>
                </c:pt>
                <c:pt idx="30">
                  <c:v>0.5</c:v>
                </c:pt>
                <c:pt idx="31">
                  <c:v>1.6</c:v>
                </c:pt>
                <c:pt idx="32">
                  <c:v>2.2999999999999998</c:v>
                </c:pt>
                <c:pt idx="33">
                  <c:v>17.600000000000001</c:v>
                </c:pt>
                <c:pt idx="34">
                  <c:v>7.1</c:v>
                </c:pt>
                <c:pt idx="35">
                  <c:v>8.1</c:v>
                </c:pt>
                <c:pt idx="36">
                  <c:v>15.2</c:v>
                </c:pt>
                <c:pt idx="37">
                  <c:v>11.3</c:v>
                </c:pt>
                <c:pt idx="38">
                  <c:v>17</c:v>
                </c:pt>
                <c:pt idx="39">
                  <c:v>17.3</c:v>
                </c:pt>
                <c:pt idx="40">
                  <c:v>5.8</c:v>
                </c:pt>
                <c:pt idx="41">
                  <c:v>2.7</c:v>
                </c:pt>
                <c:pt idx="42">
                  <c:v>4.4000000000000004</c:v>
                </c:pt>
                <c:pt idx="43">
                  <c:v>6.3</c:v>
                </c:pt>
                <c:pt idx="44">
                  <c:v>1.2</c:v>
                </c:pt>
                <c:pt idx="45">
                  <c:v>3.2</c:v>
                </c:pt>
                <c:pt idx="46">
                  <c:v>11</c:v>
                </c:pt>
                <c:pt idx="47">
                  <c:v>10.5</c:v>
                </c:pt>
                <c:pt idx="48">
                  <c:v>7.6</c:v>
                </c:pt>
                <c:pt idx="49">
                  <c:v>4.7</c:v>
                </c:pt>
                <c:pt idx="50">
                  <c:v>4.5</c:v>
                </c:pt>
                <c:pt idx="51">
                  <c:v>4.2</c:v>
                </c:pt>
                <c:pt idx="52">
                  <c:v>4.4000000000000004</c:v>
                </c:pt>
                <c:pt idx="53">
                  <c:v>7.1</c:v>
                </c:pt>
                <c:pt idx="54">
                  <c:v>6.1</c:v>
                </c:pt>
                <c:pt idx="55">
                  <c:v>3.6</c:v>
                </c:pt>
                <c:pt idx="56">
                  <c:v>10.5</c:v>
                </c:pt>
                <c:pt idx="57">
                  <c:v>14.8</c:v>
                </c:pt>
                <c:pt idx="58">
                  <c:v>10.9</c:v>
                </c:pt>
                <c:pt idx="59">
                  <c:v>10.5</c:v>
                </c:pt>
                <c:pt idx="60">
                  <c:v>13.4</c:v>
                </c:pt>
                <c:pt idx="61">
                  <c:v>18.100000000000001</c:v>
                </c:pt>
                <c:pt idx="62">
                  <c:v>15.4</c:v>
                </c:pt>
                <c:pt idx="63">
                  <c:v>19</c:v>
                </c:pt>
                <c:pt idx="64">
                  <c:v>13.4</c:v>
                </c:pt>
                <c:pt idx="65">
                  <c:v>10.199999999999999</c:v>
                </c:pt>
                <c:pt idx="66">
                  <c:v>13.1</c:v>
                </c:pt>
                <c:pt idx="67">
                  <c:v>18.100000000000001</c:v>
                </c:pt>
                <c:pt idx="68">
                  <c:v>14.4</c:v>
                </c:pt>
                <c:pt idx="69">
                  <c:v>15</c:v>
                </c:pt>
                <c:pt idx="70">
                  <c:v>10.8</c:v>
                </c:pt>
                <c:pt idx="71">
                  <c:v>5.4</c:v>
                </c:pt>
                <c:pt idx="72">
                  <c:v>3.2</c:v>
                </c:pt>
                <c:pt idx="73">
                  <c:v>1.9</c:v>
                </c:pt>
                <c:pt idx="74">
                  <c:v>3.6</c:v>
                </c:pt>
                <c:pt idx="75">
                  <c:v>18.3</c:v>
                </c:pt>
                <c:pt idx="76">
                  <c:v>12.2</c:v>
                </c:pt>
              </c:numCache>
            </c:numRef>
          </c:val>
          <c:smooth val="0"/>
          <c:extLst>
            <c:ext xmlns:c16="http://schemas.microsoft.com/office/drawing/2014/chart" uri="{C3380CC4-5D6E-409C-BE32-E72D297353CC}">
              <c16:uniqueId val="{00000000-329B-41D6-8340-43856FD2F6C5}"/>
            </c:ext>
          </c:extLst>
        </c:ser>
        <c:ser>
          <c:idx val="1"/>
          <c:order val="1"/>
          <c:tx>
            <c:strRef>
              <c:f>'Fig 14.3. Before &amp; After'!$E$1</c:f>
              <c:strCache>
                <c:ptCount val="1"/>
                <c:pt idx="0">
                  <c:v>Mean</c:v>
                </c:pt>
              </c:strCache>
            </c:strRef>
          </c:tx>
          <c:spPr>
            <a:ln w="28575" cap="rnd">
              <a:solidFill>
                <a:schemeClr val="tx1"/>
              </a:solidFill>
              <a:round/>
            </a:ln>
            <a:effectLst/>
          </c:spPr>
          <c:marker>
            <c:symbol val="none"/>
          </c:marker>
          <c:cat>
            <c:strRef>
              <c:f>'Fig 14.3. Before &amp; After'!$C$2:$C$78</c:f>
              <c:strCache>
                <c:ptCount val="77"/>
                <c:pt idx="0">
                  <c:v>Jan-41</c:v>
                </c:pt>
                <c:pt idx="1">
                  <c:v>Feb-41</c:v>
                </c:pt>
                <c:pt idx="2">
                  <c:v>Mar-41</c:v>
                </c:pt>
                <c:pt idx="3">
                  <c:v>Apr-41</c:v>
                </c:pt>
                <c:pt idx="4">
                  <c:v>May-41</c:v>
                </c:pt>
                <c:pt idx="5">
                  <c:v>Jun-41</c:v>
                </c:pt>
                <c:pt idx="6">
                  <c:v>Jul-41</c:v>
                </c:pt>
                <c:pt idx="7">
                  <c:v>Aug-41</c:v>
                </c:pt>
                <c:pt idx="8">
                  <c:v>Sep-41</c:v>
                </c:pt>
                <c:pt idx="9">
                  <c:v>Oct-41</c:v>
                </c:pt>
                <c:pt idx="10">
                  <c:v>Nov-41</c:v>
                </c:pt>
                <c:pt idx="11">
                  <c:v>Dec-41</c:v>
                </c:pt>
                <c:pt idx="12">
                  <c:v>Jan-42</c:v>
                </c:pt>
                <c:pt idx="13">
                  <c:v>Feb-42</c:v>
                </c:pt>
                <c:pt idx="14">
                  <c:v>Mar-42</c:v>
                </c:pt>
                <c:pt idx="15">
                  <c:v>Apr-42</c:v>
                </c:pt>
                <c:pt idx="16">
                  <c:v>May-42</c:v>
                </c:pt>
                <c:pt idx="17">
                  <c:v>Jun-42</c:v>
                </c:pt>
                <c:pt idx="18">
                  <c:v>Jul-42</c:v>
                </c:pt>
                <c:pt idx="19">
                  <c:v>Aug-42</c:v>
                </c:pt>
                <c:pt idx="20">
                  <c:v>Sep-42</c:v>
                </c:pt>
                <c:pt idx="21">
                  <c:v>Oct-42</c:v>
                </c:pt>
                <c:pt idx="22">
                  <c:v>Nov-42</c:v>
                </c:pt>
                <c:pt idx="23">
                  <c:v>Dec-42</c:v>
                </c:pt>
                <c:pt idx="24">
                  <c:v>Jan-43</c:v>
                </c:pt>
                <c:pt idx="25">
                  <c:v>Feb-43</c:v>
                </c:pt>
                <c:pt idx="26">
                  <c:v>Mar-43</c:v>
                </c:pt>
                <c:pt idx="27">
                  <c:v>Apr-43</c:v>
                </c:pt>
                <c:pt idx="28">
                  <c:v>May-43</c:v>
                </c:pt>
                <c:pt idx="29">
                  <c:v>Jun-43</c:v>
                </c:pt>
                <c:pt idx="30">
                  <c:v>Jul-43</c:v>
                </c:pt>
                <c:pt idx="31">
                  <c:v>Aug-43</c:v>
                </c:pt>
                <c:pt idx="32">
                  <c:v>Sep-43</c:v>
                </c:pt>
                <c:pt idx="33">
                  <c:v>Oct-43</c:v>
                </c:pt>
                <c:pt idx="34">
                  <c:v>Nov-43</c:v>
                </c:pt>
                <c:pt idx="35">
                  <c:v>Dec-43</c:v>
                </c:pt>
                <c:pt idx="36">
                  <c:v>Jan-44</c:v>
                </c:pt>
                <c:pt idx="37">
                  <c:v>Feb-44</c:v>
                </c:pt>
                <c:pt idx="38">
                  <c:v>Mar-44</c:v>
                </c:pt>
                <c:pt idx="39">
                  <c:v>Apr-44</c:v>
                </c:pt>
                <c:pt idx="40">
                  <c:v>May-44</c:v>
                </c:pt>
                <c:pt idx="41">
                  <c:v>Jun-44</c:v>
                </c:pt>
                <c:pt idx="42">
                  <c:v>Jul-44</c:v>
                </c:pt>
                <c:pt idx="43">
                  <c:v>Aug-44</c:v>
                </c:pt>
                <c:pt idx="44">
                  <c:v>Sep-44</c:v>
                </c:pt>
                <c:pt idx="45">
                  <c:v>Oct-44</c:v>
                </c:pt>
                <c:pt idx="46">
                  <c:v>Nov-44</c:v>
                </c:pt>
                <c:pt idx="47">
                  <c:v>Dec-44</c:v>
                </c:pt>
                <c:pt idx="48">
                  <c:v>Jan-45</c:v>
                </c:pt>
                <c:pt idx="49">
                  <c:v>Feb-45</c:v>
                </c:pt>
                <c:pt idx="50">
                  <c:v>Mar-45</c:v>
                </c:pt>
                <c:pt idx="51">
                  <c:v>Apr-45</c:v>
                </c:pt>
                <c:pt idx="52">
                  <c:v>May-45</c:v>
                </c:pt>
                <c:pt idx="53">
                  <c:v>Jun-45</c:v>
                </c:pt>
                <c:pt idx="54">
                  <c:v>Jul-45</c:v>
                </c:pt>
                <c:pt idx="55">
                  <c:v>Aug-45</c:v>
                </c:pt>
                <c:pt idx="56">
                  <c:v>Sep-45</c:v>
                </c:pt>
                <c:pt idx="57">
                  <c:v>Oct-45</c:v>
                </c:pt>
                <c:pt idx="58">
                  <c:v>Nov-45</c:v>
                </c:pt>
                <c:pt idx="59">
                  <c:v>Dec-45</c:v>
                </c:pt>
                <c:pt idx="60">
                  <c:v>Jan-46</c:v>
                </c:pt>
                <c:pt idx="61">
                  <c:v>Feb-46</c:v>
                </c:pt>
                <c:pt idx="62">
                  <c:v>Mar-46</c:v>
                </c:pt>
                <c:pt idx="63">
                  <c:v>Apr-46</c:v>
                </c:pt>
                <c:pt idx="64">
                  <c:v>May-46</c:v>
                </c:pt>
                <c:pt idx="65">
                  <c:v>Jun-46</c:v>
                </c:pt>
                <c:pt idx="66">
                  <c:v>Jul-46</c:v>
                </c:pt>
                <c:pt idx="67">
                  <c:v>Aug-46</c:v>
                </c:pt>
                <c:pt idx="68">
                  <c:v>Sep-46</c:v>
                </c:pt>
                <c:pt idx="69">
                  <c:v>Oct-46</c:v>
                </c:pt>
                <c:pt idx="70">
                  <c:v>Nov-46</c:v>
                </c:pt>
                <c:pt idx="71">
                  <c:v>Dec-46</c:v>
                </c:pt>
                <c:pt idx="72">
                  <c:v>Jan-47</c:v>
                </c:pt>
                <c:pt idx="73">
                  <c:v>Feb-47</c:v>
                </c:pt>
                <c:pt idx="74">
                  <c:v>Mar-47</c:v>
                </c:pt>
                <c:pt idx="75">
                  <c:v>Apr-47</c:v>
                </c:pt>
                <c:pt idx="76">
                  <c:v>May-47</c:v>
                </c:pt>
              </c:strCache>
            </c:strRef>
          </c:cat>
          <c:val>
            <c:numRef>
              <c:f>'Fig 14.3. Before &amp; After'!$E$2:$E$78</c:f>
              <c:numCache>
                <c:formatCode>General</c:formatCode>
                <c:ptCount val="77"/>
                <c:pt idx="0">
                  <c:v>10.5</c:v>
                </c:pt>
                <c:pt idx="1">
                  <c:v>10.5</c:v>
                </c:pt>
                <c:pt idx="2">
                  <c:v>10.5</c:v>
                </c:pt>
                <c:pt idx="3">
                  <c:v>10.5</c:v>
                </c:pt>
                <c:pt idx="4">
                  <c:v>10.5</c:v>
                </c:pt>
                <c:pt idx="5">
                  <c:v>10.5</c:v>
                </c:pt>
                <c:pt idx="6">
                  <c:v>10.5</c:v>
                </c:pt>
                <c:pt idx="7">
                  <c:v>10.5</c:v>
                </c:pt>
                <c:pt idx="8">
                  <c:v>10.5</c:v>
                </c:pt>
                <c:pt idx="9">
                  <c:v>10.5</c:v>
                </c:pt>
                <c:pt idx="10">
                  <c:v>10.5</c:v>
                </c:pt>
                <c:pt idx="11">
                  <c:v>10.5</c:v>
                </c:pt>
                <c:pt idx="12">
                  <c:v>10.5</c:v>
                </c:pt>
                <c:pt idx="13">
                  <c:v>10.5</c:v>
                </c:pt>
                <c:pt idx="14">
                  <c:v>10.5</c:v>
                </c:pt>
                <c:pt idx="15">
                  <c:v>10.5</c:v>
                </c:pt>
                <c:pt idx="16">
                  <c:v>10.5</c:v>
                </c:pt>
                <c:pt idx="17">
                  <c:v>10.5</c:v>
                </c:pt>
                <c:pt idx="18">
                  <c:v>10.5</c:v>
                </c:pt>
                <c:pt idx="19">
                  <c:v>10.5</c:v>
                </c:pt>
                <c:pt idx="20">
                  <c:v>10.5</c:v>
                </c:pt>
                <c:pt idx="21">
                  <c:v>10.5</c:v>
                </c:pt>
                <c:pt idx="22">
                  <c:v>10.5</c:v>
                </c:pt>
                <c:pt idx="23">
                  <c:v>10.5</c:v>
                </c:pt>
                <c:pt idx="24">
                  <c:v>10.5</c:v>
                </c:pt>
                <c:pt idx="25">
                  <c:v>10.5</c:v>
                </c:pt>
                <c:pt idx="26">
                  <c:v>10.5</c:v>
                </c:pt>
                <c:pt idx="27">
                  <c:v>10.5</c:v>
                </c:pt>
                <c:pt idx="28">
                  <c:v>10.5</c:v>
                </c:pt>
                <c:pt idx="29">
                  <c:v>10.5</c:v>
                </c:pt>
                <c:pt idx="30">
                  <c:v>10.5</c:v>
                </c:pt>
                <c:pt idx="31">
                  <c:v>10.5</c:v>
                </c:pt>
                <c:pt idx="32">
                  <c:v>10.5</c:v>
                </c:pt>
                <c:pt idx="33">
                  <c:v>10.5</c:v>
                </c:pt>
                <c:pt idx="34">
                  <c:v>10.5</c:v>
                </c:pt>
                <c:pt idx="35">
                  <c:v>10.5</c:v>
                </c:pt>
                <c:pt idx="36">
                  <c:v>10.5</c:v>
                </c:pt>
                <c:pt idx="37">
                  <c:v>10.5</c:v>
                </c:pt>
                <c:pt idx="38">
                  <c:v>10.5</c:v>
                </c:pt>
                <c:pt idx="39">
                  <c:v>10.5</c:v>
                </c:pt>
                <c:pt idx="40">
                  <c:v>10.5</c:v>
                </c:pt>
                <c:pt idx="41">
                  <c:v>10.5</c:v>
                </c:pt>
                <c:pt idx="42">
                  <c:v>10.5</c:v>
                </c:pt>
                <c:pt idx="43">
                  <c:v>10.5</c:v>
                </c:pt>
                <c:pt idx="44">
                  <c:v>10.5</c:v>
                </c:pt>
                <c:pt idx="45">
                  <c:v>10.5</c:v>
                </c:pt>
                <c:pt idx="46">
                  <c:v>10.5</c:v>
                </c:pt>
                <c:pt idx="47">
                  <c:v>10.5</c:v>
                </c:pt>
                <c:pt idx="48">
                  <c:v>10.5</c:v>
                </c:pt>
                <c:pt idx="49">
                  <c:v>10.5</c:v>
                </c:pt>
                <c:pt idx="50">
                  <c:v>10.5</c:v>
                </c:pt>
                <c:pt idx="51">
                  <c:v>10.5</c:v>
                </c:pt>
                <c:pt idx="52">
                  <c:v>10.5</c:v>
                </c:pt>
                <c:pt idx="53">
                  <c:v>10.5</c:v>
                </c:pt>
                <c:pt idx="54">
                  <c:v>10.5</c:v>
                </c:pt>
                <c:pt idx="55">
                  <c:v>10.5</c:v>
                </c:pt>
                <c:pt idx="56">
                  <c:v>10.5</c:v>
                </c:pt>
                <c:pt idx="57">
                  <c:v>10.5</c:v>
                </c:pt>
                <c:pt idx="58">
                  <c:v>10.5</c:v>
                </c:pt>
                <c:pt idx="59">
                  <c:v>10.5</c:v>
                </c:pt>
                <c:pt idx="60">
                  <c:v>10.5</c:v>
                </c:pt>
                <c:pt idx="61">
                  <c:v>10.5</c:v>
                </c:pt>
                <c:pt idx="62">
                  <c:v>10.5</c:v>
                </c:pt>
                <c:pt idx="63">
                  <c:v>10.5</c:v>
                </c:pt>
                <c:pt idx="64">
                  <c:v>10.5</c:v>
                </c:pt>
                <c:pt idx="65">
                  <c:v>10.5</c:v>
                </c:pt>
                <c:pt idx="66">
                  <c:v>10.5</c:v>
                </c:pt>
                <c:pt idx="67">
                  <c:v>10.5</c:v>
                </c:pt>
                <c:pt idx="68">
                  <c:v>10.5</c:v>
                </c:pt>
                <c:pt idx="69">
                  <c:v>10.5</c:v>
                </c:pt>
                <c:pt idx="70">
                  <c:v>10.5</c:v>
                </c:pt>
                <c:pt idx="71">
                  <c:v>10.5</c:v>
                </c:pt>
                <c:pt idx="72">
                  <c:v>10.5</c:v>
                </c:pt>
                <c:pt idx="73">
                  <c:v>10.5</c:v>
                </c:pt>
                <c:pt idx="74">
                  <c:v>10.5</c:v>
                </c:pt>
                <c:pt idx="75">
                  <c:v>10.5</c:v>
                </c:pt>
                <c:pt idx="76">
                  <c:v>10.5</c:v>
                </c:pt>
              </c:numCache>
            </c:numRef>
          </c:val>
          <c:smooth val="0"/>
          <c:extLst>
            <c:ext xmlns:c16="http://schemas.microsoft.com/office/drawing/2014/chart" uri="{C3380CC4-5D6E-409C-BE32-E72D297353CC}">
              <c16:uniqueId val="{00000001-329B-41D6-8340-43856FD2F6C5}"/>
            </c:ext>
          </c:extLst>
        </c:ser>
        <c:ser>
          <c:idx val="2"/>
          <c:order val="2"/>
          <c:tx>
            <c:strRef>
              <c:f>'Fig 14.3. Before &amp; After'!$F$1</c:f>
              <c:strCache>
                <c:ptCount val="1"/>
                <c:pt idx="0">
                  <c:v>UPL</c:v>
                </c:pt>
              </c:strCache>
            </c:strRef>
          </c:tx>
          <c:spPr>
            <a:ln w="28575" cap="rnd">
              <a:solidFill>
                <a:srgbClr val="D72323"/>
              </a:solidFill>
              <a:prstDash val="dash"/>
              <a:round/>
            </a:ln>
            <a:effectLst/>
          </c:spPr>
          <c:marker>
            <c:symbol val="none"/>
          </c:marker>
          <c:cat>
            <c:strRef>
              <c:f>'Fig 14.3. Before &amp; After'!$C$2:$C$78</c:f>
              <c:strCache>
                <c:ptCount val="77"/>
                <c:pt idx="0">
                  <c:v>Jan-41</c:v>
                </c:pt>
                <c:pt idx="1">
                  <c:v>Feb-41</c:v>
                </c:pt>
                <c:pt idx="2">
                  <c:v>Mar-41</c:v>
                </c:pt>
                <c:pt idx="3">
                  <c:v>Apr-41</c:v>
                </c:pt>
                <c:pt idx="4">
                  <c:v>May-41</c:v>
                </c:pt>
                <c:pt idx="5">
                  <c:v>Jun-41</c:v>
                </c:pt>
                <c:pt idx="6">
                  <c:v>Jul-41</c:v>
                </c:pt>
                <c:pt idx="7">
                  <c:v>Aug-41</c:v>
                </c:pt>
                <c:pt idx="8">
                  <c:v>Sep-41</c:v>
                </c:pt>
                <c:pt idx="9">
                  <c:v>Oct-41</c:v>
                </c:pt>
                <c:pt idx="10">
                  <c:v>Nov-41</c:v>
                </c:pt>
                <c:pt idx="11">
                  <c:v>Dec-41</c:v>
                </c:pt>
                <c:pt idx="12">
                  <c:v>Jan-42</c:v>
                </c:pt>
                <c:pt idx="13">
                  <c:v>Feb-42</c:v>
                </c:pt>
                <c:pt idx="14">
                  <c:v>Mar-42</c:v>
                </c:pt>
                <c:pt idx="15">
                  <c:v>Apr-42</c:v>
                </c:pt>
                <c:pt idx="16">
                  <c:v>May-42</c:v>
                </c:pt>
                <c:pt idx="17">
                  <c:v>Jun-42</c:v>
                </c:pt>
                <c:pt idx="18">
                  <c:v>Jul-42</c:v>
                </c:pt>
                <c:pt idx="19">
                  <c:v>Aug-42</c:v>
                </c:pt>
                <c:pt idx="20">
                  <c:v>Sep-42</c:v>
                </c:pt>
                <c:pt idx="21">
                  <c:v>Oct-42</c:v>
                </c:pt>
                <c:pt idx="22">
                  <c:v>Nov-42</c:v>
                </c:pt>
                <c:pt idx="23">
                  <c:v>Dec-42</c:v>
                </c:pt>
                <c:pt idx="24">
                  <c:v>Jan-43</c:v>
                </c:pt>
                <c:pt idx="25">
                  <c:v>Feb-43</c:v>
                </c:pt>
                <c:pt idx="26">
                  <c:v>Mar-43</c:v>
                </c:pt>
                <c:pt idx="27">
                  <c:v>Apr-43</c:v>
                </c:pt>
                <c:pt idx="28">
                  <c:v>May-43</c:v>
                </c:pt>
                <c:pt idx="29">
                  <c:v>Jun-43</c:v>
                </c:pt>
                <c:pt idx="30">
                  <c:v>Jul-43</c:v>
                </c:pt>
                <c:pt idx="31">
                  <c:v>Aug-43</c:v>
                </c:pt>
                <c:pt idx="32">
                  <c:v>Sep-43</c:v>
                </c:pt>
                <c:pt idx="33">
                  <c:v>Oct-43</c:v>
                </c:pt>
                <c:pt idx="34">
                  <c:v>Nov-43</c:v>
                </c:pt>
                <c:pt idx="35">
                  <c:v>Dec-43</c:v>
                </c:pt>
                <c:pt idx="36">
                  <c:v>Jan-44</c:v>
                </c:pt>
                <c:pt idx="37">
                  <c:v>Feb-44</c:v>
                </c:pt>
                <c:pt idx="38">
                  <c:v>Mar-44</c:v>
                </c:pt>
                <c:pt idx="39">
                  <c:v>Apr-44</c:v>
                </c:pt>
                <c:pt idx="40">
                  <c:v>May-44</c:v>
                </c:pt>
                <c:pt idx="41">
                  <c:v>Jun-44</c:v>
                </c:pt>
                <c:pt idx="42">
                  <c:v>Jul-44</c:v>
                </c:pt>
                <c:pt idx="43">
                  <c:v>Aug-44</c:v>
                </c:pt>
                <c:pt idx="44">
                  <c:v>Sep-44</c:v>
                </c:pt>
                <c:pt idx="45">
                  <c:v>Oct-44</c:v>
                </c:pt>
                <c:pt idx="46">
                  <c:v>Nov-44</c:v>
                </c:pt>
                <c:pt idx="47">
                  <c:v>Dec-44</c:v>
                </c:pt>
                <c:pt idx="48">
                  <c:v>Jan-45</c:v>
                </c:pt>
                <c:pt idx="49">
                  <c:v>Feb-45</c:v>
                </c:pt>
                <c:pt idx="50">
                  <c:v>Mar-45</c:v>
                </c:pt>
                <c:pt idx="51">
                  <c:v>Apr-45</c:v>
                </c:pt>
                <c:pt idx="52">
                  <c:v>May-45</c:v>
                </c:pt>
                <c:pt idx="53">
                  <c:v>Jun-45</c:v>
                </c:pt>
                <c:pt idx="54">
                  <c:v>Jul-45</c:v>
                </c:pt>
                <c:pt idx="55">
                  <c:v>Aug-45</c:v>
                </c:pt>
                <c:pt idx="56">
                  <c:v>Sep-45</c:v>
                </c:pt>
                <c:pt idx="57">
                  <c:v>Oct-45</c:v>
                </c:pt>
                <c:pt idx="58">
                  <c:v>Nov-45</c:v>
                </c:pt>
                <c:pt idx="59">
                  <c:v>Dec-45</c:v>
                </c:pt>
                <c:pt idx="60">
                  <c:v>Jan-46</c:v>
                </c:pt>
                <c:pt idx="61">
                  <c:v>Feb-46</c:v>
                </c:pt>
                <c:pt idx="62">
                  <c:v>Mar-46</c:v>
                </c:pt>
                <c:pt idx="63">
                  <c:v>Apr-46</c:v>
                </c:pt>
                <c:pt idx="64">
                  <c:v>May-46</c:v>
                </c:pt>
                <c:pt idx="65">
                  <c:v>Jun-46</c:v>
                </c:pt>
                <c:pt idx="66">
                  <c:v>Jul-46</c:v>
                </c:pt>
                <c:pt idx="67">
                  <c:v>Aug-46</c:v>
                </c:pt>
                <c:pt idx="68">
                  <c:v>Sep-46</c:v>
                </c:pt>
                <c:pt idx="69">
                  <c:v>Oct-46</c:v>
                </c:pt>
                <c:pt idx="70">
                  <c:v>Nov-46</c:v>
                </c:pt>
                <c:pt idx="71">
                  <c:v>Dec-46</c:v>
                </c:pt>
                <c:pt idx="72">
                  <c:v>Jan-47</c:v>
                </c:pt>
                <c:pt idx="73">
                  <c:v>Feb-47</c:v>
                </c:pt>
                <c:pt idx="74">
                  <c:v>Mar-47</c:v>
                </c:pt>
                <c:pt idx="75">
                  <c:v>Apr-47</c:v>
                </c:pt>
                <c:pt idx="76">
                  <c:v>May-47</c:v>
                </c:pt>
              </c:strCache>
            </c:strRef>
          </c:cat>
          <c:val>
            <c:numRef>
              <c:f>'Fig 14.3. Before &amp; After'!$F$2:$F$78</c:f>
              <c:numCache>
                <c:formatCode>General</c:formatCode>
                <c:ptCount val="77"/>
                <c:pt idx="0">
                  <c:v>22.5</c:v>
                </c:pt>
                <c:pt idx="1">
                  <c:v>22.5</c:v>
                </c:pt>
                <c:pt idx="2">
                  <c:v>22.5</c:v>
                </c:pt>
                <c:pt idx="3">
                  <c:v>22.5</c:v>
                </c:pt>
                <c:pt idx="4">
                  <c:v>22.5</c:v>
                </c:pt>
                <c:pt idx="5">
                  <c:v>22.5</c:v>
                </c:pt>
                <c:pt idx="6">
                  <c:v>22.5</c:v>
                </c:pt>
                <c:pt idx="7">
                  <c:v>22.5</c:v>
                </c:pt>
                <c:pt idx="8">
                  <c:v>22.5</c:v>
                </c:pt>
                <c:pt idx="9">
                  <c:v>22.5</c:v>
                </c:pt>
                <c:pt idx="10">
                  <c:v>22.5</c:v>
                </c:pt>
                <c:pt idx="11">
                  <c:v>22.5</c:v>
                </c:pt>
                <c:pt idx="12">
                  <c:v>22.5</c:v>
                </c:pt>
                <c:pt idx="13">
                  <c:v>22.5</c:v>
                </c:pt>
                <c:pt idx="14">
                  <c:v>22.5</c:v>
                </c:pt>
                <c:pt idx="15">
                  <c:v>22.5</c:v>
                </c:pt>
                <c:pt idx="16">
                  <c:v>22.5</c:v>
                </c:pt>
                <c:pt idx="17">
                  <c:v>22.5</c:v>
                </c:pt>
                <c:pt idx="18">
                  <c:v>22.5</c:v>
                </c:pt>
                <c:pt idx="19">
                  <c:v>22.5</c:v>
                </c:pt>
                <c:pt idx="20">
                  <c:v>22.5</c:v>
                </c:pt>
                <c:pt idx="21">
                  <c:v>22.5</c:v>
                </c:pt>
                <c:pt idx="22">
                  <c:v>22.5</c:v>
                </c:pt>
                <c:pt idx="23">
                  <c:v>22.5</c:v>
                </c:pt>
                <c:pt idx="24">
                  <c:v>22.5</c:v>
                </c:pt>
                <c:pt idx="25">
                  <c:v>22.5</c:v>
                </c:pt>
                <c:pt idx="26">
                  <c:v>22.5</c:v>
                </c:pt>
                <c:pt idx="27">
                  <c:v>22.5</c:v>
                </c:pt>
                <c:pt idx="28">
                  <c:v>22.5</c:v>
                </c:pt>
                <c:pt idx="29">
                  <c:v>22.5</c:v>
                </c:pt>
                <c:pt idx="30">
                  <c:v>22.5</c:v>
                </c:pt>
                <c:pt idx="31">
                  <c:v>22.5</c:v>
                </c:pt>
                <c:pt idx="32">
                  <c:v>22.5</c:v>
                </c:pt>
                <c:pt idx="33">
                  <c:v>22.5</c:v>
                </c:pt>
                <c:pt idx="34">
                  <c:v>22.5</c:v>
                </c:pt>
                <c:pt idx="35">
                  <c:v>22.5</c:v>
                </c:pt>
                <c:pt idx="36">
                  <c:v>22.5</c:v>
                </c:pt>
                <c:pt idx="37">
                  <c:v>22.5</c:v>
                </c:pt>
                <c:pt idx="38">
                  <c:v>22.5</c:v>
                </c:pt>
                <c:pt idx="39">
                  <c:v>22.5</c:v>
                </c:pt>
                <c:pt idx="40">
                  <c:v>22.5</c:v>
                </c:pt>
                <c:pt idx="41">
                  <c:v>22.5</c:v>
                </c:pt>
                <c:pt idx="42">
                  <c:v>22.5</c:v>
                </c:pt>
                <c:pt idx="43">
                  <c:v>22.5</c:v>
                </c:pt>
                <c:pt idx="44">
                  <c:v>22.5</c:v>
                </c:pt>
                <c:pt idx="45">
                  <c:v>22.5</c:v>
                </c:pt>
                <c:pt idx="46">
                  <c:v>22.5</c:v>
                </c:pt>
                <c:pt idx="47">
                  <c:v>22.5</c:v>
                </c:pt>
                <c:pt idx="48">
                  <c:v>22.5</c:v>
                </c:pt>
                <c:pt idx="49">
                  <c:v>22.5</c:v>
                </c:pt>
                <c:pt idx="50">
                  <c:v>22.5</c:v>
                </c:pt>
                <c:pt idx="51">
                  <c:v>22.5</c:v>
                </c:pt>
                <c:pt idx="52">
                  <c:v>22.5</c:v>
                </c:pt>
                <c:pt idx="53">
                  <c:v>22.5</c:v>
                </c:pt>
                <c:pt idx="54">
                  <c:v>22.5</c:v>
                </c:pt>
                <c:pt idx="55">
                  <c:v>22.5</c:v>
                </c:pt>
                <c:pt idx="56">
                  <c:v>22.5</c:v>
                </c:pt>
                <c:pt idx="57">
                  <c:v>22.5</c:v>
                </c:pt>
                <c:pt idx="58">
                  <c:v>22.5</c:v>
                </c:pt>
                <c:pt idx="59">
                  <c:v>22.5</c:v>
                </c:pt>
                <c:pt idx="60">
                  <c:v>22.5</c:v>
                </c:pt>
                <c:pt idx="61">
                  <c:v>22.5</c:v>
                </c:pt>
                <c:pt idx="62">
                  <c:v>22.5</c:v>
                </c:pt>
                <c:pt idx="63">
                  <c:v>22.5</c:v>
                </c:pt>
                <c:pt idx="64">
                  <c:v>22.5</c:v>
                </c:pt>
                <c:pt idx="65">
                  <c:v>22.5</c:v>
                </c:pt>
                <c:pt idx="66">
                  <c:v>22.5</c:v>
                </c:pt>
                <c:pt idx="67">
                  <c:v>22.5</c:v>
                </c:pt>
                <c:pt idx="68">
                  <c:v>22.5</c:v>
                </c:pt>
                <c:pt idx="69">
                  <c:v>22.5</c:v>
                </c:pt>
                <c:pt idx="70">
                  <c:v>22.5</c:v>
                </c:pt>
                <c:pt idx="71">
                  <c:v>22.5</c:v>
                </c:pt>
                <c:pt idx="72">
                  <c:v>22.5</c:v>
                </c:pt>
                <c:pt idx="73">
                  <c:v>22.5</c:v>
                </c:pt>
                <c:pt idx="74">
                  <c:v>22.5</c:v>
                </c:pt>
                <c:pt idx="75">
                  <c:v>22.5</c:v>
                </c:pt>
                <c:pt idx="76">
                  <c:v>22.5</c:v>
                </c:pt>
              </c:numCache>
            </c:numRef>
          </c:val>
          <c:smooth val="0"/>
          <c:extLst>
            <c:ext xmlns:c16="http://schemas.microsoft.com/office/drawing/2014/chart" uri="{C3380CC4-5D6E-409C-BE32-E72D297353CC}">
              <c16:uniqueId val="{00000002-329B-41D6-8340-43856FD2F6C5}"/>
            </c:ext>
          </c:extLst>
        </c:ser>
        <c:ser>
          <c:idx val="3"/>
          <c:order val="3"/>
          <c:tx>
            <c:strRef>
              <c:f>'Fig 14.3. Before &amp; After'!$G$1</c:f>
              <c:strCache>
                <c:ptCount val="1"/>
                <c:pt idx="0">
                  <c:v>LPL</c:v>
                </c:pt>
              </c:strCache>
            </c:strRef>
          </c:tx>
          <c:spPr>
            <a:ln w="28575" cap="rnd">
              <a:solidFill>
                <a:srgbClr val="D72323"/>
              </a:solidFill>
              <a:prstDash val="dash"/>
              <a:round/>
            </a:ln>
            <a:effectLst/>
          </c:spPr>
          <c:marker>
            <c:symbol val="none"/>
          </c:marker>
          <c:cat>
            <c:strRef>
              <c:f>'Fig 14.3. Before &amp; After'!$C$2:$C$78</c:f>
              <c:strCache>
                <c:ptCount val="77"/>
                <c:pt idx="0">
                  <c:v>Jan-41</c:v>
                </c:pt>
                <c:pt idx="1">
                  <c:v>Feb-41</c:v>
                </c:pt>
                <c:pt idx="2">
                  <c:v>Mar-41</c:v>
                </c:pt>
                <c:pt idx="3">
                  <c:v>Apr-41</c:v>
                </c:pt>
                <c:pt idx="4">
                  <c:v>May-41</c:v>
                </c:pt>
                <c:pt idx="5">
                  <c:v>Jun-41</c:v>
                </c:pt>
                <c:pt idx="6">
                  <c:v>Jul-41</c:v>
                </c:pt>
                <c:pt idx="7">
                  <c:v>Aug-41</c:v>
                </c:pt>
                <c:pt idx="8">
                  <c:v>Sep-41</c:v>
                </c:pt>
                <c:pt idx="9">
                  <c:v>Oct-41</c:v>
                </c:pt>
                <c:pt idx="10">
                  <c:v>Nov-41</c:v>
                </c:pt>
                <c:pt idx="11">
                  <c:v>Dec-41</c:v>
                </c:pt>
                <c:pt idx="12">
                  <c:v>Jan-42</c:v>
                </c:pt>
                <c:pt idx="13">
                  <c:v>Feb-42</c:v>
                </c:pt>
                <c:pt idx="14">
                  <c:v>Mar-42</c:v>
                </c:pt>
                <c:pt idx="15">
                  <c:v>Apr-42</c:v>
                </c:pt>
                <c:pt idx="16">
                  <c:v>May-42</c:v>
                </c:pt>
                <c:pt idx="17">
                  <c:v>Jun-42</c:v>
                </c:pt>
                <c:pt idx="18">
                  <c:v>Jul-42</c:v>
                </c:pt>
                <c:pt idx="19">
                  <c:v>Aug-42</c:v>
                </c:pt>
                <c:pt idx="20">
                  <c:v>Sep-42</c:v>
                </c:pt>
                <c:pt idx="21">
                  <c:v>Oct-42</c:v>
                </c:pt>
                <c:pt idx="22">
                  <c:v>Nov-42</c:v>
                </c:pt>
                <c:pt idx="23">
                  <c:v>Dec-42</c:v>
                </c:pt>
                <c:pt idx="24">
                  <c:v>Jan-43</c:v>
                </c:pt>
                <c:pt idx="25">
                  <c:v>Feb-43</c:v>
                </c:pt>
                <c:pt idx="26">
                  <c:v>Mar-43</c:v>
                </c:pt>
                <c:pt idx="27">
                  <c:v>Apr-43</c:v>
                </c:pt>
                <c:pt idx="28">
                  <c:v>May-43</c:v>
                </c:pt>
                <c:pt idx="29">
                  <c:v>Jun-43</c:v>
                </c:pt>
                <c:pt idx="30">
                  <c:v>Jul-43</c:v>
                </c:pt>
                <c:pt idx="31">
                  <c:v>Aug-43</c:v>
                </c:pt>
                <c:pt idx="32">
                  <c:v>Sep-43</c:v>
                </c:pt>
                <c:pt idx="33">
                  <c:v>Oct-43</c:v>
                </c:pt>
                <c:pt idx="34">
                  <c:v>Nov-43</c:v>
                </c:pt>
                <c:pt idx="35">
                  <c:v>Dec-43</c:v>
                </c:pt>
                <c:pt idx="36">
                  <c:v>Jan-44</c:v>
                </c:pt>
                <c:pt idx="37">
                  <c:v>Feb-44</c:v>
                </c:pt>
                <c:pt idx="38">
                  <c:v>Mar-44</c:v>
                </c:pt>
                <c:pt idx="39">
                  <c:v>Apr-44</c:v>
                </c:pt>
                <c:pt idx="40">
                  <c:v>May-44</c:v>
                </c:pt>
                <c:pt idx="41">
                  <c:v>Jun-44</c:v>
                </c:pt>
                <c:pt idx="42">
                  <c:v>Jul-44</c:v>
                </c:pt>
                <c:pt idx="43">
                  <c:v>Aug-44</c:v>
                </c:pt>
                <c:pt idx="44">
                  <c:v>Sep-44</c:v>
                </c:pt>
                <c:pt idx="45">
                  <c:v>Oct-44</c:v>
                </c:pt>
                <c:pt idx="46">
                  <c:v>Nov-44</c:v>
                </c:pt>
                <c:pt idx="47">
                  <c:v>Dec-44</c:v>
                </c:pt>
                <c:pt idx="48">
                  <c:v>Jan-45</c:v>
                </c:pt>
                <c:pt idx="49">
                  <c:v>Feb-45</c:v>
                </c:pt>
                <c:pt idx="50">
                  <c:v>Mar-45</c:v>
                </c:pt>
                <c:pt idx="51">
                  <c:v>Apr-45</c:v>
                </c:pt>
                <c:pt idx="52">
                  <c:v>May-45</c:v>
                </c:pt>
                <c:pt idx="53">
                  <c:v>Jun-45</c:v>
                </c:pt>
                <c:pt idx="54">
                  <c:v>Jul-45</c:v>
                </c:pt>
                <c:pt idx="55">
                  <c:v>Aug-45</c:v>
                </c:pt>
                <c:pt idx="56">
                  <c:v>Sep-45</c:v>
                </c:pt>
                <c:pt idx="57">
                  <c:v>Oct-45</c:v>
                </c:pt>
                <c:pt idx="58">
                  <c:v>Nov-45</c:v>
                </c:pt>
                <c:pt idx="59">
                  <c:v>Dec-45</c:v>
                </c:pt>
                <c:pt idx="60">
                  <c:v>Jan-46</c:v>
                </c:pt>
                <c:pt idx="61">
                  <c:v>Feb-46</c:v>
                </c:pt>
                <c:pt idx="62">
                  <c:v>Mar-46</c:v>
                </c:pt>
                <c:pt idx="63">
                  <c:v>Apr-46</c:v>
                </c:pt>
                <c:pt idx="64">
                  <c:v>May-46</c:v>
                </c:pt>
                <c:pt idx="65">
                  <c:v>Jun-46</c:v>
                </c:pt>
                <c:pt idx="66">
                  <c:v>Jul-46</c:v>
                </c:pt>
                <c:pt idx="67">
                  <c:v>Aug-46</c:v>
                </c:pt>
                <c:pt idx="68">
                  <c:v>Sep-46</c:v>
                </c:pt>
                <c:pt idx="69">
                  <c:v>Oct-46</c:v>
                </c:pt>
                <c:pt idx="70">
                  <c:v>Nov-46</c:v>
                </c:pt>
                <c:pt idx="71">
                  <c:v>Dec-46</c:v>
                </c:pt>
                <c:pt idx="72">
                  <c:v>Jan-47</c:v>
                </c:pt>
                <c:pt idx="73">
                  <c:v>Feb-47</c:v>
                </c:pt>
                <c:pt idx="74">
                  <c:v>Mar-47</c:v>
                </c:pt>
                <c:pt idx="75">
                  <c:v>Apr-47</c:v>
                </c:pt>
                <c:pt idx="76">
                  <c:v>May-47</c:v>
                </c:pt>
              </c:strCache>
            </c:strRef>
          </c:cat>
          <c:val>
            <c:numRef>
              <c:f>'Fig 14.3. Before &amp; After'!$G$2:$G$78</c:f>
              <c:numCache>
                <c:formatCode>General</c:formatCode>
                <c:ptCount val="7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numCache>
            </c:numRef>
          </c:val>
          <c:smooth val="0"/>
          <c:extLst>
            <c:ext xmlns:c16="http://schemas.microsoft.com/office/drawing/2014/chart" uri="{C3380CC4-5D6E-409C-BE32-E72D297353CC}">
              <c16:uniqueId val="{00000003-329B-41D6-8340-43856FD2F6C5}"/>
            </c:ext>
          </c:extLst>
        </c:ser>
        <c:dLbls>
          <c:showLegendKey val="0"/>
          <c:showVal val="0"/>
          <c:showCatName val="0"/>
          <c:showSerName val="0"/>
          <c:showPercent val="0"/>
          <c:showBubbleSize val="0"/>
        </c:dLbls>
        <c:marker val="1"/>
        <c:smooth val="0"/>
        <c:axId val="2024056368"/>
        <c:axId val="2024057808"/>
      </c:lineChart>
      <c:catAx>
        <c:axId val="2024056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057808"/>
        <c:crosses val="autoZero"/>
        <c:auto val="1"/>
        <c:lblAlgn val="ctr"/>
        <c:lblOffset val="100"/>
        <c:noMultiLvlLbl val="0"/>
      </c:catAx>
      <c:valAx>
        <c:axId val="202405780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Death-to-Birth Rate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056368"/>
        <c:crosses val="autoZero"/>
        <c:crossBetween val="between"/>
      </c:valAx>
      <c:spPr>
        <a:noFill/>
        <a:ln w="25400">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lineChart>
        <c:grouping val="standard"/>
        <c:varyColors val="0"/>
        <c:ser>
          <c:idx val="0"/>
          <c:order val="0"/>
          <c:tx>
            <c:strRef>
              <c:f>'Fig 14.3. Before &amp; After'!$H$1</c:f>
              <c:strCache>
                <c:ptCount val="1"/>
                <c:pt idx="0">
                  <c:v>mR</c:v>
                </c:pt>
              </c:strCache>
            </c:strRef>
          </c:tx>
          <c:spPr>
            <a:ln w="28575" cap="rnd">
              <a:solidFill>
                <a:schemeClr val="accent1"/>
              </a:solidFill>
              <a:round/>
            </a:ln>
            <a:effectLst/>
          </c:spPr>
          <c:marker>
            <c:symbol val="circle"/>
            <c:size val="6"/>
            <c:spPr>
              <a:solidFill>
                <a:schemeClr val="accent1"/>
              </a:solidFill>
              <a:ln w="9525">
                <a:solidFill>
                  <a:schemeClr val="accent1"/>
                </a:solidFill>
              </a:ln>
              <a:effectLst/>
            </c:spPr>
          </c:marker>
          <c:val>
            <c:numRef>
              <c:f>'Fig 14.3. Before &amp; After'!$H$2:$H$78</c:f>
              <c:numCache>
                <c:formatCode>General</c:formatCode>
                <c:ptCount val="77"/>
                <c:pt idx="1">
                  <c:v>7.1</c:v>
                </c:pt>
                <c:pt idx="2">
                  <c:v>3.2</c:v>
                </c:pt>
                <c:pt idx="3">
                  <c:v>2.7</c:v>
                </c:pt>
                <c:pt idx="4">
                  <c:v>0.8</c:v>
                </c:pt>
                <c:pt idx="5">
                  <c:v>4.2</c:v>
                </c:pt>
                <c:pt idx="6">
                  <c:v>3.4</c:v>
                </c:pt>
                <c:pt idx="7">
                  <c:v>7</c:v>
                </c:pt>
                <c:pt idx="8">
                  <c:v>0.5</c:v>
                </c:pt>
                <c:pt idx="9">
                  <c:v>9.1</c:v>
                </c:pt>
                <c:pt idx="10">
                  <c:v>11.6</c:v>
                </c:pt>
                <c:pt idx="13">
                  <c:v>8.6</c:v>
                </c:pt>
                <c:pt idx="14">
                  <c:v>2</c:v>
                </c:pt>
                <c:pt idx="15">
                  <c:v>0.5</c:v>
                </c:pt>
                <c:pt idx="16">
                  <c:v>7.5</c:v>
                </c:pt>
                <c:pt idx="17">
                  <c:v>3.4</c:v>
                </c:pt>
                <c:pt idx="18">
                  <c:v>14.2</c:v>
                </c:pt>
                <c:pt idx="19">
                  <c:v>4.7</c:v>
                </c:pt>
                <c:pt idx="20">
                  <c:v>7.1</c:v>
                </c:pt>
                <c:pt idx="21">
                  <c:v>10.9</c:v>
                </c:pt>
                <c:pt idx="22">
                  <c:v>6.3</c:v>
                </c:pt>
                <c:pt idx="23">
                  <c:v>8.4</c:v>
                </c:pt>
                <c:pt idx="24">
                  <c:v>12.3</c:v>
                </c:pt>
                <c:pt idx="25">
                  <c:v>3.1</c:v>
                </c:pt>
                <c:pt idx="26">
                  <c:v>3.6</c:v>
                </c:pt>
                <c:pt idx="27">
                  <c:v>0.5</c:v>
                </c:pt>
                <c:pt idx="28">
                  <c:v>5.8</c:v>
                </c:pt>
                <c:pt idx="29">
                  <c:v>2</c:v>
                </c:pt>
                <c:pt idx="30">
                  <c:v>3.6</c:v>
                </c:pt>
                <c:pt idx="31">
                  <c:v>1.1000000000000001</c:v>
                </c:pt>
                <c:pt idx="32">
                  <c:v>0.7</c:v>
                </c:pt>
                <c:pt idx="33">
                  <c:v>15.3</c:v>
                </c:pt>
                <c:pt idx="34">
                  <c:v>10.5</c:v>
                </c:pt>
                <c:pt idx="35">
                  <c:v>1</c:v>
                </c:pt>
                <c:pt idx="36">
                  <c:v>7.1</c:v>
                </c:pt>
                <c:pt idx="37">
                  <c:v>3.9</c:v>
                </c:pt>
                <c:pt idx="38">
                  <c:v>5.7</c:v>
                </c:pt>
                <c:pt idx="39">
                  <c:v>0.3</c:v>
                </c:pt>
                <c:pt idx="40">
                  <c:v>11.5</c:v>
                </c:pt>
                <c:pt idx="41">
                  <c:v>3.1</c:v>
                </c:pt>
                <c:pt idx="42">
                  <c:v>1.7</c:v>
                </c:pt>
                <c:pt idx="43">
                  <c:v>1.9</c:v>
                </c:pt>
                <c:pt idx="44">
                  <c:v>5.0999999999999996</c:v>
                </c:pt>
                <c:pt idx="45">
                  <c:v>2</c:v>
                </c:pt>
                <c:pt idx="46">
                  <c:v>7.8</c:v>
                </c:pt>
                <c:pt idx="47">
                  <c:v>0.5</c:v>
                </c:pt>
                <c:pt idx="48">
                  <c:v>2.9</c:v>
                </c:pt>
                <c:pt idx="49">
                  <c:v>2.9</c:v>
                </c:pt>
                <c:pt idx="50">
                  <c:v>0.2</c:v>
                </c:pt>
                <c:pt idx="51">
                  <c:v>0.3</c:v>
                </c:pt>
                <c:pt idx="52">
                  <c:v>0.2</c:v>
                </c:pt>
                <c:pt idx="53">
                  <c:v>2.7</c:v>
                </c:pt>
                <c:pt idx="54">
                  <c:v>1</c:v>
                </c:pt>
                <c:pt idx="55">
                  <c:v>2.5</c:v>
                </c:pt>
                <c:pt idx="56">
                  <c:v>6.9</c:v>
                </c:pt>
                <c:pt idx="57">
                  <c:v>4.3</c:v>
                </c:pt>
                <c:pt idx="58">
                  <c:v>3.9</c:v>
                </c:pt>
                <c:pt idx="59">
                  <c:v>0.4</c:v>
                </c:pt>
                <c:pt idx="60">
                  <c:v>2.9</c:v>
                </c:pt>
                <c:pt idx="61">
                  <c:v>4.7</c:v>
                </c:pt>
                <c:pt idx="62">
                  <c:v>2.7</c:v>
                </c:pt>
                <c:pt idx="63">
                  <c:v>3.6</c:v>
                </c:pt>
                <c:pt idx="64">
                  <c:v>5.6</c:v>
                </c:pt>
                <c:pt idx="65">
                  <c:v>3.2</c:v>
                </c:pt>
                <c:pt idx="66">
                  <c:v>2.9</c:v>
                </c:pt>
                <c:pt idx="67">
                  <c:v>5</c:v>
                </c:pt>
                <c:pt idx="68">
                  <c:v>3.7</c:v>
                </c:pt>
                <c:pt idx="69">
                  <c:v>0.6</c:v>
                </c:pt>
                <c:pt idx="70">
                  <c:v>4.2</c:v>
                </c:pt>
                <c:pt idx="71">
                  <c:v>5.4</c:v>
                </c:pt>
                <c:pt idx="72">
                  <c:v>2.2000000000000002</c:v>
                </c:pt>
                <c:pt idx="73">
                  <c:v>1.3</c:v>
                </c:pt>
                <c:pt idx="74">
                  <c:v>1.7</c:v>
                </c:pt>
                <c:pt idx="75">
                  <c:v>14.7</c:v>
                </c:pt>
                <c:pt idx="76">
                  <c:v>6.1</c:v>
                </c:pt>
              </c:numCache>
            </c:numRef>
          </c:val>
          <c:smooth val="0"/>
          <c:extLst>
            <c:ext xmlns:c16="http://schemas.microsoft.com/office/drawing/2014/chart" uri="{C3380CC4-5D6E-409C-BE32-E72D297353CC}">
              <c16:uniqueId val="{00000000-5D18-47FA-93F7-2AB89D044415}"/>
            </c:ext>
          </c:extLst>
        </c:ser>
        <c:ser>
          <c:idx val="1"/>
          <c:order val="1"/>
          <c:tx>
            <c:strRef>
              <c:f>'Fig 14.3. Before &amp; After'!$I$1</c:f>
              <c:strCache>
                <c:ptCount val="1"/>
                <c:pt idx="0">
                  <c:v>Ave. mR</c:v>
                </c:pt>
              </c:strCache>
            </c:strRef>
          </c:tx>
          <c:spPr>
            <a:ln w="28575" cap="rnd">
              <a:solidFill>
                <a:schemeClr val="tx1"/>
              </a:solidFill>
              <a:round/>
            </a:ln>
            <a:effectLst/>
          </c:spPr>
          <c:marker>
            <c:symbol val="none"/>
          </c:marker>
          <c:val>
            <c:numRef>
              <c:f>'Fig 14.3. Before &amp; After'!$I$2:$I$78</c:f>
              <c:numCache>
                <c:formatCode>General</c:formatCode>
                <c:ptCount val="77"/>
                <c:pt idx="0">
                  <c:v>4.5</c:v>
                </c:pt>
                <c:pt idx="1">
                  <c:v>4.5</c:v>
                </c:pt>
                <c:pt idx="2">
                  <c:v>4.5</c:v>
                </c:pt>
                <c:pt idx="3">
                  <c:v>4.5</c:v>
                </c:pt>
                <c:pt idx="4">
                  <c:v>4.5</c:v>
                </c:pt>
                <c:pt idx="5">
                  <c:v>4.5</c:v>
                </c:pt>
                <c:pt idx="6">
                  <c:v>4.5</c:v>
                </c:pt>
                <c:pt idx="7">
                  <c:v>4.5</c:v>
                </c:pt>
                <c:pt idx="8">
                  <c:v>4.5</c:v>
                </c:pt>
                <c:pt idx="9">
                  <c:v>4.5</c:v>
                </c:pt>
                <c:pt idx="10">
                  <c:v>4.5</c:v>
                </c:pt>
                <c:pt idx="11">
                  <c:v>4.5</c:v>
                </c:pt>
                <c:pt idx="12">
                  <c:v>4.5</c:v>
                </c:pt>
                <c:pt idx="13">
                  <c:v>4.5</c:v>
                </c:pt>
                <c:pt idx="14">
                  <c:v>4.5</c:v>
                </c:pt>
                <c:pt idx="15">
                  <c:v>4.5</c:v>
                </c:pt>
                <c:pt idx="16">
                  <c:v>4.5</c:v>
                </c:pt>
                <c:pt idx="17">
                  <c:v>4.5</c:v>
                </c:pt>
                <c:pt idx="18">
                  <c:v>4.5</c:v>
                </c:pt>
                <c:pt idx="19">
                  <c:v>4.5</c:v>
                </c:pt>
                <c:pt idx="20">
                  <c:v>4.5</c:v>
                </c:pt>
                <c:pt idx="21">
                  <c:v>4.5</c:v>
                </c:pt>
                <c:pt idx="22">
                  <c:v>4.5</c:v>
                </c:pt>
                <c:pt idx="23">
                  <c:v>4.5</c:v>
                </c:pt>
                <c:pt idx="24">
                  <c:v>4.5</c:v>
                </c:pt>
                <c:pt idx="25">
                  <c:v>4.5</c:v>
                </c:pt>
                <c:pt idx="26">
                  <c:v>4.5</c:v>
                </c:pt>
                <c:pt idx="27">
                  <c:v>4.5</c:v>
                </c:pt>
                <c:pt idx="28">
                  <c:v>4.5</c:v>
                </c:pt>
                <c:pt idx="29">
                  <c:v>4.5</c:v>
                </c:pt>
                <c:pt idx="30">
                  <c:v>4.5</c:v>
                </c:pt>
                <c:pt idx="31">
                  <c:v>4.5</c:v>
                </c:pt>
                <c:pt idx="32">
                  <c:v>4.5</c:v>
                </c:pt>
                <c:pt idx="33">
                  <c:v>4.5</c:v>
                </c:pt>
                <c:pt idx="34">
                  <c:v>4.5</c:v>
                </c:pt>
                <c:pt idx="35">
                  <c:v>4.5</c:v>
                </c:pt>
                <c:pt idx="36">
                  <c:v>4.5</c:v>
                </c:pt>
                <c:pt idx="37">
                  <c:v>4.5</c:v>
                </c:pt>
                <c:pt idx="38">
                  <c:v>4.5</c:v>
                </c:pt>
                <c:pt idx="39">
                  <c:v>4.5</c:v>
                </c:pt>
                <c:pt idx="40">
                  <c:v>4.5</c:v>
                </c:pt>
                <c:pt idx="41">
                  <c:v>4.5</c:v>
                </c:pt>
                <c:pt idx="42">
                  <c:v>4.5</c:v>
                </c:pt>
                <c:pt idx="43">
                  <c:v>4.5</c:v>
                </c:pt>
                <c:pt idx="44">
                  <c:v>4.5</c:v>
                </c:pt>
                <c:pt idx="45">
                  <c:v>4.5</c:v>
                </c:pt>
                <c:pt idx="46">
                  <c:v>4.5</c:v>
                </c:pt>
                <c:pt idx="47">
                  <c:v>4.5</c:v>
                </c:pt>
                <c:pt idx="48">
                  <c:v>4.5</c:v>
                </c:pt>
                <c:pt idx="49">
                  <c:v>4.5</c:v>
                </c:pt>
                <c:pt idx="50">
                  <c:v>4.5</c:v>
                </c:pt>
                <c:pt idx="51">
                  <c:v>4.5</c:v>
                </c:pt>
                <c:pt idx="52">
                  <c:v>4.5</c:v>
                </c:pt>
                <c:pt idx="53">
                  <c:v>4.5</c:v>
                </c:pt>
                <c:pt idx="54">
                  <c:v>4.5</c:v>
                </c:pt>
                <c:pt idx="55">
                  <c:v>4.5</c:v>
                </c:pt>
                <c:pt idx="56">
                  <c:v>4.5</c:v>
                </c:pt>
                <c:pt idx="57">
                  <c:v>4.5</c:v>
                </c:pt>
                <c:pt idx="58">
                  <c:v>4.5</c:v>
                </c:pt>
                <c:pt idx="59">
                  <c:v>4.5</c:v>
                </c:pt>
                <c:pt idx="60">
                  <c:v>4.5</c:v>
                </c:pt>
                <c:pt idx="61">
                  <c:v>4.5</c:v>
                </c:pt>
                <c:pt idx="62">
                  <c:v>4.5</c:v>
                </c:pt>
                <c:pt idx="63">
                  <c:v>4.5</c:v>
                </c:pt>
                <c:pt idx="64">
                  <c:v>4.5</c:v>
                </c:pt>
                <c:pt idx="65">
                  <c:v>4.5</c:v>
                </c:pt>
                <c:pt idx="66">
                  <c:v>4.5</c:v>
                </c:pt>
                <c:pt idx="67">
                  <c:v>4.5</c:v>
                </c:pt>
                <c:pt idx="68">
                  <c:v>4.5</c:v>
                </c:pt>
                <c:pt idx="69">
                  <c:v>4.5</c:v>
                </c:pt>
                <c:pt idx="70">
                  <c:v>4.5</c:v>
                </c:pt>
                <c:pt idx="71">
                  <c:v>4.5</c:v>
                </c:pt>
                <c:pt idx="72">
                  <c:v>4.5</c:v>
                </c:pt>
                <c:pt idx="73">
                  <c:v>4.5</c:v>
                </c:pt>
                <c:pt idx="74">
                  <c:v>4.5</c:v>
                </c:pt>
                <c:pt idx="75">
                  <c:v>4.5</c:v>
                </c:pt>
                <c:pt idx="76">
                  <c:v>4.5</c:v>
                </c:pt>
              </c:numCache>
            </c:numRef>
          </c:val>
          <c:smooth val="0"/>
          <c:extLst>
            <c:ext xmlns:c16="http://schemas.microsoft.com/office/drawing/2014/chart" uri="{C3380CC4-5D6E-409C-BE32-E72D297353CC}">
              <c16:uniqueId val="{00000001-5D18-47FA-93F7-2AB89D044415}"/>
            </c:ext>
          </c:extLst>
        </c:ser>
        <c:ser>
          <c:idx val="2"/>
          <c:order val="2"/>
          <c:tx>
            <c:strRef>
              <c:f>'Fig 14.3. Before &amp; After'!$J$1</c:f>
              <c:strCache>
                <c:ptCount val="1"/>
                <c:pt idx="0">
                  <c:v>URL</c:v>
                </c:pt>
              </c:strCache>
            </c:strRef>
          </c:tx>
          <c:spPr>
            <a:ln w="28575" cap="rnd">
              <a:solidFill>
                <a:srgbClr val="D72323"/>
              </a:solidFill>
              <a:prstDash val="dash"/>
              <a:round/>
            </a:ln>
            <a:effectLst/>
          </c:spPr>
          <c:marker>
            <c:symbol val="none"/>
          </c:marker>
          <c:val>
            <c:numRef>
              <c:f>'Fig 14.3. Before &amp; After'!$J$2:$J$78</c:f>
              <c:numCache>
                <c:formatCode>General</c:formatCode>
                <c:ptCount val="77"/>
                <c:pt idx="0">
                  <c:v>14.7</c:v>
                </c:pt>
                <c:pt idx="1">
                  <c:v>14.7</c:v>
                </c:pt>
                <c:pt idx="2">
                  <c:v>14.7</c:v>
                </c:pt>
                <c:pt idx="3">
                  <c:v>14.7</c:v>
                </c:pt>
                <c:pt idx="4">
                  <c:v>14.7</c:v>
                </c:pt>
                <c:pt idx="5">
                  <c:v>14.7</c:v>
                </c:pt>
                <c:pt idx="6">
                  <c:v>14.7</c:v>
                </c:pt>
                <c:pt idx="7">
                  <c:v>14.7</c:v>
                </c:pt>
                <c:pt idx="8">
                  <c:v>14.7</c:v>
                </c:pt>
                <c:pt idx="9">
                  <c:v>14.7</c:v>
                </c:pt>
                <c:pt idx="10">
                  <c:v>14.7</c:v>
                </c:pt>
                <c:pt idx="11">
                  <c:v>14.7</c:v>
                </c:pt>
                <c:pt idx="12">
                  <c:v>14.7</c:v>
                </c:pt>
                <c:pt idx="13">
                  <c:v>14.7</c:v>
                </c:pt>
                <c:pt idx="14">
                  <c:v>14.7</c:v>
                </c:pt>
                <c:pt idx="15">
                  <c:v>14.7</c:v>
                </c:pt>
                <c:pt idx="16">
                  <c:v>14.7</c:v>
                </c:pt>
                <c:pt idx="17">
                  <c:v>14.7</c:v>
                </c:pt>
                <c:pt idx="18">
                  <c:v>14.7</c:v>
                </c:pt>
                <c:pt idx="19">
                  <c:v>14.7</c:v>
                </c:pt>
                <c:pt idx="20">
                  <c:v>14.7</c:v>
                </c:pt>
                <c:pt idx="21">
                  <c:v>14.7</c:v>
                </c:pt>
                <c:pt idx="22">
                  <c:v>14.7</c:v>
                </c:pt>
                <c:pt idx="23">
                  <c:v>14.7</c:v>
                </c:pt>
                <c:pt idx="24">
                  <c:v>14.7</c:v>
                </c:pt>
                <c:pt idx="25">
                  <c:v>14.7</c:v>
                </c:pt>
                <c:pt idx="26">
                  <c:v>14.7</c:v>
                </c:pt>
                <c:pt idx="27">
                  <c:v>14.7</c:v>
                </c:pt>
                <c:pt idx="28">
                  <c:v>14.7</c:v>
                </c:pt>
                <c:pt idx="29">
                  <c:v>14.7</c:v>
                </c:pt>
                <c:pt idx="30">
                  <c:v>14.7</c:v>
                </c:pt>
                <c:pt idx="31">
                  <c:v>14.7</c:v>
                </c:pt>
                <c:pt idx="32">
                  <c:v>14.7</c:v>
                </c:pt>
                <c:pt idx="33">
                  <c:v>14.7</c:v>
                </c:pt>
                <c:pt idx="34">
                  <c:v>14.7</c:v>
                </c:pt>
                <c:pt idx="35">
                  <c:v>14.7</c:v>
                </c:pt>
                <c:pt idx="36">
                  <c:v>14.7</c:v>
                </c:pt>
                <c:pt idx="37">
                  <c:v>14.7</c:v>
                </c:pt>
                <c:pt idx="38">
                  <c:v>14.7</c:v>
                </c:pt>
                <c:pt idx="39">
                  <c:v>14.7</c:v>
                </c:pt>
                <c:pt idx="40">
                  <c:v>14.7</c:v>
                </c:pt>
                <c:pt idx="41">
                  <c:v>14.7</c:v>
                </c:pt>
                <c:pt idx="42">
                  <c:v>14.7</c:v>
                </c:pt>
                <c:pt idx="43">
                  <c:v>14.7</c:v>
                </c:pt>
                <c:pt idx="44">
                  <c:v>14.7</c:v>
                </c:pt>
                <c:pt idx="45">
                  <c:v>14.7</c:v>
                </c:pt>
                <c:pt idx="46">
                  <c:v>14.7</c:v>
                </c:pt>
                <c:pt idx="47">
                  <c:v>14.7</c:v>
                </c:pt>
                <c:pt idx="48">
                  <c:v>14.7</c:v>
                </c:pt>
                <c:pt idx="49">
                  <c:v>14.7</c:v>
                </c:pt>
                <c:pt idx="50">
                  <c:v>14.7</c:v>
                </c:pt>
                <c:pt idx="51">
                  <c:v>14.7</c:v>
                </c:pt>
                <c:pt idx="52">
                  <c:v>14.7</c:v>
                </c:pt>
                <c:pt idx="53">
                  <c:v>14.7</c:v>
                </c:pt>
                <c:pt idx="54">
                  <c:v>14.7</c:v>
                </c:pt>
                <c:pt idx="55">
                  <c:v>14.7</c:v>
                </c:pt>
                <c:pt idx="56">
                  <c:v>14.7</c:v>
                </c:pt>
                <c:pt idx="57">
                  <c:v>14.7</c:v>
                </c:pt>
                <c:pt idx="58">
                  <c:v>14.7</c:v>
                </c:pt>
                <c:pt idx="59">
                  <c:v>14.7</c:v>
                </c:pt>
                <c:pt idx="60">
                  <c:v>14.7</c:v>
                </c:pt>
                <c:pt idx="61">
                  <c:v>14.7</c:v>
                </c:pt>
                <c:pt idx="62">
                  <c:v>14.7</c:v>
                </c:pt>
                <c:pt idx="63">
                  <c:v>14.7</c:v>
                </c:pt>
                <c:pt idx="64">
                  <c:v>14.7</c:v>
                </c:pt>
                <c:pt idx="65">
                  <c:v>14.7</c:v>
                </c:pt>
                <c:pt idx="66">
                  <c:v>14.7</c:v>
                </c:pt>
                <c:pt idx="67">
                  <c:v>14.7</c:v>
                </c:pt>
                <c:pt idx="68">
                  <c:v>14.7</c:v>
                </c:pt>
                <c:pt idx="69">
                  <c:v>14.7</c:v>
                </c:pt>
                <c:pt idx="70">
                  <c:v>14.7</c:v>
                </c:pt>
                <c:pt idx="71">
                  <c:v>14.7</c:v>
                </c:pt>
                <c:pt idx="72">
                  <c:v>14.7</c:v>
                </c:pt>
                <c:pt idx="73">
                  <c:v>14.7</c:v>
                </c:pt>
                <c:pt idx="74">
                  <c:v>14.7</c:v>
                </c:pt>
                <c:pt idx="75">
                  <c:v>14.7</c:v>
                </c:pt>
                <c:pt idx="76">
                  <c:v>14.7</c:v>
                </c:pt>
              </c:numCache>
            </c:numRef>
          </c:val>
          <c:smooth val="0"/>
          <c:extLst>
            <c:ext xmlns:c16="http://schemas.microsoft.com/office/drawing/2014/chart" uri="{C3380CC4-5D6E-409C-BE32-E72D297353CC}">
              <c16:uniqueId val="{00000002-5D18-47FA-93F7-2AB89D044415}"/>
            </c:ext>
          </c:extLst>
        </c:ser>
        <c:dLbls>
          <c:showLegendKey val="0"/>
          <c:showVal val="0"/>
          <c:showCatName val="0"/>
          <c:showSerName val="0"/>
          <c:showPercent val="0"/>
          <c:showBubbleSize val="0"/>
        </c:dLbls>
        <c:marker val="1"/>
        <c:smooth val="0"/>
        <c:axId val="2024086608"/>
        <c:axId val="2024084208"/>
      </c:lineChart>
      <c:catAx>
        <c:axId val="2024086608"/>
        <c:scaling>
          <c:orientation val="minMax"/>
        </c:scaling>
        <c:delete val="1"/>
        <c:axPos val="b"/>
        <c:majorTickMark val="none"/>
        <c:minorTickMark val="none"/>
        <c:tickLblPos val="nextTo"/>
        <c:crossAx val="2024084208"/>
        <c:crosses val="autoZero"/>
        <c:auto val="1"/>
        <c:lblAlgn val="ctr"/>
        <c:lblOffset val="100"/>
        <c:noMultiLvlLbl val="0"/>
      </c:catAx>
      <c:valAx>
        <c:axId val="202408420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Moving Range (mR)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086608"/>
        <c:crosses val="autoZero"/>
        <c:crossBetween val="between"/>
      </c:valAx>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After handwashing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'Fig 14.4. After-handwashing'!$D$1</c:f>
              <c:strCache>
                <c:ptCount val="1"/>
                <c:pt idx="0">
                  <c:v>Rate</c:v>
                </c:pt>
              </c:strCache>
            </c:strRef>
          </c:tx>
          <c:spPr>
            <a:ln w="28575" cap="rnd">
              <a:solidFill>
                <a:schemeClr val="accent1"/>
              </a:solidFill>
              <a:round/>
            </a:ln>
            <a:effectLst/>
          </c:spPr>
          <c:marker>
            <c:symbol val="circle"/>
            <c:size val="6"/>
            <c:spPr>
              <a:solidFill>
                <a:schemeClr val="accent1"/>
              </a:solidFill>
              <a:ln w="9525">
                <a:solidFill>
                  <a:schemeClr val="accent1"/>
                </a:solidFill>
              </a:ln>
              <a:effectLst/>
            </c:spPr>
          </c:marker>
          <c:cat>
            <c:strRef>
              <c:f>'Fig 14.4. After-handwashing'!$C$2:$C$23</c:f>
              <c:strCache>
                <c:ptCount val="22"/>
                <c:pt idx="0">
                  <c:v>Jun-47</c:v>
                </c:pt>
                <c:pt idx="1">
                  <c:v>Jul-47</c:v>
                </c:pt>
                <c:pt idx="2">
                  <c:v>Aug-47</c:v>
                </c:pt>
                <c:pt idx="3">
                  <c:v>Sep-47</c:v>
                </c:pt>
                <c:pt idx="4">
                  <c:v>Oct-47</c:v>
                </c:pt>
                <c:pt idx="5">
                  <c:v>Nov-47</c:v>
                </c:pt>
                <c:pt idx="6">
                  <c:v>Dec-47</c:v>
                </c:pt>
                <c:pt idx="7">
                  <c:v>Jan-48</c:v>
                </c:pt>
                <c:pt idx="8">
                  <c:v>Feb-48</c:v>
                </c:pt>
                <c:pt idx="9">
                  <c:v>Mar-48</c:v>
                </c:pt>
                <c:pt idx="10">
                  <c:v>Apr-48</c:v>
                </c:pt>
                <c:pt idx="11">
                  <c:v>May-48</c:v>
                </c:pt>
                <c:pt idx="12">
                  <c:v>Jun-48</c:v>
                </c:pt>
                <c:pt idx="13">
                  <c:v>Jul-48</c:v>
                </c:pt>
                <c:pt idx="14">
                  <c:v>Aug-48</c:v>
                </c:pt>
                <c:pt idx="15">
                  <c:v>Sep-48</c:v>
                </c:pt>
                <c:pt idx="16">
                  <c:v>Oct-48</c:v>
                </c:pt>
                <c:pt idx="17">
                  <c:v>Nov-48</c:v>
                </c:pt>
                <c:pt idx="18">
                  <c:v>Dec-48</c:v>
                </c:pt>
                <c:pt idx="19">
                  <c:v>Jan-49</c:v>
                </c:pt>
                <c:pt idx="20">
                  <c:v>Feb-49</c:v>
                </c:pt>
                <c:pt idx="21">
                  <c:v>Mar-49</c:v>
                </c:pt>
              </c:strCache>
            </c:strRef>
          </c:cat>
          <c:val>
            <c:numRef>
              <c:f>'Fig 14.4. After-handwashing'!$D$2:$D$23</c:f>
              <c:numCache>
                <c:formatCode>General</c:formatCode>
                <c:ptCount val="22"/>
                <c:pt idx="0">
                  <c:v>2.2000000000000002</c:v>
                </c:pt>
                <c:pt idx="1">
                  <c:v>1.2</c:v>
                </c:pt>
                <c:pt idx="2">
                  <c:v>1.9</c:v>
                </c:pt>
                <c:pt idx="3">
                  <c:v>4.5999999999999996</c:v>
                </c:pt>
                <c:pt idx="4">
                  <c:v>4</c:v>
                </c:pt>
                <c:pt idx="5">
                  <c:v>4.5</c:v>
                </c:pt>
                <c:pt idx="6">
                  <c:v>2.9</c:v>
                </c:pt>
                <c:pt idx="7">
                  <c:v>3.5</c:v>
                </c:pt>
                <c:pt idx="8">
                  <c:v>0.7</c:v>
                </c:pt>
                <c:pt idx="9">
                  <c:v>0</c:v>
                </c:pt>
                <c:pt idx="10">
                  <c:v>0.7</c:v>
                </c:pt>
                <c:pt idx="11">
                  <c:v>1</c:v>
                </c:pt>
                <c:pt idx="12">
                  <c:v>1.1000000000000001</c:v>
                </c:pt>
                <c:pt idx="13">
                  <c:v>0.4</c:v>
                </c:pt>
                <c:pt idx="14">
                  <c:v>0</c:v>
                </c:pt>
                <c:pt idx="15">
                  <c:v>1</c:v>
                </c:pt>
                <c:pt idx="16">
                  <c:v>2.2999999999999998</c:v>
                </c:pt>
                <c:pt idx="17">
                  <c:v>2.9</c:v>
                </c:pt>
                <c:pt idx="18">
                  <c:v>1.3</c:v>
                </c:pt>
                <c:pt idx="19">
                  <c:v>2.2000000000000002</c:v>
                </c:pt>
                <c:pt idx="20">
                  <c:v>3.1</c:v>
                </c:pt>
                <c:pt idx="21">
                  <c:v>4.9000000000000004</c:v>
                </c:pt>
              </c:numCache>
            </c:numRef>
          </c:val>
          <c:smooth val="0"/>
          <c:extLst>
            <c:ext xmlns:c16="http://schemas.microsoft.com/office/drawing/2014/chart" uri="{C3380CC4-5D6E-409C-BE32-E72D297353CC}">
              <c16:uniqueId val="{00000000-5333-462C-AAAE-4CCA2103A756}"/>
            </c:ext>
          </c:extLst>
        </c:ser>
        <c:ser>
          <c:idx val="1"/>
          <c:order val="1"/>
          <c:tx>
            <c:strRef>
              <c:f>'Fig 14.4. After-handwashing'!$E$1</c:f>
              <c:strCache>
                <c:ptCount val="1"/>
                <c:pt idx="0">
                  <c:v>Mean</c:v>
                </c:pt>
              </c:strCache>
            </c:strRef>
          </c:tx>
          <c:spPr>
            <a:ln w="28575" cap="rnd">
              <a:solidFill>
                <a:schemeClr val="tx1"/>
              </a:solidFill>
              <a:round/>
            </a:ln>
            <a:effectLst/>
          </c:spPr>
          <c:marker>
            <c:symbol val="none"/>
          </c:marker>
          <c:cat>
            <c:strRef>
              <c:f>'Fig 14.4. After-handwashing'!$C$2:$C$23</c:f>
              <c:strCache>
                <c:ptCount val="22"/>
                <c:pt idx="0">
                  <c:v>Jun-47</c:v>
                </c:pt>
                <c:pt idx="1">
                  <c:v>Jul-47</c:v>
                </c:pt>
                <c:pt idx="2">
                  <c:v>Aug-47</c:v>
                </c:pt>
                <c:pt idx="3">
                  <c:v>Sep-47</c:v>
                </c:pt>
                <c:pt idx="4">
                  <c:v>Oct-47</c:v>
                </c:pt>
                <c:pt idx="5">
                  <c:v>Nov-47</c:v>
                </c:pt>
                <c:pt idx="6">
                  <c:v>Dec-47</c:v>
                </c:pt>
                <c:pt idx="7">
                  <c:v>Jan-48</c:v>
                </c:pt>
                <c:pt idx="8">
                  <c:v>Feb-48</c:v>
                </c:pt>
                <c:pt idx="9">
                  <c:v>Mar-48</c:v>
                </c:pt>
                <c:pt idx="10">
                  <c:v>Apr-48</c:v>
                </c:pt>
                <c:pt idx="11">
                  <c:v>May-48</c:v>
                </c:pt>
                <c:pt idx="12">
                  <c:v>Jun-48</c:v>
                </c:pt>
                <c:pt idx="13">
                  <c:v>Jul-48</c:v>
                </c:pt>
                <c:pt idx="14">
                  <c:v>Aug-48</c:v>
                </c:pt>
                <c:pt idx="15">
                  <c:v>Sep-48</c:v>
                </c:pt>
                <c:pt idx="16">
                  <c:v>Oct-48</c:v>
                </c:pt>
                <c:pt idx="17">
                  <c:v>Nov-48</c:v>
                </c:pt>
                <c:pt idx="18">
                  <c:v>Dec-48</c:v>
                </c:pt>
                <c:pt idx="19">
                  <c:v>Jan-49</c:v>
                </c:pt>
                <c:pt idx="20">
                  <c:v>Feb-49</c:v>
                </c:pt>
                <c:pt idx="21">
                  <c:v>Mar-49</c:v>
                </c:pt>
              </c:strCache>
            </c:strRef>
          </c:cat>
          <c:val>
            <c:numRef>
              <c:f>'Fig 14.4. After-handwashing'!$E$2:$E$23</c:f>
              <c:numCache>
                <c:formatCode>General</c:formatCode>
                <c:ptCount val="22"/>
                <c:pt idx="0">
                  <c:v>2.1</c:v>
                </c:pt>
                <c:pt idx="1">
                  <c:v>2.1</c:v>
                </c:pt>
                <c:pt idx="2">
                  <c:v>2.1</c:v>
                </c:pt>
                <c:pt idx="3">
                  <c:v>2.1</c:v>
                </c:pt>
                <c:pt idx="4">
                  <c:v>2.1</c:v>
                </c:pt>
                <c:pt idx="5">
                  <c:v>2.1</c:v>
                </c:pt>
                <c:pt idx="6">
                  <c:v>2.1</c:v>
                </c:pt>
                <c:pt idx="7">
                  <c:v>2.1</c:v>
                </c:pt>
                <c:pt idx="8">
                  <c:v>2.1</c:v>
                </c:pt>
                <c:pt idx="9">
                  <c:v>2.1</c:v>
                </c:pt>
                <c:pt idx="10">
                  <c:v>2.1</c:v>
                </c:pt>
                <c:pt idx="11">
                  <c:v>2.1</c:v>
                </c:pt>
                <c:pt idx="12">
                  <c:v>2.1</c:v>
                </c:pt>
                <c:pt idx="13">
                  <c:v>2.1</c:v>
                </c:pt>
                <c:pt idx="14">
                  <c:v>2.1</c:v>
                </c:pt>
                <c:pt idx="15">
                  <c:v>2.1</c:v>
                </c:pt>
                <c:pt idx="16">
                  <c:v>2.1</c:v>
                </c:pt>
                <c:pt idx="17">
                  <c:v>2.1</c:v>
                </c:pt>
                <c:pt idx="18">
                  <c:v>2.1</c:v>
                </c:pt>
                <c:pt idx="19">
                  <c:v>2.1</c:v>
                </c:pt>
                <c:pt idx="20">
                  <c:v>2.1</c:v>
                </c:pt>
                <c:pt idx="21">
                  <c:v>2.1</c:v>
                </c:pt>
              </c:numCache>
            </c:numRef>
          </c:val>
          <c:smooth val="0"/>
          <c:extLst>
            <c:ext xmlns:c16="http://schemas.microsoft.com/office/drawing/2014/chart" uri="{C3380CC4-5D6E-409C-BE32-E72D297353CC}">
              <c16:uniqueId val="{00000001-5333-462C-AAAE-4CCA2103A756}"/>
            </c:ext>
          </c:extLst>
        </c:ser>
        <c:ser>
          <c:idx val="2"/>
          <c:order val="2"/>
          <c:tx>
            <c:strRef>
              <c:f>'Fig 14.4. After-handwashing'!$F$1</c:f>
              <c:strCache>
                <c:ptCount val="1"/>
                <c:pt idx="0">
                  <c:v>UPL</c:v>
                </c:pt>
              </c:strCache>
            </c:strRef>
          </c:tx>
          <c:spPr>
            <a:ln w="28575" cap="rnd">
              <a:solidFill>
                <a:srgbClr val="D72323"/>
              </a:solidFill>
              <a:prstDash val="dash"/>
              <a:round/>
            </a:ln>
            <a:effectLst/>
          </c:spPr>
          <c:marker>
            <c:symbol val="none"/>
          </c:marker>
          <c:cat>
            <c:strRef>
              <c:f>'Fig 14.4. After-handwashing'!$C$2:$C$23</c:f>
              <c:strCache>
                <c:ptCount val="22"/>
                <c:pt idx="0">
                  <c:v>Jun-47</c:v>
                </c:pt>
                <c:pt idx="1">
                  <c:v>Jul-47</c:v>
                </c:pt>
                <c:pt idx="2">
                  <c:v>Aug-47</c:v>
                </c:pt>
                <c:pt idx="3">
                  <c:v>Sep-47</c:v>
                </c:pt>
                <c:pt idx="4">
                  <c:v>Oct-47</c:v>
                </c:pt>
                <c:pt idx="5">
                  <c:v>Nov-47</c:v>
                </c:pt>
                <c:pt idx="6">
                  <c:v>Dec-47</c:v>
                </c:pt>
                <c:pt idx="7">
                  <c:v>Jan-48</c:v>
                </c:pt>
                <c:pt idx="8">
                  <c:v>Feb-48</c:v>
                </c:pt>
                <c:pt idx="9">
                  <c:v>Mar-48</c:v>
                </c:pt>
                <c:pt idx="10">
                  <c:v>Apr-48</c:v>
                </c:pt>
                <c:pt idx="11">
                  <c:v>May-48</c:v>
                </c:pt>
                <c:pt idx="12">
                  <c:v>Jun-48</c:v>
                </c:pt>
                <c:pt idx="13">
                  <c:v>Jul-48</c:v>
                </c:pt>
                <c:pt idx="14">
                  <c:v>Aug-48</c:v>
                </c:pt>
                <c:pt idx="15">
                  <c:v>Sep-48</c:v>
                </c:pt>
                <c:pt idx="16">
                  <c:v>Oct-48</c:v>
                </c:pt>
                <c:pt idx="17">
                  <c:v>Nov-48</c:v>
                </c:pt>
                <c:pt idx="18">
                  <c:v>Dec-48</c:v>
                </c:pt>
                <c:pt idx="19">
                  <c:v>Jan-49</c:v>
                </c:pt>
                <c:pt idx="20">
                  <c:v>Feb-49</c:v>
                </c:pt>
                <c:pt idx="21">
                  <c:v>Mar-49</c:v>
                </c:pt>
              </c:strCache>
            </c:strRef>
          </c:cat>
          <c:val>
            <c:numRef>
              <c:f>'Fig 14.4. After-handwashing'!$F$2:$F$23</c:f>
              <c:numCache>
                <c:formatCode>General</c:formatCode>
                <c:ptCount val="22"/>
                <c:pt idx="0">
                  <c:v>4.8</c:v>
                </c:pt>
                <c:pt idx="1">
                  <c:v>4.8</c:v>
                </c:pt>
                <c:pt idx="2">
                  <c:v>4.8</c:v>
                </c:pt>
                <c:pt idx="3">
                  <c:v>4.8</c:v>
                </c:pt>
                <c:pt idx="4">
                  <c:v>4.8</c:v>
                </c:pt>
                <c:pt idx="5">
                  <c:v>4.8</c:v>
                </c:pt>
                <c:pt idx="6">
                  <c:v>4.8</c:v>
                </c:pt>
                <c:pt idx="7">
                  <c:v>4.8</c:v>
                </c:pt>
                <c:pt idx="8">
                  <c:v>4.8</c:v>
                </c:pt>
                <c:pt idx="9">
                  <c:v>4.8</c:v>
                </c:pt>
                <c:pt idx="10">
                  <c:v>4.8</c:v>
                </c:pt>
                <c:pt idx="11">
                  <c:v>4.8</c:v>
                </c:pt>
                <c:pt idx="12">
                  <c:v>4.8</c:v>
                </c:pt>
                <c:pt idx="13">
                  <c:v>4.8</c:v>
                </c:pt>
                <c:pt idx="14">
                  <c:v>4.8</c:v>
                </c:pt>
                <c:pt idx="15">
                  <c:v>4.8</c:v>
                </c:pt>
                <c:pt idx="16">
                  <c:v>4.8</c:v>
                </c:pt>
                <c:pt idx="17">
                  <c:v>4.8</c:v>
                </c:pt>
                <c:pt idx="18">
                  <c:v>4.8</c:v>
                </c:pt>
                <c:pt idx="19">
                  <c:v>4.8</c:v>
                </c:pt>
                <c:pt idx="20">
                  <c:v>4.8</c:v>
                </c:pt>
                <c:pt idx="21">
                  <c:v>4.8</c:v>
                </c:pt>
              </c:numCache>
            </c:numRef>
          </c:val>
          <c:smooth val="0"/>
          <c:extLst>
            <c:ext xmlns:c16="http://schemas.microsoft.com/office/drawing/2014/chart" uri="{C3380CC4-5D6E-409C-BE32-E72D297353CC}">
              <c16:uniqueId val="{00000002-5333-462C-AAAE-4CCA2103A756}"/>
            </c:ext>
          </c:extLst>
        </c:ser>
        <c:ser>
          <c:idx val="3"/>
          <c:order val="3"/>
          <c:tx>
            <c:strRef>
              <c:f>'Fig 14.4. After-handwashing'!$G$1</c:f>
              <c:strCache>
                <c:ptCount val="1"/>
                <c:pt idx="0">
                  <c:v>LPL</c:v>
                </c:pt>
              </c:strCache>
            </c:strRef>
          </c:tx>
          <c:spPr>
            <a:ln w="28575" cap="rnd">
              <a:solidFill>
                <a:srgbClr val="D72323"/>
              </a:solidFill>
              <a:prstDash val="dash"/>
              <a:round/>
            </a:ln>
            <a:effectLst/>
          </c:spPr>
          <c:marker>
            <c:symbol val="none"/>
          </c:marker>
          <c:cat>
            <c:strRef>
              <c:f>'Fig 14.4. After-handwashing'!$C$2:$C$23</c:f>
              <c:strCache>
                <c:ptCount val="22"/>
                <c:pt idx="0">
                  <c:v>Jun-47</c:v>
                </c:pt>
                <c:pt idx="1">
                  <c:v>Jul-47</c:v>
                </c:pt>
                <c:pt idx="2">
                  <c:v>Aug-47</c:v>
                </c:pt>
                <c:pt idx="3">
                  <c:v>Sep-47</c:v>
                </c:pt>
                <c:pt idx="4">
                  <c:v>Oct-47</c:v>
                </c:pt>
                <c:pt idx="5">
                  <c:v>Nov-47</c:v>
                </c:pt>
                <c:pt idx="6">
                  <c:v>Dec-47</c:v>
                </c:pt>
                <c:pt idx="7">
                  <c:v>Jan-48</c:v>
                </c:pt>
                <c:pt idx="8">
                  <c:v>Feb-48</c:v>
                </c:pt>
                <c:pt idx="9">
                  <c:v>Mar-48</c:v>
                </c:pt>
                <c:pt idx="10">
                  <c:v>Apr-48</c:v>
                </c:pt>
                <c:pt idx="11">
                  <c:v>May-48</c:v>
                </c:pt>
                <c:pt idx="12">
                  <c:v>Jun-48</c:v>
                </c:pt>
                <c:pt idx="13">
                  <c:v>Jul-48</c:v>
                </c:pt>
                <c:pt idx="14">
                  <c:v>Aug-48</c:v>
                </c:pt>
                <c:pt idx="15">
                  <c:v>Sep-48</c:v>
                </c:pt>
                <c:pt idx="16">
                  <c:v>Oct-48</c:v>
                </c:pt>
                <c:pt idx="17">
                  <c:v>Nov-48</c:v>
                </c:pt>
                <c:pt idx="18">
                  <c:v>Dec-48</c:v>
                </c:pt>
                <c:pt idx="19">
                  <c:v>Jan-49</c:v>
                </c:pt>
                <c:pt idx="20">
                  <c:v>Feb-49</c:v>
                </c:pt>
                <c:pt idx="21">
                  <c:v>Mar-49</c:v>
                </c:pt>
              </c:strCache>
            </c:strRef>
          </c:cat>
          <c:val>
            <c:numRef>
              <c:f>'Fig 14.4. After-handwashing'!$G$2:$G$23</c:f>
              <c:numCache>
                <c:formatCode>General</c:formatCode>
                <c:ptCount val="2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numCache>
            </c:numRef>
          </c:val>
          <c:smooth val="0"/>
          <c:extLst>
            <c:ext xmlns:c16="http://schemas.microsoft.com/office/drawing/2014/chart" uri="{C3380CC4-5D6E-409C-BE32-E72D297353CC}">
              <c16:uniqueId val="{00000003-5333-462C-AAAE-4CCA2103A756}"/>
            </c:ext>
          </c:extLst>
        </c:ser>
        <c:dLbls>
          <c:showLegendKey val="0"/>
          <c:showVal val="0"/>
          <c:showCatName val="0"/>
          <c:showSerName val="0"/>
          <c:showPercent val="0"/>
          <c:showBubbleSize val="0"/>
        </c:dLbls>
        <c:marker val="1"/>
        <c:smooth val="0"/>
        <c:axId val="2024056368"/>
        <c:axId val="2024057808"/>
      </c:lineChart>
      <c:catAx>
        <c:axId val="2024056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057808"/>
        <c:crosses val="autoZero"/>
        <c:auto val="1"/>
        <c:lblAlgn val="ctr"/>
        <c:lblOffset val="100"/>
        <c:noMultiLvlLbl val="0"/>
      </c:catAx>
      <c:valAx>
        <c:axId val="2024057808"/>
        <c:scaling>
          <c:orientation val="minMax"/>
          <c:max val="5"/>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Death-to-Birth Rate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056368"/>
        <c:crosses val="autoZero"/>
        <c:crossBetween val="between"/>
      </c:valAx>
      <c:spPr>
        <a:noFill/>
        <a:ln w="25400">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lineChart>
        <c:grouping val="standard"/>
        <c:varyColors val="0"/>
        <c:ser>
          <c:idx val="0"/>
          <c:order val="0"/>
          <c:tx>
            <c:strRef>
              <c:f>'Fig 14.4. After-handwashing'!$H$1</c:f>
              <c:strCache>
                <c:ptCount val="1"/>
                <c:pt idx="0">
                  <c:v>mR</c:v>
                </c:pt>
              </c:strCache>
            </c:strRef>
          </c:tx>
          <c:spPr>
            <a:ln w="28575" cap="rnd">
              <a:solidFill>
                <a:schemeClr val="accent1"/>
              </a:solidFill>
              <a:round/>
            </a:ln>
            <a:effectLst/>
          </c:spPr>
          <c:marker>
            <c:symbol val="circle"/>
            <c:size val="6"/>
            <c:spPr>
              <a:solidFill>
                <a:schemeClr val="accent1"/>
              </a:solidFill>
              <a:ln w="9525">
                <a:solidFill>
                  <a:schemeClr val="accent1"/>
                </a:solidFill>
              </a:ln>
              <a:effectLst/>
            </c:spPr>
          </c:marker>
          <c:val>
            <c:numRef>
              <c:f>'Fig 14.4. After-handwashing'!$H$2:$H$23</c:f>
              <c:numCache>
                <c:formatCode>General</c:formatCode>
                <c:ptCount val="22"/>
                <c:pt idx="1">
                  <c:v>1</c:v>
                </c:pt>
                <c:pt idx="2">
                  <c:v>0.7</c:v>
                </c:pt>
                <c:pt idx="3">
                  <c:v>2.7</c:v>
                </c:pt>
                <c:pt idx="4">
                  <c:v>0.6</c:v>
                </c:pt>
                <c:pt idx="5">
                  <c:v>0.5</c:v>
                </c:pt>
                <c:pt idx="6">
                  <c:v>1.6</c:v>
                </c:pt>
                <c:pt idx="7">
                  <c:v>0.6</c:v>
                </c:pt>
                <c:pt idx="8">
                  <c:v>2.8</c:v>
                </c:pt>
                <c:pt idx="9">
                  <c:v>0.7</c:v>
                </c:pt>
                <c:pt idx="10">
                  <c:v>0.7</c:v>
                </c:pt>
                <c:pt idx="11">
                  <c:v>0.3</c:v>
                </c:pt>
                <c:pt idx="12">
                  <c:v>0.1</c:v>
                </c:pt>
                <c:pt idx="13">
                  <c:v>0.7</c:v>
                </c:pt>
                <c:pt idx="14">
                  <c:v>0.4</c:v>
                </c:pt>
                <c:pt idx="15">
                  <c:v>1</c:v>
                </c:pt>
                <c:pt idx="16">
                  <c:v>1.3</c:v>
                </c:pt>
                <c:pt idx="17">
                  <c:v>0.6</c:v>
                </c:pt>
                <c:pt idx="18">
                  <c:v>1.6</c:v>
                </c:pt>
                <c:pt idx="19">
                  <c:v>0.9</c:v>
                </c:pt>
                <c:pt idx="20">
                  <c:v>0.9</c:v>
                </c:pt>
                <c:pt idx="21">
                  <c:v>1.8</c:v>
                </c:pt>
              </c:numCache>
            </c:numRef>
          </c:val>
          <c:smooth val="0"/>
          <c:extLst>
            <c:ext xmlns:c16="http://schemas.microsoft.com/office/drawing/2014/chart" uri="{C3380CC4-5D6E-409C-BE32-E72D297353CC}">
              <c16:uniqueId val="{00000000-AB7E-4B36-B1AE-538C7470DE3B}"/>
            </c:ext>
          </c:extLst>
        </c:ser>
        <c:ser>
          <c:idx val="1"/>
          <c:order val="1"/>
          <c:tx>
            <c:strRef>
              <c:f>'Fig 14.4. After-handwashing'!$I$1</c:f>
              <c:strCache>
                <c:ptCount val="1"/>
                <c:pt idx="0">
                  <c:v>Ave. mR</c:v>
                </c:pt>
              </c:strCache>
            </c:strRef>
          </c:tx>
          <c:spPr>
            <a:ln w="28575" cap="rnd">
              <a:solidFill>
                <a:schemeClr val="tx1"/>
              </a:solidFill>
              <a:round/>
            </a:ln>
            <a:effectLst/>
          </c:spPr>
          <c:marker>
            <c:symbol val="none"/>
          </c:marker>
          <c:val>
            <c:numRef>
              <c:f>'Fig 14.4. After-handwashing'!$I$2:$I$23</c:f>
              <c:numCache>
                <c:formatCode>General</c:formatCode>
                <c:ptCount val="22"/>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numCache>
            </c:numRef>
          </c:val>
          <c:smooth val="0"/>
          <c:extLst>
            <c:ext xmlns:c16="http://schemas.microsoft.com/office/drawing/2014/chart" uri="{C3380CC4-5D6E-409C-BE32-E72D297353CC}">
              <c16:uniqueId val="{00000001-AB7E-4B36-B1AE-538C7470DE3B}"/>
            </c:ext>
          </c:extLst>
        </c:ser>
        <c:ser>
          <c:idx val="2"/>
          <c:order val="2"/>
          <c:tx>
            <c:strRef>
              <c:f>'Fig 14.4. After-handwashing'!$J$1</c:f>
              <c:strCache>
                <c:ptCount val="1"/>
                <c:pt idx="0">
                  <c:v>URL</c:v>
                </c:pt>
              </c:strCache>
            </c:strRef>
          </c:tx>
          <c:spPr>
            <a:ln w="28575" cap="rnd">
              <a:solidFill>
                <a:srgbClr val="D72323"/>
              </a:solidFill>
              <a:prstDash val="dash"/>
              <a:round/>
            </a:ln>
            <a:effectLst/>
          </c:spPr>
          <c:marker>
            <c:symbol val="none"/>
          </c:marker>
          <c:val>
            <c:numRef>
              <c:f>'Fig 14.4. After-handwashing'!$J$2:$J$23</c:f>
              <c:numCache>
                <c:formatCode>General</c:formatCode>
                <c:ptCount val="22"/>
                <c:pt idx="0">
                  <c:v>3.3</c:v>
                </c:pt>
                <c:pt idx="1">
                  <c:v>3.3</c:v>
                </c:pt>
                <c:pt idx="2">
                  <c:v>3.3</c:v>
                </c:pt>
                <c:pt idx="3">
                  <c:v>3.3</c:v>
                </c:pt>
                <c:pt idx="4">
                  <c:v>3.3</c:v>
                </c:pt>
                <c:pt idx="5">
                  <c:v>3.3</c:v>
                </c:pt>
                <c:pt idx="6">
                  <c:v>3.3</c:v>
                </c:pt>
                <c:pt idx="7">
                  <c:v>3.3</c:v>
                </c:pt>
                <c:pt idx="8">
                  <c:v>3.3</c:v>
                </c:pt>
                <c:pt idx="9">
                  <c:v>3.3</c:v>
                </c:pt>
                <c:pt idx="10">
                  <c:v>3.3</c:v>
                </c:pt>
                <c:pt idx="11">
                  <c:v>3.3</c:v>
                </c:pt>
                <c:pt idx="12">
                  <c:v>3.3</c:v>
                </c:pt>
                <c:pt idx="13">
                  <c:v>3.3</c:v>
                </c:pt>
                <c:pt idx="14">
                  <c:v>3.3</c:v>
                </c:pt>
                <c:pt idx="15">
                  <c:v>3.3</c:v>
                </c:pt>
                <c:pt idx="16">
                  <c:v>3.3</c:v>
                </c:pt>
                <c:pt idx="17">
                  <c:v>3.3</c:v>
                </c:pt>
                <c:pt idx="18">
                  <c:v>3.3</c:v>
                </c:pt>
                <c:pt idx="19">
                  <c:v>3.3</c:v>
                </c:pt>
                <c:pt idx="20">
                  <c:v>3.3</c:v>
                </c:pt>
                <c:pt idx="21">
                  <c:v>3.3</c:v>
                </c:pt>
              </c:numCache>
            </c:numRef>
          </c:val>
          <c:smooth val="0"/>
          <c:extLst>
            <c:ext xmlns:c16="http://schemas.microsoft.com/office/drawing/2014/chart" uri="{C3380CC4-5D6E-409C-BE32-E72D297353CC}">
              <c16:uniqueId val="{00000002-AB7E-4B36-B1AE-538C7470DE3B}"/>
            </c:ext>
          </c:extLst>
        </c:ser>
        <c:dLbls>
          <c:showLegendKey val="0"/>
          <c:showVal val="0"/>
          <c:showCatName val="0"/>
          <c:showSerName val="0"/>
          <c:showPercent val="0"/>
          <c:showBubbleSize val="0"/>
        </c:dLbls>
        <c:marker val="1"/>
        <c:smooth val="0"/>
        <c:axId val="2024086608"/>
        <c:axId val="2024084208"/>
      </c:lineChart>
      <c:catAx>
        <c:axId val="2024086608"/>
        <c:scaling>
          <c:orientation val="minMax"/>
        </c:scaling>
        <c:delete val="1"/>
        <c:axPos val="b"/>
        <c:majorTickMark val="none"/>
        <c:minorTickMark val="none"/>
        <c:tickLblPos val="nextTo"/>
        <c:crossAx val="2024084208"/>
        <c:crosses val="autoZero"/>
        <c:auto val="1"/>
        <c:lblAlgn val="ctr"/>
        <c:lblOffset val="100"/>
        <c:noMultiLvlLbl val="0"/>
      </c:catAx>
      <c:valAx>
        <c:axId val="2024084208"/>
        <c:scaling>
          <c:orientation val="minMax"/>
          <c:max val="4"/>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Moving Range (mR)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086608"/>
        <c:crosses val="autoZero"/>
        <c:crossBetween val="between"/>
      </c:valAx>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4" Type="http://schemas.openxmlformats.org/officeDocument/2006/relationships/chart" Target="../charts/chart6.xml"/></Relationships>
</file>

<file path=xl/drawings/_rels/drawing4.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8</xdr:col>
      <xdr:colOff>0</xdr:colOff>
      <xdr:row>1</xdr:row>
      <xdr:rowOff>0</xdr:rowOff>
    </xdr:from>
    <xdr:to>
      <xdr:col>11</xdr:col>
      <xdr:colOff>35983</xdr:colOff>
      <xdr:row>21</xdr:row>
      <xdr:rowOff>96520</xdr:rowOff>
    </xdr:to>
    <xdr:pic>
      <xdr:nvPicPr>
        <xdr:cNvPr id="3" name="image1.jpg">
          <a:extLst>
            <a:ext uri="{FF2B5EF4-FFF2-40B4-BE49-F238E27FC236}">
              <a16:creationId xmlns:a16="http://schemas.microsoft.com/office/drawing/2014/main" id="{FC3AB96D-FF31-4228-B89D-E07FB1AF0E72}"/>
            </a:ext>
          </a:extLst>
        </xdr:cNvPr>
        <xdr:cNvPicPr preferRelativeResize="0"/>
      </xdr:nvPicPr>
      <xdr:blipFill>
        <a:blip xmlns:r="http://schemas.openxmlformats.org/officeDocument/2006/relationships" r:embed="rId1" cstate="print"/>
        <a:stretch>
          <a:fillRect/>
        </a:stretch>
      </xdr:blipFill>
      <xdr:spPr>
        <a:xfrm>
          <a:off x="6162675" y="200025"/>
          <a:ext cx="2636308" cy="4097020"/>
        </a:xfrm>
        <a:prstGeom prst="rect">
          <a:avLst/>
        </a:prstGeom>
        <a:noFill/>
      </xdr:spPr>
    </xdr:pic>
    <xdr:clientData/>
  </xdr:twoCellAnchor>
</xdr:wsDr>
</file>

<file path=xl/drawings/drawing2.xml><?xml version="1.0" encoding="utf-8"?>
<xdr:wsDr xmlns:xdr="http://schemas.openxmlformats.org/drawingml/2006/spreadsheetDrawing" xmlns:a="http://schemas.openxmlformats.org/drawingml/2006/main">
  <xdr:twoCellAnchor>
    <xdr:from>
      <xdr:col>10</xdr:col>
      <xdr:colOff>0</xdr:colOff>
      <xdr:row>1</xdr:row>
      <xdr:rowOff>0</xdr:rowOff>
    </xdr:from>
    <xdr:to>
      <xdr:col>18</xdr:col>
      <xdr:colOff>0</xdr:colOff>
      <xdr:row>15</xdr:row>
      <xdr:rowOff>0</xdr:rowOff>
    </xdr:to>
    <xdr:graphicFrame macro="">
      <xdr:nvGraphicFramePr>
        <xdr:cNvPr id="2" name="Chart 1">
          <a:extLst>
            <a:ext uri="{FF2B5EF4-FFF2-40B4-BE49-F238E27FC236}">
              <a16:creationId xmlns:a16="http://schemas.microsoft.com/office/drawing/2014/main" id="{BCAE87FA-95F0-CF71-0659-309CDEC751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15</xdr:row>
      <xdr:rowOff>0</xdr:rowOff>
    </xdr:from>
    <xdr:to>
      <xdr:col>18</xdr:col>
      <xdr:colOff>0</xdr:colOff>
      <xdr:row>29</xdr:row>
      <xdr:rowOff>0</xdr:rowOff>
    </xdr:to>
    <xdr:graphicFrame macro="">
      <xdr:nvGraphicFramePr>
        <xdr:cNvPr id="5" name="Chart 4">
          <a:extLst>
            <a:ext uri="{FF2B5EF4-FFF2-40B4-BE49-F238E27FC236}">
              <a16:creationId xmlns:a16="http://schemas.microsoft.com/office/drawing/2014/main" id="{83AB2FAA-70E4-F096-4805-10AA6F1ED3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17</xdr:col>
      <xdr:colOff>866774</xdr:colOff>
      <xdr:row>2</xdr:row>
      <xdr:rowOff>0</xdr:rowOff>
    </xdr:from>
    <xdr:to>
      <xdr:col>24</xdr:col>
      <xdr:colOff>866774</xdr:colOff>
      <xdr:row>17</xdr:row>
      <xdr:rowOff>0</xdr:rowOff>
    </xdr:to>
    <xdr:graphicFrame macro="">
      <xdr:nvGraphicFramePr>
        <xdr:cNvPr id="4" name="Chart 3">
          <a:extLst>
            <a:ext uri="{FF2B5EF4-FFF2-40B4-BE49-F238E27FC236}">
              <a16:creationId xmlns:a16="http://schemas.microsoft.com/office/drawing/2014/main" id="{B690862A-7375-4C4F-D296-B66AF00415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0</xdr:colOff>
      <xdr:row>17</xdr:row>
      <xdr:rowOff>0</xdr:rowOff>
    </xdr:from>
    <xdr:to>
      <xdr:col>25</xdr:col>
      <xdr:colOff>0</xdr:colOff>
      <xdr:row>31</xdr:row>
      <xdr:rowOff>0</xdr:rowOff>
    </xdr:to>
    <xdr:graphicFrame macro="">
      <xdr:nvGraphicFramePr>
        <xdr:cNvPr id="5" name="Chart 4">
          <a:extLst>
            <a:ext uri="{FF2B5EF4-FFF2-40B4-BE49-F238E27FC236}">
              <a16:creationId xmlns:a16="http://schemas.microsoft.com/office/drawing/2014/main" id="{2356FBBF-A2A7-346A-76B4-D4F55F2461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866774</xdr:colOff>
      <xdr:row>2</xdr:row>
      <xdr:rowOff>0</xdr:rowOff>
    </xdr:from>
    <xdr:to>
      <xdr:col>17</xdr:col>
      <xdr:colOff>866774</xdr:colOff>
      <xdr:row>17</xdr:row>
      <xdr:rowOff>0</xdr:rowOff>
    </xdr:to>
    <xdr:graphicFrame macro="">
      <xdr:nvGraphicFramePr>
        <xdr:cNvPr id="6" name="Chart 5">
          <a:extLst>
            <a:ext uri="{FF2B5EF4-FFF2-40B4-BE49-F238E27FC236}">
              <a16:creationId xmlns:a16="http://schemas.microsoft.com/office/drawing/2014/main" id="{A111C554-223F-D978-1F93-000E418019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1</xdr:colOff>
      <xdr:row>17</xdr:row>
      <xdr:rowOff>0</xdr:rowOff>
    </xdr:from>
    <xdr:to>
      <xdr:col>18</xdr:col>
      <xdr:colOff>0</xdr:colOff>
      <xdr:row>31</xdr:row>
      <xdr:rowOff>0</xdr:rowOff>
    </xdr:to>
    <xdr:graphicFrame macro="">
      <xdr:nvGraphicFramePr>
        <xdr:cNvPr id="7" name="Chart 6">
          <a:extLst>
            <a:ext uri="{FF2B5EF4-FFF2-40B4-BE49-F238E27FC236}">
              <a16:creationId xmlns:a16="http://schemas.microsoft.com/office/drawing/2014/main" id="{25ED9BC5-45B0-AF35-7FF8-0C4A08AE48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11</xdr:col>
      <xdr:colOff>0</xdr:colOff>
      <xdr:row>1</xdr:row>
      <xdr:rowOff>0</xdr:rowOff>
    </xdr:from>
    <xdr:to>
      <xdr:col>18</xdr:col>
      <xdr:colOff>0</xdr:colOff>
      <xdr:row>16</xdr:row>
      <xdr:rowOff>0</xdr:rowOff>
    </xdr:to>
    <xdr:graphicFrame macro="">
      <xdr:nvGraphicFramePr>
        <xdr:cNvPr id="2" name="Chart 1">
          <a:extLst>
            <a:ext uri="{FF2B5EF4-FFF2-40B4-BE49-F238E27FC236}">
              <a16:creationId xmlns:a16="http://schemas.microsoft.com/office/drawing/2014/main" id="{4305BD90-AFBE-4589-9BE6-B14090F34D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16</xdr:row>
      <xdr:rowOff>0</xdr:rowOff>
    </xdr:from>
    <xdr:to>
      <xdr:col>18</xdr:col>
      <xdr:colOff>0</xdr:colOff>
      <xdr:row>30</xdr:row>
      <xdr:rowOff>0</xdr:rowOff>
    </xdr:to>
    <xdr:graphicFrame macro="">
      <xdr:nvGraphicFramePr>
        <xdr:cNvPr id="3" name="Chart 2">
          <a:extLst>
            <a:ext uri="{FF2B5EF4-FFF2-40B4-BE49-F238E27FC236}">
              <a16:creationId xmlns:a16="http://schemas.microsoft.com/office/drawing/2014/main" id="{40827134-DA2B-4B1A-BACF-C545D00954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C85F0BB4-CB25-40CF-89CF-8F4B6A94D355}" autoFormatId="16" applyNumberFormats="0" applyBorderFormats="0" applyFontFormats="0" applyPatternFormats="0" applyAlignmentFormats="0" applyWidthHeightFormats="0">
  <queryTableRefresh nextId="10" unboundColumnsRight="6">
    <queryTableFields count="9">
      <queryTableField id="1" name="Hospital" tableColumnId="1"/>
      <queryTableField id="2" name="MonthYear" tableColumnId="2"/>
      <queryTableField id="3" name="Rate" tableColumnId="3"/>
      <queryTableField id="4" dataBound="0" tableColumnId="4"/>
      <queryTableField id="5" dataBound="0" tableColumnId="5"/>
      <queryTableField id="6" dataBound="0" tableColumnId="6"/>
      <queryTableField id="7" dataBound="0" tableColumnId="7"/>
      <queryTableField id="8" dataBound="0" tableColumnId="8"/>
      <queryTableField id="9" dataBound="0" tableColumnId="9"/>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3" xr16:uid="{67D4E1B9-BA25-45E5-9E96-FBE26A444B02}" autoFormatId="16" applyNumberFormats="0" applyBorderFormats="0" applyFontFormats="0" applyPatternFormats="0" applyAlignmentFormats="0" applyWidthHeightFormats="0">
  <queryTableRefresh nextId="11" unboundColumnsRight="6">
    <queryTableFields count="10">
      <queryTableField id="1" name="Hospital" tableColumnId="1"/>
      <queryTableField id="2" name="Stage" tableColumnId="2"/>
      <queryTableField id="3" name="MonthYear" tableColumnId="3"/>
      <queryTableField id="4" name="Rate" tableColumnId="4"/>
      <queryTableField id="5" dataBound="0" tableColumnId="5"/>
      <queryTableField id="6" dataBound="0" tableColumnId="6"/>
      <queryTableField id="7" dataBound="0" tableColumnId="7"/>
      <queryTableField id="8" dataBound="0" tableColumnId="8"/>
      <queryTableField id="9" dataBound="0" tableColumnId="9"/>
      <queryTableField id="10" dataBound="0" tableColumnId="10"/>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4" xr16:uid="{753E2040-03D9-4E62-A8B9-87416D401392}" autoFormatId="16" applyNumberFormats="0" applyBorderFormats="0" applyFontFormats="0" applyPatternFormats="0" applyAlignmentFormats="0" applyWidthHeightFormats="0">
  <queryTableRefresh nextId="11" unboundColumnsRight="6">
    <queryTableFields count="10">
      <queryTableField id="1" name="Hospital" tableColumnId="1"/>
      <queryTableField id="2" name="Stage" tableColumnId="2"/>
      <queryTableField id="3" name="MonthYear" tableColumnId="3"/>
      <queryTableField id="4" name="Rate" tableColumnId="4"/>
      <queryTableField id="5" dataBound="0" tableColumnId="5"/>
      <queryTableField id="6" dataBound="0" tableColumnId="6"/>
      <queryTableField id="7" dataBound="0" tableColumnId="7"/>
      <queryTableField id="8" dataBound="0" tableColumnId="8"/>
      <queryTableField id="9" dataBound="0" tableColumnId="9"/>
      <queryTableField id="10" dataBound="0" tableColumnId="10"/>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2" connectionId="5" xr16:uid="{D5E8EF57-EA91-4D3D-A5B3-8CDB26CA2205}" autoFormatId="16" applyNumberFormats="0" applyBorderFormats="0" applyFontFormats="0" applyPatternFormats="0" applyAlignmentFormats="0" applyWidthHeightFormats="0">
  <queryTableRefresh nextId="11" unboundColumnsRight="6">
    <queryTableFields count="10">
      <queryTableField id="1" name="Hospital" tableColumnId="1"/>
      <queryTableField id="2" name="Stage" tableColumnId="2"/>
      <queryTableField id="3" name="MonthYear" tableColumnId="3"/>
      <queryTableField id="4" name="Rate" tableColumnId="4"/>
      <queryTableField id="5" dataBound="0" tableColumnId="5"/>
      <queryTableField id="6" dataBound="0" tableColumnId="6"/>
      <queryTableField id="7" dataBound="0" tableColumnId="7"/>
      <queryTableField id="8" dataBound="0" tableColumnId="8"/>
      <queryTableField id="9" dataBound="0" tableColumnId="9"/>
      <queryTableField id="10" dataBound="0" tableColumnId="10"/>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6" xr16:uid="{5F397C9E-62EE-4F2B-B852-AA576C12D147}" autoFormatId="16" applyNumberFormats="0" applyBorderFormats="0" applyFontFormats="0" applyPatternFormats="0" applyAlignmentFormats="0" applyWidthHeightFormats="0">
  <queryTableRefresh nextId="9">
    <queryTableFields count="8">
      <queryTableField id="1" name="Hospital" tableColumnId="1"/>
      <queryTableField id="2" name="Stage" tableColumnId="2"/>
      <queryTableField id="3" name="Month" tableColumnId="3"/>
      <queryTableField id="4" name="Year" tableColumnId="4"/>
      <queryTableField id="5" name="MonthYear" tableColumnId="5"/>
      <queryTableField id="6" name="Births" tableColumnId="6"/>
      <queryTableField id="7" name="Deaths" tableColumnId="7"/>
      <queryTableField id="8" name="Rate" tableColumnId="8"/>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36771B4-B64F-40F3-B583-E68B8ECE6295}" name="impact_of_handwashing_death_to_birth_rates" displayName="impact_of_handwashing_death_to_birth_rates" ref="A1:I100" tableType="queryTable" totalsRowShown="0">
  <autoFilter ref="A1:I100" xr:uid="{F36771B4-B64F-40F3-B583-E68B8ECE6295}"/>
  <tableColumns count="9">
    <tableColumn id="1" xr3:uid="{4423DBF8-CCE4-4190-969B-F6B046FBDE89}" uniqueName="1" name="Hospital" queryTableFieldId="1" dataDxfId="39"/>
    <tableColumn id="2" xr3:uid="{65CA4F5B-5081-426A-BB23-E91E79ABCB63}" uniqueName="2" name="MonthYear" queryTableFieldId="2" dataDxfId="38"/>
    <tableColumn id="3" xr3:uid="{70901EA7-6D80-434C-AF08-1B3D9DF78BBF}" uniqueName="3" name="Rate" queryTableFieldId="3"/>
    <tableColumn id="4" xr3:uid="{DDDA7F2C-077A-415B-AF3D-EB1C2187F70C}" uniqueName="4" name="Mean" queryTableFieldId="4" dataDxfId="37">
      <calculatedColumnFormula>ROUND(AVERAGE($C$2:$C$100),1)</calculatedColumnFormula>
    </tableColumn>
    <tableColumn id="5" xr3:uid="{BBCA4BC3-8352-49D9-AE97-DB84FEA87163}" uniqueName="5" name="UPL" queryTableFieldId="5" dataDxfId="36">
      <calculatedColumnFormula>ROUND(D2+(2.66*H2),1)</calculatedColumnFormula>
    </tableColumn>
    <tableColumn id="6" xr3:uid="{74683317-15DF-4EB6-9D68-42C4FCB0EEC9}" uniqueName="6" name="LPL" queryTableFieldId="6" dataDxfId="35">
      <calculatedColumnFormula>ROUND(MAX(0,D2-(2.66*H2)),1)</calculatedColumnFormula>
    </tableColumn>
    <tableColumn id="7" xr3:uid="{C3F45160-BFC4-423B-A8CB-B2B61504F42C}" uniqueName="7" name="mR" queryTableFieldId="7" dataDxfId="34">
      <calculatedColumnFormula>ROUND(ABS(C1-C2),1)</calculatedColumnFormula>
    </tableColumn>
    <tableColumn id="8" xr3:uid="{AE7BEC5F-E946-4C10-A693-2C2E646544E2}" uniqueName="8" name="Ave. mR" queryTableFieldId="8" dataDxfId="33">
      <calculatedColumnFormula>ROUND(AVERAGE($G$3:$G$100),1)</calculatedColumnFormula>
    </tableColumn>
    <tableColumn id="9" xr3:uid="{E263DD0E-5614-4285-9EB6-8A10654F69D5}" uniqueName="9" name="URL" queryTableFieldId="9" dataDxfId="32">
      <calculatedColumnFormula>ROUND(3.268*H2,1)</calculatedColumnFormula>
    </tableColumn>
  </tableColumns>
  <tableStyleInfo name="The Virus of Variation"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C7F1340-E421-4BF5-9C40-10C3566418BB}" name="impact_of_handwashing_death_to_birth_rates__3" displayName="impact_of_handwashing_death_to_birth_rates__3" ref="A1:J78" tableType="queryTable" totalsRowShown="0">
  <autoFilter ref="A1:J78" xr:uid="{8C7F1340-E421-4BF5-9C40-10C3566418BB}"/>
  <tableColumns count="10">
    <tableColumn id="1" xr3:uid="{BA678232-31DB-4078-B178-F2EBDED1FA11}" uniqueName="1" name="Hospital" queryTableFieldId="1" dataDxfId="31"/>
    <tableColumn id="2" xr3:uid="{D60BC5CA-9D86-4542-ADEA-5C55B56A9528}" uniqueName="2" name="Stage" queryTableFieldId="2" dataDxfId="30"/>
    <tableColumn id="3" xr3:uid="{B058667C-5D6D-42A8-ACE5-7FE2E8C47B94}" uniqueName="3" name="MonthYear" queryTableFieldId="3" dataDxfId="29"/>
    <tableColumn id="4" xr3:uid="{65C66692-5C80-43E0-A5B1-6D12040210D1}" uniqueName="4" name="Rate" queryTableFieldId="4"/>
    <tableColumn id="5" xr3:uid="{9B0DFAC7-FB38-4211-87FF-946C42A1FC43}" uniqueName="5" name="Mean" queryTableFieldId="5" dataDxfId="28">
      <calculatedColumnFormula>ROUND(AVERAGE($D$2:$D$78),1)</calculatedColumnFormula>
    </tableColumn>
    <tableColumn id="6" xr3:uid="{2D87DAF7-7BA8-4C46-B3F0-6A4F457D27DB}" uniqueName="6" name="UPL" queryTableFieldId="6" dataDxfId="27">
      <calculatedColumnFormula>ROUND(E2+(2.66*I2),1)</calculatedColumnFormula>
    </tableColumn>
    <tableColumn id="7" xr3:uid="{2A5FF19C-BF3E-481B-B8F2-B3A390369CF2}" uniqueName="7" name="LPL" queryTableFieldId="7" dataDxfId="26">
      <calculatedColumnFormula>ROUND(MAX(0,E2-(2.66*I2)),1)</calculatedColumnFormula>
    </tableColumn>
    <tableColumn id="8" xr3:uid="{1C1E320B-D7CC-4A5F-8A52-8F30FA7A30C1}" uniqueName="8" name="mR" queryTableFieldId="8" dataDxfId="25">
      <calculatedColumnFormula>ROUND(ABS(D1-D2),1)</calculatedColumnFormula>
    </tableColumn>
    <tableColumn id="9" xr3:uid="{C711D7AF-28B6-43A9-8DF3-6FFB381620F0}" uniqueName="9" name="Ave. mR" queryTableFieldId="9" dataDxfId="24">
      <calculatedColumnFormula>ROUND(AVERAGE($H$3:$H$78),1)</calculatedColumnFormula>
    </tableColumn>
    <tableColumn id="10" xr3:uid="{D3C065B0-43B8-4EB3-A101-A3A6714A5979}" uniqueName="10" name="URL" queryTableFieldId="10" dataDxfId="23">
      <calculatedColumnFormula>ROUND(3.268*I2,1)</calculatedColumnFormula>
    </tableColumn>
  </tableColumns>
  <tableStyleInfo name="The Virus of Variation"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47B884C-2CD9-46C7-8996-75C73BEAFC9D}" name="impact_of_handwashing_death_to_birth_rates__4" displayName="impact_of_handwashing_death_to_birth_rates__4" ref="A80:J102" tableType="queryTable" totalsRowShown="0">
  <autoFilter ref="A80:J102" xr:uid="{247B884C-2CD9-46C7-8996-75C73BEAFC9D}"/>
  <tableColumns count="10">
    <tableColumn id="1" xr3:uid="{250A4646-A675-4CF4-822D-8FB62CECA06C}" uniqueName="1" name="Hospital" queryTableFieldId="1" dataDxfId="22"/>
    <tableColumn id="2" xr3:uid="{39557EA5-3DEA-4C25-B091-4C47C59DE058}" uniqueName="2" name="Stage" queryTableFieldId="2" dataDxfId="21"/>
    <tableColumn id="3" xr3:uid="{A964952B-0BD7-4758-86DC-3D4484A33F3C}" uniqueName="3" name="MonthYear" queryTableFieldId="3" dataDxfId="20"/>
    <tableColumn id="4" xr3:uid="{782C66AB-0AAE-4ADB-8643-FA18EA2DF1E9}" uniqueName="4" name="Rate" queryTableFieldId="4"/>
    <tableColumn id="5" xr3:uid="{AF018F46-8BF2-4682-B9AB-748145E11211}" uniqueName="5" name="Mean" queryTableFieldId="5" dataDxfId="19">
      <calculatedColumnFormula>ROUND(AVERAGE($D$81:$D$102),1)</calculatedColumnFormula>
    </tableColumn>
    <tableColumn id="6" xr3:uid="{AD386126-F45D-49B8-82CA-029E5090AF78}" uniqueName="6" name="UPL" queryTableFieldId="6" dataDxfId="18">
      <calculatedColumnFormula>ROUND(E81+(2.66*I81),1)</calculatedColumnFormula>
    </tableColumn>
    <tableColumn id="7" xr3:uid="{E8374CFA-9E68-49A0-915C-73504CBBB012}" uniqueName="7" name="LPL" queryTableFieldId="7" dataDxfId="17">
      <calculatedColumnFormula>ROUND(MAX(0,AVERAGE(E81-(2.66*I81))),1)</calculatedColumnFormula>
    </tableColumn>
    <tableColumn id="8" xr3:uid="{A831FCC5-3124-4BCB-B82D-B91516992E94}" uniqueName="8" name="mR" queryTableFieldId="8" dataDxfId="16">
      <calculatedColumnFormula>ROUND(ABS(E80-E81),1)</calculatedColumnFormula>
    </tableColumn>
    <tableColumn id="9" xr3:uid="{CAE6902A-09FB-4197-BA73-DCC66A8DC0C8}" uniqueName="9" name="Ave. mR" queryTableFieldId="9" dataDxfId="15">
      <calculatedColumnFormula>ROUND(AVERAGE($H$82:$H$102),1)</calculatedColumnFormula>
    </tableColumn>
    <tableColumn id="10" xr3:uid="{CCC0E9A5-20A8-413F-9FB5-2AD9A6A6B085}" uniqueName="10" name="URL" queryTableFieldId="10" dataDxfId="14">
      <calculatedColumnFormula>ROUND(3.268*I81,1)</calculatedColumnFormula>
    </tableColumn>
  </tableColumns>
  <tableStyleInfo name="The Virus of Variation"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562F7B7-A8CC-4D53-8984-B084285CB676}" name="impact_of_handwashing_death_to_birth_rates__48" displayName="impact_of_handwashing_death_to_birth_rates__48" ref="A1:J23" tableType="queryTable" totalsRowShown="0">
  <autoFilter ref="A1:J23" xr:uid="{247B884C-2CD9-46C7-8996-75C73BEAFC9D}"/>
  <tableColumns count="10">
    <tableColumn id="1" xr3:uid="{C10120A6-12B5-4CD7-96C1-A389F40D152C}" uniqueName="1" name="Hospital" queryTableFieldId="1" dataDxfId="13"/>
    <tableColumn id="2" xr3:uid="{F61E9A93-C020-4985-BEF6-BF7AB782E922}" uniqueName="2" name="Stage" queryTableFieldId="2" dataDxfId="12"/>
    <tableColumn id="3" xr3:uid="{93D96D59-8DF7-4503-B4E2-6F9FEC497585}" uniqueName="3" name="MonthYear" queryTableFieldId="3" dataDxfId="11"/>
    <tableColumn id="4" xr3:uid="{FD1E82AD-B093-49BD-B872-5673A217840E}" uniqueName="4" name="Rate" queryTableFieldId="4"/>
    <tableColumn id="5" xr3:uid="{49E3462F-1C51-496E-897C-477F232836F2}" uniqueName="5" name="Mean" queryTableFieldId="5" dataDxfId="10">
      <calculatedColumnFormula>ROUND(AVERAGE($D$2:$D$23),1)</calculatedColumnFormula>
    </tableColumn>
    <tableColumn id="6" xr3:uid="{54B4E964-1B76-4477-9123-51C0C4B0C5DD}" uniqueName="6" name="UPL" queryTableFieldId="6" dataDxfId="9">
      <calculatedColumnFormula>ROUND(E2+(2.66*I2),1)</calculatedColumnFormula>
    </tableColumn>
    <tableColumn id="7" xr3:uid="{C5F85CC1-756E-4E4C-92C5-72F974D7410D}" uniqueName="7" name="LPL" queryTableFieldId="7" dataDxfId="8">
      <calculatedColumnFormula>ROUND(MAX(0,AVERAGE(E2-(2.66*I2))),1)</calculatedColumnFormula>
    </tableColumn>
    <tableColumn id="8" xr3:uid="{087D9885-B2E1-4A88-9A0C-189BFFF0E081}" uniqueName="8" name="mR" queryTableFieldId="8" dataDxfId="7">
      <calculatedColumnFormula>ROUND(ABS(E1-E2),1)</calculatedColumnFormula>
    </tableColumn>
    <tableColumn id="9" xr3:uid="{E16D02D1-7007-43A7-BFE4-0C037A2A0E31}" uniqueName="9" name="Ave. mR" queryTableFieldId="9" dataDxfId="6">
      <calculatedColumnFormula>ROUND(AVERAGE($H$3:$H$23),1)</calculatedColumnFormula>
    </tableColumn>
    <tableColumn id="10" xr3:uid="{7DD10EB8-E513-43B7-8C46-4CAD525D2216}" uniqueName="10" name="URL" queryTableFieldId="10" dataDxfId="5">
      <calculatedColumnFormula>ROUND(3.268*I2,1)</calculatedColumnFormula>
    </tableColumn>
  </tableColumns>
  <tableStyleInfo name="The Virus of Variation"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0A0AA2C-6EFB-4D96-8E6A-C60D1EBF8ED9}" name="impact_of_handwashing_death_to_birth_rates__7" displayName="impact_of_handwashing_death_to_birth_rates__7" ref="A1:H100" tableType="queryTable" totalsRowShown="0" headerRowDxfId="0">
  <autoFilter ref="A1:H100" xr:uid="{80A0AA2C-6EFB-4D96-8E6A-C60D1EBF8ED9}"/>
  <tableColumns count="8">
    <tableColumn id="1" xr3:uid="{0F777559-0645-48CA-AC96-FA1AF7DB89C7}" uniqueName="1" name="Hospital" queryTableFieldId="1" dataDxfId="4"/>
    <tableColumn id="2" xr3:uid="{40ECDB99-A46F-4DE2-B86C-3A660D6E10FB}" uniqueName="2" name="Stage" queryTableFieldId="2" dataDxfId="3"/>
    <tableColumn id="3" xr3:uid="{49EE6045-ABA9-4762-BE4E-AA3BDDA3D308}" uniqueName="3" name="Month" queryTableFieldId="3" dataDxfId="2"/>
    <tableColumn id="4" xr3:uid="{66AD812E-DBDF-42D0-831C-812BC96217BE}" uniqueName="4" name="Year" queryTableFieldId="4"/>
    <tableColumn id="5" xr3:uid="{E1A87295-C7B8-4010-9788-8E9345235EE6}" uniqueName="5" name="MonthYear" queryTableFieldId="5" dataDxfId="1"/>
    <tableColumn id="6" xr3:uid="{2E415EF5-3753-44B7-AE70-E285D8C6CDE6}" uniqueName="6" name="Births" queryTableFieldId="6"/>
    <tableColumn id="7" xr3:uid="{E3800328-1F90-450C-BB26-DE728ED53041}" uniqueName="7" name="Deaths" queryTableFieldId="7"/>
    <tableColumn id="8" xr3:uid="{25CBEC36-06B4-4DC4-AAD0-54AECF8010C2}" uniqueName="8" name="Rate" queryTableFieldId="8"/>
  </tableColumns>
  <tableStyleInfo name="The Virus of Variation"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eme/themeOverride1.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5.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6.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7.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8.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3" Type="http://schemas.openxmlformats.org/officeDocument/2006/relationships/hyperlink" Target="mailto:James.Lehner@gmail.com" TargetMode="External"/><Relationship Id="rId2" Type="http://schemas.openxmlformats.org/officeDocument/2006/relationships/hyperlink" Target="https://www.brokenquality.com/book" TargetMode="External"/><Relationship Id="rId1" Type="http://schemas.openxmlformats.org/officeDocument/2006/relationships/hyperlink" Target="https://github.com/jimlehner/virus-of-variation-book" TargetMode="External"/><Relationship Id="rId5" Type="http://schemas.openxmlformats.org/officeDocument/2006/relationships/drawing" Target="../drawings/drawing1.xml"/><Relationship Id="rId4" Type="http://schemas.openxmlformats.org/officeDocument/2006/relationships/hyperlink" Target="mailto:QualityIsBroken@gmail.com"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L36"/>
  <sheetViews>
    <sheetView showGridLines="0" tabSelected="1" workbookViewId="0">
      <selection activeCell="A35" sqref="A35:G36"/>
    </sheetView>
  </sheetViews>
  <sheetFormatPr defaultColWidth="12.6640625" defaultRowHeight="15.75" customHeight="1" x14ac:dyDescent="0.25"/>
  <cols>
    <col min="8" max="8" width="1.33203125" customWidth="1"/>
    <col min="13" max="13" width="1.33203125" customWidth="1"/>
  </cols>
  <sheetData>
    <row r="1" spans="1:12" ht="24.6" x14ac:dyDescent="0.55000000000000004">
      <c r="A1" s="34" t="s">
        <v>0</v>
      </c>
      <c r="B1" s="35"/>
      <c r="C1" s="35"/>
      <c r="D1" s="35"/>
      <c r="E1" s="35"/>
      <c r="F1" s="35"/>
      <c r="G1" s="36"/>
      <c r="H1" s="1"/>
      <c r="I1" s="1"/>
      <c r="J1" s="1"/>
      <c r="K1" s="1"/>
      <c r="L1" s="1"/>
    </row>
    <row r="2" spans="1:12" ht="15.75" customHeight="1" x14ac:dyDescent="0.25">
      <c r="A2" s="22" t="s">
        <v>120</v>
      </c>
      <c r="B2" s="23"/>
      <c r="C2" s="23"/>
      <c r="D2" s="23"/>
      <c r="E2" s="23"/>
      <c r="F2" s="23"/>
      <c r="G2" s="24"/>
      <c r="H2" s="1"/>
      <c r="I2" s="1"/>
    </row>
    <row r="3" spans="1:12" ht="15.75" customHeight="1" x14ac:dyDescent="0.25">
      <c r="A3" s="25"/>
      <c r="B3" s="26"/>
      <c r="C3" s="26"/>
      <c r="D3" s="26"/>
      <c r="E3" s="26"/>
      <c r="F3" s="26"/>
      <c r="G3" s="27"/>
      <c r="H3" s="1"/>
    </row>
    <row r="4" spans="1:12" ht="15.75" customHeight="1" x14ac:dyDescent="0.25">
      <c r="A4" s="25"/>
      <c r="B4" s="26"/>
      <c r="C4" s="26"/>
      <c r="D4" s="26"/>
      <c r="E4" s="26"/>
      <c r="F4" s="26"/>
      <c r="G4" s="27"/>
      <c r="H4" s="1"/>
    </row>
    <row r="5" spans="1:12" ht="15.75" customHeight="1" x14ac:dyDescent="0.25">
      <c r="A5" s="25"/>
      <c r="B5" s="26"/>
      <c r="C5" s="26"/>
      <c r="D5" s="26"/>
      <c r="E5" s="26"/>
      <c r="F5" s="26"/>
      <c r="G5" s="27"/>
      <c r="H5" s="1"/>
    </row>
    <row r="6" spans="1:12" ht="15.75" customHeight="1" x14ac:dyDescent="0.25">
      <c r="A6" s="25"/>
      <c r="B6" s="26"/>
      <c r="C6" s="26"/>
      <c r="D6" s="26"/>
      <c r="E6" s="26"/>
      <c r="F6" s="26"/>
      <c r="G6" s="27"/>
      <c r="H6" s="1"/>
    </row>
    <row r="7" spans="1:12" ht="15.75" customHeight="1" x14ac:dyDescent="0.25">
      <c r="A7" s="25"/>
      <c r="B7" s="26"/>
      <c r="C7" s="26"/>
      <c r="D7" s="26"/>
      <c r="E7" s="26"/>
      <c r="F7" s="26"/>
      <c r="G7" s="27"/>
      <c r="H7" s="1"/>
    </row>
    <row r="8" spans="1:12" ht="15.75" customHeight="1" x14ac:dyDescent="0.25">
      <c r="A8" s="25"/>
      <c r="B8" s="26"/>
      <c r="C8" s="26"/>
      <c r="D8" s="26"/>
      <c r="E8" s="26"/>
      <c r="F8" s="26"/>
      <c r="G8" s="27"/>
      <c r="H8" s="1"/>
    </row>
    <row r="9" spans="1:12" ht="15.75" customHeight="1" x14ac:dyDescent="0.25">
      <c r="A9" s="25"/>
      <c r="B9" s="26"/>
      <c r="C9" s="26"/>
      <c r="D9" s="26"/>
      <c r="E9" s="26"/>
      <c r="F9" s="26"/>
      <c r="G9" s="27"/>
      <c r="H9" s="1"/>
    </row>
    <row r="10" spans="1:12" ht="15.75" customHeight="1" x14ac:dyDescent="0.25">
      <c r="A10" s="25"/>
      <c r="B10" s="26"/>
      <c r="C10" s="26"/>
      <c r="D10" s="26"/>
      <c r="E10" s="26"/>
      <c r="F10" s="26"/>
      <c r="G10" s="27"/>
      <c r="H10" s="1"/>
    </row>
    <row r="11" spans="1:12" ht="15.75" customHeight="1" x14ac:dyDescent="0.25">
      <c r="A11" s="25"/>
      <c r="B11" s="26"/>
      <c r="C11" s="26"/>
      <c r="D11" s="26"/>
      <c r="E11" s="26"/>
      <c r="F11" s="26"/>
      <c r="G11" s="27"/>
      <c r="H11" s="1"/>
    </row>
    <row r="12" spans="1:12" ht="15.75" customHeight="1" x14ac:dyDescent="0.25">
      <c r="A12" s="25"/>
      <c r="B12" s="26"/>
      <c r="C12" s="26"/>
      <c r="D12" s="26"/>
      <c r="E12" s="26"/>
      <c r="F12" s="26"/>
      <c r="G12" s="27"/>
      <c r="H12" s="1"/>
    </row>
    <row r="13" spans="1:12" ht="15.75" customHeight="1" x14ac:dyDescent="0.25">
      <c r="A13" s="25"/>
      <c r="B13" s="26"/>
      <c r="C13" s="26"/>
      <c r="D13" s="26"/>
      <c r="E13" s="26"/>
      <c r="F13" s="26"/>
      <c r="G13" s="27"/>
      <c r="H13" s="1"/>
    </row>
    <row r="14" spans="1:12" ht="15.75" customHeight="1" x14ac:dyDescent="0.25">
      <c r="A14" s="25"/>
      <c r="B14" s="26"/>
      <c r="C14" s="26"/>
      <c r="D14" s="26"/>
      <c r="E14" s="26"/>
      <c r="F14" s="26"/>
      <c r="G14" s="27"/>
      <c r="H14" s="1"/>
    </row>
    <row r="15" spans="1:12" ht="15.75" customHeight="1" x14ac:dyDescent="0.25">
      <c r="A15" s="25"/>
      <c r="B15" s="26"/>
      <c r="C15" s="26"/>
      <c r="D15" s="26"/>
      <c r="E15" s="26"/>
      <c r="F15" s="26"/>
      <c r="G15" s="27"/>
      <c r="H15" s="1"/>
    </row>
    <row r="16" spans="1:12" ht="15.75" customHeight="1" x14ac:dyDescent="0.25">
      <c r="A16" s="25"/>
      <c r="B16" s="26"/>
      <c r="C16" s="26"/>
      <c r="D16" s="26"/>
      <c r="E16" s="26"/>
      <c r="F16" s="26"/>
      <c r="G16" s="27"/>
      <c r="H16" s="1"/>
    </row>
    <row r="17" spans="1:8" ht="15.75" customHeight="1" x14ac:dyDescent="0.25">
      <c r="A17" s="25"/>
      <c r="B17" s="26"/>
      <c r="C17" s="26"/>
      <c r="D17" s="26"/>
      <c r="E17" s="26"/>
      <c r="F17" s="26"/>
      <c r="G17" s="27"/>
      <c r="H17" s="1"/>
    </row>
    <row r="18" spans="1:8" ht="15.75" customHeight="1" x14ac:dyDescent="0.25">
      <c r="A18" s="25"/>
      <c r="B18" s="26"/>
      <c r="C18" s="26"/>
      <c r="D18" s="26"/>
      <c r="E18" s="26"/>
      <c r="F18" s="26"/>
      <c r="G18" s="27"/>
      <c r="H18" s="1"/>
    </row>
    <row r="19" spans="1:8" ht="15.75" customHeight="1" x14ac:dyDescent="0.25">
      <c r="A19" s="25"/>
      <c r="B19" s="26"/>
      <c r="C19" s="26"/>
      <c r="D19" s="26"/>
      <c r="E19" s="26"/>
      <c r="F19" s="26"/>
      <c r="G19" s="27"/>
      <c r="H19" s="1"/>
    </row>
    <row r="20" spans="1:8" ht="15.75" customHeight="1" x14ac:dyDescent="0.25">
      <c r="A20" s="25"/>
      <c r="B20" s="26"/>
      <c r="C20" s="26"/>
      <c r="D20" s="26"/>
      <c r="E20" s="26"/>
      <c r="F20" s="26"/>
      <c r="G20" s="27"/>
      <c r="H20" s="1"/>
    </row>
    <row r="21" spans="1:8" ht="15.75" customHeight="1" x14ac:dyDescent="0.25">
      <c r="A21" s="25"/>
      <c r="B21" s="26"/>
      <c r="C21" s="26"/>
      <c r="D21" s="26"/>
      <c r="E21" s="26"/>
      <c r="F21" s="26"/>
      <c r="G21" s="27"/>
      <c r="H21" s="1"/>
    </row>
    <row r="22" spans="1:8" ht="15.75" customHeight="1" x14ac:dyDescent="0.25">
      <c r="A22" s="25"/>
      <c r="B22" s="26"/>
      <c r="C22" s="26"/>
      <c r="D22" s="26"/>
      <c r="E22" s="26"/>
      <c r="F22" s="26"/>
      <c r="G22" s="27"/>
      <c r="H22" s="1"/>
    </row>
    <row r="23" spans="1:8" ht="15.75" customHeight="1" x14ac:dyDescent="0.25">
      <c r="A23" s="25"/>
      <c r="B23" s="26"/>
      <c r="C23" s="26"/>
      <c r="D23" s="26"/>
      <c r="E23" s="26"/>
      <c r="F23" s="26"/>
      <c r="G23" s="27"/>
      <c r="H23" s="1"/>
    </row>
    <row r="24" spans="1:8" ht="15.75" customHeight="1" x14ac:dyDescent="0.25">
      <c r="A24" s="25"/>
      <c r="B24" s="26"/>
      <c r="C24" s="26"/>
      <c r="D24" s="26"/>
      <c r="E24" s="26"/>
      <c r="F24" s="26"/>
      <c r="G24" s="27"/>
      <c r="H24" s="1"/>
    </row>
    <row r="25" spans="1:8" ht="15.75" customHeight="1" x14ac:dyDescent="0.25">
      <c r="A25" s="25"/>
      <c r="B25" s="26"/>
      <c r="C25" s="26"/>
      <c r="D25" s="26"/>
      <c r="E25" s="26"/>
      <c r="F25" s="26"/>
      <c r="G25" s="27"/>
      <c r="H25" s="1"/>
    </row>
    <row r="26" spans="1:8" ht="15.75" customHeight="1" x14ac:dyDescent="0.25">
      <c r="A26" s="25"/>
      <c r="B26" s="26"/>
      <c r="C26" s="26"/>
      <c r="D26" s="26"/>
      <c r="E26" s="26"/>
      <c r="F26" s="26"/>
      <c r="G26" s="27"/>
      <c r="H26" s="1"/>
    </row>
    <row r="27" spans="1:8" ht="21.6" customHeight="1" x14ac:dyDescent="0.25">
      <c r="A27" s="28"/>
      <c r="B27" s="29"/>
      <c r="C27" s="29"/>
      <c r="D27" s="29"/>
      <c r="E27" s="29"/>
      <c r="F27" s="29"/>
      <c r="G27" s="30"/>
      <c r="H27" s="1"/>
    </row>
    <row r="28" spans="1:8" ht="15.75" customHeight="1" x14ac:dyDescent="0.25">
      <c r="A28" s="31" t="s">
        <v>113</v>
      </c>
      <c r="B28" s="32"/>
      <c r="C28" s="32"/>
      <c r="D28" s="32"/>
      <c r="E28" s="32"/>
      <c r="F28" s="32"/>
      <c r="G28" s="33"/>
    </row>
    <row r="29" spans="1:8" ht="15.75" customHeight="1" x14ac:dyDescent="0.25">
      <c r="A29" s="13" t="s">
        <v>114</v>
      </c>
      <c r="B29" s="14"/>
      <c r="C29" s="14"/>
      <c r="D29" s="14"/>
      <c r="E29" s="14"/>
      <c r="F29" s="14"/>
      <c r="G29" s="15"/>
    </row>
    <row r="30" spans="1:8" ht="15.75" customHeight="1" x14ac:dyDescent="0.25">
      <c r="A30" s="16" t="s">
        <v>115</v>
      </c>
      <c r="B30" s="17"/>
      <c r="C30" s="17"/>
      <c r="D30" s="17"/>
      <c r="E30" s="17"/>
      <c r="F30" s="17"/>
      <c r="G30" s="18"/>
    </row>
    <row r="31" spans="1:8" ht="15.75" customHeight="1" x14ac:dyDescent="0.25">
      <c r="A31" s="13" t="s">
        <v>116</v>
      </c>
      <c r="B31" s="14"/>
      <c r="C31" s="14"/>
      <c r="D31" s="14"/>
      <c r="E31" s="14"/>
      <c r="F31" s="14"/>
      <c r="G31" s="15"/>
    </row>
    <row r="32" spans="1:8" ht="15.75" customHeight="1" x14ac:dyDescent="0.25">
      <c r="A32" s="16" t="s">
        <v>117</v>
      </c>
      <c r="B32" s="17"/>
      <c r="C32" s="17"/>
      <c r="D32" s="17"/>
      <c r="E32" s="17"/>
      <c r="F32" s="17"/>
      <c r="G32" s="18"/>
    </row>
    <row r="33" spans="1:7" ht="15.75" customHeight="1" x14ac:dyDescent="0.25">
      <c r="A33" s="13" t="s">
        <v>118</v>
      </c>
      <c r="B33" s="14"/>
      <c r="C33" s="14"/>
      <c r="D33" s="14"/>
      <c r="E33" s="14"/>
      <c r="F33" s="14"/>
      <c r="G33" s="15"/>
    </row>
    <row r="34" spans="1:7" ht="15.75" customHeight="1" x14ac:dyDescent="0.25">
      <c r="A34" s="19" t="s">
        <v>119</v>
      </c>
      <c r="B34" s="20"/>
      <c r="C34" s="20"/>
      <c r="D34" s="20"/>
      <c r="E34" s="20"/>
      <c r="F34" s="20"/>
      <c r="G34" s="21"/>
    </row>
    <row r="35" spans="1:7" ht="15.75" customHeight="1" x14ac:dyDescent="0.25">
      <c r="A35" s="37" t="s">
        <v>123</v>
      </c>
      <c r="B35" s="38"/>
      <c r="C35" s="38"/>
      <c r="D35" s="38"/>
      <c r="E35" s="38"/>
      <c r="F35" s="38"/>
      <c r="G35" s="39"/>
    </row>
    <row r="36" spans="1:7" ht="39.6" x14ac:dyDescent="0.25">
      <c r="A36" s="42" t="s">
        <v>122</v>
      </c>
      <c r="B36" s="40" t="s">
        <v>121</v>
      </c>
      <c r="C36" s="40"/>
      <c r="D36" s="40"/>
      <c r="E36" s="40"/>
      <c r="F36" s="40"/>
      <c r="G36" s="41"/>
    </row>
  </sheetData>
  <mergeCells count="11">
    <mergeCell ref="B36:G36"/>
    <mergeCell ref="A35:G35"/>
    <mergeCell ref="A31:G31"/>
    <mergeCell ref="A32:G32"/>
    <mergeCell ref="A33:G33"/>
    <mergeCell ref="A34:G34"/>
    <mergeCell ref="A1:G1"/>
    <mergeCell ref="A2:G27"/>
    <mergeCell ref="A28:G28"/>
    <mergeCell ref="A29:G29"/>
    <mergeCell ref="A30:G30"/>
  </mergeCells>
  <hyperlinks>
    <hyperlink ref="A31" r:id="rId1" xr:uid="{9C1B9C48-4394-4507-B09B-7F7B0DFD5EDA}"/>
    <hyperlink ref="A29" r:id="rId2" xr:uid="{E8D8FA9E-01B5-4ACB-AB35-82B617EF4873}"/>
    <hyperlink ref="A33" r:id="rId3" xr:uid="{509763E5-8975-48AA-8F78-3D54631069BE}"/>
    <hyperlink ref="A34" r:id="rId4" xr:uid="{EAA95165-7615-4355-AEAF-056DD0E819B9}"/>
  </hyperlinks>
  <pageMargins left="0.7" right="0.7" top="0.75" bottom="0.75" header="0.3" footer="0.3"/>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I100"/>
  <sheetViews>
    <sheetView workbookViewId="0">
      <selection sqref="A1:H1048576"/>
    </sheetView>
  </sheetViews>
  <sheetFormatPr defaultColWidth="12.6640625" defaultRowHeight="15.75" customHeight="1" x14ac:dyDescent="0.25"/>
  <cols>
    <col min="1" max="1" width="20.77734375" bestFit="1" customWidth="1"/>
    <col min="3" max="3" width="7.21875" bestFit="1" customWidth="1"/>
  </cols>
  <sheetData>
    <row r="1" spans="1:9" ht="13.2" x14ac:dyDescent="0.25">
      <c r="A1" s="10" t="s">
        <v>111</v>
      </c>
      <c r="B1" s="11" t="s">
        <v>1</v>
      </c>
      <c r="C1" s="11" t="s">
        <v>2</v>
      </c>
      <c r="D1" s="12" t="s">
        <v>3</v>
      </c>
      <c r="E1" s="9" t="s">
        <v>4</v>
      </c>
      <c r="F1" s="9" t="s">
        <v>5</v>
      </c>
      <c r="G1" s="9" t="s">
        <v>6</v>
      </c>
      <c r="H1" s="9" t="s">
        <v>7</v>
      </c>
      <c r="I1" s="9" t="s">
        <v>8</v>
      </c>
    </row>
    <row r="2" spans="1:9" ht="13.2" x14ac:dyDescent="0.25">
      <c r="A2" t="s">
        <v>112</v>
      </c>
      <c r="B2" t="s">
        <v>9</v>
      </c>
      <c r="C2">
        <v>14.6</v>
      </c>
      <c r="D2">
        <f t="shared" ref="D2:D33" si="0">ROUND(AVERAGE($C$2:$C$100),1)</f>
        <v>8.6</v>
      </c>
      <c r="E2">
        <f t="shared" ref="E2:E33" si="1">ROUND(D2+(2.66*H2),1)</f>
        <v>18.7</v>
      </c>
      <c r="F2">
        <f t="shared" ref="F2:F33" si="2">ROUND(MAX(0,D2-(2.66*H2)),1)</f>
        <v>0</v>
      </c>
      <c r="H2">
        <f t="shared" ref="H2:H33" si="3">ROUND(AVERAGE($G$3:$G$100),1)</f>
        <v>3.8</v>
      </c>
      <c r="I2">
        <f t="shared" ref="I2:I33" si="4">ROUND(3.268*H2,1)</f>
        <v>12.4</v>
      </c>
    </row>
    <row r="3" spans="1:9" ht="13.2" x14ac:dyDescent="0.25">
      <c r="A3" t="s">
        <v>112</v>
      </c>
      <c r="B3" t="s">
        <v>10</v>
      </c>
      <c r="C3">
        <v>7.5</v>
      </c>
      <c r="D3">
        <f t="shared" si="0"/>
        <v>8.6</v>
      </c>
      <c r="E3">
        <f t="shared" si="1"/>
        <v>18.7</v>
      </c>
      <c r="F3">
        <f t="shared" si="2"/>
        <v>0</v>
      </c>
      <c r="G3">
        <f t="shared" ref="G3:G33" si="5">ROUND(ABS(C2-C3),1)</f>
        <v>7.1</v>
      </c>
      <c r="H3">
        <f t="shared" si="3"/>
        <v>3.8</v>
      </c>
      <c r="I3">
        <f t="shared" si="4"/>
        <v>12.4</v>
      </c>
    </row>
    <row r="4" spans="1:9" ht="13.2" x14ac:dyDescent="0.25">
      <c r="A4" t="s">
        <v>112</v>
      </c>
      <c r="B4" t="s">
        <v>11</v>
      </c>
      <c r="C4">
        <v>4.3</v>
      </c>
      <c r="D4">
        <f t="shared" si="0"/>
        <v>8.6</v>
      </c>
      <c r="E4">
        <f t="shared" si="1"/>
        <v>18.7</v>
      </c>
      <c r="F4">
        <f t="shared" si="2"/>
        <v>0</v>
      </c>
      <c r="G4">
        <f t="shared" si="5"/>
        <v>3.2</v>
      </c>
      <c r="H4">
        <f t="shared" si="3"/>
        <v>3.8</v>
      </c>
      <c r="I4">
        <f t="shared" si="4"/>
        <v>12.4</v>
      </c>
    </row>
    <row r="5" spans="1:9" ht="13.2" x14ac:dyDescent="0.25">
      <c r="A5" t="s">
        <v>112</v>
      </c>
      <c r="B5" t="s">
        <v>12</v>
      </c>
      <c r="C5">
        <v>1.6</v>
      </c>
      <c r="D5">
        <f t="shared" si="0"/>
        <v>8.6</v>
      </c>
      <c r="E5">
        <f t="shared" si="1"/>
        <v>18.7</v>
      </c>
      <c r="F5">
        <f t="shared" si="2"/>
        <v>0</v>
      </c>
      <c r="G5">
        <f t="shared" si="5"/>
        <v>2.7</v>
      </c>
      <c r="H5">
        <f t="shared" si="3"/>
        <v>3.8</v>
      </c>
      <c r="I5">
        <f t="shared" si="4"/>
        <v>12.4</v>
      </c>
    </row>
    <row r="6" spans="1:9" ht="13.2" x14ac:dyDescent="0.25">
      <c r="A6" t="s">
        <v>112</v>
      </c>
      <c r="B6" t="s">
        <v>13</v>
      </c>
      <c r="C6">
        <v>0.8</v>
      </c>
      <c r="D6">
        <f t="shared" si="0"/>
        <v>8.6</v>
      </c>
      <c r="E6">
        <f t="shared" si="1"/>
        <v>18.7</v>
      </c>
      <c r="F6">
        <f t="shared" si="2"/>
        <v>0</v>
      </c>
      <c r="G6">
        <f t="shared" si="5"/>
        <v>0.8</v>
      </c>
      <c r="H6">
        <f t="shared" si="3"/>
        <v>3.8</v>
      </c>
      <c r="I6">
        <f t="shared" si="4"/>
        <v>12.4</v>
      </c>
    </row>
    <row r="7" spans="1:9" ht="13.2" x14ac:dyDescent="0.25">
      <c r="A7" t="s">
        <v>112</v>
      </c>
      <c r="B7" t="s">
        <v>14</v>
      </c>
      <c r="C7">
        <v>5</v>
      </c>
      <c r="D7">
        <f t="shared" si="0"/>
        <v>8.6</v>
      </c>
      <c r="E7">
        <f t="shared" si="1"/>
        <v>18.7</v>
      </c>
      <c r="F7">
        <f t="shared" si="2"/>
        <v>0</v>
      </c>
      <c r="G7">
        <f t="shared" si="5"/>
        <v>4.2</v>
      </c>
      <c r="H7">
        <f t="shared" si="3"/>
        <v>3.8</v>
      </c>
      <c r="I7">
        <f t="shared" si="4"/>
        <v>12.4</v>
      </c>
    </row>
    <row r="8" spans="1:9" ht="13.2" x14ac:dyDescent="0.25">
      <c r="A8" t="s">
        <v>112</v>
      </c>
      <c r="B8" t="s">
        <v>15</v>
      </c>
      <c r="C8">
        <v>8.4</v>
      </c>
      <c r="D8">
        <f t="shared" si="0"/>
        <v>8.6</v>
      </c>
      <c r="E8">
        <f t="shared" si="1"/>
        <v>18.7</v>
      </c>
      <c r="F8">
        <f t="shared" si="2"/>
        <v>0</v>
      </c>
      <c r="G8">
        <f t="shared" si="5"/>
        <v>3.4</v>
      </c>
      <c r="H8">
        <f t="shared" si="3"/>
        <v>3.8</v>
      </c>
      <c r="I8">
        <f t="shared" si="4"/>
        <v>12.4</v>
      </c>
    </row>
    <row r="9" spans="1:9" ht="13.2" x14ac:dyDescent="0.25">
      <c r="A9" t="s">
        <v>112</v>
      </c>
      <c r="B9" t="s">
        <v>16</v>
      </c>
      <c r="C9">
        <v>1.4</v>
      </c>
      <c r="D9">
        <f t="shared" si="0"/>
        <v>8.6</v>
      </c>
      <c r="E9">
        <f t="shared" si="1"/>
        <v>18.7</v>
      </c>
      <c r="F9">
        <f t="shared" si="2"/>
        <v>0</v>
      </c>
      <c r="G9">
        <f t="shared" si="5"/>
        <v>7</v>
      </c>
      <c r="H9">
        <f t="shared" si="3"/>
        <v>3.8</v>
      </c>
      <c r="I9">
        <f t="shared" si="4"/>
        <v>12.4</v>
      </c>
    </row>
    <row r="10" spans="1:9" ht="13.2" x14ac:dyDescent="0.25">
      <c r="A10" t="s">
        <v>112</v>
      </c>
      <c r="B10" t="s">
        <v>17</v>
      </c>
      <c r="C10">
        <v>1.9</v>
      </c>
      <c r="D10">
        <f t="shared" si="0"/>
        <v>8.6</v>
      </c>
      <c r="E10">
        <f t="shared" si="1"/>
        <v>18.7</v>
      </c>
      <c r="F10">
        <f t="shared" si="2"/>
        <v>0</v>
      </c>
      <c r="G10">
        <f t="shared" si="5"/>
        <v>0.5</v>
      </c>
      <c r="H10">
        <f t="shared" si="3"/>
        <v>3.8</v>
      </c>
      <c r="I10">
        <f t="shared" si="4"/>
        <v>12.4</v>
      </c>
    </row>
    <row r="11" spans="1:9" ht="13.2" x14ac:dyDescent="0.25">
      <c r="A11" t="s">
        <v>112</v>
      </c>
      <c r="B11" t="s">
        <v>18</v>
      </c>
      <c r="C11">
        <v>11</v>
      </c>
      <c r="D11">
        <f t="shared" si="0"/>
        <v>8.6</v>
      </c>
      <c r="E11">
        <f t="shared" si="1"/>
        <v>18.7</v>
      </c>
      <c r="F11">
        <f t="shared" si="2"/>
        <v>0</v>
      </c>
      <c r="G11">
        <f t="shared" si="5"/>
        <v>9.1</v>
      </c>
      <c r="H11">
        <f t="shared" si="3"/>
        <v>3.8</v>
      </c>
      <c r="I11">
        <f t="shared" si="4"/>
        <v>12.4</v>
      </c>
    </row>
    <row r="12" spans="1:9" ht="13.2" x14ac:dyDescent="0.25">
      <c r="A12" t="s">
        <v>112</v>
      </c>
      <c r="B12" t="s">
        <v>19</v>
      </c>
      <c r="C12">
        <v>22.6</v>
      </c>
      <c r="D12">
        <f t="shared" si="0"/>
        <v>8.6</v>
      </c>
      <c r="E12">
        <f t="shared" si="1"/>
        <v>18.7</v>
      </c>
      <c r="F12">
        <f t="shared" si="2"/>
        <v>0</v>
      </c>
      <c r="G12">
        <f t="shared" si="5"/>
        <v>11.6</v>
      </c>
      <c r="H12">
        <f t="shared" si="3"/>
        <v>3.8</v>
      </c>
      <c r="I12">
        <f t="shared" si="4"/>
        <v>12.4</v>
      </c>
    </row>
    <row r="13" spans="1:9" ht="13.2" x14ac:dyDescent="0.25">
      <c r="A13" t="s">
        <v>112</v>
      </c>
      <c r="B13" t="s">
        <v>20</v>
      </c>
      <c r="D13">
        <f t="shared" si="0"/>
        <v>8.6</v>
      </c>
      <c r="E13">
        <f t="shared" si="1"/>
        <v>18.7</v>
      </c>
      <c r="F13">
        <f t="shared" si="2"/>
        <v>0</v>
      </c>
      <c r="H13">
        <f t="shared" si="3"/>
        <v>3.8</v>
      </c>
      <c r="I13">
        <f t="shared" si="4"/>
        <v>12.4</v>
      </c>
    </row>
    <row r="14" spans="1:9" ht="13.2" x14ac:dyDescent="0.25">
      <c r="A14" t="s">
        <v>112</v>
      </c>
      <c r="B14" t="s">
        <v>21</v>
      </c>
      <c r="C14">
        <v>20.8</v>
      </c>
      <c r="D14">
        <f t="shared" si="0"/>
        <v>8.6</v>
      </c>
      <c r="E14">
        <f t="shared" si="1"/>
        <v>18.7</v>
      </c>
      <c r="F14">
        <f t="shared" si="2"/>
        <v>0</v>
      </c>
      <c r="H14">
        <f t="shared" si="3"/>
        <v>3.8</v>
      </c>
      <c r="I14">
        <f t="shared" si="4"/>
        <v>12.4</v>
      </c>
    </row>
    <row r="15" spans="1:9" ht="13.2" x14ac:dyDescent="0.25">
      <c r="A15" t="s">
        <v>112</v>
      </c>
      <c r="B15" t="s">
        <v>22</v>
      </c>
      <c r="C15">
        <v>12.2</v>
      </c>
      <c r="D15">
        <f t="shared" si="0"/>
        <v>8.6</v>
      </c>
      <c r="E15">
        <f t="shared" si="1"/>
        <v>18.7</v>
      </c>
      <c r="F15">
        <f t="shared" si="2"/>
        <v>0</v>
      </c>
      <c r="G15">
        <f t="shared" si="5"/>
        <v>8.6</v>
      </c>
      <c r="H15">
        <f t="shared" si="3"/>
        <v>3.8</v>
      </c>
      <c r="I15">
        <f t="shared" si="4"/>
        <v>12.4</v>
      </c>
    </row>
    <row r="16" spans="1:9" ht="13.2" x14ac:dyDescent="0.25">
      <c r="A16" t="s">
        <v>112</v>
      </c>
      <c r="B16" t="s">
        <v>23</v>
      </c>
      <c r="C16">
        <v>10.199999999999999</v>
      </c>
      <c r="D16">
        <f t="shared" si="0"/>
        <v>8.6</v>
      </c>
      <c r="E16">
        <f t="shared" si="1"/>
        <v>18.7</v>
      </c>
      <c r="F16">
        <f t="shared" si="2"/>
        <v>0</v>
      </c>
      <c r="G16">
        <f t="shared" si="5"/>
        <v>2</v>
      </c>
      <c r="H16">
        <f t="shared" si="3"/>
        <v>3.8</v>
      </c>
      <c r="I16">
        <f t="shared" si="4"/>
        <v>12.4</v>
      </c>
    </row>
    <row r="17" spans="1:9" ht="13.2" x14ac:dyDescent="0.25">
      <c r="A17" t="s">
        <v>112</v>
      </c>
      <c r="B17" t="s">
        <v>24</v>
      </c>
      <c r="C17">
        <v>10.7</v>
      </c>
      <c r="D17">
        <f t="shared" si="0"/>
        <v>8.6</v>
      </c>
      <c r="E17">
        <f t="shared" si="1"/>
        <v>18.7</v>
      </c>
      <c r="F17">
        <f t="shared" si="2"/>
        <v>0</v>
      </c>
      <c r="G17">
        <f t="shared" si="5"/>
        <v>0.5</v>
      </c>
      <c r="H17">
        <f t="shared" si="3"/>
        <v>3.8</v>
      </c>
      <c r="I17">
        <f t="shared" si="4"/>
        <v>12.4</v>
      </c>
    </row>
    <row r="18" spans="1:9" ht="13.2" x14ac:dyDescent="0.25">
      <c r="A18" t="s">
        <v>112</v>
      </c>
      <c r="B18" t="s">
        <v>25</v>
      </c>
      <c r="C18">
        <v>3.2</v>
      </c>
      <c r="D18">
        <f t="shared" si="0"/>
        <v>8.6</v>
      </c>
      <c r="E18">
        <f t="shared" si="1"/>
        <v>18.7</v>
      </c>
      <c r="F18">
        <f t="shared" si="2"/>
        <v>0</v>
      </c>
      <c r="G18">
        <f t="shared" si="5"/>
        <v>7.5</v>
      </c>
      <c r="H18">
        <f t="shared" si="3"/>
        <v>3.8</v>
      </c>
      <c r="I18">
        <f t="shared" si="4"/>
        <v>12.4</v>
      </c>
    </row>
    <row r="19" spans="1:9" ht="13.2" x14ac:dyDescent="0.25">
      <c r="A19" t="s">
        <v>112</v>
      </c>
      <c r="B19" t="s">
        <v>26</v>
      </c>
      <c r="C19">
        <v>6.6</v>
      </c>
      <c r="D19">
        <f t="shared" si="0"/>
        <v>8.6</v>
      </c>
      <c r="E19">
        <f t="shared" si="1"/>
        <v>18.7</v>
      </c>
      <c r="F19">
        <f t="shared" si="2"/>
        <v>0</v>
      </c>
      <c r="G19">
        <f t="shared" si="5"/>
        <v>3.4</v>
      </c>
      <c r="H19">
        <f t="shared" si="3"/>
        <v>3.8</v>
      </c>
      <c r="I19">
        <f t="shared" si="4"/>
        <v>12.4</v>
      </c>
    </row>
    <row r="20" spans="1:9" ht="13.2" x14ac:dyDescent="0.25">
      <c r="A20" t="s">
        <v>112</v>
      </c>
      <c r="B20" t="s">
        <v>27</v>
      </c>
      <c r="C20">
        <v>20.8</v>
      </c>
      <c r="D20">
        <f t="shared" si="0"/>
        <v>8.6</v>
      </c>
      <c r="E20">
        <f t="shared" si="1"/>
        <v>18.7</v>
      </c>
      <c r="F20">
        <f t="shared" si="2"/>
        <v>0</v>
      </c>
      <c r="G20">
        <f t="shared" si="5"/>
        <v>14.2</v>
      </c>
      <c r="H20">
        <f t="shared" si="3"/>
        <v>3.8</v>
      </c>
      <c r="I20">
        <f t="shared" si="4"/>
        <v>12.4</v>
      </c>
    </row>
    <row r="21" spans="1:9" ht="13.2" x14ac:dyDescent="0.25">
      <c r="A21" t="s">
        <v>112</v>
      </c>
      <c r="B21" t="s">
        <v>28</v>
      </c>
      <c r="C21">
        <v>25.5</v>
      </c>
      <c r="D21">
        <f t="shared" si="0"/>
        <v>8.6</v>
      </c>
      <c r="E21">
        <f t="shared" si="1"/>
        <v>18.7</v>
      </c>
      <c r="F21">
        <f t="shared" si="2"/>
        <v>0</v>
      </c>
      <c r="G21">
        <f t="shared" si="5"/>
        <v>4.7</v>
      </c>
      <c r="H21">
        <f t="shared" si="3"/>
        <v>3.8</v>
      </c>
      <c r="I21">
        <f t="shared" si="4"/>
        <v>12.4</v>
      </c>
    </row>
    <row r="22" spans="1:9" ht="13.2" x14ac:dyDescent="0.25">
      <c r="A22" t="s">
        <v>112</v>
      </c>
      <c r="B22" t="s">
        <v>29</v>
      </c>
      <c r="C22">
        <v>18.399999999999999</v>
      </c>
      <c r="D22">
        <f t="shared" si="0"/>
        <v>8.6</v>
      </c>
      <c r="E22">
        <f t="shared" si="1"/>
        <v>18.7</v>
      </c>
      <c r="F22">
        <f t="shared" si="2"/>
        <v>0</v>
      </c>
      <c r="G22">
        <f t="shared" si="5"/>
        <v>7.1</v>
      </c>
      <c r="H22">
        <f t="shared" si="3"/>
        <v>3.8</v>
      </c>
      <c r="I22">
        <f t="shared" si="4"/>
        <v>12.4</v>
      </c>
    </row>
    <row r="23" spans="1:9" ht="13.2" x14ac:dyDescent="0.25">
      <c r="A23" t="s">
        <v>112</v>
      </c>
      <c r="B23" t="s">
        <v>30</v>
      </c>
      <c r="C23">
        <v>29.3</v>
      </c>
      <c r="D23">
        <f t="shared" si="0"/>
        <v>8.6</v>
      </c>
      <c r="E23">
        <f t="shared" si="1"/>
        <v>18.7</v>
      </c>
      <c r="F23">
        <f t="shared" si="2"/>
        <v>0</v>
      </c>
      <c r="G23">
        <f t="shared" si="5"/>
        <v>10.9</v>
      </c>
      <c r="H23">
        <f t="shared" si="3"/>
        <v>3.8</v>
      </c>
      <c r="I23">
        <f t="shared" si="4"/>
        <v>12.4</v>
      </c>
    </row>
    <row r="24" spans="1:9" ht="13.2" x14ac:dyDescent="0.25">
      <c r="A24" t="s">
        <v>112</v>
      </c>
      <c r="B24" t="s">
        <v>31</v>
      </c>
      <c r="C24">
        <v>23</v>
      </c>
      <c r="D24">
        <f t="shared" si="0"/>
        <v>8.6</v>
      </c>
      <c r="E24">
        <f t="shared" si="1"/>
        <v>18.7</v>
      </c>
      <c r="F24">
        <f t="shared" si="2"/>
        <v>0</v>
      </c>
      <c r="G24">
        <f t="shared" si="5"/>
        <v>6.3</v>
      </c>
      <c r="H24">
        <f t="shared" si="3"/>
        <v>3.8</v>
      </c>
      <c r="I24">
        <f t="shared" si="4"/>
        <v>12.4</v>
      </c>
    </row>
    <row r="25" spans="1:9" ht="13.2" x14ac:dyDescent="0.25">
      <c r="A25" t="s">
        <v>112</v>
      </c>
      <c r="B25" t="s">
        <v>32</v>
      </c>
      <c r="C25">
        <v>31.4</v>
      </c>
      <c r="D25">
        <f t="shared" si="0"/>
        <v>8.6</v>
      </c>
      <c r="E25">
        <f t="shared" si="1"/>
        <v>18.7</v>
      </c>
      <c r="F25">
        <f t="shared" si="2"/>
        <v>0</v>
      </c>
      <c r="G25">
        <f t="shared" si="5"/>
        <v>8.4</v>
      </c>
      <c r="H25">
        <f t="shared" si="3"/>
        <v>3.8</v>
      </c>
      <c r="I25">
        <f t="shared" si="4"/>
        <v>12.4</v>
      </c>
    </row>
    <row r="26" spans="1:9" ht="13.2" x14ac:dyDescent="0.25">
      <c r="A26" t="s">
        <v>112</v>
      </c>
      <c r="B26" t="s">
        <v>33</v>
      </c>
      <c r="C26">
        <v>19.100000000000001</v>
      </c>
      <c r="D26">
        <f t="shared" si="0"/>
        <v>8.6</v>
      </c>
      <c r="E26">
        <f t="shared" si="1"/>
        <v>18.7</v>
      </c>
      <c r="F26">
        <f t="shared" si="2"/>
        <v>0</v>
      </c>
      <c r="G26">
        <f t="shared" si="5"/>
        <v>12.3</v>
      </c>
      <c r="H26">
        <f t="shared" si="3"/>
        <v>3.8</v>
      </c>
      <c r="I26">
        <f t="shared" si="4"/>
        <v>12.4</v>
      </c>
    </row>
    <row r="27" spans="1:9" ht="13.2" x14ac:dyDescent="0.25">
      <c r="A27" t="s">
        <v>112</v>
      </c>
      <c r="B27" t="s">
        <v>34</v>
      </c>
      <c r="C27">
        <v>16</v>
      </c>
      <c r="D27">
        <f t="shared" si="0"/>
        <v>8.6</v>
      </c>
      <c r="E27">
        <f t="shared" si="1"/>
        <v>18.7</v>
      </c>
      <c r="F27">
        <f t="shared" si="2"/>
        <v>0</v>
      </c>
      <c r="G27">
        <f t="shared" si="5"/>
        <v>3.1</v>
      </c>
      <c r="H27">
        <f t="shared" si="3"/>
        <v>3.8</v>
      </c>
      <c r="I27">
        <f t="shared" si="4"/>
        <v>12.4</v>
      </c>
    </row>
    <row r="28" spans="1:9" ht="13.2" x14ac:dyDescent="0.25">
      <c r="A28" t="s">
        <v>112</v>
      </c>
      <c r="B28" t="s">
        <v>35</v>
      </c>
      <c r="C28">
        <v>12.4</v>
      </c>
      <c r="D28">
        <f t="shared" si="0"/>
        <v>8.6</v>
      </c>
      <c r="E28">
        <f t="shared" si="1"/>
        <v>18.7</v>
      </c>
      <c r="F28">
        <f t="shared" si="2"/>
        <v>0</v>
      </c>
      <c r="G28">
        <f t="shared" si="5"/>
        <v>3.6</v>
      </c>
      <c r="H28">
        <f t="shared" si="3"/>
        <v>3.8</v>
      </c>
      <c r="I28">
        <f t="shared" si="4"/>
        <v>12.4</v>
      </c>
    </row>
    <row r="29" spans="1:9" ht="13.2" x14ac:dyDescent="0.25">
      <c r="A29" t="s">
        <v>112</v>
      </c>
      <c r="B29" t="s">
        <v>36</v>
      </c>
      <c r="C29">
        <v>11.9</v>
      </c>
      <c r="D29">
        <f t="shared" si="0"/>
        <v>8.6</v>
      </c>
      <c r="E29">
        <f t="shared" si="1"/>
        <v>18.7</v>
      </c>
      <c r="F29">
        <f t="shared" si="2"/>
        <v>0</v>
      </c>
      <c r="G29">
        <f t="shared" si="5"/>
        <v>0.5</v>
      </c>
      <c r="H29">
        <f t="shared" si="3"/>
        <v>3.8</v>
      </c>
      <c r="I29">
        <f t="shared" si="4"/>
        <v>12.4</v>
      </c>
    </row>
    <row r="30" spans="1:9" ht="13.2" x14ac:dyDescent="0.25">
      <c r="A30" t="s">
        <v>112</v>
      </c>
      <c r="B30" t="s">
        <v>37</v>
      </c>
      <c r="C30">
        <v>6.1</v>
      </c>
      <c r="D30">
        <f t="shared" si="0"/>
        <v>8.6</v>
      </c>
      <c r="E30">
        <f t="shared" si="1"/>
        <v>18.7</v>
      </c>
      <c r="F30">
        <f t="shared" si="2"/>
        <v>0</v>
      </c>
      <c r="G30">
        <f t="shared" si="5"/>
        <v>5.8</v>
      </c>
      <c r="H30">
        <f t="shared" si="3"/>
        <v>3.8</v>
      </c>
      <c r="I30">
        <f t="shared" si="4"/>
        <v>12.4</v>
      </c>
    </row>
    <row r="31" spans="1:9" ht="13.2" x14ac:dyDescent="0.25">
      <c r="A31" t="s">
        <v>112</v>
      </c>
      <c r="B31" t="s">
        <v>38</v>
      </c>
      <c r="C31">
        <v>4.0999999999999996</v>
      </c>
      <c r="D31">
        <f t="shared" si="0"/>
        <v>8.6</v>
      </c>
      <c r="E31">
        <f t="shared" si="1"/>
        <v>18.7</v>
      </c>
      <c r="F31">
        <f t="shared" si="2"/>
        <v>0</v>
      </c>
      <c r="G31">
        <f t="shared" si="5"/>
        <v>2</v>
      </c>
      <c r="H31">
        <f t="shared" si="3"/>
        <v>3.8</v>
      </c>
      <c r="I31">
        <f t="shared" si="4"/>
        <v>12.4</v>
      </c>
    </row>
    <row r="32" spans="1:9" ht="13.2" x14ac:dyDescent="0.25">
      <c r="A32" t="s">
        <v>112</v>
      </c>
      <c r="B32" t="s">
        <v>39</v>
      </c>
      <c r="C32">
        <v>0.5</v>
      </c>
      <c r="D32">
        <f t="shared" si="0"/>
        <v>8.6</v>
      </c>
      <c r="E32">
        <f t="shared" si="1"/>
        <v>18.7</v>
      </c>
      <c r="F32">
        <f t="shared" si="2"/>
        <v>0</v>
      </c>
      <c r="G32">
        <f t="shared" si="5"/>
        <v>3.6</v>
      </c>
      <c r="H32">
        <f t="shared" si="3"/>
        <v>3.8</v>
      </c>
      <c r="I32">
        <f t="shared" si="4"/>
        <v>12.4</v>
      </c>
    </row>
    <row r="33" spans="1:9" ht="13.2" x14ac:dyDescent="0.25">
      <c r="A33" t="s">
        <v>112</v>
      </c>
      <c r="B33" t="s">
        <v>40</v>
      </c>
      <c r="C33">
        <v>1.6</v>
      </c>
      <c r="D33">
        <f t="shared" si="0"/>
        <v>8.6</v>
      </c>
      <c r="E33">
        <f t="shared" si="1"/>
        <v>18.7</v>
      </c>
      <c r="F33">
        <f t="shared" si="2"/>
        <v>0</v>
      </c>
      <c r="G33">
        <f t="shared" si="5"/>
        <v>1.1000000000000001</v>
      </c>
      <c r="H33">
        <f t="shared" si="3"/>
        <v>3.8</v>
      </c>
      <c r="I33">
        <f t="shared" si="4"/>
        <v>12.4</v>
      </c>
    </row>
    <row r="34" spans="1:9" ht="13.2" x14ac:dyDescent="0.25">
      <c r="A34" t="s">
        <v>112</v>
      </c>
      <c r="B34" t="s">
        <v>41</v>
      </c>
      <c r="C34">
        <v>2.2999999999999998</v>
      </c>
      <c r="D34">
        <f t="shared" ref="D34:D65" si="6">ROUND(AVERAGE($C$2:$C$100),1)</f>
        <v>8.6</v>
      </c>
      <c r="E34">
        <f t="shared" ref="E34:E65" si="7">ROUND(D34+(2.66*H34),1)</f>
        <v>18.7</v>
      </c>
      <c r="F34">
        <f t="shared" ref="F34:F65" si="8">ROUND(MAX(0,D34-(2.66*H34)),1)</f>
        <v>0</v>
      </c>
      <c r="G34">
        <f t="shared" ref="G34:G65" si="9">ROUND(ABS(C33-C34),1)</f>
        <v>0.7</v>
      </c>
      <c r="H34">
        <f t="shared" ref="H34:H65" si="10">ROUND(AVERAGE($G$3:$G$100),1)</f>
        <v>3.8</v>
      </c>
      <c r="I34">
        <f t="shared" ref="I34:I65" si="11">ROUND(3.268*H34,1)</f>
        <v>12.4</v>
      </c>
    </row>
    <row r="35" spans="1:9" ht="13.2" x14ac:dyDescent="0.25">
      <c r="A35" t="s">
        <v>112</v>
      </c>
      <c r="B35" t="s">
        <v>42</v>
      </c>
      <c r="C35">
        <v>17.600000000000001</v>
      </c>
      <c r="D35">
        <f t="shared" si="6"/>
        <v>8.6</v>
      </c>
      <c r="E35">
        <f t="shared" si="7"/>
        <v>18.7</v>
      </c>
      <c r="F35">
        <f t="shared" si="8"/>
        <v>0</v>
      </c>
      <c r="G35">
        <f t="shared" si="9"/>
        <v>15.3</v>
      </c>
      <c r="H35">
        <f t="shared" si="10"/>
        <v>3.8</v>
      </c>
      <c r="I35">
        <f t="shared" si="11"/>
        <v>12.4</v>
      </c>
    </row>
    <row r="36" spans="1:9" ht="13.2" x14ac:dyDescent="0.25">
      <c r="A36" t="s">
        <v>112</v>
      </c>
      <c r="B36" t="s">
        <v>43</v>
      </c>
      <c r="C36">
        <v>7.1</v>
      </c>
      <c r="D36">
        <f t="shared" si="6"/>
        <v>8.6</v>
      </c>
      <c r="E36">
        <f t="shared" si="7"/>
        <v>18.7</v>
      </c>
      <c r="F36">
        <f t="shared" si="8"/>
        <v>0</v>
      </c>
      <c r="G36">
        <f t="shared" si="9"/>
        <v>10.5</v>
      </c>
      <c r="H36">
        <f t="shared" si="10"/>
        <v>3.8</v>
      </c>
      <c r="I36">
        <f t="shared" si="11"/>
        <v>12.4</v>
      </c>
    </row>
    <row r="37" spans="1:9" ht="13.2" x14ac:dyDescent="0.25">
      <c r="A37" t="s">
        <v>112</v>
      </c>
      <c r="B37" t="s">
        <v>44</v>
      </c>
      <c r="C37">
        <v>8.1</v>
      </c>
      <c r="D37">
        <f t="shared" si="6"/>
        <v>8.6</v>
      </c>
      <c r="E37">
        <f t="shared" si="7"/>
        <v>18.7</v>
      </c>
      <c r="F37">
        <f t="shared" si="8"/>
        <v>0</v>
      </c>
      <c r="G37">
        <f t="shared" si="9"/>
        <v>1</v>
      </c>
      <c r="H37">
        <f t="shared" si="10"/>
        <v>3.8</v>
      </c>
      <c r="I37">
        <f t="shared" si="11"/>
        <v>12.4</v>
      </c>
    </row>
    <row r="38" spans="1:9" ht="13.2" x14ac:dyDescent="0.25">
      <c r="A38" t="s">
        <v>112</v>
      </c>
      <c r="B38" t="s">
        <v>45</v>
      </c>
      <c r="C38">
        <v>15.2</v>
      </c>
      <c r="D38">
        <f t="shared" si="6"/>
        <v>8.6</v>
      </c>
      <c r="E38">
        <f t="shared" si="7"/>
        <v>18.7</v>
      </c>
      <c r="F38">
        <f t="shared" si="8"/>
        <v>0</v>
      </c>
      <c r="G38">
        <f t="shared" si="9"/>
        <v>7.1</v>
      </c>
      <c r="H38">
        <f t="shared" si="10"/>
        <v>3.8</v>
      </c>
      <c r="I38">
        <f t="shared" si="11"/>
        <v>12.4</v>
      </c>
    </row>
    <row r="39" spans="1:9" ht="13.2" x14ac:dyDescent="0.25">
      <c r="A39" t="s">
        <v>112</v>
      </c>
      <c r="B39" t="s">
        <v>46</v>
      </c>
      <c r="C39">
        <v>11.3</v>
      </c>
      <c r="D39">
        <f t="shared" si="6"/>
        <v>8.6</v>
      </c>
      <c r="E39">
        <f t="shared" si="7"/>
        <v>18.7</v>
      </c>
      <c r="F39">
        <f t="shared" si="8"/>
        <v>0</v>
      </c>
      <c r="G39">
        <f t="shared" si="9"/>
        <v>3.9</v>
      </c>
      <c r="H39">
        <f t="shared" si="10"/>
        <v>3.8</v>
      </c>
      <c r="I39">
        <f t="shared" si="11"/>
        <v>12.4</v>
      </c>
    </row>
    <row r="40" spans="1:9" ht="13.2" x14ac:dyDescent="0.25">
      <c r="A40" t="s">
        <v>112</v>
      </c>
      <c r="B40" t="s">
        <v>47</v>
      </c>
      <c r="C40">
        <v>17</v>
      </c>
      <c r="D40">
        <f t="shared" si="6"/>
        <v>8.6</v>
      </c>
      <c r="E40">
        <f t="shared" si="7"/>
        <v>18.7</v>
      </c>
      <c r="F40">
        <f t="shared" si="8"/>
        <v>0</v>
      </c>
      <c r="G40">
        <f t="shared" si="9"/>
        <v>5.7</v>
      </c>
      <c r="H40">
        <f t="shared" si="10"/>
        <v>3.8</v>
      </c>
      <c r="I40">
        <f t="shared" si="11"/>
        <v>12.4</v>
      </c>
    </row>
    <row r="41" spans="1:9" ht="13.2" x14ac:dyDescent="0.25">
      <c r="A41" t="s">
        <v>112</v>
      </c>
      <c r="B41" t="s">
        <v>48</v>
      </c>
      <c r="C41">
        <v>17.3</v>
      </c>
      <c r="D41">
        <f t="shared" si="6"/>
        <v>8.6</v>
      </c>
      <c r="E41">
        <f t="shared" si="7"/>
        <v>18.7</v>
      </c>
      <c r="F41">
        <f t="shared" si="8"/>
        <v>0</v>
      </c>
      <c r="G41">
        <f t="shared" si="9"/>
        <v>0.3</v>
      </c>
      <c r="H41">
        <f t="shared" si="10"/>
        <v>3.8</v>
      </c>
      <c r="I41">
        <f t="shared" si="11"/>
        <v>12.4</v>
      </c>
    </row>
    <row r="42" spans="1:9" ht="13.2" x14ac:dyDescent="0.25">
      <c r="A42" t="s">
        <v>112</v>
      </c>
      <c r="B42" t="s">
        <v>49</v>
      </c>
      <c r="C42">
        <v>5.8</v>
      </c>
      <c r="D42">
        <f t="shared" si="6"/>
        <v>8.6</v>
      </c>
      <c r="E42">
        <f t="shared" si="7"/>
        <v>18.7</v>
      </c>
      <c r="F42">
        <f t="shared" si="8"/>
        <v>0</v>
      </c>
      <c r="G42">
        <f t="shared" si="9"/>
        <v>11.5</v>
      </c>
      <c r="H42">
        <f t="shared" si="10"/>
        <v>3.8</v>
      </c>
      <c r="I42">
        <f t="shared" si="11"/>
        <v>12.4</v>
      </c>
    </row>
    <row r="43" spans="1:9" ht="13.2" x14ac:dyDescent="0.25">
      <c r="A43" t="s">
        <v>112</v>
      </c>
      <c r="B43" t="s">
        <v>50</v>
      </c>
      <c r="C43">
        <v>2.7</v>
      </c>
      <c r="D43">
        <f t="shared" si="6"/>
        <v>8.6</v>
      </c>
      <c r="E43">
        <f t="shared" si="7"/>
        <v>18.7</v>
      </c>
      <c r="F43">
        <f t="shared" si="8"/>
        <v>0</v>
      </c>
      <c r="G43">
        <f t="shared" si="9"/>
        <v>3.1</v>
      </c>
      <c r="H43">
        <f t="shared" si="10"/>
        <v>3.8</v>
      </c>
      <c r="I43">
        <f t="shared" si="11"/>
        <v>12.4</v>
      </c>
    </row>
    <row r="44" spans="1:9" ht="13.2" x14ac:dyDescent="0.25">
      <c r="A44" t="s">
        <v>112</v>
      </c>
      <c r="B44" t="s">
        <v>51</v>
      </c>
      <c r="C44">
        <v>4.4000000000000004</v>
      </c>
      <c r="D44">
        <f t="shared" si="6"/>
        <v>8.6</v>
      </c>
      <c r="E44">
        <f t="shared" si="7"/>
        <v>18.7</v>
      </c>
      <c r="F44">
        <f t="shared" si="8"/>
        <v>0</v>
      </c>
      <c r="G44">
        <f t="shared" si="9"/>
        <v>1.7</v>
      </c>
      <c r="H44">
        <f t="shared" si="10"/>
        <v>3.8</v>
      </c>
      <c r="I44">
        <f t="shared" si="11"/>
        <v>12.4</v>
      </c>
    </row>
    <row r="45" spans="1:9" ht="13.2" x14ac:dyDescent="0.25">
      <c r="A45" t="s">
        <v>112</v>
      </c>
      <c r="B45" t="s">
        <v>52</v>
      </c>
      <c r="C45">
        <v>6.3</v>
      </c>
      <c r="D45">
        <f t="shared" si="6"/>
        <v>8.6</v>
      </c>
      <c r="E45">
        <f t="shared" si="7"/>
        <v>18.7</v>
      </c>
      <c r="F45">
        <f t="shared" si="8"/>
        <v>0</v>
      </c>
      <c r="G45">
        <f t="shared" si="9"/>
        <v>1.9</v>
      </c>
      <c r="H45">
        <f t="shared" si="10"/>
        <v>3.8</v>
      </c>
      <c r="I45">
        <f t="shared" si="11"/>
        <v>12.4</v>
      </c>
    </row>
    <row r="46" spans="1:9" ht="13.2" x14ac:dyDescent="0.25">
      <c r="A46" t="s">
        <v>112</v>
      </c>
      <c r="B46" t="s">
        <v>53</v>
      </c>
      <c r="C46">
        <v>1.2</v>
      </c>
      <c r="D46">
        <f t="shared" si="6"/>
        <v>8.6</v>
      </c>
      <c r="E46">
        <f t="shared" si="7"/>
        <v>18.7</v>
      </c>
      <c r="F46">
        <f t="shared" si="8"/>
        <v>0</v>
      </c>
      <c r="G46">
        <f t="shared" si="9"/>
        <v>5.0999999999999996</v>
      </c>
      <c r="H46">
        <f t="shared" si="10"/>
        <v>3.8</v>
      </c>
      <c r="I46">
        <f t="shared" si="11"/>
        <v>12.4</v>
      </c>
    </row>
    <row r="47" spans="1:9" ht="13.2" x14ac:dyDescent="0.25">
      <c r="A47" t="s">
        <v>112</v>
      </c>
      <c r="B47" t="s">
        <v>54</v>
      </c>
      <c r="C47">
        <v>3.2</v>
      </c>
      <c r="D47">
        <f t="shared" si="6"/>
        <v>8.6</v>
      </c>
      <c r="E47">
        <f t="shared" si="7"/>
        <v>18.7</v>
      </c>
      <c r="F47">
        <f t="shared" si="8"/>
        <v>0</v>
      </c>
      <c r="G47">
        <f t="shared" si="9"/>
        <v>2</v>
      </c>
      <c r="H47">
        <f t="shared" si="10"/>
        <v>3.8</v>
      </c>
      <c r="I47">
        <f t="shared" si="11"/>
        <v>12.4</v>
      </c>
    </row>
    <row r="48" spans="1:9" ht="13.2" x14ac:dyDescent="0.25">
      <c r="A48" t="s">
        <v>112</v>
      </c>
      <c r="B48" t="s">
        <v>55</v>
      </c>
      <c r="C48">
        <v>11</v>
      </c>
      <c r="D48">
        <f t="shared" si="6"/>
        <v>8.6</v>
      </c>
      <c r="E48">
        <f t="shared" si="7"/>
        <v>18.7</v>
      </c>
      <c r="F48">
        <f t="shared" si="8"/>
        <v>0</v>
      </c>
      <c r="G48">
        <f t="shared" si="9"/>
        <v>7.8</v>
      </c>
      <c r="H48">
        <f t="shared" si="10"/>
        <v>3.8</v>
      </c>
      <c r="I48">
        <f t="shared" si="11"/>
        <v>12.4</v>
      </c>
    </row>
    <row r="49" spans="1:9" ht="13.2" x14ac:dyDescent="0.25">
      <c r="A49" t="s">
        <v>112</v>
      </c>
      <c r="B49" t="s">
        <v>56</v>
      </c>
      <c r="C49">
        <v>10.5</v>
      </c>
      <c r="D49">
        <f t="shared" si="6"/>
        <v>8.6</v>
      </c>
      <c r="E49">
        <f t="shared" si="7"/>
        <v>18.7</v>
      </c>
      <c r="F49">
        <f t="shared" si="8"/>
        <v>0</v>
      </c>
      <c r="G49">
        <f t="shared" si="9"/>
        <v>0.5</v>
      </c>
      <c r="H49">
        <f t="shared" si="10"/>
        <v>3.8</v>
      </c>
      <c r="I49">
        <f t="shared" si="11"/>
        <v>12.4</v>
      </c>
    </row>
    <row r="50" spans="1:9" ht="13.2" x14ac:dyDescent="0.25">
      <c r="A50" t="s">
        <v>112</v>
      </c>
      <c r="B50" t="s">
        <v>57</v>
      </c>
      <c r="C50">
        <v>7.6</v>
      </c>
      <c r="D50">
        <f t="shared" si="6"/>
        <v>8.6</v>
      </c>
      <c r="E50">
        <f t="shared" si="7"/>
        <v>18.7</v>
      </c>
      <c r="F50">
        <f t="shared" si="8"/>
        <v>0</v>
      </c>
      <c r="G50">
        <f t="shared" si="9"/>
        <v>2.9</v>
      </c>
      <c r="H50">
        <f t="shared" si="10"/>
        <v>3.8</v>
      </c>
      <c r="I50">
        <f t="shared" si="11"/>
        <v>12.4</v>
      </c>
    </row>
    <row r="51" spans="1:9" ht="13.2" x14ac:dyDescent="0.25">
      <c r="A51" t="s">
        <v>112</v>
      </c>
      <c r="B51" t="s">
        <v>58</v>
      </c>
      <c r="C51">
        <v>4.7</v>
      </c>
      <c r="D51">
        <f t="shared" si="6"/>
        <v>8.6</v>
      </c>
      <c r="E51">
        <f t="shared" si="7"/>
        <v>18.7</v>
      </c>
      <c r="F51">
        <f t="shared" si="8"/>
        <v>0</v>
      </c>
      <c r="G51">
        <f t="shared" si="9"/>
        <v>2.9</v>
      </c>
      <c r="H51">
        <f t="shared" si="10"/>
        <v>3.8</v>
      </c>
      <c r="I51">
        <f t="shared" si="11"/>
        <v>12.4</v>
      </c>
    </row>
    <row r="52" spans="1:9" ht="13.2" x14ac:dyDescent="0.25">
      <c r="A52" t="s">
        <v>112</v>
      </c>
      <c r="B52" t="s">
        <v>59</v>
      </c>
      <c r="C52">
        <v>4.5</v>
      </c>
      <c r="D52">
        <f t="shared" si="6"/>
        <v>8.6</v>
      </c>
      <c r="E52">
        <f t="shared" si="7"/>
        <v>18.7</v>
      </c>
      <c r="F52">
        <f t="shared" si="8"/>
        <v>0</v>
      </c>
      <c r="G52">
        <f t="shared" si="9"/>
        <v>0.2</v>
      </c>
      <c r="H52">
        <f t="shared" si="10"/>
        <v>3.8</v>
      </c>
      <c r="I52">
        <f t="shared" si="11"/>
        <v>12.4</v>
      </c>
    </row>
    <row r="53" spans="1:9" ht="13.2" x14ac:dyDescent="0.25">
      <c r="A53" t="s">
        <v>112</v>
      </c>
      <c r="B53" t="s">
        <v>60</v>
      </c>
      <c r="C53">
        <v>4.2</v>
      </c>
      <c r="D53">
        <f t="shared" si="6"/>
        <v>8.6</v>
      </c>
      <c r="E53">
        <f t="shared" si="7"/>
        <v>18.7</v>
      </c>
      <c r="F53">
        <f t="shared" si="8"/>
        <v>0</v>
      </c>
      <c r="G53">
        <f t="shared" si="9"/>
        <v>0.3</v>
      </c>
      <c r="H53">
        <f t="shared" si="10"/>
        <v>3.8</v>
      </c>
      <c r="I53">
        <f t="shared" si="11"/>
        <v>12.4</v>
      </c>
    </row>
    <row r="54" spans="1:9" ht="13.2" x14ac:dyDescent="0.25">
      <c r="A54" t="s">
        <v>112</v>
      </c>
      <c r="B54" t="s">
        <v>61</v>
      </c>
      <c r="C54">
        <v>4.4000000000000004</v>
      </c>
      <c r="D54">
        <f t="shared" si="6"/>
        <v>8.6</v>
      </c>
      <c r="E54">
        <f t="shared" si="7"/>
        <v>18.7</v>
      </c>
      <c r="F54">
        <f t="shared" si="8"/>
        <v>0</v>
      </c>
      <c r="G54">
        <f t="shared" si="9"/>
        <v>0.2</v>
      </c>
      <c r="H54">
        <f t="shared" si="10"/>
        <v>3.8</v>
      </c>
      <c r="I54">
        <f t="shared" si="11"/>
        <v>12.4</v>
      </c>
    </row>
    <row r="55" spans="1:9" ht="13.2" x14ac:dyDescent="0.25">
      <c r="A55" t="s">
        <v>112</v>
      </c>
      <c r="B55" t="s">
        <v>62</v>
      </c>
      <c r="C55">
        <v>7.1</v>
      </c>
      <c r="D55">
        <f t="shared" si="6"/>
        <v>8.6</v>
      </c>
      <c r="E55">
        <f t="shared" si="7"/>
        <v>18.7</v>
      </c>
      <c r="F55">
        <f t="shared" si="8"/>
        <v>0</v>
      </c>
      <c r="G55">
        <f t="shared" si="9"/>
        <v>2.7</v>
      </c>
      <c r="H55">
        <f t="shared" si="10"/>
        <v>3.8</v>
      </c>
      <c r="I55">
        <f t="shared" si="11"/>
        <v>12.4</v>
      </c>
    </row>
    <row r="56" spans="1:9" ht="13.2" x14ac:dyDescent="0.25">
      <c r="A56" t="s">
        <v>112</v>
      </c>
      <c r="B56" t="s">
        <v>63</v>
      </c>
      <c r="C56">
        <v>6.1</v>
      </c>
      <c r="D56">
        <f t="shared" si="6"/>
        <v>8.6</v>
      </c>
      <c r="E56">
        <f t="shared" si="7"/>
        <v>18.7</v>
      </c>
      <c r="F56">
        <f t="shared" si="8"/>
        <v>0</v>
      </c>
      <c r="G56">
        <f t="shared" si="9"/>
        <v>1</v>
      </c>
      <c r="H56">
        <f t="shared" si="10"/>
        <v>3.8</v>
      </c>
      <c r="I56">
        <f t="shared" si="11"/>
        <v>12.4</v>
      </c>
    </row>
    <row r="57" spans="1:9" ht="13.2" x14ac:dyDescent="0.25">
      <c r="A57" t="s">
        <v>112</v>
      </c>
      <c r="B57" t="s">
        <v>64</v>
      </c>
      <c r="C57">
        <v>3.6</v>
      </c>
      <c r="D57">
        <f t="shared" si="6"/>
        <v>8.6</v>
      </c>
      <c r="E57">
        <f t="shared" si="7"/>
        <v>18.7</v>
      </c>
      <c r="F57">
        <f t="shared" si="8"/>
        <v>0</v>
      </c>
      <c r="G57">
        <f t="shared" si="9"/>
        <v>2.5</v>
      </c>
      <c r="H57">
        <f t="shared" si="10"/>
        <v>3.8</v>
      </c>
      <c r="I57">
        <f t="shared" si="11"/>
        <v>12.4</v>
      </c>
    </row>
    <row r="58" spans="1:9" ht="13.2" x14ac:dyDescent="0.25">
      <c r="A58" t="s">
        <v>112</v>
      </c>
      <c r="B58" t="s">
        <v>65</v>
      </c>
      <c r="C58">
        <v>10.5</v>
      </c>
      <c r="D58">
        <f t="shared" si="6"/>
        <v>8.6</v>
      </c>
      <c r="E58">
        <f t="shared" si="7"/>
        <v>18.7</v>
      </c>
      <c r="F58">
        <f t="shared" si="8"/>
        <v>0</v>
      </c>
      <c r="G58">
        <f t="shared" si="9"/>
        <v>6.9</v>
      </c>
      <c r="H58">
        <f t="shared" si="10"/>
        <v>3.8</v>
      </c>
      <c r="I58">
        <f t="shared" si="11"/>
        <v>12.4</v>
      </c>
    </row>
    <row r="59" spans="1:9" ht="13.2" x14ac:dyDescent="0.25">
      <c r="A59" t="s">
        <v>112</v>
      </c>
      <c r="B59" t="s">
        <v>66</v>
      </c>
      <c r="C59">
        <v>14.8</v>
      </c>
      <c r="D59">
        <f t="shared" si="6"/>
        <v>8.6</v>
      </c>
      <c r="E59">
        <f t="shared" si="7"/>
        <v>18.7</v>
      </c>
      <c r="F59">
        <f t="shared" si="8"/>
        <v>0</v>
      </c>
      <c r="G59">
        <f t="shared" si="9"/>
        <v>4.3</v>
      </c>
      <c r="H59">
        <f t="shared" si="10"/>
        <v>3.8</v>
      </c>
      <c r="I59">
        <f t="shared" si="11"/>
        <v>12.4</v>
      </c>
    </row>
    <row r="60" spans="1:9" ht="13.2" x14ac:dyDescent="0.25">
      <c r="A60" t="s">
        <v>112</v>
      </c>
      <c r="B60" t="s">
        <v>67</v>
      </c>
      <c r="C60">
        <v>10.9</v>
      </c>
      <c r="D60">
        <f t="shared" si="6"/>
        <v>8.6</v>
      </c>
      <c r="E60">
        <f t="shared" si="7"/>
        <v>18.7</v>
      </c>
      <c r="F60">
        <f t="shared" si="8"/>
        <v>0</v>
      </c>
      <c r="G60">
        <f t="shared" si="9"/>
        <v>3.9</v>
      </c>
      <c r="H60">
        <f t="shared" si="10"/>
        <v>3.8</v>
      </c>
      <c r="I60">
        <f t="shared" si="11"/>
        <v>12.4</v>
      </c>
    </row>
    <row r="61" spans="1:9" ht="13.2" x14ac:dyDescent="0.25">
      <c r="A61" t="s">
        <v>112</v>
      </c>
      <c r="B61" t="s">
        <v>68</v>
      </c>
      <c r="C61">
        <v>10.5</v>
      </c>
      <c r="D61">
        <f t="shared" si="6"/>
        <v>8.6</v>
      </c>
      <c r="E61">
        <f t="shared" si="7"/>
        <v>18.7</v>
      </c>
      <c r="F61">
        <f t="shared" si="8"/>
        <v>0</v>
      </c>
      <c r="G61">
        <f t="shared" si="9"/>
        <v>0.4</v>
      </c>
      <c r="H61">
        <f t="shared" si="10"/>
        <v>3.8</v>
      </c>
      <c r="I61">
        <f t="shared" si="11"/>
        <v>12.4</v>
      </c>
    </row>
    <row r="62" spans="1:9" ht="13.2" x14ac:dyDescent="0.25">
      <c r="A62" t="s">
        <v>112</v>
      </c>
      <c r="B62" t="s">
        <v>69</v>
      </c>
      <c r="C62">
        <v>13.4</v>
      </c>
      <c r="D62">
        <f t="shared" si="6"/>
        <v>8.6</v>
      </c>
      <c r="E62">
        <f t="shared" si="7"/>
        <v>18.7</v>
      </c>
      <c r="F62">
        <f t="shared" si="8"/>
        <v>0</v>
      </c>
      <c r="G62">
        <f t="shared" si="9"/>
        <v>2.9</v>
      </c>
      <c r="H62">
        <f t="shared" si="10"/>
        <v>3.8</v>
      </c>
      <c r="I62">
        <f t="shared" si="11"/>
        <v>12.4</v>
      </c>
    </row>
    <row r="63" spans="1:9" ht="13.2" x14ac:dyDescent="0.25">
      <c r="A63" t="s">
        <v>112</v>
      </c>
      <c r="B63" t="s">
        <v>70</v>
      </c>
      <c r="C63">
        <v>18.100000000000001</v>
      </c>
      <c r="D63">
        <f t="shared" si="6"/>
        <v>8.6</v>
      </c>
      <c r="E63">
        <f t="shared" si="7"/>
        <v>18.7</v>
      </c>
      <c r="F63">
        <f t="shared" si="8"/>
        <v>0</v>
      </c>
      <c r="G63">
        <f t="shared" si="9"/>
        <v>4.7</v>
      </c>
      <c r="H63">
        <f t="shared" si="10"/>
        <v>3.8</v>
      </c>
      <c r="I63">
        <f t="shared" si="11"/>
        <v>12.4</v>
      </c>
    </row>
    <row r="64" spans="1:9" ht="13.2" x14ac:dyDescent="0.25">
      <c r="A64" t="s">
        <v>112</v>
      </c>
      <c r="B64" t="s">
        <v>71</v>
      </c>
      <c r="C64">
        <v>15.4</v>
      </c>
      <c r="D64">
        <f t="shared" si="6"/>
        <v>8.6</v>
      </c>
      <c r="E64">
        <f t="shared" si="7"/>
        <v>18.7</v>
      </c>
      <c r="F64">
        <f t="shared" si="8"/>
        <v>0</v>
      </c>
      <c r="G64">
        <f t="shared" si="9"/>
        <v>2.7</v>
      </c>
      <c r="H64">
        <f t="shared" si="10"/>
        <v>3.8</v>
      </c>
      <c r="I64">
        <f t="shared" si="11"/>
        <v>12.4</v>
      </c>
    </row>
    <row r="65" spans="1:9" ht="13.2" x14ac:dyDescent="0.25">
      <c r="A65" t="s">
        <v>112</v>
      </c>
      <c r="B65" t="s">
        <v>72</v>
      </c>
      <c r="C65">
        <v>19</v>
      </c>
      <c r="D65">
        <f t="shared" si="6"/>
        <v>8.6</v>
      </c>
      <c r="E65">
        <f t="shared" si="7"/>
        <v>18.7</v>
      </c>
      <c r="F65">
        <f t="shared" si="8"/>
        <v>0</v>
      </c>
      <c r="G65">
        <f t="shared" si="9"/>
        <v>3.6</v>
      </c>
      <c r="H65">
        <f t="shared" si="10"/>
        <v>3.8</v>
      </c>
      <c r="I65">
        <f t="shared" si="11"/>
        <v>12.4</v>
      </c>
    </row>
    <row r="66" spans="1:9" ht="13.2" x14ac:dyDescent="0.25">
      <c r="A66" t="s">
        <v>112</v>
      </c>
      <c r="B66" t="s">
        <v>73</v>
      </c>
      <c r="C66">
        <v>13.4</v>
      </c>
      <c r="D66">
        <f t="shared" ref="D66:D100" si="12">ROUND(AVERAGE($C$2:$C$100),1)</f>
        <v>8.6</v>
      </c>
      <c r="E66">
        <f t="shared" ref="E66:E97" si="13">ROUND(D66+(2.66*H66),1)</f>
        <v>18.7</v>
      </c>
      <c r="F66">
        <f t="shared" ref="F66:F100" si="14">ROUND(MAX(0,D66-(2.66*H66)),1)</f>
        <v>0</v>
      </c>
      <c r="G66">
        <f t="shared" ref="G66:G100" si="15">ROUND(ABS(C65-C66),1)</f>
        <v>5.6</v>
      </c>
      <c r="H66">
        <f t="shared" ref="H66:H100" si="16">ROUND(AVERAGE($G$3:$G$100),1)</f>
        <v>3.8</v>
      </c>
      <c r="I66">
        <f t="shared" ref="I66:I97" si="17">ROUND(3.268*H66,1)</f>
        <v>12.4</v>
      </c>
    </row>
    <row r="67" spans="1:9" ht="13.2" x14ac:dyDescent="0.25">
      <c r="A67" t="s">
        <v>112</v>
      </c>
      <c r="B67" t="s">
        <v>74</v>
      </c>
      <c r="C67">
        <v>10.199999999999999</v>
      </c>
      <c r="D67">
        <f t="shared" si="12"/>
        <v>8.6</v>
      </c>
      <c r="E67">
        <f t="shared" si="13"/>
        <v>18.7</v>
      </c>
      <c r="F67">
        <f t="shared" si="14"/>
        <v>0</v>
      </c>
      <c r="G67">
        <f t="shared" si="15"/>
        <v>3.2</v>
      </c>
      <c r="H67">
        <f t="shared" si="16"/>
        <v>3.8</v>
      </c>
      <c r="I67">
        <f t="shared" si="17"/>
        <v>12.4</v>
      </c>
    </row>
    <row r="68" spans="1:9" ht="13.2" x14ac:dyDescent="0.25">
      <c r="A68" t="s">
        <v>112</v>
      </c>
      <c r="B68" t="s">
        <v>75</v>
      </c>
      <c r="C68">
        <v>13.1</v>
      </c>
      <c r="D68">
        <f t="shared" si="12"/>
        <v>8.6</v>
      </c>
      <c r="E68">
        <f t="shared" si="13"/>
        <v>18.7</v>
      </c>
      <c r="F68">
        <f t="shared" si="14"/>
        <v>0</v>
      </c>
      <c r="G68">
        <f t="shared" si="15"/>
        <v>2.9</v>
      </c>
      <c r="H68">
        <f t="shared" si="16"/>
        <v>3.8</v>
      </c>
      <c r="I68">
        <f t="shared" si="17"/>
        <v>12.4</v>
      </c>
    </row>
    <row r="69" spans="1:9" ht="13.2" x14ac:dyDescent="0.25">
      <c r="A69" t="s">
        <v>112</v>
      </c>
      <c r="B69" t="s">
        <v>76</v>
      </c>
      <c r="C69">
        <v>18.100000000000001</v>
      </c>
      <c r="D69">
        <f t="shared" si="12"/>
        <v>8.6</v>
      </c>
      <c r="E69">
        <f t="shared" si="13"/>
        <v>18.7</v>
      </c>
      <c r="F69">
        <f t="shared" si="14"/>
        <v>0</v>
      </c>
      <c r="G69">
        <f t="shared" si="15"/>
        <v>5</v>
      </c>
      <c r="H69">
        <f t="shared" si="16"/>
        <v>3.8</v>
      </c>
      <c r="I69">
        <f t="shared" si="17"/>
        <v>12.4</v>
      </c>
    </row>
    <row r="70" spans="1:9" ht="13.2" x14ac:dyDescent="0.25">
      <c r="A70" t="s">
        <v>112</v>
      </c>
      <c r="B70" t="s">
        <v>77</v>
      </c>
      <c r="C70">
        <v>14.4</v>
      </c>
      <c r="D70">
        <f t="shared" si="12"/>
        <v>8.6</v>
      </c>
      <c r="E70">
        <f t="shared" si="13"/>
        <v>18.7</v>
      </c>
      <c r="F70">
        <f t="shared" si="14"/>
        <v>0</v>
      </c>
      <c r="G70">
        <f t="shared" si="15"/>
        <v>3.7</v>
      </c>
      <c r="H70">
        <f t="shared" si="16"/>
        <v>3.8</v>
      </c>
      <c r="I70">
        <f t="shared" si="17"/>
        <v>12.4</v>
      </c>
    </row>
    <row r="71" spans="1:9" ht="13.2" x14ac:dyDescent="0.25">
      <c r="A71" t="s">
        <v>112</v>
      </c>
      <c r="B71" t="s">
        <v>78</v>
      </c>
      <c r="C71">
        <v>15</v>
      </c>
      <c r="D71">
        <f t="shared" si="12"/>
        <v>8.6</v>
      </c>
      <c r="E71">
        <f t="shared" si="13"/>
        <v>18.7</v>
      </c>
      <c r="F71">
        <f t="shared" si="14"/>
        <v>0</v>
      </c>
      <c r="G71">
        <f t="shared" si="15"/>
        <v>0.6</v>
      </c>
      <c r="H71">
        <f t="shared" si="16"/>
        <v>3.8</v>
      </c>
      <c r="I71">
        <f t="shared" si="17"/>
        <v>12.4</v>
      </c>
    </row>
    <row r="72" spans="1:9" ht="13.2" x14ac:dyDescent="0.25">
      <c r="A72" t="s">
        <v>112</v>
      </c>
      <c r="B72" t="s">
        <v>79</v>
      </c>
      <c r="C72">
        <v>10.8</v>
      </c>
      <c r="D72">
        <f t="shared" si="12"/>
        <v>8.6</v>
      </c>
      <c r="E72">
        <f t="shared" si="13"/>
        <v>18.7</v>
      </c>
      <c r="F72">
        <f t="shared" si="14"/>
        <v>0</v>
      </c>
      <c r="G72">
        <f t="shared" si="15"/>
        <v>4.2</v>
      </c>
      <c r="H72">
        <f t="shared" si="16"/>
        <v>3.8</v>
      </c>
      <c r="I72">
        <f t="shared" si="17"/>
        <v>12.4</v>
      </c>
    </row>
    <row r="73" spans="1:9" ht="13.2" x14ac:dyDescent="0.25">
      <c r="A73" t="s">
        <v>112</v>
      </c>
      <c r="B73" t="s">
        <v>80</v>
      </c>
      <c r="C73">
        <v>5.4</v>
      </c>
      <c r="D73">
        <f t="shared" si="12"/>
        <v>8.6</v>
      </c>
      <c r="E73">
        <f t="shared" si="13"/>
        <v>18.7</v>
      </c>
      <c r="F73">
        <f t="shared" si="14"/>
        <v>0</v>
      </c>
      <c r="G73">
        <f t="shared" si="15"/>
        <v>5.4</v>
      </c>
      <c r="H73">
        <f t="shared" si="16"/>
        <v>3.8</v>
      </c>
      <c r="I73">
        <f t="shared" si="17"/>
        <v>12.4</v>
      </c>
    </row>
    <row r="74" spans="1:9" ht="13.2" x14ac:dyDescent="0.25">
      <c r="A74" t="s">
        <v>112</v>
      </c>
      <c r="B74" t="s">
        <v>81</v>
      </c>
      <c r="C74">
        <v>3.2</v>
      </c>
      <c r="D74">
        <f t="shared" si="12"/>
        <v>8.6</v>
      </c>
      <c r="E74">
        <f t="shared" si="13"/>
        <v>18.7</v>
      </c>
      <c r="F74">
        <f t="shared" si="14"/>
        <v>0</v>
      </c>
      <c r="G74">
        <f t="shared" si="15"/>
        <v>2.2000000000000002</v>
      </c>
      <c r="H74">
        <f t="shared" si="16"/>
        <v>3.8</v>
      </c>
      <c r="I74">
        <f t="shared" si="17"/>
        <v>12.4</v>
      </c>
    </row>
    <row r="75" spans="1:9" ht="13.2" x14ac:dyDescent="0.25">
      <c r="A75" t="s">
        <v>112</v>
      </c>
      <c r="B75" t="s">
        <v>82</v>
      </c>
      <c r="C75">
        <v>1.9</v>
      </c>
      <c r="D75">
        <f t="shared" si="12"/>
        <v>8.6</v>
      </c>
      <c r="E75">
        <f t="shared" si="13"/>
        <v>18.7</v>
      </c>
      <c r="F75">
        <f t="shared" si="14"/>
        <v>0</v>
      </c>
      <c r="G75">
        <f t="shared" si="15"/>
        <v>1.3</v>
      </c>
      <c r="H75">
        <f t="shared" si="16"/>
        <v>3.8</v>
      </c>
      <c r="I75">
        <f t="shared" si="17"/>
        <v>12.4</v>
      </c>
    </row>
    <row r="76" spans="1:9" ht="13.2" x14ac:dyDescent="0.25">
      <c r="A76" t="s">
        <v>112</v>
      </c>
      <c r="B76" t="s">
        <v>83</v>
      </c>
      <c r="C76">
        <v>3.6</v>
      </c>
      <c r="D76">
        <f t="shared" si="12"/>
        <v>8.6</v>
      </c>
      <c r="E76">
        <f t="shared" si="13"/>
        <v>18.7</v>
      </c>
      <c r="F76">
        <f t="shared" si="14"/>
        <v>0</v>
      </c>
      <c r="G76">
        <f t="shared" si="15"/>
        <v>1.7</v>
      </c>
      <c r="H76">
        <f t="shared" si="16"/>
        <v>3.8</v>
      </c>
      <c r="I76">
        <f t="shared" si="17"/>
        <v>12.4</v>
      </c>
    </row>
    <row r="77" spans="1:9" ht="13.2" x14ac:dyDescent="0.25">
      <c r="A77" t="s">
        <v>112</v>
      </c>
      <c r="B77" t="s">
        <v>84</v>
      </c>
      <c r="C77">
        <v>18.3</v>
      </c>
      <c r="D77">
        <f t="shared" si="12"/>
        <v>8.6</v>
      </c>
      <c r="E77">
        <f t="shared" si="13"/>
        <v>18.7</v>
      </c>
      <c r="F77">
        <f t="shared" si="14"/>
        <v>0</v>
      </c>
      <c r="G77">
        <f t="shared" si="15"/>
        <v>14.7</v>
      </c>
      <c r="H77">
        <f t="shared" si="16"/>
        <v>3.8</v>
      </c>
      <c r="I77">
        <f t="shared" si="17"/>
        <v>12.4</v>
      </c>
    </row>
    <row r="78" spans="1:9" ht="13.2" x14ac:dyDescent="0.25">
      <c r="A78" t="s">
        <v>112</v>
      </c>
      <c r="B78" t="s">
        <v>85</v>
      </c>
      <c r="C78">
        <v>12.2</v>
      </c>
      <c r="D78">
        <f t="shared" si="12"/>
        <v>8.6</v>
      </c>
      <c r="E78">
        <f t="shared" si="13"/>
        <v>18.7</v>
      </c>
      <c r="F78">
        <f t="shared" si="14"/>
        <v>0</v>
      </c>
      <c r="G78">
        <f t="shared" si="15"/>
        <v>6.1</v>
      </c>
      <c r="H78">
        <f t="shared" si="16"/>
        <v>3.8</v>
      </c>
      <c r="I78">
        <f t="shared" si="17"/>
        <v>12.4</v>
      </c>
    </row>
    <row r="79" spans="1:9" ht="13.2" x14ac:dyDescent="0.25">
      <c r="A79" t="s">
        <v>112</v>
      </c>
      <c r="B79" t="s">
        <v>86</v>
      </c>
      <c r="C79">
        <v>2.2000000000000002</v>
      </c>
      <c r="D79">
        <f t="shared" si="12"/>
        <v>8.6</v>
      </c>
      <c r="E79">
        <f t="shared" si="13"/>
        <v>18.7</v>
      </c>
      <c r="F79">
        <f t="shared" si="14"/>
        <v>0</v>
      </c>
      <c r="G79">
        <f t="shared" si="15"/>
        <v>10</v>
      </c>
      <c r="H79">
        <f t="shared" si="16"/>
        <v>3.8</v>
      </c>
      <c r="I79">
        <f t="shared" si="17"/>
        <v>12.4</v>
      </c>
    </row>
    <row r="80" spans="1:9" ht="13.2" x14ac:dyDescent="0.25">
      <c r="A80" t="s">
        <v>112</v>
      </c>
      <c r="B80" t="s">
        <v>87</v>
      </c>
      <c r="C80">
        <v>1.2</v>
      </c>
      <c r="D80">
        <f t="shared" si="12"/>
        <v>8.6</v>
      </c>
      <c r="E80">
        <f t="shared" si="13"/>
        <v>18.7</v>
      </c>
      <c r="F80">
        <f t="shared" si="14"/>
        <v>0</v>
      </c>
      <c r="G80">
        <f t="shared" si="15"/>
        <v>1</v>
      </c>
      <c r="H80">
        <f t="shared" si="16"/>
        <v>3.8</v>
      </c>
      <c r="I80">
        <f t="shared" si="17"/>
        <v>12.4</v>
      </c>
    </row>
    <row r="81" spans="1:9" ht="13.2" x14ac:dyDescent="0.25">
      <c r="A81" t="s">
        <v>112</v>
      </c>
      <c r="B81" t="s">
        <v>88</v>
      </c>
      <c r="C81">
        <v>1.9</v>
      </c>
      <c r="D81">
        <f t="shared" si="12"/>
        <v>8.6</v>
      </c>
      <c r="E81">
        <f t="shared" si="13"/>
        <v>18.7</v>
      </c>
      <c r="F81">
        <f t="shared" si="14"/>
        <v>0</v>
      </c>
      <c r="G81">
        <f t="shared" si="15"/>
        <v>0.7</v>
      </c>
      <c r="H81">
        <f t="shared" si="16"/>
        <v>3.8</v>
      </c>
      <c r="I81">
        <f t="shared" si="17"/>
        <v>12.4</v>
      </c>
    </row>
    <row r="82" spans="1:9" ht="13.2" x14ac:dyDescent="0.25">
      <c r="A82" t="s">
        <v>112</v>
      </c>
      <c r="B82" t="s">
        <v>89</v>
      </c>
      <c r="C82">
        <v>4.5999999999999996</v>
      </c>
      <c r="D82">
        <f t="shared" si="12"/>
        <v>8.6</v>
      </c>
      <c r="E82">
        <f t="shared" si="13"/>
        <v>18.7</v>
      </c>
      <c r="F82">
        <f t="shared" si="14"/>
        <v>0</v>
      </c>
      <c r="G82">
        <f t="shared" si="15"/>
        <v>2.7</v>
      </c>
      <c r="H82">
        <f t="shared" si="16"/>
        <v>3.8</v>
      </c>
      <c r="I82">
        <f t="shared" si="17"/>
        <v>12.4</v>
      </c>
    </row>
    <row r="83" spans="1:9" ht="13.2" x14ac:dyDescent="0.25">
      <c r="A83" t="s">
        <v>112</v>
      </c>
      <c r="B83" t="s">
        <v>90</v>
      </c>
      <c r="C83">
        <v>4</v>
      </c>
      <c r="D83">
        <f t="shared" si="12"/>
        <v>8.6</v>
      </c>
      <c r="E83">
        <f t="shared" si="13"/>
        <v>18.7</v>
      </c>
      <c r="F83">
        <f t="shared" si="14"/>
        <v>0</v>
      </c>
      <c r="G83">
        <f t="shared" si="15"/>
        <v>0.6</v>
      </c>
      <c r="H83">
        <f t="shared" si="16"/>
        <v>3.8</v>
      </c>
      <c r="I83">
        <f t="shared" si="17"/>
        <v>12.4</v>
      </c>
    </row>
    <row r="84" spans="1:9" ht="13.2" x14ac:dyDescent="0.25">
      <c r="A84" t="s">
        <v>112</v>
      </c>
      <c r="B84" t="s">
        <v>91</v>
      </c>
      <c r="C84">
        <v>4.5</v>
      </c>
      <c r="D84">
        <f t="shared" si="12"/>
        <v>8.6</v>
      </c>
      <c r="E84">
        <f t="shared" si="13"/>
        <v>18.7</v>
      </c>
      <c r="F84">
        <f t="shared" si="14"/>
        <v>0</v>
      </c>
      <c r="G84">
        <f t="shared" si="15"/>
        <v>0.5</v>
      </c>
      <c r="H84">
        <f t="shared" si="16"/>
        <v>3.8</v>
      </c>
      <c r="I84">
        <f t="shared" si="17"/>
        <v>12.4</v>
      </c>
    </row>
    <row r="85" spans="1:9" ht="13.2" x14ac:dyDescent="0.25">
      <c r="A85" t="s">
        <v>112</v>
      </c>
      <c r="B85" t="s">
        <v>92</v>
      </c>
      <c r="C85">
        <v>2.9</v>
      </c>
      <c r="D85">
        <f t="shared" si="12"/>
        <v>8.6</v>
      </c>
      <c r="E85">
        <f t="shared" si="13"/>
        <v>18.7</v>
      </c>
      <c r="F85">
        <f t="shared" si="14"/>
        <v>0</v>
      </c>
      <c r="G85">
        <f t="shared" si="15"/>
        <v>1.6</v>
      </c>
      <c r="H85">
        <f t="shared" si="16"/>
        <v>3.8</v>
      </c>
      <c r="I85">
        <f t="shared" si="17"/>
        <v>12.4</v>
      </c>
    </row>
    <row r="86" spans="1:9" ht="13.2" x14ac:dyDescent="0.25">
      <c r="A86" t="s">
        <v>112</v>
      </c>
      <c r="B86" t="s">
        <v>93</v>
      </c>
      <c r="C86">
        <v>3.5</v>
      </c>
      <c r="D86">
        <f t="shared" si="12"/>
        <v>8.6</v>
      </c>
      <c r="E86">
        <f t="shared" si="13"/>
        <v>18.7</v>
      </c>
      <c r="F86">
        <f t="shared" si="14"/>
        <v>0</v>
      </c>
      <c r="G86">
        <f t="shared" si="15"/>
        <v>0.6</v>
      </c>
      <c r="H86">
        <f t="shared" si="16"/>
        <v>3.8</v>
      </c>
      <c r="I86">
        <f t="shared" si="17"/>
        <v>12.4</v>
      </c>
    </row>
    <row r="87" spans="1:9" ht="13.2" x14ac:dyDescent="0.25">
      <c r="A87" t="s">
        <v>112</v>
      </c>
      <c r="B87" t="s">
        <v>94</v>
      </c>
      <c r="C87">
        <v>0.7</v>
      </c>
      <c r="D87">
        <f t="shared" si="12"/>
        <v>8.6</v>
      </c>
      <c r="E87">
        <f t="shared" si="13"/>
        <v>18.7</v>
      </c>
      <c r="F87">
        <f t="shared" si="14"/>
        <v>0</v>
      </c>
      <c r="G87">
        <f t="shared" si="15"/>
        <v>2.8</v>
      </c>
      <c r="H87">
        <f t="shared" si="16"/>
        <v>3.8</v>
      </c>
      <c r="I87">
        <f t="shared" si="17"/>
        <v>12.4</v>
      </c>
    </row>
    <row r="88" spans="1:9" ht="13.2" x14ac:dyDescent="0.25">
      <c r="A88" t="s">
        <v>112</v>
      </c>
      <c r="B88" t="s">
        <v>95</v>
      </c>
      <c r="C88">
        <v>0</v>
      </c>
      <c r="D88">
        <f t="shared" si="12"/>
        <v>8.6</v>
      </c>
      <c r="E88">
        <f t="shared" si="13"/>
        <v>18.7</v>
      </c>
      <c r="F88">
        <f t="shared" si="14"/>
        <v>0</v>
      </c>
      <c r="G88">
        <f t="shared" si="15"/>
        <v>0.7</v>
      </c>
      <c r="H88">
        <f t="shared" si="16"/>
        <v>3.8</v>
      </c>
      <c r="I88">
        <f t="shared" si="17"/>
        <v>12.4</v>
      </c>
    </row>
    <row r="89" spans="1:9" ht="13.2" x14ac:dyDescent="0.25">
      <c r="A89" t="s">
        <v>112</v>
      </c>
      <c r="B89" t="s">
        <v>96</v>
      </c>
      <c r="C89">
        <v>0.7</v>
      </c>
      <c r="D89">
        <f t="shared" si="12"/>
        <v>8.6</v>
      </c>
      <c r="E89">
        <f t="shared" si="13"/>
        <v>18.7</v>
      </c>
      <c r="F89">
        <f t="shared" si="14"/>
        <v>0</v>
      </c>
      <c r="G89">
        <f t="shared" si="15"/>
        <v>0.7</v>
      </c>
      <c r="H89">
        <f t="shared" si="16"/>
        <v>3.8</v>
      </c>
      <c r="I89">
        <f t="shared" si="17"/>
        <v>12.4</v>
      </c>
    </row>
    <row r="90" spans="1:9" ht="13.2" x14ac:dyDescent="0.25">
      <c r="A90" t="s">
        <v>112</v>
      </c>
      <c r="B90" t="s">
        <v>97</v>
      </c>
      <c r="C90">
        <v>1</v>
      </c>
      <c r="D90">
        <f t="shared" si="12"/>
        <v>8.6</v>
      </c>
      <c r="E90">
        <f t="shared" si="13"/>
        <v>18.7</v>
      </c>
      <c r="F90">
        <f t="shared" si="14"/>
        <v>0</v>
      </c>
      <c r="G90">
        <f t="shared" si="15"/>
        <v>0.3</v>
      </c>
      <c r="H90">
        <f t="shared" si="16"/>
        <v>3.8</v>
      </c>
      <c r="I90">
        <f t="shared" si="17"/>
        <v>12.4</v>
      </c>
    </row>
    <row r="91" spans="1:9" ht="13.2" x14ac:dyDescent="0.25">
      <c r="A91" t="s">
        <v>112</v>
      </c>
      <c r="B91" t="s">
        <v>98</v>
      </c>
      <c r="C91">
        <v>1.1000000000000001</v>
      </c>
      <c r="D91">
        <f t="shared" si="12"/>
        <v>8.6</v>
      </c>
      <c r="E91">
        <f t="shared" si="13"/>
        <v>18.7</v>
      </c>
      <c r="F91">
        <f t="shared" si="14"/>
        <v>0</v>
      </c>
      <c r="G91">
        <f t="shared" si="15"/>
        <v>0.1</v>
      </c>
      <c r="H91">
        <f t="shared" si="16"/>
        <v>3.8</v>
      </c>
      <c r="I91">
        <f t="shared" si="17"/>
        <v>12.4</v>
      </c>
    </row>
    <row r="92" spans="1:9" ht="13.2" x14ac:dyDescent="0.25">
      <c r="A92" t="s">
        <v>112</v>
      </c>
      <c r="B92" t="s">
        <v>99</v>
      </c>
      <c r="C92">
        <v>0.4</v>
      </c>
      <c r="D92">
        <f t="shared" si="12"/>
        <v>8.6</v>
      </c>
      <c r="E92">
        <f t="shared" si="13"/>
        <v>18.7</v>
      </c>
      <c r="F92">
        <f t="shared" si="14"/>
        <v>0</v>
      </c>
      <c r="G92">
        <f t="shared" si="15"/>
        <v>0.7</v>
      </c>
      <c r="H92">
        <f t="shared" si="16"/>
        <v>3.8</v>
      </c>
      <c r="I92">
        <f t="shared" si="17"/>
        <v>12.4</v>
      </c>
    </row>
    <row r="93" spans="1:9" ht="13.2" x14ac:dyDescent="0.25">
      <c r="A93" t="s">
        <v>112</v>
      </c>
      <c r="B93" t="s">
        <v>100</v>
      </c>
      <c r="C93">
        <v>0</v>
      </c>
      <c r="D93">
        <f t="shared" si="12"/>
        <v>8.6</v>
      </c>
      <c r="E93">
        <f t="shared" si="13"/>
        <v>18.7</v>
      </c>
      <c r="F93">
        <f t="shared" si="14"/>
        <v>0</v>
      </c>
      <c r="G93">
        <f t="shared" si="15"/>
        <v>0.4</v>
      </c>
      <c r="H93">
        <f t="shared" si="16"/>
        <v>3.8</v>
      </c>
      <c r="I93">
        <f t="shared" si="17"/>
        <v>12.4</v>
      </c>
    </row>
    <row r="94" spans="1:9" ht="13.2" x14ac:dyDescent="0.25">
      <c r="A94" t="s">
        <v>112</v>
      </c>
      <c r="B94" t="s">
        <v>101</v>
      </c>
      <c r="C94">
        <v>1</v>
      </c>
      <c r="D94">
        <f t="shared" si="12"/>
        <v>8.6</v>
      </c>
      <c r="E94">
        <f t="shared" si="13"/>
        <v>18.7</v>
      </c>
      <c r="F94">
        <f t="shared" si="14"/>
        <v>0</v>
      </c>
      <c r="G94">
        <f t="shared" si="15"/>
        <v>1</v>
      </c>
      <c r="H94">
        <f t="shared" si="16"/>
        <v>3.8</v>
      </c>
      <c r="I94">
        <f t="shared" si="17"/>
        <v>12.4</v>
      </c>
    </row>
    <row r="95" spans="1:9" ht="13.2" x14ac:dyDescent="0.25">
      <c r="A95" t="s">
        <v>112</v>
      </c>
      <c r="B95" t="s">
        <v>102</v>
      </c>
      <c r="C95">
        <v>2.2999999999999998</v>
      </c>
      <c r="D95">
        <f t="shared" si="12"/>
        <v>8.6</v>
      </c>
      <c r="E95">
        <f t="shared" si="13"/>
        <v>18.7</v>
      </c>
      <c r="F95">
        <f t="shared" si="14"/>
        <v>0</v>
      </c>
      <c r="G95">
        <f t="shared" si="15"/>
        <v>1.3</v>
      </c>
      <c r="H95">
        <f t="shared" si="16"/>
        <v>3.8</v>
      </c>
      <c r="I95">
        <f t="shared" si="17"/>
        <v>12.4</v>
      </c>
    </row>
    <row r="96" spans="1:9" ht="13.2" x14ac:dyDescent="0.25">
      <c r="A96" t="s">
        <v>112</v>
      </c>
      <c r="B96" t="s">
        <v>103</v>
      </c>
      <c r="C96">
        <v>2.9</v>
      </c>
      <c r="D96">
        <f t="shared" si="12"/>
        <v>8.6</v>
      </c>
      <c r="E96">
        <f t="shared" si="13"/>
        <v>18.7</v>
      </c>
      <c r="F96">
        <f t="shared" si="14"/>
        <v>0</v>
      </c>
      <c r="G96">
        <f t="shared" si="15"/>
        <v>0.6</v>
      </c>
      <c r="H96">
        <f t="shared" si="16"/>
        <v>3.8</v>
      </c>
      <c r="I96">
        <f t="shared" si="17"/>
        <v>12.4</v>
      </c>
    </row>
    <row r="97" spans="1:9" ht="13.2" x14ac:dyDescent="0.25">
      <c r="A97" t="s">
        <v>112</v>
      </c>
      <c r="B97" t="s">
        <v>104</v>
      </c>
      <c r="C97">
        <v>1.3</v>
      </c>
      <c r="D97">
        <f t="shared" si="12"/>
        <v>8.6</v>
      </c>
      <c r="E97">
        <f t="shared" si="13"/>
        <v>18.7</v>
      </c>
      <c r="F97">
        <f t="shared" si="14"/>
        <v>0</v>
      </c>
      <c r="G97">
        <f t="shared" si="15"/>
        <v>1.6</v>
      </c>
      <c r="H97">
        <f t="shared" si="16"/>
        <v>3.8</v>
      </c>
      <c r="I97">
        <f t="shared" si="17"/>
        <v>12.4</v>
      </c>
    </row>
    <row r="98" spans="1:9" ht="13.2" x14ac:dyDescent="0.25">
      <c r="A98" t="s">
        <v>112</v>
      </c>
      <c r="B98" t="s">
        <v>105</v>
      </c>
      <c r="C98">
        <v>2.2000000000000002</v>
      </c>
      <c r="D98">
        <f t="shared" si="12"/>
        <v>8.6</v>
      </c>
      <c r="E98">
        <f t="shared" ref="E98:E100" si="18">ROUND(D98+(2.66*H98),1)</f>
        <v>18.7</v>
      </c>
      <c r="F98">
        <f t="shared" si="14"/>
        <v>0</v>
      </c>
      <c r="G98">
        <f t="shared" si="15"/>
        <v>0.9</v>
      </c>
      <c r="H98">
        <f t="shared" si="16"/>
        <v>3.8</v>
      </c>
      <c r="I98">
        <f t="shared" ref="I98:I100" si="19">ROUND(3.268*H98,1)</f>
        <v>12.4</v>
      </c>
    </row>
    <row r="99" spans="1:9" ht="13.2" x14ac:dyDescent="0.25">
      <c r="A99" t="s">
        <v>112</v>
      </c>
      <c r="B99" t="s">
        <v>106</v>
      </c>
      <c r="C99">
        <v>3.1</v>
      </c>
      <c r="D99">
        <f t="shared" si="12"/>
        <v>8.6</v>
      </c>
      <c r="E99">
        <f t="shared" si="18"/>
        <v>18.7</v>
      </c>
      <c r="F99">
        <f t="shared" si="14"/>
        <v>0</v>
      </c>
      <c r="G99">
        <f t="shared" si="15"/>
        <v>0.9</v>
      </c>
      <c r="H99">
        <f t="shared" si="16"/>
        <v>3.8</v>
      </c>
      <c r="I99">
        <f t="shared" si="19"/>
        <v>12.4</v>
      </c>
    </row>
    <row r="100" spans="1:9" ht="13.2" x14ac:dyDescent="0.25">
      <c r="A100" t="s">
        <v>112</v>
      </c>
      <c r="B100" t="s">
        <v>107</v>
      </c>
      <c r="C100">
        <v>4.9000000000000004</v>
      </c>
      <c r="D100">
        <f t="shared" si="12"/>
        <v>8.6</v>
      </c>
      <c r="E100">
        <f t="shared" si="18"/>
        <v>18.7</v>
      </c>
      <c r="F100">
        <f t="shared" si="14"/>
        <v>0</v>
      </c>
      <c r="G100">
        <f t="shared" si="15"/>
        <v>1.8</v>
      </c>
      <c r="H100">
        <f t="shared" si="16"/>
        <v>3.8</v>
      </c>
      <c r="I100">
        <f t="shared" si="19"/>
        <v>12.4</v>
      </c>
    </row>
  </sheetData>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B6C9A2-ECA7-42E3-A14C-64A4856258A8}">
  <sheetPr>
    <outlinePr summaryBelow="0" summaryRight="0"/>
  </sheetPr>
  <dimension ref="A1:J102"/>
  <sheetViews>
    <sheetView topLeftCell="F1" workbookViewId="0">
      <selection activeCell="U34" sqref="U34"/>
    </sheetView>
  </sheetViews>
  <sheetFormatPr defaultColWidth="12.6640625" defaultRowHeight="15.75" customHeight="1" x14ac:dyDescent="0.25"/>
  <cols>
    <col min="1" max="1" width="20.77734375" bestFit="1" customWidth="1"/>
    <col min="2" max="2" width="16.109375" bestFit="1" customWidth="1"/>
    <col min="4" max="4" width="7.21875" bestFit="1" customWidth="1"/>
  </cols>
  <sheetData>
    <row r="1" spans="1:10" ht="13.2" x14ac:dyDescent="0.25">
      <c r="A1" t="s">
        <v>111</v>
      </c>
      <c r="B1" t="s">
        <v>108</v>
      </c>
      <c r="C1" t="s">
        <v>1</v>
      </c>
      <c r="D1" t="s">
        <v>2</v>
      </c>
      <c r="E1" s="9" t="s">
        <v>3</v>
      </c>
      <c r="F1" s="9" t="s">
        <v>4</v>
      </c>
      <c r="G1" s="9" t="s">
        <v>5</v>
      </c>
      <c r="H1" s="9" t="s">
        <v>6</v>
      </c>
      <c r="I1" s="9" t="s">
        <v>7</v>
      </c>
      <c r="J1" s="9" t="s">
        <v>8</v>
      </c>
    </row>
    <row r="2" spans="1:10" ht="13.2" x14ac:dyDescent="0.25">
      <c r="A2" t="s">
        <v>112</v>
      </c>
      <c r="B2" t="s">
        <v>109</v>
      </c>
      <c r="C2" t="s">
        <v>9</v>
      </c>
      <c r="D2">
        <v>14.6</v>
      </c>
      <c r="E2">
        <f t="shared" ref="E2:E33" si="0">ROUND(AVERAGE($D$2:$D$78),1)</f>
        <v>10.5</v>
      </c>
      <c r="F2">
        <f t="shared" ref="F2:F33" si="1">ROUND(E2+(2.66*I2),1)</f>
        <v>22.5</v>
      </c>
      <c r="G2">
        <f t="shared" ref="G2:G33" si="2">ROUND(MAX(0,E2-(2.66*I2)),1)</f>
        <v>0</v>
      </c>
      <c r="I2">
        <f t="shared" ref="I2:I33" si="3">ROUND(AVERAGE($H$3:$H$78),1)</f>
        <v>4.5</v>
      </c>
      <c r="J2">
        <f t="shared" ref="J2:J33" si="4">ROUND(3.268*I2,1)</f>
        <v>14.7</v>
      </c>
    </row>
    <row r="3" spans="1:10" ht="13.2" x14ac:dyDescent="0.25">
      <c r="A3" t="s">
        <v>112</v>
      </c>
      <c r="B3" t="s">
        <v>109</v>
      </c>
      <c r="C3" t="s">
        <v>10</v>
      </c>
      <c r="D3">
        <v>7.5</v>
      </c>
      <c r="E3">
        <f t="shared" si="0"/>
        <v>10.5</v>
      </c>
      <c r="F3">
        <f t="shared" si="1"/>
        <v>22.5</v>
      </c>
      <c r="G3">
        <f t="shared" si="2"/>
        <v>0</v>
      </c>
      <c r="H3">
        <f t="shared" ref="H3:H33" si="5">ROUND(ABS(D2-D3),1)</f>
        <v>7.1</v>
      </c>
      <c r="I3">
        <f t="shared" si="3"/>
        <v>4.5</v>
      </c>
      <c r="J3">
        <f t="shared" si="4"/>
        <v>14.7</v>
      </c>
    </row>
    <row r="4" spans="1:10" ht="13.2" x14ac:dyDescent="0.25">
      <c r="A4" t="s">
        <v>112</v>
      </c>
      <c r="B4" t="s">
        <v>109</v>
      </c>
      <c r="C4" t="s">
        <v>11</v>
      </c>
      <c r="D4">
        <v>4.3</v>
      </c>
      <c r="E4">
        <f t="shared" si="0"/>
        <v>10.5</v>
      </c>
      <c r="F4">
        <f t="shared" si="1"/>
        <v>22.5</v>
      </c>
      <c r="G4">
        <f t="shared" si="2"/>
        <v>0</v>
      </c>
      <c r="H4">
        <f t="shared" si="5"/>
        <v>3.2</v>
      </c>
      <c r="I4">
        <f t="shared" si="3"/>
        <v>4.5</v>
      </c>
      <c r="J4">
        <f t="shared" si="4"/>
        <v>14.7</v>
      </c>
    </row>
    <row r="5" spans="1:10" ht="13.2" x14ac:dyDescent="0.25">
      <c r="A5" t="s">
        <v>112</v>
      </c>
      <c r="B5" t="s">
        <v>109</v>
      </c>
      <c r="C5" t="s">
        <v>12</v>
      </c>
      <c r="D5">
        <v>1.6</v>
      </c>
      <c r="E5">
        <f t="shared" si="0"/>
        <v>10.5</v>
      </c>
      <c r="F5">
        <f t="shared" si="1"/>
        <v>22.5</v>
      </c>
      <c r="G5">
        <f t="shared" si="2"/>
        <v>0</v>
      </c>
      <c r="H5">
        <f t="shared" si="5"/>
        <v>2.7</v>
      </c>
      <c r="I5">
        <f t="shared" si="3"/>
        <v>4.5</v>
      </c>
      <c r="J5">
        <f t="shared" si="4"/>
        <v>14.7</v>
      </c>
    </row>
    <row r="6" spans="1:10" ht="13.2" x14ac:dyDescent="0.25">
      <c r="A6" t="s">
        <v>112</v>
      </c>
      <c r="B6" t="s">
        <v>109</v>
      </c>
      <c r="C6" t="s">
        <v>13</v>
      </c>
      <c r="D6">
        <v>0.8</v>
      </c>
      <c r="E6">
        <f t="shared" si="0"/>
        <v>10.5</v>
      </c>
      <c r="F6">
        <f t="shared" si="1"/>
        <v>22.5</v>
      </c>
      <c r="G6">
        <f t="shared" si="2"/>
        <v>0</v>
      </c>
      <c r="H6">
        <f t="shared" si="5"/>
        <v>0.8</v>
      </c>
      <c r="I6">
        <f t="shared" si="3"/>
        <v>4.5</v>
      </c>
      <c r="J6">
        <f t="shared" si="4"/>
        <v>14.7</v>
      </c>
    </row>
    <row r="7" spans="1:10" ht="13.2" x14ac:dyDescent="0.25">
      <c r="A7" t="s">
        <v>112</v>
      </c>
      <c r="B7" t="s">
        <v>109</v>
      </c>
      <c r="C7" t="s">
        <v>14</v>
      </c>
      <c r="D7">
        <v>5</v>
      </c>
      <c r="E7">
        <f t="shared" si="0"/>
        <v>10.5</v>
      </c>
      <c r="F7">
        <f t="shared" si="1"/>
        <v>22.5</v>
      </c>
      <c r="G7">
        <f t="shared" si="2"/>
        <v>0</v>
      </c>
      <c r="H7">
        <f t="shared" si="5"/>
        <v>4.2</v>
      </c>
      <c r="I7">
        <f t="shared" si="3"/>
        <v>4.5</v>
      </c>
      <c r="J7">
        <f t="shared" si="4"/>
        <v>14.7</v>
      </c>
    </row>
    <row r="8" spans="1:10" ht="13.2" x14ac:dyDescent="0.25">
      <c r="A8" t="s">
        <v>112</v>
      </c>
      <c r="B8" t="s">
        <v>109</v>
      </c>
      <c r="C8" t="s">
        <v>15</v>
      </c>
      <c r="D8">
        <v>8.4</v>
      </c>
      <c r="E8">
        <f t="shared" si="0"/>
        <v>10.5</v>
      </c>
      <c r="F8">
        <f t="shared" si="1"/>
        <v>22.5</v>
      </c>
      <c r="G8">
        <f t="shared" si="2"/>
        <v>0</v>
      </c>
      <c r="H8">
        <f t="shared" si="5"/>
        <v>3.4</v>
      </c>
      <c r="I8">
        <f t="shared" si="3"/>
        <v>4.5</v>
      </c>
      <c r="J8">
        <f t="shared" si="4"/>
        <v>14.7</v>
      </c>
    </row>
    <row r="9" spans="1:10" ht="13.2" x14ac:dyDescent="0.25">
      <c r="A9" t="s">
        <v>112</v>
      </c>
      <c r="B9" t="s">
        <v>109</v>
      </c>
      <c r="C9" t="s">
        <v>16</v>
      </c>
      <c r="D9">
        <v>1.4</v>
      </c>
      <c r="E9">
        <f t="shared" si="0"/>
        <v>10.5</v>
      </c>
      <c r="F9">
        <f t="shared" si="1"/>
        <v>22.5</v>
      </c>
      <c r="G9">
        <f t="shared" si="2"/>
        <v>0</v>
      </c>
      <c r="H9">
        <f t="shared" si="5"/>
        <v>7</v>
      </c>
      <c r="I9">
        <f t="shared" si="3"/>
        <v>4.5</v>
      </c>
      <c r="J9">
        <f t="shared" si="4"/>
        <v>14.7</v>
      </c>
    </row>
    <row r="10" spans="1:10" ht="13.2" x14ac:dyDescent="0.25">
      <c r="A10" t="s">
        <v>112</v>
      </c>
      <c r="B10" t="s">
        <v>109</v>
      </c>
      <c r="C10" t="s">
        <v>17</v>
      </c>
      <c r="D10">
        <v>1.9</v>
      </c>
      <c r="E10">
        <f t="shared" si="0"/>
        <v>10.5</v>
      </c>
      <c r="F10">
        <f t="shared" si="1"/>
        <v>22.5</v>
      </c>
      <c r="G10">
        <f t="shared" si="2"/>
        <v>0</v>
      </c>
      <c r="H10">
        <f t="shared" si="5"/>
        <v>0.5</v>
      </c>
      <c r="I10">
        <f t="shared" si="3"/>
        <v>4.5</v>
      </c>
      <c r="J10">
        <f t="shared" si="4"/>
        <v>14.7</v>
      </c>
    </row>
    <row r="11" spans="1:10" ht="13.2" x14ac:dyDescent="0.25">
      <c r="A11" t="s">
        <v>112</v>
      </c>
      <c r="B11" t="s">
        <v>109</v>
      </c>
      <c r="C11" t="s">
        <v>18</v>
      </c>
      <c r="D11">
        <v>11</v>
      </c>
      <c r="E11">
        <f t="shared" si="0"/>
        <v>10.5</v>
      </c>
      <c r="F11">
        <f t="shared" si="1"/>
        <v>22.5</v>
      </c>
      <c r="G11">
        <f t="shared" si="2"/>
        <v>0</v>
      </c>
      <c r="H11">
        <f t="shared" si="5"/>
        <v>9.1</v>
      </c>
      <c r="I11">
        <f t="shared" si="3"/>
        <v>4.5</v>
      </c>
      <c r="J11">
        <f t="shared" si="4"/>
        <v>14.7</v>
      </c>
    </row>
    <row r="12" spans="1:10" ht="13.2" x14ac:dyDescent="0.25">
      <c r="A12" t="s">
        <v>112</v>
      </c>
      <c r="B12" t="s">
        <v>109</v>
      </c>
      <c r="C12" t="s">
        <v>19</v>
      </c>
      <c r="D12">
        <v>22.6</v>
      </c>
      <c r="E12">
        <f t="shared" si="0"/>
        <v>10.5</v>
      </c>
      <c r="F12">
        <f t="shared" si="1"/>
        <v>22.5</v>
      </c>
      <c r="G12">
        <f t="shared" si="2"/>
        <v>0</v>
      </c>
      <c r="H12">
        <f t="shared" si="5"/>
        <v>11.6</v>
      </c>
      <c r="I12">
        <f t="shared" si="3"/>
        <v>4.5</v>
      </c>
      <c r="J12">
        <f t="shared" si="4"/>
        <v>14.7</v>
      </c>
    </row>
    <row r="13" spans="1:10" ht="13.2" x14ac:dyDescent="0.25">
      <c r="A13" t="s">
        <v>112</v>
      </c>
      <c r="B13" t="s">
        <v>109</v>
      </c>
      <c r="C13" t="s">
        <v>20</v>
      </c>
      <c r="E13">
        <f t="shared" si="0"/>
        <v>10.5</v>
      </c>
      <c r="F13">
        <f t="shared" si="1"/>
        <v>22.5</v>
      </c>
      <c r="G13">
        <f t="shared" si="2"/>
        <v>0</v>
      </c>
      <c r="I13">
        <f t="shared" si="3"/>
        <v>4.5</v>
      </c>
      <c r="J13">
        <f t="shared" si="4"/>
        <v>14.7</v>
      </c>
    </row>
    <row r="14" spans="1:10" ht="13.2" x14ac:dyDescent="0.25">
      <c r="A14" t="s">
        <v>112</v>
      </c>
      <c r="B14" t="s">
        <v>109</v>
      </c>
      <c r="C14" t="s">
        <v>21</v>
      </c>
      <c r="D14">
        <v>20.8</v>
      </c>
      <c r="E14">
        <f t="shared" si="0"/>
        <v>10.5</v>
      </c>
      <c r="F14">
        <f t="shared" si="1"/>
        <v>22.5</v>
      </c>
      <c r="G14">
        <f t="shared" si="2"/>
        <v>0</v>
      </c>
      <c r="I14">
        <f t="shared" si="3"/>
        <v>4.5</v>
      </c>
      <c r="J14">
        <f t="shared" si="4"/>
        <v>14.7</v>
      </c>
    </row>
    <row r="15" spans="1:10" ht="13.2" x14ac:dyDescent="0.25">
      <c r="A15" t="s">
        <v>112</v>
      </c>
      <c r="B15" t="s">
        <v>109</v>
      </c>
      <c r="C15" t="s">
        <v>22</v>
      </c>
      <c r="D15">
        <v>12.2</v>
      </c>
      <c r="E15">
        <f t="shared" si="0"/>
        <v>10.5</v>
      </c>
      <c r="F15">
        <f t="shared" si="1"/>
        <v>22.5</v>
      </c>
      <c r="G15">
        <f t="shared" si="2"/>
        <v>0</v>
      </c>
      <c r="H15">
        <f t="shared" si="5"/>
        <v>8.6</v>
      </c>
      <c r="I15">
        <f t="shared" si="3"/>
        <v>4.5</v>
      </c>
      <c r="J15">
        <f t="shared" si="4"/>
        <v>14.7</v>
      </c>
    </row>
    <row r="16" spans="1:10" ht="13.2" x14ac:dyDescent="0.25">
      <c r="A16" t="s">
        <v>112</v>
      </c>
      <c r="B16" t="s">
        <v>109</v>
      </c>
      <c r="C16" t="s">
        <v>23</v>
      </c>
      <c r="D16">
        <v>10.199999999999999</v>
      </c>
      <c r="E16">
        <f t="shared" si="0"/>
        <v>10.5</v>
      </c>
      <c r="F16">
        <f t="shared" si="1"/>
        <v>22.5</v>
      </c>
      <c r="G16">
        <f t="shared" si="2"/>
        <v>0</v>
      </c>
      <c r="H16">
        <f t="shared" si="5"/>
        <v>2</v>
      </c>
      <c r="I16">
        <f t="shared" si="3"/>
        <v>4.5</v>
      </c>
      <c r="J16">
        <f t="shared" si="4"/>
        <v>14.7</v>
      </c>
    </row>
    <row r="17" spans="1:10" ht="13.2" x14ac:dyDescent="0.25">
      <c r="A17" t="s">
        <v>112</v>
      </c>
      <c r="B17" t="s">
        <v>109</v>
      </c>
      <c r="C17" t="s">
        <v>24</v>
      </c>
      <c r="D17">
        <v>10.7</v>
      </c>
      <c r="E17">
        <f t="shared" si="0"/>
        <v>10.5</v>
      </c>
      <c r="F17">
        <f t="shared" si="1"/>
        <v>22.5</v>
      </c>
      <c r="G17">
        <f t="shared" si="2"/>
        <v>0</v>
      </c>
      <c r="H17">
        <f t="shared" si="5"/>
        <v>0.5</v>
      </c>
      <c r="I17">
        <f t="shared" si="3"/>
        <v>4.5</v>
      </c>
      <c r="J17">
        <f t="shared" si="4"/>
        <v>14.7</v>
      </c>
    </row>
    <row r="18" spans="1:10" ht="13.2" x14ac:dyDescent="0.25">
      <c r="A18" t="s">
        <v>112</v>
      </c>
      <c r="B18" t="s">
        <v>109</v>
      </c>
      <c r="C18" t="s">
        <v>25</v>
      </c>
      <c r="D18">
        <v>3.2</v>
      </c>
      <c r="E18">
        <f t="shared" si="0"/>
        <v>10.5</v>
      </c>
      <c r="F18">
        <f t="shared" si="1"/>
        <v>22.5</v>
      </c>
      <c r="G18">
        <f t="shared" si="2"/>
        <v>0</v>
      </c>
      <c r="H18">
        <f t="shared" si="5"/>
        <v>7.5</v>
      </c>
      <c r="I18">
        <f t="shared" si="3"/>
        <v>4.5</v>
      </c>
      <c r="J18">
        <f t="shared" si="4"/>
        <v>14.7</v>
      </c>
    </row>
    <row r="19" spans="1:10" ht="13.2" x14ac:dyDescent="0.25">
      <c r="A19" t="s">
        <v>112</v>
      </c>
      <c r="B19" t="s">
        <v>109</v>
      </c>
      <c r="C19" t="s">
        <v>26</v>
      </c>
      <c r="D19">
        <v>6.6</v>
      </c>
      <c r="E19">
        <f t="shared" si="0"/>
        <v>10.5</v>
      </c>
      <c r="F19">
        <f t="shared" si="1"/>
        <v>22.5</v>
      </c>
      <c r="G19">
        <f t="shared" si="2"/>
        <v>0</v>
      </c>
      <c r="H19">
        <f t="shared" si="5"/>
        <v>3.4</v>
      </c>
      <c r="I19">
        <f t="shared" si="3"/>
        <v>4.5</v>
      </c>
      <c r="J19">
        <f t="shared" si="4"/>
        <v>14.7</v>
      </c>
    </row>
    <row r="20" spans="1:10" ht="13.2" x14ac:dyDescent="0.25">
      <c r="A20" t="s">
        <v>112</v>
      </c>
      <c r="B20" t="s">
        <v>109</v>
      </c>
      <c r="C20" t="s">
        <v>27</v>
      </c>
      <c r="D20">
        <v>20.8</v>
      </c>
      <c r="E20">
        <f t="shared" si="0"/>
        <v>10.5</v>
      </c>
      <c r="F20">
        <f t="shared" si="1"/>
        <v>22.5</v>
      </c>
      <c r="G20">
        <f t="shared" si="2"/>
        <v>0</v>
      </c>
      <c r="H20">
        <f t="shared" si="5"/>
        <v>14.2</v>
      </c>
      <c r="I20">
        <f t="shared" si="3"/>
        <v>4.5</v>
      </c>
      <c r="J20">
        <f t="shared" si="4"/>
        <v>14.7</v>
      </c>
    </row>
    <row r="21" spans="1:10" ht="13.2" x14ac:dyDescent="0.25">
      <c r="A21" t="s">
        <v>112</v>
      </c>
      <c r="B21" t="s">
        <v>109</v>
      </c>
      <c r="C21" t="s">
        <v>28</v>
      </c>
      <c r="D21">
        <v>25.5</v>
      </c>
      <c r="E21">
        <f t="shared" si="0"/>
        <v>10.5</v>
      </c>
      <c r="F21">
        <f t="shared" si="1"/>
        <v>22.5</v>
      </c>
      <c r="G21">
        <f t="shared" si="2"/>
        <v>0</v>
      </c>
      <c r="H21">
        <f t="shared" si="5"/>
        <v>4.7</v>
      </c>
      <c r="I21">
        <f t="shared" si="3"/>
        <v>4.5</v>
      </c>
      <c r="J21">
        <f t="shared" si="4"/>
        <v>14.7</v>
      </c>
    </row>
    <row r="22" spans="1:10" ht="13.2" x14ac:dyDescent="0.25">
      <c r="A22" t="s">
        <v>112</v>
      </c>
      <c r="B22" t="s">
        <v>109</v>
      </c>
      <c r="C22" t="s">
        <v>29</v>
      </c>
      <c r="D22">
        <v>18.399999999999999</v>
      </c>
      <c r="E22">
        <f t="shared" si="0"/>
        <v>10.5</v>
      </c>
      <c r="F22">
        <f t="shared" si="1"/>
        <v>22.5</v>
      </c>
      <c r="G22">
        <f t="shared" si="2"/>
        <v>0</v>
      </c>
      <c r="H22">
        <f t="shared" si="5"/>
        <v>7.1</v>
      </c>
      <c r="I22">
        <f t="shared" si="3"/>
        <v>4.5</v>
      </c>
      <c r="J22">
        <f t="shared" si="4"/>
        <v>14.7</v>
      </c>
    </row>
    <row r="23" spans="1:10" ht="13.2" x14ac:dyDescent="0.25">
      <c r="A23" t="s">
        <v>112</v>
      </c>
      <c r="B23" t="s">
        <v>109</v>
      </c>
      <c r="C23" t="s">
        <v>30</v>
      </c>
      <c r="D23">
        <v>29.3</v>
      </c>
      <c r="E23">
        <f t="shared" si="0"/>
        <v>10.5</v>
      </c>
      <c r="F23">
        <f t="shared" si="1"/>
        <v>22.5</v>
      </c>
      <c r="G23">
        <f t="shared" si="2"/>
        <v>0</v>
      </c>
      <c r="H23">
        <f t="shared" si="5"/>
        <v>10.9</v>
      </c>
      <c r="I23">
        <f t="shared" si="3"/>
        <v>4.5</v>
      </c>
      <c r="J23">
        <f t="shared" si="4"/>
        <v>14.7</v>
      </c>
    </row>
    <row r="24" spans="1:10" ht="13.2" x14ac:dyDescent="0.25">
      <c r="A24" t="s">
        <v>112</v>
      </c>
      <c r="B24" t="s">
        <v>109</v>
      </c>
      <c r="C24" t="s">
        <v>31</v>
      </c>
      <c r="D24">
        <v>23</v>
      </c>
      <c r="E24">
        <f t="shared" si="0"/>
        <v>10.5</v>
      </c>
      <c r="F24">
        <f t="shared" si="1"/>
        <v>22.5</v>
      </c>
      <c r="G24">
        <f t="shared" si="2"/>
        <v>0</v>
      </c>
      <c r="H24">
        <f t="shared" si="5"/>
        <v>6.3</v>
      </c>
      <c r="I24">
        <f t="shared" si="3"/>
        <v>4.5</v>
      </c>
      <c r="J24">
        <f t="shared" si="4"/>
        <v>14.7</v>
      </c>
    </row>
    <row r="25" spans="1:10" ht="13.2" x14ac:dyDescent="0.25">
      <c r="A25" t="s">
        <v>112</v>
      </c>
      <c r="B25" t="s">
        <v>109</v>
      </c>
      <c r="C25" t="s">
        <v>32</v>
      </c>
      <c r="D25">
        <v>31.4</v>
      </c>
      <c r="E25">
        <f t="shared" si="0"/>
        <v>10.5</v>
      </c>
      <c r="F25">
        <f t="shared" si="1"/>
        <v>22.5</v>
      </c>
      <c r="G25">
        <f t="shared" si="2"/>
        <v>0</v>
      </c>
      <c r="H25">
        <f t="shared" si="5"/>
        <v>8.4</v>
      </c>
      <c r="I25">
        <f t="shared" si="3"/>
        <v>4.5</v>
      </c>
      <c r="J25">
        <f t="shared" si="4"/>
        <v>14.7</v>
      </c>
    </row>
    <row r="26" spans="1:10" ht="13.2" x14ac:dyDescent="0.25">
      <c r="A26" t="s">
        <v>112</v>
      </c>
      <c r="B26" t="s">
        <v>109</v>
      </c>
      <c r="C26" t="s">
        <v>33</v>
      </c>
      <c r="D26">
        <v>19.100000000000001</v>
      </c>
      <c r="E26">
        <f t="shared" si="0"/>
        <v>10.5</v>
      </c>
      <c r="F26">
        <f t="shared" si="1"/>
        <v>22.5</v>
      </c>
      <c r="G26">
        <f t="shared" si="2"/>
        <v>0</v>
      </c>
      <c r="H26">
        <f t="shared" si="5"/>
        <v>12.3</v>
      </c>
      <c r="I26">
        <f t="shared" si="3"/>
        <v>4.5</v>
      </c>
      <c r="J26">
        <f t="shared" si="4"/>
        <v>14.7</v>
      </c>
    </row>
    <row r="27" spans="1:10" ht="13.2" x14ac:dyDescent="0.25">
      <c r="A27" t="s">
        <v>112</v>
      </c>
      <c r="B27" t="s">
        <v>109</v>
      </c>
      <c r="C27" t="s">
        <v>34</v>
      </c>
      <c r="D27">
        <v>16</v>
      </c>
      <c r="E27">
        <f t="shared" si="0"/>
        <v>10.5</v>
      </c>
      <c r="F27">
        <f t="shared" si="1"/>
        <v>22.5</v>
      </c>
      <c r="G27">
        <f t="shared" si="2"/>
        <v>0</v>
      </c>
      <c r="H27">
        <f t="shared" si="5"/>
        <v>3.1</v>
      </c>
      <c r="I27">
        <f t="shared" si="3"/>
        <v>4.5</v>
      </c>
      <c r="J27">
        <f t="shared" si="4"/>
        <v>14.7</v>
      </c>
    </row>
    <row r="28" spans="1:10" ht="13.2" x14ac:dyDescent="0.25">
      <c r="A28" t="s">
        <v>112</v>
      </c>
      <c r="B28" t="s">
        <v>109</v>
      </c>
      <c r="C28" t="s">
        <v>35</v>
      </c>
      <c r="D28">
        <v>12.4</v>
      </c>
      <c r="E28">
        <f t="shared" si="0"/>
        <v>10.5</v>
      </c>
      <c r="F28">
        <f t="shared" si="1"/>
        <v>22.5</v>
      </c>
      <c r="G28">
        <f t="shared" si="2"/>
        <v>0</v>
      </c>
      <c r="H28">
        <f t="shared" si="5"/>
        <v>3.6</v>
      </c>
      <c r="I28">
        <f t="shared" si="3"/>
        <v>4.5</v>
      </c>
      <c r="J28">
        <f t="shared" si="4"/>
        <v>14.7</v>
      </c>
    </row>
    <row r="29" spans="1:10" ht="13.2" x14ac:dyDescent="0.25">
      <c r="A29" t="s">
        <v>112</v>
      </c>
      <c r="B29" t="s">
        <v>109</v>
      </c>
      <c r="C29" t="s">
        <v>36</v>
      </c>
      <c r="D29">
        <v>11.9</v>
      </c>
      <c r="E29">
        <f t="shared" si="0"/>
        <v>10.5</v>
      </c>
      <c r="F29">
        <f t="shared" si="1"/>
        <v>22.5</v>
      </c>
      <c r="G29">
        <f t="shared" si="2"/>
        <v>0</v>
      </c>
      <c r="H29">
        <f t="shared" si="5"/>
        <v>0.5</v>
      </c>
      <c r="I29">
        <f t="shared" si="3"/>
        <v>4.5</v>
      </c>
      <c r="J29">
        <f t="shared" si="4"/>
        <v>14.7</v>
      </c>
    </row>
    <row r="30" spans="1:10" ht="13.2" x14ac:dyDescent="0.25">
      <c r="A30" t="s">
        <v>112</v>
      </c>
      <c r="B30" t="s">
        <v>109</v>
      </c>
      <c r="C30" t="s">
        <v>37</v>
      </c>
      <c r="D30">
        <v>6.1</v>
      </c>
      <c r="E30">
        <f t="shared" si="0"/>
        <v>10.5</v>
      </c>
      <c r="F30">
        <f t="shared" si="1"/>
        <v>22.5</v>
      </c>
      <c r="G30">
        <f t="shared" si="2"/>
        <v>0</v>
      </c>
      <c r="H30">
        <f t="shared" si="5"/>
        <v>5.8</v>
      </c>
      <c r="I30">
        <f t="shared" si="3"/>
        <v>4.5</v>
      </c>
      <c r="J30">
        <f t="shared" si="4"/>
        <v>14.7</v>
      </c>
    </row>
    <row r="31" spans="1:10" ht="13.2" x14ac:dyDescent="0.25">
      <c r="A31" t="s">
        <v>112</v>
      </c>
      <c r="B31" t="s">
        <v>109</v>
      </c>
      <c r="C31" t="s">
        <v>38</v>
      </c>
      <c r="D31">
        <v>4.0999999999999996</v>
      </c>
      <c r="E31">
        <f t="shared" si="0"/>
        <v>10.5</v>
      </c>
      <c r="F31">
        <f t="shared" si="1"/>
        <v>22.5</v>
      </c>
      <c r="G31">
        <f t="shared" si="2"/>
        <v>0</v>
      </c>
      <c r="H31">
        <f t="shared" si="5"/>
        <v>2</v>
      </c>
      <c r="I31">
        <f t="shared" si="3"/>
        <v>4.5</v>
      </c>
      <c r="J31">
        <f t="shared" si="4"/>
        <v>14.7</v>
      </c>
    </row>
    <row r="32" spans="1:10" ht="13.2" x14ac:dyDescent="0.25">
      <c r="A32" t="s">
        <v>112</v>
      </c>
      <c r="B32" t="s">
        <v>109</v>
      </c>
      <c r="C32" t="s">
        <v>39</v>
      </c>
      <c r="D32">
        <v>0.5</v>
      </c>
      <c r="E32">
        <f t="shared" si="0"/>
        <v>10.5</v>
      </c>
      <c r="F32">
        <f t="shared" si="1"/>
        <v>22.5</v>
      </c>
      <c r="G32">
        <f t="shared" si="2"/>
        <v>0</v>
      </c>
      <c r="H32">
        <f t="shared" si="5"/>
        <v>3.6</v>
      </c>
      <c r="I32">
        <f t="shared" si="3"/>
        <v>4.5</v>
      </c>
      <c r="J32">
        <f t="shared" si="4"/>
        <v>14.7</v>
      </c>
    </row>
    <row r="33" spans="1:10" ht="13.2" x14ac:dyDescent="0.25">
      <c r="A33" t="s">
        <v>112</v>
      </c>
      <c r="B33" t="s">
        <v>109</v>
      </c>
      <c r="C33" t="s">
        <v>40</v>
      </c>
      <c r="D33">
        <v>1.6</v>
      </c>
      <c r="E33">
        <f t="shared" si="0"/>
        <v>10.5</v>
      </c>
      <c r="F33">
        <f t="shared" si="1"/>
        <v>22.5</v>
      </c>
      <c r="G33">
        <f t="shared" si="2"/>
        <v>0</v>
      </c>
      <c r="H33">
        <f t="shared" si="5"/>
        <v>1.1000000000000001</v>
      </c>
      <c r="I33">
        <f t="shared" si="3"/>
        <v>4.5</v>
      </c>
      <c r="J33">
        <f t="shared" si="4"/>
        <v>14.7</v>
      </c>
    </row>
    <row r="34" spans="1:10" ht="13.2" x14ac:dyDescent="0.25">
      <c r="A34" t="s">
        <v>112</v>
      </c>
      <c r="B34" t="s">
        <v>109</v>
      </c>
      <c r="C34" t="s">
        <v>41</v>
      </c>
      <c r="D34">
        <v>2.2999999999999998</v>
      </c>
      <c r="E34">
        <f t="shared" ref="E34:E65" si="6">ROUND(AVERAGE($D$2:$D$78),1)</f>
        <v>10.5</v>
      </c>
      <c r="F34">
        <f t="shared" ref="F34:F65" si="7">ROUND(E34+(2.66*I34),1)</f>
        <v>22.5</v>
      </c>
      <c r="G34">
        <f t="shared" ref="G34:G65" si="8">ROUND(MAX(0,E34-(2.66*I34)),1)</f>
        <v>0</v>
      </c>
      <c r="H34">
        <f t="shared" ref="H34:H65" si="9">ROUND(ABS(D33-D34),1)</f>
        <v>0.7</v>
      </c>
      <c r="I34">
        <f t="shared" ref="I34:I65" si="10">ROUND(AVERAGE($H$3:$H$78),1)</f>
        <v>4.5</v>
      </c>
      <c r="J34">
        <f t="shared" ref="J34:J65" si="11">ROUND(3.268*I34,1)</f>
        <v>14.7</v>
      </c>
    </row>
    <row r="35" spans="1:10" ht="13.2" x14ac:dyDescent="0.25">
      <c r="A35" t="s">
        <v>112</v>
      </c>
      <c r="B35" t="s">
        <v>109</v>
      </c>
      <c r="C35" t="s">
        <v>42</v>
      </c>
      <c r="D35">
        <v>17.600000000000001</v>
      </c>
      <c r="E35">
        <f t="shared" si="6"/>
        <v>10.5</v>
      </c>
      <c r="F35">
        <f t="shared" si="7"/>
        <v>22.5</v>
      </c>
      <c r="G35">
        <f t="shared" si="8"/>
        <v>0</v>
      </c>
      <c r="H35">
        <f t="shared" si="9"/>
        <v>15.3</v>
      </c>
      <c r="I35">
        <f t="shared" si="10"/>
        <v>4.5</v>
      </c>
      <c r="J35">
        <f t="shared" si="11"/>
        <v>14.7</v>
      </c>
    </row>
    <row r="36" spans="1:10" ht="13.2" x14ac:dyDescent="0.25">
      <c r="A36" t="s">
        <v>112</v>
      </c>
      <c r="B36" t="s">
        <v>109</v>
      </c>
      <c r="C36" t="s">
        <v>43</v>
      </c>
      <c r="D36">
        <v>7.1</v>
      </c>
      <c r="E36">
        <f t="shared" si="6"/>
        <v>10.5</v>
      </c>
      <c r="F36">
        <f t="shared" si="7"/>
        <v>22.5</v>
      </c>
      <c r="G36">
        <f t="shared" si="8"/>
        <v>0</v>
      </c>
      <c r="H36">
        <f t="shared" si="9"/>
        <v>10.5</v>
      </c>
      <c r="I36">
        <f t="shared" si="10"/>
        <v>4.5</v>
      </c>
      <c r="J36">
        <f t="shared" si="11"/>
        <v>14.7</v>
      </c>
    </row>
    <row r="37" spans="1:10" ht="13.2" x14ac:dyDescent="0.25">
      <c r="A37" t="s">
        <v>112</v>
      </c>
      <c r="B37" t="s">
        <v>109</v>
      </c>
      <c r="C37" t="s">
        <v>44</v>
      </c>
      <c r="D37">
        <v>8.1</v>
      </c>
      <c r="E37">
        <f t="shared" si="6"/>
        <v>10.5</v>
      </c>
      <c r="F37">
        <f t="shared" si="7"/>
        <v>22.5</v>
      </c>
      <c r="G37">
        <f t="shared" si="8"/>
        <v>0</v>
      </c>
      <c r="H37">
        <f t="shared" si="9"/>
        <v>1</v>
      </c>
      <c r="I37">
        <f t="shared" si="10"/>
        <v>4.5</v>
      </c>
      <c r="J37">
        <f t="shared" si="11"/>
        <v>14.7</v>
      </c>
    </row>
    <row r="38" spans="1:10" ht="13.2" x14ac:dyDescent="0.25">
      <c r="A38" t="s">
        <v>112</v>
      </c>
      <c r="B38" t="s">
        <v>109</v>
      </c>
      <c r="C38" t="s">
        <v>45</v>
      </c>
      <c r="D38">
        <v>15.2</v>
      </c>
      <c r="E38">
        <f t="shared" si="6"/>
        <v>10.5</v>
      </c>
      <c r="F38">
        <f t="shared" si="7"/>
        <v>22.5</v>
      </c>
      <c r="G38">
        <f t="shared" si="8"/>
        <v>0</v>
      </c>
      <c r="H38">
        <f t="shared" si="9"/>
        <v>7.1</v>
      </c>
      <c r="I38">
        <f t="shared" si="10"/>
        <v>4.5</v>
      </c>
      <c r="J38">
        <f t="shared" si="11"/>
        <v>14.7</v>
      </c>
    </row>
    <row r="39" spans="1:10" ht="13.2" x14ac:dyDescent="0.25">
      <c r="A39" t="s">
        <v>112</v>
      </c>
      <c r="B39" t="s">
        <v>109</v>
      </c>
      <c r="C39" t="s">
        <v>46</v>
      </c>
      <c r="D39">
        <v>11.3</v>
      </c>
      <c r="E39">
        <f t="shared" si="6"/>
        <v>10.5</v>
      </c>
      <c r="F39">
        <f t="shared" si="7"/>
        <v>22.5</v>
      </c>
      <c r="G39">
        <f t="shared" si="8"/>
        <v>0</v>
      </c>
      <c r="H39">
        <f t="shared" si="9"/>
        <v>3.9</v>
      </c>
      <c r="I39">
        <f t="shared" si="10"/>
        <v>4.5</v>
      </c>
      <c r="J39">
        <f t="shared" si="11"/>
        <v>14.7</v>
      </c>
    </row>
    <row r="40" spans="1:10" ht="13.2" x14ac:dyDescent="0.25">
      <c r="A40" t="s">
        <v>112</v>
      </c>
      <c r="B40" t="s">
        <v>109</v>
      </c>
      <c r="C40" t="s">
        <v>47</v>
      </c>
      <c r="D40">
        <v>17</v>
      </c>
      <c r="E40">
        <f t="shared" si="6"/>
        <v>10.5</v>
      </c>
      <c r="F40">
        <f t="shared" si="7"/>
        <v>22.5</v>
      </c>
      <c r="G40">
        <f t="shared" si="8"/>
        <v>0</v>
      </c>
      <c r="H40">
        <f t="shared" si="9"/>
        <v>5.7</v>
      </c>
      <c r="I40">
        <f t="shared" si="10"/>
        <v>4.5</v>
      </c>
      <c r="J40">
        <f t="shared" si="11"/>
        <v>14.7</v>
      </c>
    </row>
    <row r="41" spans="1:10" ht="13.2" x14ac:dyDescent="0.25">
      <c r="A41" t="s">
        <v>112</v>
      </c>
      <c r="B41" t="s">
        <v>109</v>
      </c>
      <c r="C41" t="s">
        <v>48</v>
      </c>
      <c r="D41">
        <v>17.3</v>
      </c>
      <c r="E41">
        <f t="shared" si="6"/>
        <v>10.5</v>
      </c>
      <c r="F41">
        <f t="shared" si="7"/>
        <v>22.5</v>
      </c>
      <c r="G41">
        <f t="shared" si="8"/>
        <v>0</v>
      </c>
      <c r="H41">
        <f t="shared" si="9"/>
        <v>0.3</v>
      </c>
      <c r="I41">
        <f t="shared" si="10"/>
        <v>4.5</v>
      </c>
      <c r="J41">
        <f t="shared" si="11"/>
        <v>14.7</v>
      </c>
    </row>
    <row r="42" spans="1:10" ht="13.2" x14ac:dyDescent="0.25">
      <c r="A42" t="s">
        <v>112</v>
      </c>
      <c r="B42" t="s">
        <v>109</v>
      </c>
      <c r="C42" t="s">
        <v>49</v>
      </c>
      <c r="D42">
        <v>5.8</v>
      </c>
      <c r="E42">
        <f t="shared" si="6"/>
        <v>10.5</v>
      </c>
      <c r="F42">
        <f t="shared" si="7"/>
        <v>22.5</v>
      </c>
      <c r="G42">
        <f t="shared" si="8"/>
        <v>0</v>
      </c>
      <c r="H42">
        <f t="shared" si="9"/>
        <v>11.5</v>
      </c>
      <c r="I42">
        <f t="shared" si="10"/>
        <v>4.5</v>
      </c>
      <c r="J42">
        <f t="shared" si="11"/>
        <v>14.7</v>
      </c>
    </row>
    <row r="43" spans="1:10" ht="13.2" x14ac:dyDescent="0.25">
      <c r="A43" t="s">
        <v>112</v>
      </c>
      <c r="B43" t="s">
        <v>109</v>
      </c>
      <c r="C43" t="s">
        <v>50</v>
      </c>
      <c r="D43">
        <v>2.7</v>
      </c>
      <c r="E43">
        <f t="shared" si="6"/>
        <v>10.5</v>
      </c>
      <c r="F43">
        <f t="shared" si="7"/>
        <v>22.5</v>
      </c>
      <c r="G43">
        <f t="shared" si="8"/>
        <v>0</v>
      </c>
      <c r="H43">
        <f t="shared" si="9"/>
        <v>3.1</v>
      </c>
      <c r="I43">
        <f t="shared" si="10"/>
        <v>4.5</v>
      </c>
      <c r="J43">
        <f t="shared" si="11"/>
        <v>14.7</v>
      </c>
    </row>
    <row r="44" spans="1:10" ht="13.2" x14ac:dyDescent="0.25">
      <c r="A44" t="s">
        <v>112</v>
      </c>
      <c r="B44" t="s">
        <v>109</v>
      </c>
      <c r="C44" t="s">
        <v>51</v>
      </c>
      <c r="D44">
        <v>4.4000000000000004</v>
      </c>
      <c r="E44">
        <f t="shared" si="6"/>
        <v>10.5</v>
      </c>
      <c r="F44">
        <f t="shared" si="7"/>
        <v>22.5</v>
      </c>
      <c r="G44">
        <f t="shared" si="8"/>
        <v>0</v>
      </c>
      <c r="H44">
        <f t="shared" si="9"/>
        <v>1.7</v>
      </c>
      <c r="I44">
        <f t="shared" si="10"/>
        <v>4.5</v>
      </c>
      <c r="J44">
        <f t="shared" si="11"/>
        <v>14.7</v>
      </c>
    </row>
    <row r="45" spans="1:10" ht="13.2" x14ac:dyDescent="0.25">
      <c r="A45" t="s">
        <v>112</v>
      </c>
      <c r="B45" t="s">
        <v>109</v>
      </c>
      <c r="C45" t="s">
        <v>52</v>
      </c>
      <c r="D45">
        <v>6.3</v>
      </c>
      <c r="E45">
        <f t="shared" si="6"/>
        <v>10.5</v>
      </c>
      <c r="F45">
        <f t="shared" si="7"/>
        <v>22.5</v>
      </c>
      <c r="G45">
        <f t="shared" si="8"/>
        <v>0</v>
      </c>
      <c r="H45">
        <f t="shared" si="9"/>
        <v>1.9</v>
      </c>
      <c r="I45">
        <f t="shared" si="10"/>
        <v>4.5</v>
      </c>
      <c r="J45">
        <f t="shared" si="11"/>
        <v>14.7</v>
      </c>
    </row>
    <row r="46" spans="1:10" ht="13.2" x14ac:dyDescent="0.25">
      <c r="A46" t="s">
        <v>112</v>
      </c>
      <c r="B46" t="s">
        <v>109</v>
      </c>
      <c r="C46" t="s">
        <v>53</v>
      </c>
      <c r="D46">
        <v>1.2</v>
      </c>
      <c r="E46">
        <f t="shared" si="6"/>
        <v>10.5</v>
      </c>
      <c r="F46">
        <f t="shared" si="7"/>
        <v>22.5</v>
      </c>
      <c r="G46">
        <f t="shared" si="8"/>
        <v>0</v>
      </c>
      <c r="H46">
        <f t="shared" si="9"/>
        <v>5.0999999999999996</v>
      </c>
      <c r="I46">
        <f t="shared" si="10"/>
        <v>4.5</v>
      </c>
      <c r="J46">
        <f t="shared" si="11"/>
        <v>14.7</v>
      </c>
    </row>
    <row r="47" spans="1:10" ht="13.2" x14ac:dyDescent="0.25">
      <c r="A47" t="s">
        <v>112</v>
      </c>
      <c r="B47" t="s">
        <v>109</v>
      </c>
      <c r="C47" t="s">
        <v>54</v>
      </c>
      <c r="D47">
        <v>3.2</v>
      </c>
      <c r="E47">
        <f t="shared" si="6"/>
        <v>10.5</v>
      </c>
      <c r="F47">
        <f t="shared" si="7"/>
        <v>22.5</v>
      </c>
      <c r="G47">
        <f t="shared" si="8"/>
        <v>0</v>
      </c>
      <c r="H47">
        <f t="shared" si="9"/>
        <v>2</v>
      </c>
      <c r="I47">
        <f t="shared" si="10"/>
        <v>4.5</v>
      </c>
      <c r="J47">
        <f t="shared" si="11"/>
        <v>14.7</v>
      </c>
    </row>
    <row r="48" spans="1:10" ht="13.2" x14ac:dyDescent="0.25">
      <c r="A48" t="s">
        <v>112</v>
      </c>
      <c r="B48" t="s">
        <v>109</v>
      </c>
      <c r="C48" t="s">
        <v>55</v>
      </c>
      <c r="D48">
        <v>11</v>
      </c>
      <c r="E48">
        <f t="shared" si="6"/>
        <v>10.5</v>
      </c>
      <c r="F48">
        <f t="shared" si="7"/>
        <v>22.5</v>
      </c>
      <c r="G48">
        <f t="shared" si="8"/>
        <v>0</v>
      </c>
      <c r="H48">
        <f t="shared" si="9"/>
        <v>7.8</v>
      </c>
      <c r="I48">
        <f t="shared" si="10"/>
        <v>4.5</v>
      </c>
      <c r="J48">
        <f t="shared" si="11"/>
        <v>14.7</v>
      </c>
    </row>
    <row r="49" spans="1:10" ht="13.2" x14ac:dyDescent="0.25">
      <c r="A49" t="s">
        <v>112</v>
      </c>
      <c r="B49" t="s">
        <v>109</v>
      </c>
      <c r="C49" t="s">
        <v>56</v>
      </c>
      <c r="D49">
        <v>10.5</v>
      </c>
      <c r="E49">
        <f t="shared" si="6"/>
        <v>10.5</v>
      </c>
      <c r="F49">
        <f t="shared" si="7"/>
        <v>22.5</v>
      </c>
      <c r="G49">
        <f t="shared" si="8"/>
        <v>0</v>
      </c>
      <c r="H49">
        <f t="shared" si="9"/>
        <v>0.5</v>
      </c>
      <c r="I49">
        <f t="shared" si="10"/>
        <v>4.5</v>
      </c>
      <c r="J49">
        <f t="shared" si="11"/>
        <v>14.7</v>
      </c>
    </row>
    <row r="50" spans="1:10" ht="13.2" x14ac:dyDescent="0.25">
      <c r="A50" t="s">
        <v>112</v>
      </c>
      <c r="B50" t="s">
        <v>109</v>
      </c>
      <c r="C50" t="s">
        <v>57</v>
      </c>
      <c r="D50">
        <v>7.6</v>
      </c>
      <c r="E50">
        <f t="shared" si="6"/>
        <v>10.5</v>
      </c>
      <c r="F50">
        <f t="shared" si="7"/>
        <v>22.5</v>
      </c>
      <c r="G50">
        <f t="shared" si="8"/>
        <v>0</v>
      </c>
      <c r="H50">
        <f t="shared" si="9"/>
        <v>2.9</v>
      </c>
      <c r="I50">
        <f t="shared" si="10"/>
        <v>4.5</v>
      </c>
      <c r="J50">
        <f t="shared" si="11"/>
        <v>14.7</v>
      </c>
    </row>
    <row r="51" spans="1:10" ht="13.2" x14ac:dyDescent="0.25">
      <c r="A51" t="s">
        <v>112</v>
      </c>
      <c r="B51" t="s">
        <v>109</v>
      </c>
      <c r="C51" t="s">
        <v>58</v>
      </c>
      <c r="D51">
        <v>4.7</v>
      </c>
      <c r="E51">
        <f t="shared" si="6"/>
        <v>10.5</v>
      </c>
      <c r="F51">
        <f t="shared" si="7"/>
        <v>22.5</v>
      </c>
      <c r="G51">
        <f t="shared" si="8"/>
        <v>0</v>
      </c>
      <c r="H51">
        <f t="shared" si="9"/>
        <v>2.9</v>
      </c>
      <c r="I51">
        <f t="shared" si="10"/>
        <v>4.5</v>
      </c>
      <c r="J51">
        <f t="shared" si="11"/>
        <v>14.7</v>
      </c>
    </row>
    <row r="52" spans="1:10" ht="13.2" x14ac:dyDescent="0.25">
      <c r="A52" t="s">
        <v>112</v>
      </c>
      <c r="B52" t="s">
        <v>109</v>
      </c>
      <c r="C52" t="s">
        <v>59</v>
      </c>
      <c r="D52">
        <v>4.5</v>
      </c>
      <c r="E52">
        <f t="shared" si="6"/>
        <v>10.5</v>
      </c>
      <c r="F52">
        <f t="shared" si="7"/>
        <v>22.5</v>
      </c>
      <c r="G52">
        <f t="shared" si="8"/>
        <v>0</v>
      </c>
      <c r="H52">
        <f t="shared" si="9"/>
        <v>0.2</v>
      </c>
      <c r="I52">
        <f t="shared" si="10"/>
        <v>4.5</v>
      </c>
      <c r="J52">
        <f t="shared" si="11"/>
        <v>14.7</v>
      </c>
    </row>
    <row r="53" spans="1:10" ht="13.2" x14ac:dyDescent="0.25">
      <c r="A53" t="s">
        <v>112</v>
      </c>
      <c r="B53" t="s">
        <v>109</v>
      </c>
      <c r="C53" t="s">
        <v>60</v>
      </c>
      <c r="D53">
        <v>4.2</v>
      </c>
      <c r="E53">
        <f t="shared" si="6"/>
        <v>10.5</v>
      </c>
      <c r="F53">
        <f t="shared" si="7"/>
        <v>22.5</v>
      </c>
      <c r="G53">
        <f t="shared" si="8"/>
        <v>0</v>
      </c>
      <c r="H53">
        <f t="shared" si="9"/>
        <v>0.3</v>
      </c>
      <c r="I53">
        <f t="shared" si="10"/>
        <v>4.5</v>
      </c>
      <c r="J53">
        <f t="shared" si="11"/>
        <v>14.7</v>
      </c>
    </row>
    <row r="54" spans="1:10" ht="13.2" x14ac:dyDescent="0.25">
      <c r="A54" t="s">
        <v>112</v>
      </c>
      <c r="B54" t="s">
        <v>109</v>
      </c>
      <c r="C54" t="s">
        <v>61</v>
      </c>
      <c r="D54">
        <v>4.4000000000000004</v>
      </c>
      <c r="E54">
        <f t="shared" si="6"/>
        <v>10.5</v>
      </c>
      <c r="F54">
        <f t="shared" si="7"/>
        <v>22.5</v>
      </c>
      <c r="G54">
        <f t="shared" si="8"/>
        <v>0</v>
      </c>
      <c r="H54">
        <f t="shared" si="9"/>
        <v>0.2</v>
      </c>
      <c r="I54">
        <f t="shared" si="10"/>
        <v>4.5</v>
      </c>
      <c r="J54">
        <f t="shared" si="11"/>
        <v>14.7</v>
      </c>
    </row>
    <row r="55" spans="1:10" ht="13.2" x14ac:dyDescent="0.25">
      <c r="A55" t="s">
        <v>112</v>
      </c>
      <c r="B55" t="s">
        <v>109</v>
      </c>
      <c r="C55" t="s">
        <v>62</v>
      </c>
      <c r="D55">
        <v>7.1</v>
      </c>
      <c r="E55">
        <f t="shared" si="6"/>
        <v>10.5</v>
      </c>
      <c r="F55">
        <f t="shared" si="7"/>
        <v>22.5</v>
      </c>
      <c r="G55">
        <f t="shared" si="8"/>
        <v>0</v>
      </c>
      <c r="H55">
        <f t="shared" si="9"/>
        <v>2.7</v>
      </c>
      <c r="I55">
        <f t="shared" si="10"/>
        <v>4.5</v>
      </c>
      <c r="J55">
        <f t="shared" si="11"/>
        <v>14.7</v>
      </c>
    </row>
    <row r="56" spans="1:10" ht="13.2" x14ac:dyDescent="0.25">
      <c r="A56" t="s">
        <v>112</v>
      </c>
      <c r="B56" t="s">
        <v>109</v>
      </c>
      <c r="C56" t="s">
        <v>63</v>
      </c>
      <c r="D56">
        <v>6.1</v>
      </c>
      <c r="E56">
        <f t="shared" si="6"/>
        <v>10.5</v>
      </c>
      <c r="F56">
        <f t="shared" si="7"/>
        <v>22.5</v>
      </c>
      <c r="G56">
        <f t="shared" si="8"/>
        <v>0</v>
      </c>
      <c r="H56">
        <f t="shared" si="9"/>
        <v>1</v>
      </c>
      <c r="I56">
        <f t="shared" si="10"/>
        <v>4.5</v>
      </c>
      <c r="J56">
        <f t="shared" si="11"/>
        <v>14.7</v>
      </c>
    </row>
    <row r="57" spans="1:10" ht="13.2" x14ac:dyDescent="0.25">
      <c r="A57" t="s">
        <v>112</v>
      </c>
      <c r="B57" t="s">
        <v>109</v>
      </c>
      <c r="C57" t="s">
        <v>64</v>
      </c>
      <c r="D57">
        <v>3.6</v>
      </c>
      <c r="E57">
        <f t="shared" si="6"/>
        <v>10.5</v>
      </c>
      <c r="F57">
        <f t="shared" si="7"/>
        <v>22.5</v>
      </c>
      <c r="G57">
        <f t="shared" si="8"/>
        <v>0</v>
      </c>
      <c r="H57">
        <f t="shared" si="9"/>
        <v>2.5</v>
      </c>
      <c r="I57">
        <f t="shared" si="10"/>
        <v>4.5</v>
      </c>
      <c r="J57">
        <f t="shared" si="11"/>
        <v>14.7</v>
      </c>
    </row>
    <row r="58" spans="1:10" ht="13.2" x14ac:dyDescent="0.25">
      <c r="A58" t="s">
        <v>112</v>
      </c>
      <c r="B58" t="s">
        <v>109</v>
      </c>
      <c r="C58" t="s">
        <v>65</v>
      </c>
      <c r="D58">
        <v>10.5</v>
      </c>
      <c r="E58">
        <f t="shared" si="6"/>
        <v>10.5</v>
      </c>
      <c r="F58">
        <f t="shared" si="7"/>
        <v>22.5</v>
      </c>
      <c r="G58">
        <f t="shared" si="8"/>
        <v>0</v>
      </c>
      <c r="H58">
        <f t="shared" si="9"/>
        <v>6.9</v>
      </c>
      <c r="I58">
        <f t="shared" si="10"/>
        <v>4.5</v>
      </c>
      <c r="J58">
        <f t="shared" si="11"/>
        <v>14.7</v>
      </c>
    </row>
    <row r="59" spans="1:10" ht="13.2" x14ac:dyDescent="0.25">
      <c r="A59" t="s">
        <v>112</v>
      </c>
      <c r="B59" t="s">
        <v>109</v>
      </c>
      <c r="C59" t="s">
        <v>66</v>
      </c>
      <c r="D59">
        <v>14.8</v>
      </c>
      <c r="E59">
        <f t="shared" si="6"/>
        <v>10.5</v>
      </c>
      <c r="F59">
        <f t="shared" si="7"/>
        <v>22.5</v>
      </c>
      <c r="G59">
        <f t="shared" si="8"/>
        <v>0</v>
      </c>
      <c r="H59">
        <f t="shared" si="9"/>
        <v>4.3</v>
      </c>
      <c r="I59">
        <f t="shared" si="10"/>
        <v>4.5</v>
      </c>
      <c r="J59">
        <f t="shared" si="11"/>
        <v>14.7</v>
      </c>
    </row>
    <row r="60" spans="1:10" ht="13.2" x14ac:dyDescent="0.25">
      <c r="A60" t="s">
        <v>112</v>
      </c>
      <c r="B60" t="s">
        <v>109</v>
      </c>
      <c r="C60" t="s">
        <v>67</v>
      </c>
      <c r="D60">
        <v>10.9</v>
      </c>
      <c r="E60">
        <f t="shared" si="6"/>
        <v>10.5</v>
      </c>
      <c r="F60">
        <f t="shared" si="7"/>
        <v>22.5</v>
      </c>
      <c r="G60">
        <f t="shared" si="8"/>
        <v>0</v>
      </c>
      <c r="H60">
        <f t="shared" si="9"/>
        <v>3.9</v>
      </c>
      <c r="I60">
        <f t="shared" si="10"/>
        <v>4.5</v>
      </c>
      <c r="J60">
        <f t="shared" si="11"/>
        <v>14.7</v>
      </c>
    </row>
    <row r="61" spans="1:10" ht="13.2" x14ac:dyDescent="0.25">
      <c r="A61" t="s">
        <v>112</v>
      </c>
      <c r="B61" t="s">
        <v>109</v>
      </c>
      <c r="C61" t="s">
        <v>68</v>
      </c>
      <c r="D61">
        <v>10.5</v>
      </c>
      <c r="E61">
        <f t="shared" si="6"/>
        <v>10.5</v>
      </c>
      <c r="F61">
        <f t="shared" si="7"/>
        <v>22.5</v>
      </c>
      <c r="G61">
        <f t="shared" si="8"/>
        <v>0</v>
      </c>
      <c r="H61">
        <f t="shared" si="9"/>
        <v>0.4</v>
      </c>
      <c r="I61">
        <f t="shared" si="10"/>
        <v>4.5</v>
      </c>
      <c r="J61">
        <f t="shared" si="11"/>
        <v>14.7</v>
      </c>
    </row>
    <row r="62" spans="1:10" ht="13.2" x14ac:dyDescent="0.25">
      <c r="A62" t="s">
        <v>112</v>
      </c>
      <c r="B62" t="s">
        <v>109</v>
      </c>
      <c r="C62" t="s">
        <v>69</v>
      </c>
      <c r="D62">
        <v>13.4</v>
      </c>
      <c r="E62">
        <f t="shared" si="6"/>
        <v>10.5</v>
      </c>
      <c r="F62">
        <f t="shared" si="7"/>
        <v>22.5</v>
      </c>
      <c r="G62">
        <f t="shared" si="8"/>
        <v>0</v>
      </c>
      <c r="H62">
        <f t="shared" si="9"/>
        <v>2.9</v>
      </c>
      <c r="I62">
        <f t="shared" si="10"/>
        <v>4.5</v>
      </c>
      <c r="J62">
        <f t="shared" si="11"/>
        <v>14.7</v>
      </c>
    </row>
    <row r="63" spans="1:10" ht="13.2" x14ac:dyDescent="0.25">
      <c r="A63" t="s">
        <v>112</v>
      </c>
      <c r="B63" t="s">
        <v>109</v>
      </c>
      <c r="C63" t="s">
        <v>70</v>
      </c>
      <c r="D63">
        <v>18.100000000000001</v>
      </c>
      <c r="E63">
        <f t="shared" si="6"/>
        <v>10.5</v>
      </c>
      <c r="F63">
        <f t="shared" si="7"/>
        <v>22.5</v>
      </c>
      <c r="G63">
        <f t="shared" si="8"/>
        <v>0</v>
      </c>
      <c r="H63">
        <f t="shared" si="9"/>
        <v>4.7</v>
      </c>
      <c r="I63">
        <f t="shared" si="10"/>
        <v>4.5</v>
      </c>
      <c r="J63">
        <f t="shared" si="11"/>
        <v>14.7</v>
      </c>
    </row>
    <row r="64" spans="1:10" ht="13.2" x14ac:dyDescent="0.25">
      <c r="A64" t="s">
        <v>112</v>
      </c>
      <c r="B64" t="s">
        <v>109</v>
      </c>
      <c r="C64" t="s">
        <v>71</v>
      </c>
      <c r="D64">
        <v>15.4</v>
      </c>
      <c r="E64">
        <f t="shared" si="6"/>
        <v>10.5</v>
      </c>
      <c r="F64">
        <f t="shared" si="7"/>
        <v>22.5</v>
      </c>
      <c r="G64">
        <f t="shared" si="8"/>
        <v>0</v>
      </c>
      <c r="H64">
        <f t="shared" si="9"/>
        <v>2.7</v>
      </c>
      <c r="I64">
        <f t="shared" si="10"/>
        <v>4.5</v>
      </c>
      <c r="J64">
        <f t="shared" si="11"/>
        <v>14.7</v>
      </c>
    </row>
    <row r="65" spans="1:10" ht="13.2" x14ac:dyDescent="0.25">
      <c r="A65" t="s">
        <v>112</v>
      </c>
      <c r="B65" t="s">
        <v>109</v>
      </c>
      <c r="C65" t="s">
        <v>72</v>
      </c>
      <c r="D65">
        <v>19</v>
      </c>
      <c r="E65">
        <f t="shared" si="6"/>
        <v>10.5</v>
      </c>
      <c r="F65">
        <f t="shared" si="7"/>
        <v>22.5</v>
      </c>
      <c r="G65">
        <f t="shared" si="8"/>
        <v>0</v>
      </c>
      <c r="H65">
        <f t="shared" si="9"/>
        <v>3.6</v>
      </c>
      <c r="I65">
        <f t="shared" si="10"/>
        <v>4.5</v>
      </c>
      <c r="J65">
        <f t="shared" si="11"/>
        <v>14.7</v>
      </c>
    </row>
    <row r="66" spans="1:10" ht="13.2" x14ac:dyDescent="0.25">
      <c r="A66" t="s">
        <v>112</v>
      </c>
      <c r="B66" t="s">
        <v>109</v>
      </c>
      <c r="C66" t="s">
        <v>73</v>
      </c>
      <c r="D66">
        <v>13.4</v>
      </c>
      <c r="E66">
        <f t="shared" ref="E66:E78" si="12">ROUND(AVERAGE($D$2:$D$78),1)</f>
        <v>10.5</v>
      </c>
      <c r="F66">
        <f t="shared" ref="F66:F78" si="13">ROUND(E66+(2.66*I66),1)</f>
        <v>22.5</v>
      </c>
      <c r="G66">
        <f t="shared" ref="G66:G78" si="14">ROUND(MAX(0,E66-(2.66*I66)),1)</f>
        <v>0</v>
      </c>
      <c r="H66">
        <f t="shared" ref="H66:H78" si="15">ROUND(ABS(D65-D66),1)</f>
        <v>5.6</v>
      </c>
      <c r="I66">
        <f t="shared" ref="I66:I78" si="16">ROUND(AVERAGE($H$3:$H$78),1)</f>
        <v>4.5</v>
      </c>
      <c r="J66">
        <f t="shared" ref="J66:J78" si="17">ROUND(3.268*I66,1)</f>
        <v>14.7</v>
      </c>
    </row>
    <row r="67" spans="1:10" ht="13.2" x14ac:dyDescent="0.25">
      <c r="A67" t="s">
        <v>112</v>
      </c>
      <c r="B67" t="s">
        <v>109</v>
      </c>
      <c r="C67" t="s">
        <v>74</v>
      </c>
      <c r="D67">
        <v>10.199999999999999</v>
      </c>
      <c r="E67">
        <f t="shared" si="12"/>
        <v>10.5</v>
      </c>
      <c r="F67">
        <f t="shared" si="13"/>
        <v>22.5</v>
      </c>
      <c r="G67">
        <f t="shared" si="14"/>
        <v>0</v>
      </c>
      <c r="H67">
        <f t="shared" si="15"/>
        <v>3.2</v>
      </c>
      <c r="I67">
        <f t="shared" si="16"/>
        <v>4.5</v>
      </c>
      <c r="J67">
        <f t="shared" si="17"/>
        <v>14.7</v>
      </c>
    </row>
    <row r="68" spans="1:10" ht="13.2" x14ac:dyDescent="0.25">
      <c r="A68" t="s">
        <v>112</v>
      </c>
      <c r="B68" t="s">
        <v>109</v>
      </c>
      <c r="C68" t="s">
        <v>75</v>
      </c>
      <c r="D68">
        <v>13.1</v>
      </c>
      <c r="E68">
        <f t="shared" si="12"/>
        <v>10.5</v>
      </c>
      <c r="F68">
        <f t="shared" si="13"/>
        <v>22.5</v>
      </c>
      <c r="G68">
        <f t="shared" si="14"/>
        <v>0</v>
      </c>
      <c r="H68">
        <f t="shared" si="15"/>
        <v>2.9</v>
      </c>
      <c r="I68">
        <f t="shared" si="16"/>
        <v>4.5</v>
      </c>
      <c r="J68">
        <f t="shared" si="17"/>
        <v>14.7</v>
      </c>
    </row>
    <row r="69" spans="1:10" ht="13.2" x14ac:dyDescent="0.25">
      <c r="A69" t="s">
        <v>112</v>
      </c>
      <c r="B69" t="s">
        <v>109</v>
      </c>
      <c r="C69" t="s">
        <v>76</v>
      </c>
      <c r="D69">
        <v>18.100000000000001</v>
      </c>
      <c r="E69">
        <f t="shared" si="12"/>
        <v>10.5</v>
      </c>
      <c r="F69">
        <f t="shared" si="13"/>
        <v>22.5</v>
      </c>
      <c r="G69">
        <f t="shared" si="14"/>
        <v>0</v>
      </c>
      <c r="H69">
        <f t="shared" si="15"/>
        <v>5</v>
      </c>
      <c r="I69">
        <f t="shared" si="16"/>
        <v>4.5</v>
      </c>
      <c r="J69">
        <f t="shared" si="17"/>
        <v>14.7</v>
      </c>
    </row>
    <row r="70" spans="1:10" ht="13.2" x14ac:dyDescent="0.25">
      <c r="A70" t="s">
        <v>112</v>
      </c>
      <c r="B70" t="s">
        <v>109</v>
      </c>
      <c r="C70" t="s">
        <v>77</v>
      </c>
      <c r="D70">
        <v>14.4</v>
      </c>
      <c r="E70">
        <f t="shared" si="12"/>
        <v>10.5</v>
      </c>
      <c r="F70">
        <f t="shared" si="13"/>
        <v>22.5</v>
      </c>
      <c r="G70">
        <f t="shared" si="14"/>
        <v>0</v>
      </c>
      <c r="H70">
        <f t="shared" si="15"/>
        <v>3.7</v>
      </c>
      <c r="I70">
        <f t="shared" si="16"/>
        <v>4.5</v>
      </c>
      <c r="J70">
        <f t="shared" si="17"/>
        <v>14.7</v>
      </c>
    </row>
    <row r="71" spans="1:10" ht="13.2" x14ac:dyDescent="0.25">
      <c r="A71" t="s">
        <v>112</v>
      </c>
      <c r="B71" t="s">
        <v>109</v>
      </c>
      <c r="C71" t="s">
        <v>78</v>
      </c>
      <c r="D71">
        <v>15</v>
      </c>
      <c r="E71">
        <f t="shared" si="12"/>
        <v>10.5</v>
      </c>
      <c r="F71">
        <f t="shared" si="13"/>
        <v>22.5</v>
      </c>
      <c r="G71">
        <f t="shared" si="14"/>
        <v>0</v>
      </c>
      <c r="H71">
        <f t="shared" si="15"/>
        <v>0.6</v>
      </c>
      <c r="I71">
        <f t="shared" si="16"/>
        <v>4.5</v>
      </c>
      <c r="J71">
        <f t="shared" si="17"/>
        <v>14.7</v>
      </c>
    </row>
    <row r="72" spans="1:10" ht="13.2" x14ac:dyDescent="0.25">
      <c r="A72" t="s">
        <v>112</v>
      </c>
      <c r="B72" t="s">
        <v>109</v>
      </c>
      <c r="C72" t="s">
        <v>79</v>
      </c>
      <c r="D72">
        <v>10.8</v>
      </c>
      <c r="E72">
        <f t="shared" si="12"/>
        <v>10.5</v>
      </c>
      <c r="F72">
        <f t="shared" si="13"/>
        <v>22.5</v>
      </c>
      <c r="G72">
        <f t="shared" si="14"/>
        <v>0</v>
      </c>
      <c r="H72">
        <f t="shared" si="15"/>
        <v>4.2</v>
      </c>
      <c r="I72">
        <f t="shared" si="16"/>
        <v>4.5</v>
      </c>
      <c r="J72">
        <f t="shared" si="17"/>
        <v>14.7</v>
      </c>
    </row>
    <row r="73" spans="1:10" ht="13.2" x14ac:dyDescent="0.25">
      <c r="A73" t="s">
        <v>112</v>
      </c>
      <c r="B73" t="s">
        <v>109</v>
      </c>
      <c r="C73" t="s">
        <v>80</v>
      </c>
      <c r="D73">
        <v>5.4</v>
      </c>
      <c r="E73">
        <f t="shared" si="12"/>
        <v>10.5</v>
      </c>
      <c r="F73">
        <f t="shared" si="13"/>
        <v>22.5</v>
      </c>
      <c r="G73">
        <f t="shared" si="14"/>
        <v>0</v>
      </c>
      <c r="H73">
        <f t="shared" si="15"/>
        <v>5.4</v>
      </c>
      <c r="I73">
        <f t="shared" si="16"/>
        <v>4.5</v>
      </c>
      <c r="J73">
        <f t="shared" si="17"/>
        <v>14.7</v>
      </c>
    </row>
    <row r="74" spans="1:10" ht="13.2" x14ac:dyDescent="0.25">
      <c r="A74" t="s">
        <v>112</v>
      </c>
      <c r="B74" t="s">
        <v>109</v>
      </c>
      <c r="C74" t="s">
        <v>81</v>
      </c>
      <c r="D74">
        <v>3.2</v>
      </c>
      <c r="E74">
        <f t="shared" si="12"/>
        <v>10.5</v>
      </c>
      <c r="F74">
        <f t="shared" si="13"/>
        <v>22.5</v>
      </c>
      <c r="G74">
        <f t="shared" si="14"/>
        <v>0</v>
      </c>
      <c r="H74">
        <f t="shared" si="15"/>
        <v>2.2000000000000002</v>
      </c>
      <c r="I74">
        <f t="shared" si="16"/>
        <v>4.5</v>
      </c>
      <c r="J74">
        <f t="shared" si="17"/>
        <v>14.7</v>
      </c>
    </row>
    <row r="75" spans="1:10" ht="13.2" x14ac:dyDescent="0.25">
      <c r="A75" t="s">
        <v>112</v>
      </c>
      <c r="B75" t="s">
        <v>109</v>
      </c>
      <c r="C75" t="s">
        <v>82</v>
      </c>
      <c r="D75">
        <v>1.9</v>
      </c>
      <c r="E75">
        <f t="shared" si="12"/>
        <v>10.5</v>
      </c>
      <c r="F75">
        <f t="shared" si="13"/>
        <v>22.5</v>
      </c>
      <c r="G75">
        <f t="shared" si="14"/>
        <v>0</v>
      </c>
      <c r="H75">
        <f t="shared" si="15"/>
        <v>1.3</v>
      </c>
      <c r="I75">
        <f t="shared" si="16"/>
        <v>4.5</v>
      </c>
      <c r="J75">
        <f t="shared" si="17"/>
        <v>14.7</v>
      </c>
    </row>
    <row r="76" spans="1:10" ht="13.2" x14ac:dyDescent="0.25">
      <c r="A76" t="s">
        <v>112</v>
      </c>
      <c r="B76" t="s">
        <v>109</v>
      </c>
      <c r="C76" t="s">
        <v>83</v>
      </c>
      <c r="D76">
        <v>3.6</v>
      </c>
      <c r="E76">
        <f t="shared" si="12"/>
        <v>10.5</v>
      </c>
      <c r="F76">
        <f t="shared" si="13"/>
        <v>22.5</v>
      </c>
      <c r="G76">
        <f t="shared" si="14"/>
        <v>0</v>
      </c>
      <c r="H76">
        <f t="shared" si="15"/>
        <v>1.7</v>
      </c>
      <c r="I76">
        <f t="shared" si="16"/>
        <v>4.5</v>
      </c>
      <c r="J76">
        <f t="shared" si="17"/>
        <v>14.7</v>
      </c>
    </row>
    <row r="77" spans="1:10" ht="13.2" x14ac:dyDescent="0.25">
      <c r="A77" t="s">
        <v>112</v>
      </c>
      <c r="B77" t="s">
        <v>109</v>
      </c>
      <c r="C77" t="s">
        <v>84</v>
      </c>
      <c r="D77">
        <v>18.3</v>
      </c>
      <c r="E77">
        <f t="shared" si="12"/>
        <v>10.5</v>
      </c>
      <c r="F77">
        <f t="shared" si="13"/>
        <v>22.5</v>
      </c>
      <c r="G77">
        <f t="shared" si="14"/>
        <v>0</v>
      </c>
      <c r="H77">
        <f t="shared" si="15"/>
        <v>14.7</v>
      </c>
      <c r="I77">
        <f t="shared" si="16"/>
        <v>4.5</v>
      </c>
      <c r="J77">
        <f t="shared" si="17"/>
        <v>14.7</v>
      </c>
    </row>
    <row r="78" spans="1:10" ht="13.2" x14ac:dyDescent="0.25">
      <c r="A78" t="s">
        <v>112</v>
      </c>
      <c r="B78" t="s">
        <v>109</v>
      </c>
      <c r="C78" t="s">
        <v>85</v>
      </c>
      <c r="D78">
        <v>12.2</v>
      </c>
      <c r="E78">
        <f t="shared" si="12"/>
        <v>10.5</v>
      </c>
      <c r="F78">
        <f t="shared" si="13"/>
        <v>22.5</v>
      </c>
      <c r="G78">
        <f t="shared" si="14"/>
        <v>0</v>
      </c>
      <c r="H78">
        <f t="shared" si="15"/>
        <v>6.1</v>
      </c>
      <c r="I78">
        <f t="shared" si="16"/>
        <v>4.5</v>
      </c>
      <c r="J78">
        <f t="shared" si="17"/>
        <v>14.7</v>
      </c>
    </row>
    <row r="79" spans="1:10" ht="13.2" x14ac:dyDescent="0.25"/>
    <row r="80" spans="1:10" ht="13.2" x14ac:dyDescent="0.25">
      <c r="A80" t="s">
        <v>111</v>
      </c>
      <c r="B80" t="s">
        <v>108</v>
      </c>
      <c r="C80" t="s">
        <v>1</v>
      </c>
      <c r="D80" t="s">
        <v>2</v>
      </c>
      <c r="E80" s="9" t="s">
        <v>3</v>
      </c>
      <c r="F80" s="9" t="s">
        <v>4</v>
      </c>
      <c r="G80" s="9" t="s">
        <v>5</v>
      </c>
      <c r="H80" s="9" t="s">
        <v>6</v>
      </c>
      <c r="I80" s="9" t="s">
        <v>7</v>
      </c>
      <c r="J80" s="9" t="s">
        <v>8</v>
      </c>
    </row>
    <row r="81" spans="1:10" ht="13.2" x14ac:dyDescent="0.25">
      <c r="A81" t="s">
        <v>112</v>
      </c>
      <c r="B81" t="s">
        <v>110</v>
      </c>
      <c r="C81" t="s">
        <v>86</v>
      </c>
      <c r="D81">
        <v>2.2000000000000002</v>
      </c>
      <c r="E81">
        <f t="shared" ref="E81:E102" si="18">ROUND(AVERAGE($D$81:$D$102),1)</f>
        <v>2.1</v>
      </c>
      <c r="F81">
        <f t="shared" ref="F81:F102" si="19">ROUND(E81+(2.66*I81),1)</f>
        <v>4.8</v>
      </c>
      <c r="G81">
        <f t="shared" ref="G81:G102" si="20">ROUND(MAX(0,AVERAGE(E81-(2.66*I81))),1)</f>
        <v>0</v>
      </c>
      <c r="I81">
        <f t="shared" ref="I81:I102" si="21">ROUND(AVERAGE($H$82:$H$102),1)</f>
        <v>1</v>
      </c>
      <c r="J81">
        <f t="shared" ref="J81:J102" si="22">ROUND(3.268*I81,1)</f>
        <v>3.3</v>
      </c>
    </row>
    <row r="82" spans="1:10" ht="13.2" x14ac:dyDescent="0.25">
      <c r="A82" t="s">
        <v>112</v>
      </c>
      <c r="B82" t="s">
        <v>110</v>
      </c>
      <c r="C82" t="s">
        <v>87</v>
      </c>
      <c r="D82">
        <v>1.2</v>
      </c>
      <c r="E82">
        <f t="shared" si="18"/>
        <v>2.1</v>
      </c>
      <c r="F82">
        <f t="shared" si="19"/>
        <v>4.8</v>
      </c>
      <c r="G82">
        <f t="shared" si="20"/>
        <v>0</v>
      </c>
      <c r="H82">
        <f>ROUND(ABS(D81-D82),1)</f>
        <v>1</v>
      </c>
      <c r="I82">
        <f t="shared" si="21"/>
        <v>1</v>
      </c>
      <c r="J82">
        <f t="shared" si="22"/>
        <v>3.3</v>
      </c>
    </row>
    <row r="83" spans="1:10" ht="13.2" x14ac:dyDescent="0.25">
      <c r="A83" t="s">
        <v>112</v>
      </c>
      <c r="B83" t="s">
        <v>110</v>
      </c>
      <c r="C83" t="s">
        <v>88</v>
      </c>
      <c r="D83">
        <v>1.9</v>
      </c>
      <c r="E83">
        <f t="shared" si="18"/>
        <v>2.1</v>
      </c>
      <c r="F83">
        <f t="shared" si="19"/>
        <v>4.8</v>
      </c>
      <c r="G83">
        <f t="shared" si="20"/>
        <v>0</v>
      </c>
      <c r="H83">
        <f t="shared" ref="H83:H102" si="23">ROUND(ABS(D82-D83),1)</f>
        <v>0.7</v>
      </c>
      <c r="I83">
        <f t="shared" si="21"/>
        <v>1</v>
      </c>
      <c r="J83">
        <f t="shared" si="22"/>
        <v>3.3</v>
      </c>
    </row>
    <row r="84" spans="1:10" ht="13.2" x14ac:dyDescent="0.25">
      <c r="A84" t="s">
        <v>112</v>
      </c>
      <c r="B84" t="s">
        <v>110</v>
      </c>
      <c r="C84" t="s">
        <v>89</v>
      </c>
      <c r="D84">
        <v>4.5999999999999996</v>
      </c>
      <c r="E84">
        <f t="shared" si="18"/>
        <v>2.1</v>
      </c>
      <c r="F84">
        <f t="shared" si="19"/>
        <v>4.8</v>
      </c>
      <c r="G84">
        <f t="shared" si="20"/>
        <v>0</v>
      </c>
      <c r="H84">
        <f t="shared" si="23"/>
        <v>2.7</v>
      </c>
      <c r="I84">
        <f t="shared" si="21"/>
        <v>1</v>
      </c>
      <c r="J84">
        <f t="shared" si="22"/>
        <v>3.3</v>
      </c>
    </row>
    <row r="85" spans="1:10" ht="13.2" x14ac:dyDescent="0.25">
      <c r="A85" t="s">
        <v>112</v>
      </c>
      <c r="B85" t="s">
        <v>110</v>
      </c>
      <c r="C85" t="s">
        <v>90</v>
      </c>
      <c r="D85">
        <v>4</v>
      </c>
      <c r="E85">
        <f t="shared" si="18"/>
        <v>2.1</v>
      </c>
      <c r="F85">
        <f t="shared" si="19"/>
        <v>4.8</v>
      </c>
      <c r="G85">
        <f t="shared" si="20"/>
        <v>0</v>
      </c>
      <c r="H85">
        <f t="shared" si="23"/>
        <v>0.6</v>
      </c>
      <c r="I85">
        <f t="shared" si="21"/>
        <v>1</v>
      </c>
      <c r="J85">
        <f t="shared" si="22"/>
        <v>3.3</v>
      </c>
    </row>
    <row r="86" spans="1:10" ht="13.2" x14ac:dyDescent="0.25">
      <c r="A86" t="s">
        <v>112</v>
      </c>
      <c r="B86" t="s">
        <v>110</v>
      </c>
      <c r="C86" t="s">
        <v>91</v>
      </c>
      <c r="D86">
        <v>4.5</v>
      </c>
      <c r="E86">
        <f t="shared" si="18"/>
        <v>2.1</v>
      </c>
      <c r="F86">
        <f t="shared" si="19"/>
        <v>4.8</v>
      </c>
      <c r="G86">
        <f t="shared" si="20"/>
        <v>0</v>
      </c>
      <c r="H86">
        <f t="shared" si="23"/>
        <v>0.5</v>
      </c>
      <c r="I86">
        <f t="shared" si="21"/>
        <v>1</v>
      </c>
      <c r="J86">
        <f t="shared" si="22"/>
        <v>3.3</v>
      </c>
    </row>
    <row r="87" spans="1:10" ht="13.2" x14ac:dyDescent="0.25">
      <c r="A87" t="s">
        <v>112</v>
      </c>
      <c r="B87" t="s">
        <v>110</v>
      </c>
      <c r="C87" t="s">
        <v>92</v>
      </c>
      <c r="D87">
        <v>2.9</v>
      </c>
      <c r="E87">
        <f t="shared" si="18"/>
        <v>2.1</v>
      </c>
      <c r="F87">
        <f t="shared" si="19"/>
        <v>4.8</v>
      </c>
      <c r="G87">
        <f t="shared" si="20"/>
        <v>0</v>
      </c>
      <c r="H87">
        <f t="shared" si="23"/>
        <v>1.6</v>
      </c>
      <c r="I87">
        <f t="shared" si="21"/>
        <v>1</v>
      </c>
      <c r="J87">
        <f t="shared" si="22"/>
        <v>3.3</v>
      </c>
    </row>
    <row r="88" spans="1:10" ht="13.2" x14ac:dyDescent="0.25">
      <c r="A88" t="s">
        <v>112</v>
      </c>
      <c r="B88" t="s">
        <v>110</v>
      </c>
      <c r="C88" t="s">
        <v>93</v>
      </c>
      <c r="D88">
        <v>3.5</v>
      </c>
      <c r="E88">
        <f t="shared" si="18"/>
        <v>2.1</v>
      </c>
      <c r="F88">
        <f t="shared" si="19"/>
        <v>4.8</v>
      </c>
      <c r="G88">
        <f t="shared" si="20"/>
        <v>0</v>
      </c>
      <c r="H88">
        <f t="shared" si="23"/>
        <v>0.6</v>
      </c>
      <c r="I88">
        <f t="shared" si="21"/>
        <v>1</v>
      </c>
      <c r="J88">
        <f t="shared" si="22"/>
        <v>3.3</v>
      </c>
    </row>
    <row r="89" spans="1:10" ht="13.2" x14ac:dyDescent="0.25">
      <c r="A89" t="s">
        <v>112</v>
      </c>
      <c r="B89" t="s">
        <v>110</v>
      </c>
      <c r="C89" t="s">
        <v>94</v>
      </c>
      <c r="D89">
        <v>0.7</v>
      </c>
      <c r="E89">
        <f t="shared" si="18"/>
        <v>2.1</v>
      </c>
      <c r="F89">
        <f t="shared" si="19"/>
        <v>4.8</v>
      </c>
      <c r="G89">
        <f t="shared" si="20"/>
        <v>0</v>
      </c>
      <c r="H89">
        <f t="shared" si="23"/>
        <v>2.8</v>
      </c>
      <c r="I89">
        <f t="shared" si="21"/>
        <v>1</v>
      </c>
      <c r="J89">
        <f t="shared" si="22"/>
        <v>3.3</v>
      </c>
    </row>
    <row r="90" spans="1:10" ht="13.2" x14ac:dyDescent="0.25">
      <c r="A90" t="s">
        <v>112</v>
      </c>
      <c r="B90" t="s">
        <v>110</v>
      </c>
      <c r="C90" t="s">
        <v>95</v>
      </c>
      <c r="D90">
        <v>0</v>
      </c>
      <c r="E90">
        <f t="shared" si="18"/>
        <v>2.1</v>
      </c>
      <c r="F90">
        <f t="shared" si="19"/>
        <v>4.8</v>
      </c>
      <c r="G90">
        <f t="shared" si="20"/>
        <v>0</v>
      </c>
      <c r="H90">
        <f t="shared" si="23"/>
        <v>0.7</v>
      </c>
      <c r="I90">
        <f t="shared" si="21"/>
        <v>1</v>
      </c>
      <c r="J90">
        <f t="shared" si="22"/>
        <v>3.3</v>
      </c>
    </row>
    <row r="91" spans="1:10" ht="13.2" x14ac:dyDescent="0.25">
      <c r="A91" t="s">
        <v>112</v>
      </c>
      <c r="B91" t="s">
        <v>110</v>
      </c>
      <c r="C91" t="s">
        <v>96</v>
      </c>
      <c r="D91">
        <v>0.7</v>
      </c>
      <c r="E91">
        <f t="shared" si="18"/>
        <v>2.1</v>
      </c>
      <c r="F91">
        <f t="shared" si="19"/>
        <v>4.8</v>
      </c>
      <c r="G91">
        <f t="shared" si="20"/>
        <v>0</v>
      </c>
      <c r="H91">
        <f t="shared" si="23"/>
        <v>0.7</v>
      </c>
      <c r="I91">
        <f t="shared" si="21"/>
        <v>1</v>
      </c>
      <c r="J91">
        <f t="shared" si="22"/>
        <v>3.3</v>
      </c>
    </row>
    <row r="92" spans="1:10" ht="13.2" x14ac:dyDescent="0.25">
      <c r="A92" t="s">
        <v>112</v>
      </c>
      <c r="B92" t="s">
        <v>110</v>
      </c>
      <c r="C92" t="s">
        <v>97</v>
      </c>
      <c r="D92">
        <v>1</v>
      </c>
      <c r="E92">
        <f t="shared" si="18"/>
        <v>2.1</v>
      </c>
      <c r="F92">
        <f t="shared" si="19"/>
        <v>4.8</v>
      </c>
      <c r="G92">
        <f t="shared" si="20"/>
        <v>0</v>
      </c>
      <c r="H92">
        <f t="shared" si="23"/>
        <v>0.3</v>
      </c>
      <c r="I92">
        <f t="shared" si="21"/>
        <v>1</v>
      </c>
      <c r="J92">
        <f t="shared" si="22"/>
        <v>3.3</v>
      </c>
    </row>
    <row r="93" spans="1:10" ht="13.2" x14ac:dyDescent="0.25">
      <c r="A93" t="s">
        <v>112</v>
      </c>
      <c r="B93" t="s">
        <v>110</v>
      </c>
      <c r="C93" t="s">
        <v>98</v>
      </c>
      <c r="D93">
        <v>1.1000000000000001</v>
      </c>
      <c r="E93">
        <f t="shared" si="18"/>
        <v>2.1</v>
      </c>
      <c r="F93">
        <f t="shared" si="19"/>
        <v>4.8</v>
      </c>
      <c r="G93">
        <f t="shared" si="20"/>
        <v>0</v>
      </c>
      <c r="H93">
        <f t="shared" si="23"/>
        <v>0.1</v>
      </c>
      <c r="I93">
        <f t="shared" si="21"/>
        <v>1</v>
      </c>
      <c r="J93">
        <f t="shared" si="22"/>
        <v>3.3</v>
      </c>
    </row>
    <row r="94" spans="1:10" ht="13.2" x14ac:dyDescent="0.25">
      <c r="A94" t="s">
        <v>112</v>
      </c>
      <c r="B94" t="s">
        <v>110</v>
      </c>
      <c r="C94" t="s">
        <v>99</v>
      </c>
      <c r="D94">
        <v>0.4</v>
      </c>
      <c r="E94">
        <f t="shared" si="18"/>
        <v>2.1</v>
      </c>
      <c r="F94">
        <f t="shared" si="19"/>
        <v>4.8</v>
      </c>
      <c r="G94">
        <f t="shared" si="20"/>
        <v>0</v>
      </c>
      <c r="H94">
        <f t="shared" si="23"/>
        <v>0.7</v>
      </c>
      <c r="I94">
        <f t="shared" si="21"/>
        <v>1</v>
      </c>
      <c r="J94">
        <f t="shared" si="22"/>
        <v>3.3</v>
      </c>
    </row>
    <row r="95" spans="1:10" ht="13.2" x14ac:dyDescent="0.25">
      <c r="A95" t="s">
        <v>112</v>
      </c>
      <c r="B95" t="s">
        <v>110</v>
      </c>
      <c r="C95" t="s">
        <v>100</v>
      </c>
      <c r="D95">
        <v>0</v>
      </c>
      <c r="E95">
        <f t="shared" si="18"/>
        <v>2.1</v>
      </c>
      <c r="F95">
        <f t="shared" si="19"/>
        <v>4.8</v>
      </c>
      <c r="G95">
        <f t="shared" si="20"/>
        <v>0</v>
      </c>
      <c r="H95">
        <f t="shared" si="23"/>
        <v>0.4</v>
      </c>
      <c r="I95">
        <f t="shared" si="21"/>
        <v>1</v>
      </c>
      <c r="J95">
        <f t="shared" si="22"/>
        <v>3.3</v>
      </c>
    </row>
    <row r="96" spans="1:10" ht="13.2" x14ac:dyDescent="0.25">
      <c r="A96" t="s">
        <v>112</v>
      </c>
      <c r="B96" t="s">
        <v>110</v>
      </c>
      <c r="C96" t="s">
        <v>101</v>
      </c>
      <c r="D96">
        <v>1</v>
      </c>
      <c r="E96">
        <f t="shared" si="18"/>
        <v>2.1</v>
      </c>
      <c r="F96">
        <f t="shared" si="19"/>
        <v>4.8</v>
      </c>
      <c r="G96">
        <f t="shared" si="20"/>
        <v>0</v>
      </c>
      <c r="H96">
        <f t="shared" si="23"/>
        <v>1</v>
      </c>
      <c r="I96">
        <f t="shared" si="21"/>
        <v>1</v>
      </c>
      <c r="J96">
        <f t="shared" si="22"/>
        <v>3.3</v>
      </c>
    </row>
    <row r="97" spans="1:10" ht="13.2" x14ac:dyDescent="0.25">
      <c r="A97" t="s">
        <v>112</v>
      </c>
      <c r="B97" t="s">
        <v>110</v>
      </c>
      <c r="C97" t="s">
        <v>102</v>
      </c>
      <c r="D97">
        <v>2.2999999999999998</v>
      </c>
      <c r="E97">
        <f t="shared" si="18"/>
        <v>2.1</v>
      </c>
      <c r="F97">
        <f t="shared" si="19"/>
        <v>4.8</v>
      </c>
      <c r="G97">
        <f t="shared" si="20"/>
        <v>0</v>
      </c>
      <c r="H97">
        <f t="shared" si="23"/>
        <v>1.3</v>
      </c>
      <c r="I97">
        <f t="shared" si="21"/>
        <v>1</v>
      </c>
      <c r="J97">
        <f t="shared" si="22"/>
        <v>3.3</v>
      </c>
    </row>
    <row r="98" spans="1:10" ht="13.2" x14ac:dyDescent="0.25">
      <c r="A98" t="s">
        <v>112</v>
      </c>
      <c r="B98" t="s">
        <v>110</v>
      </c>
      <c r="C98" t="s">
        <v>103</v>
      </c>
      <c r="D98">
        <v>2.9</v>
      </c>
      <c r="E98">
        <f t="shared" si="18"/>
        <v>2.1</v>
      </c>
      <c r="F98">
        <f t="shared" si="19"/>
        <v>4.8</v>
      </c>
      <c r="G98">
        <f t="shared" si="20"/>
        <v>0</v>
      </c>
      <c r="H98">
        <f t="shared" si="23"/>
        <v>0.6</v>
      </c>
      <c r="I98">
        <f t="shared" si="21"/>
        <v>1</v>
      </c>
      <c r="J98">
        <f t="shared" si="22"/>
        <v>3.3</v>
      </c>
    </row>
    <row r="99" spans="1:10" ht="13.2" x14ac:dyDescent="0.25">
      <c r="A99" t="s">
        <v>112</v>
      </c>
      <c r="B99" t="s">
        <v>110</v>
      </c>
      <c r="C99" t="s">
        <v>104</v>
      </c>
      <c r="D99">
        <v>1.3</v>
      </c>
      <c r="E99">
        <f t="shared" si="18"/>
        <v>2.1</v>
      </c>
      <c r="F99">
        <f t="shared" si="19"/>
        <v>4.8</v>
      </c>
      <c r="G99">
        <f t="shared" si="20"/>
        <v>0</v>
      </c>
      <c r="H99">
        <f t="shared" si="23"/>
        <v>1.6</v>
      </c>
      <c r="I99">
        <f t="shared" si="21"/>
        <v>1</v>
      </c>
      <c r="J99">
        <f t="shared" si="22"/>
        <v>3.3</v>
      </c>
    </row>
    <row r="100" spans="1:10" ht="13.2" x14ac:dyDescent="0.25">
      <c r="A100" t="s">
        <v>112</v>
      </c>
      <c r="B100" t="s">
        <v>110</v>
      </c>
      <c r="C100" t="s">
        <v>105</v>
      </c>
      <c r="D100">
        <v>2.2000000000000002</v>
      </c>
      <c r="E100">
        <f t="shared" si="18"/>
        <v>2.1</v>
      </c>
      <c r="F100">
        <f t="shared" si="19"/>
        <v>4.8</v>
      </c>
      <c r="G100">
        <f t="shared" si="20"/>
        <v>0</v>
      </c>
      <c r="H100">
        <f t="shared" si="23"/>
        <v>0.9</v>
      </c>
      <c r="I100">
        <f t="shared" si="21"/>
        <v>1</v>
      </c>
      <c r="J100">
        <f t="shared" si="22"/>
        <v>3.3</v>
      </c>
    </row>
    <row r="101" spans="1:10" ht="13.2" x14ac:dyDescent="0.25">
      <c r="A101" t="s">
        <v>112</v>
      </c>
      <c r="B101" t="s">
        <v>110</v>
      </c>
      <c r="C101" t="s">
        <v>106</v>
      </c>
      <c r="D101">
        <v>3.1</v>
      </c>
      <c r="E101">
        <f t="shared" si="18"/>
        <v>2.1</v>
      </c>
      <c r="F101">
        <f t="shared" si="19"/>
        <v>4.8</v>
      </c>
      <c r="G101">
        <f t="shared" si="20"/>
        <v>0</v>
      </c>
      <c r="H101">
        <f t="shared" si="23"/>
        <v>0.9</v>
      </c>
      <c r="I101">
        <f t="shared" si="21"/>
        <v>1</v>
      </c>
      <c r="J101">
        <f t="shared" si="22"/>
        <v>3.3</v>
      </c>
    </row>
    <row r="102" spans="1:10" ht="13.2" x14ac:dyDescent="0.25">
      <c r="A102" t="s">
        <v>112</v>
      </c>
      <c r="B102" t="s">
        <v>110</v>
      </c>
      <c r="C102" t="s">
        <v>107</v>
      </c>
      <c r="D102">
        <v>4.9000000000000004</v>
      </c>
      <c r="E102">
        <f t="shared" si="18"/>
        <v>2.1</v>
      </c>
      <c r="F102">
        <f t="shared" si="19"/>
        <v>4.8</v>
      </c>
      <c r="G102">
        <f t="shared" si="20"/>
        <v>0</v>
      </c>
      <c r="H102">
        <f t="shared" si="23"/>
        <v>1.8</v>
      </c>
      <c r="I102">
        <f t="shared" si="21"/>
        <v>1</v>
      </c>
      <c r="J102">
        <f t="shared" si="22"/>
        <v>3.3</v>
      </c>
    </row>
  </sheetData>
  <pageMargins left="0.7" right="0.7" top="0.75" bottom="0.75" header="0.3" footer="0.3"/>
  <drawing r:id="rId1"/>
  <tableParts count="2">
    <tablePart r:id="rId2"/>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A23EBF-877C-4EB1-A112-68C0E21C18C8}">
  <sheetPr>
    <outlinePr summaryBelow="0" summaryRight="0"/>
  </sheetPr>
  <dimension ref="A1:J102"/>
  <sheetViews>
    <sheetView workbookViewId="0">
      <selection activeCell="H38" sqref="H38"/>
    </sheetView>
  </sheetViews>
  <sheetFormatPr defaultColWidth="12.6640625" defaultRowHeight="15.75" customHeight="1" x14ac:dyDescent="0.25"/>
  <cols>
    <col min="1" max="1" width="20.77734375" bestFit="1" customWidth="1"/>
    <col min="2" max="2" width="16.109375" bestFit="1" customWidth="1"/>
    <col min="4" max="4" width="7.21875" bestFit="1" customWidth="1"/>
  </cols>
  <sheetData>
    <row r="1" spans="1:10" ht="13.2" x14ac:dyDescent="0.25">
      <c r="A1" t="s">
        <v>111</v>
      </c>
      <c r="B1" t="s">
        <v>108</v>
      </c>
      <c r="C1" t="s">
        <v>1</v>
      </c>
      <c r="D1" t="s">
        <v>2</v>
      </c>
      <c r="E1" s="9" t="s">
        <v>3</v>
      </c>
      <c r="F1" s="9" t="s">
        <v>4</v>
      </c>
      <c r="G1" s="9" t="s">
        <v>5</v>
      </c>
      <c r="H1" s="9" t="s">
        <v>6</v>
      </c>
      <c r="I1" s="9" t="s">
        <v>7</v>
      </c>
      <c r="J1" s="9" t="s">
        <v>8</v>
      </c>
    </row>
    <row r="2" spans="1:10" ht="13.2" x14ac:dyDescent="0.25">
      <c r="A2" t="s">
        <v>112</v>
      </c>
      <c r="B2" t="s">
        <v>110</v>
      </c>
      <c r="C2" t="s">
        <v>86</v>
      </c>
      <c r="D2">
        <v>2.2000000000000002</v>
      </c>
      <c r="E2">
        <f t="shared" ref="E2:E23" si="0">ROUND(AVERAGE($D$2:$D$23),1)</f>
        <v>2.1</v>
      </c>
      <c r="F2">
        <f t="shared" ref="F2:F23" si="1">ROUND(E2+(2.66*I2),1)</f>
        <v>4.8</v>
      </c>
      <c r="G2">
        <f t="shared" ref="G2:G23" si="2">ROUND(MAX(0,AVERAGE(E2-(2.66*I2))),1)</f>
        <v>0</v>
      </c>
      <c r="I2">
        <f t="shared" ref="I2:I23" si="3">ROUND(AVERAGE($H$3:$H$23),1)</f>
        <v>1</v>
      </c>
      <c r="J2">
        <f t="shared" ref="J2:J23" si="4">ROUND(3.268*I2,1)</f>
        <v>3.3</v>
      </c>
    </row>
    <row r="3" spans="1:10" ht="13.2" x14ac:dyDescent="0.25">
      <c r="A3" t="s">
        <v>112</v>
      </c>
      <c r="B3" t="s">
        <v>110</v>
      </c>
      <c r="C3" t="s">
        <v>87</v>
      </c>
      <c r="D3">
        <v>1.2</v>
      </c>
      <c r="E3">
        <f t="shared" si="0"/>
        <v>2.1</v>
      </c>
      <c r="F3">
        <f t="shared" si="1"/>
        <v>4.8</v>
      </c>
      <c r="G3">
        <f t="shared" si="2"/>
        <v>0</v>
      </c>
      <c r="H3">
        <f>ROUND(ABS(D2-D3),1)</f>
        <v>1</v>
      </c>
      <c r="I3">
        <f t="shared" si="3"/>
        <v>1</v>
      </c>
      <c r="J3">
        <f t="shared" si="4"/>
        <v>3.3</v>
      </c>
    </row>
    <row r="4" spans="1:10" ht="13.2" x14ac:dyDescent="0.25">
      <c r="A4" t="s">
        <v>112</v>
      </c>
      <c r="B4" t="s">
        <v>110</v>
      </c>
      <c r="C4" t="s">
        <v>88</v>
      </c>
      <c r="D4">
        <v>1.9</v>
      </c>
      <c r="E4">
        <f t="shared" si="0"/>
        <v>2.1</v>
      </c>
      <c r="F4">
        <f t="shared" si="1"/>
        <v>4.8</v>
      </c>
      <c r="G4">
        <f t="shared" si="2"/>
        <v>0</v>
      </c>
      <c r="H4">
        <f t="shared" ref="H4:H23" si="5">ROUND(ABS(D3-D4),1)</f>
        <v>0.7</v>
      </c>
      <c r="I4">
        <f t="shared" si="3"/>
        <v>1</v>
      </c>
      <c r="J4">
        <f t="shared" si="4"/>
        <v>3.3</v>
      </c>
    </row>
    <row r="5" spans="1:10" ht="13.2" x14ac:dyDescent="0.25">
      <c r="A5" t="s">
        <v>112</v>
      </c>
      <c r="B5" t="s">
        <v>110</v>
      </c>
      <c r="C5" t="s">
        <v>89</v>
      </c>
      <c r="D5">
        <v>4.5999999999999996</v>
      </c>
      <c r="E5">
        <f t="shared" si="0"/>
        <v>2.1</v>
      </c>
      <c r="F5">
        <f t="shared" si="1"/>
        <v>4.8</v>
      </c>
      <c r="G5">
        <f t="shared" si="2"/>
        <v>0</v>
      </c>
      <c r="H5">
        <f t="shared" si="5"/>
        <v>2.7</v>
      </c>
      <c r="I5">
        <f t="shared" si="3"/>
        <v>1</v>
      </c>
      <c r="J5">
        <f t="shared" si="4"/>
        <v>3.3</v>
      </c>
    </row>
    <row r="6" spans="1:10" ht="13.2" x14ac:dyDescent="0.25">
      <c r="A6" t="s">
        <v>112</v>
      </c>
      <c r="B6" t="s">
        <v>110</v>
      </c>
      <c r="C6" t="s">
        <v>90</v>
      </c>
      <c r="D6">
        <v>4</v>
      </c>
      <c r="E6">
        <f t="shared" si="0"/>
        <v>2.1</v>
      </c>
      <c r="F6">
        <f t="shared" si="1"/>
        <v>4.8</v>
      </c>
      <c r="G6">
        <f t="shared" si="2"/>
        <v>0</v>
      </c>
      <c r="H6">
        <f t="shared" si="5"/>
        <v>0.6</v>
      </c>
      <c r="I6">
        <f t="shared" si="3"/>
        <v>1</v>
      </c>
      <c r="J6">
        <f t="shared" si="4"/>
        <v>3.3</v>
      </c>
    </row>
    <row r="7" spans="1:10" ht="13.2" x14ac:dyDescent="0.25">
      <c r="A7" t="s">
        <v>112</v>
      </c>
      <c r="B7" t="s">
        <v>110</v>
      </c>
      <c r="C7" t="s">
        <v>91</v>
      </c>
      <c r="D7">
        <v>4.5</v>
      </c>
      <c r="E7">
        <f t="shared" si="0"/>
        <v>2.1</v>
      </c>
      <c r="F7">
        <f t="shared" si="1"/>
        <v>4.8</v>
      </c>
      <c r="G7">
        <f t="shared" si="2"/>
        <v>0</v>
      </c>
      <c r="H7">
        <f t="shared" si="5"/>
        <v>0.5</v>
      </c>
      <c r="I7">
        <f t="shared" si="3"/>
        <v>1</v>
      </c>
      <c r="J7">
        <f t="shared" si="4"/>
        <v>3.3</v>
      </c>
    </row>
    <row r="8" spans="1:10" ht="13.2" x14ac:dyDescent="0.25">
      <c r="A8" t="s">
        <v>112</v>
      </c>
      <c r="B8" t="s">
        <v>110</v>
      </c>
      <c r="C8" t="s">
        <v>92</v>
      </c>
      <c r="D8">
        <v>2.9</v>
      </c>
      <c r="E8">
        <f t="shared" si="0"/>
        <v>2.1</v>
      </c>
      <c r="F8">
        <f t="shared" si="1"/>
        <v>4.8</v>
      </c>
      <c r="G8">
        <f t="shared" si="2"/>
        <v>0</v>
      </c>
      <c r="H8">
        <f t="shared" si="5"/>
        <v>1.6</v>
      </c>
      <c r="I8">
        <f t="shared" si="3"/>
        <v>1</v>
      </c>
      <c r="J8">
        <f t="shared" si="4"/>
        <v>3.3</v>
      </c>
    </row>
    <row r="9" spans="1:10" ht="13.2" x14ac:dyDescent="0.25">
      <c r="A9" t="s">
        <v>112</v>
      </c>
      <c r="B9" t="s">
        <v>110</v>
      </c>
      <c r="C9" t="s">
        <v>93</v>
      </c>
      <c r="D9">
        <v>3.5</v>
      </c>
      <c r="E9">
        <f t="shared" si="0"/>
        <v>2.1</v>
      </c>
      <c r="F9">
        <f t="shared" si="1"/>
        <v>4.8</v>
      </c>
      <c r="G9">
        <f t="shared" si="2"/>
        <v>0</v>
      </c>
      <c r="H9">
        <f t="shared" si="5"/>
        <v>0.6</v>
      </c>
      <c r="I9">
        <f t="shared" si="3"/>
        <v>1</v>
      </c>
      <c r="J9">
        <f t="shared" si="4"/>
        <v>3.3</v>
      </c>
    </row>
    <row r="10" spans="1:10" ht="13.2" x14ac:dyDescent="0.25">
      <c r="A10" t="s">
        <v>112</v>
      </c>
      <c r="B10" t="s">
        <v>110</v>
      </c>
      <c r="C10" t="s">
        <v>94</v>
      </c>
      <c r="D10">
        <v>0.7</v>
      </c>
      <c r="E10">
        <f t="shared" si="0"/>
        <v>2.1</v>
      </c>
      <c r="F10">
        <f t="shared" si="1"/>
        <v>4.8</v>
      </c>
      <c r="G10">
        <f t="shared" si="2"/>
        <v>0</v>
      </c>
      <c r="H10">
        <f t="shared" si="5"/>
        <v>2.8</v>
      </c>
      <c r="I10">
        <f t="shared" si="3"/>
        <v>1</v>
      </c>
      <c r="J10">
        <f t="shared" si="4"/>
        <v>3.3</v>
      </c>
    </row>
    <row r="11" spans="1:10" ht="13.2" x14ac:dyDescent="0.25">
      <c r="A11" t="s">
        <v>112</v>
      </c>
      <c r="B11" t="s">
        <v>110</v>
      </c>
      <c r="C11" t="s">
        <v>95</v>
      </c>
      <c r="D11">
        <v>0</v>
      </c>
      <c r="E11">
        <f t="shared" si="0"/>
        <v>2.1</v>
      </c>
      <c r="F11">
        <f t="shared" si="1"/>
        <v>4.8</v>
      </c>
      <c r="G11">
        <f t="shared" si="2"/>
        <v>0</v>
      </c>
      <c r="H11">
        <f t="shared" si="5"/>
        <v>0.7</v>
      </c>
      <c r="I11">
        <f t="shared" si="3"/>
        <v>1</v>
      </c>
      <c r="J11">
        <f t="shared" si="4"/>
        <v>3.3</v>
      </c>
    </row>
    <row r="12" spans="1:10" ht="13.2" x14ac:dyDescent="0.25">
      <c r="A12" t="s">
        <v>112</v>
      </c>
      <c r="B12" t="s">
        <v>110</v>
      </c>
      <c r="C12" t="s">
        <v>96</v>
      </c>
      <c r="D12">
        <v>0.7</v>
      </c>
      <c r="E12">
        <f t="shared" si="0"/>
        <v>2.1</v>
      </c>
      <c r="F12">
        <f t="shared" si="1"/>
        <v>4.8</v>
      </c>
      <c r="G12">
        <f t="shared" si="2"/>
        <v>0</v>
      </c>
      <c r="H12">
        <f t="shared" si="5"/>
        <v>0.7</v>
      </c>
      <c r="I12">
        <f t="shared" si="3"/>
        <v>1</v>
      </c>
      <c r="J12">
        <f t="shared" si="4"/>
        <v>3.3</v>
      </c>
    </row>
    <row r="13" spans="1:10" ht="13.2" x14ac:dyDescent="0.25">
      <c r="A13" t="s">
        <v>112</v>
      </c>
      <c r="B13" t="s">
        <v>110</v>
      </c>
      <c r="C13" t="s">
        <v>97</v>
      </c>
      <c r="D13">
        <v>1</v>
      </c>
      <c r="E13">
        <f t="shared" si="0"/>
        <v>2.1</v>
      </c>
      <c r="F13">
        <f t="shared" si="1"/>
        <v>4.8</v>
      </c>
      <c r="G13">
        <f t="shared" si="2"/>
        <v>0</v>
      </c>
      <c r="H13">
        <f t="shared" si="5"/>
        <v>0.3</v>
      </c>
      <c r="I13">
        <f t="shared" si="3"/>
        <v>1</v>
      </c>
      <c r="J13">
        <f t="shared" si="4"/>
        <v>3.3</v>
      </c>
    </row>
    <row r="14" spans="1:10" ht="13.2" x14ac:dyDescent="0.25">
      <c r="A14" t="s">
        <v>112</v>
      </c>
      <c r="B14" t="s">
        <v>110</v>
      </c>
      <c r="C14" t="s">
        <v>98</v>
      </c>
      <c r="D14">
        <v>1.1000000000000001</v>
      </c>
      <c r="E14">
        <f t="shared" si="0"/>
        <v>2.1</v>
      </c>
      <c r="F14">
        <f t="shared" si="1"/>
        <v>4.8</v>
      </c>
      <c r="G14">
        <f t="shared" si="2"/>
        <v>0</v>
      </c>
      <c r="H14">
        <f t="shared" si="5"/>
        <v>0.1</v>
      </c>
      <c r="I14">
        <f t="shared" si="3"/>
        <v>1</v>
      </c>
      <c r="J14">
        <f t="shared" si="4"/>
        <v>3.3</v>
      </c>
    </row>
    <row r="15" spans="1:10" ht="13.2" x14ac:dyDescent="0.25">
      <c r="A15" t="s">
        <v>112</v>
      </c>
      <c r="B15" t="s">
        <v>110</v>
      </c>
      <c r="C15" t="s">
        <v>99</v>
      </c>
      <c r="D15">
        <v>0.4</v>
      </c>
      <c r="E15">
        <f t="shared" si="0"/>
        <v>2.1</v>
      </c>
      <c r="F15">
        <f t="shared" si="1"/>
        <v>4.8</v>
      </c>
      <c r="G15">
        <f t="shared" si="2"/>
        <v>0</v>
      </c>
      <c r="H15">
        <f t="shared" si="5"/>
        <v>0.7</v>
      </c>
      <c r="I15">
        <f t="shared" si="3"/>
        <v>1</v>
      </c>
      <c r="J15">
        <f t="shared" si="4"/>
        <v>3.3</v>
      </c>
    </row>
    <row r="16" spans="1:10" ht="13.2" x14ac:dyDescent="0.25">
      <c r="A16" t="s">
        <v>112</v>
      </c>
      <c r="B16" t="s">
        <v>110</v>
      </c>
      <c r="C16" t="s">
        <v>100</v>
      </c>
      <c r="D16">
        <v>0</v>
      </c>
      <c r="E16">
        <f t="shared" si="0"/>
        <v>2.1</v>
      </c>
      <c r="F16">
        <f t="shared" si="1"/>
        <v>4.8</v>
      </c>
      <c r="G16">
        <f t="shared" si="2"/>
        <v>0</v>
      </c>
      <c r="H16">
        <f t="shared" si="5"/>
        <v>0.4</v>
      </c>
      <c r="I16">
        <f t="shared" si="3"/>
        <v>1</v>
      </c>
      <c r="J16">
        <f t="shared" si="4"/>
        <v>3.3</v>
      </c>
    </row>
    <row r="17" spans="1:10" ht="13.2" x14ac:dyDescent="0.25">
      <c r="A17" t="s">
        <v>112</v>
      </c>
      <c r="B17" t="s">
        <v>110</v>
      </c>
      <c r="C17" t="s">
        <v>101</v>
      </c>
      <c r="D17">
        <v>1</v>
      </c>
      <c r="E17">
        <f t="shared" si="0"/>
        <v>2.1</v>
      </c>
      <c r="F17">
        <f t="shared" si="1"/>
        <v>4.8</v>
      </c>
      <c r="G17">
        <f t="shared" si="2"/>
        <v>0</v>
      </c>
      <c r="H17">
        <f t="shared" si="5"/>
        <v>1</v>
      </c>
      <c r="I17">
        <f t="shared" si="3"/>
        <v>1</v>
      </c>
      <c r="J17">
        <f t="shared" si="4"/>
        <v>3.3</v>
      </c>
    </row>
    <row r="18" spans="1:10" ht="13.2" x14ac:dyDescent="0.25">
      <c r="A18" t="s">
        <v>112</v>
      </c>
      <c r="B18" t="s">
        <v>110</v>
      </c>
      <c r="C18" t="s">
        <v>102</v>
      </c>
      <c r="D18">
        <v>2.2999999999999998</v>
      </c>
      <c r="E18">
        <f t="shared" si="0"/>
        <v>2.1</v>
      </c>
      <c r="F18">
        <f t="shared" si="1"/>
        <v>4.8</v>
      </c>
      <c r="G18">
        <f t="shared" si="2"/>
        <v>0</v>
      </c>
      <c r="H18">
        <f t="shared" si="5"/>
        <v>1.3</v>
      </c>
      <c r="I18">
        <f t="shared" si="3"/>
        <v>1</v>
      </c>
      <c r="J18">
        <f t="shared" si="4"/>
        <v>3.3</v>
      </c>
    </row>
    <row r="19" spans="1:10" ht="13.2" x14ac:dyDescent="0.25">
      <c r="A19" t="s">
        <v>112</v>
      </c>
      <c r="B19" t="s">
        <v>110</v>
      </c>
      <c r="C19" t="s">
        <v>103</v>
      </c>
      <c r="D19">
        <v>2.9</v>
      </c>
      <c r="E19">
        <f t="shared" si="0"/>
        <v>2.1</v>
      </c>
      <c r="F19">
        <f t="shared" si="1"/>
        <v>4.8</v>
      </c>
      <c r="G19">
        <f t="shared" si="2"/>
        <v>0</v>
      </c>
      <c r="H19">
        <f t="shared" si="5"/>
        <v>0.6</v>
      </c>
      <c r="I19">
        <f t="shared" si="3"/>
        <v>1</v>
      </c>
      <c r="J19">
        <f t="shared" si="4"/>
        <v>3.3</v>
      </c>
    </row>
    <row r="20" spans="1:10" ht="13.2" x14ac:dyDescent="0.25">
      <c r="A20" t="s">
        <v>112</v>
      </c>
      <c r="B20" t="s">
        <v>110</v>
      </c>
      <c r="C20" t="s">
        <v>104</v>
      </c>
      <c r="D20">
        <v>1.3</v>
      </c>
      <c r="E20">
        <f t="shared" si="0"/>
        <v>2.1</v>
      </c>
      <c r="F20">
        <f t="shared" si="1"/>
        <v>4.8</v>
      </c>
      <c r="G20">
        <f t="shared" si="2"/>
        <v>0</v>
      </c>
      <c r="H20">
        <f t="shared" si="5"/>
        <v>1.6</v>
      </c>
      <c r="I20">
        <f t="shared" si="3"/>
        <v>1</v>
      </c>
      <c r="J20">
        <f t="shared" si="4"/>
        <v>3.3</v>
      </c>
    </row>
    <row r="21" spans="1:10" ht="13.2" x14ac:dyDescent="0.25">
      <c r="A21" t="s">
        <v>112</v>
      </c>
      <c r="B21" t="s">
        <v>110</v>
      </c>
      <c r="C21" t="s">
        <v>105</v>
      </c>
      <c r="D21">
        <v>2.2000000000000002</v>
      </c>
      <c r="E21">
        <f t="shared" si="0"/>
        <v>2.1</v>
      </c>
      <c r="F21">
        <f t="shared" si="1"/>
        <v>4.8</v>
      </c>
      <c r="G21">
        <f t="shared" si="2"/>
        <v>0</v>
      </c>
      <c r="H21">
        <f t="shared" si="5"/>
        <v>0.9</v>
      </c>
      <c r="I21">
        <f t="shared" si="3"/>
        <v>1</v>
      </c>
      <c r="J21">
        <f t="shared" si="4"/>
        <v>3.3</v>
      </c>
    </row>
    <row r="22" spans="1:10" ht="13.2" x14ac:dyDescent="0.25">
      <c r="A22" t="s">
        <v>112</v>
      </c>
      <c r="B22" t="s">
        <v>110</v>
      </c>
      <c r="C22" t="s">
        <v>106</v>
      </c>
      <c r="D22">
        <v>3.1</v>
      </c>
      <c r="E22">
        <f t="shared" si="0"/>
        <v>2.1</v>
      </c>
      <c r="F22">
        <f t="shared" si="1"/>
        <v>4.8</v>
      </c>
      <c r="G22">
        <f t="shared" si="2"/>
        <v>0</v>
      </c>
      <c r="H22">
        <f t="shared" si="5"/>
        <v>0.9</v>
      </c>
      <c r="I22">
        <f t="shared" si="3"/>
        <v>1</v>
      </c>
      <c r="J22">
        <f t="shared" si="4"/>
        <v>3.3</v>
      </c>
    </row>
    <row r="23" spans="1:10" ht="13.2" x14ac:dyDescent="0.25">
      <c r="A23" t="s">
        <v>112</v>
      </c>
      <c r="B23" t="s">
        <v>110</v>
      </c>
      <c r="C23" t="s">
        <v>107</v>
      </c>
      <c r="D23">
        <v>4.9000000000000004</v>
      </c>
      <c r="E23">
        <f t="shared" si="0"/>
        <v>2.1</v>
      </c>
      <c r="F23">
        <f t="shared" si="1"/>
        <v>4.8</v>
      </c>
      <c r="G23">
        <f t="shared" si="2"/>
        <v>0</v>
      </c>
      <c r="H23">
        <f t="shared" si="5"/>
        <v>1.8</v>
      </c>
      <c r="I23">
        <f t="shared" si="3"/>
        <v>1</v>
      </c>
      <c r="J23">
        <f t="shared" si="4"/>
        <v>3.3</v>
      </c>
    </row>
    <row r="24" spans="1:10" ht="13.2" x14ac:dyDescent="0.25"/>
    <row r="25" spans="1:10" ht="13.2" x14ac:dyDescent="0.25"/>
    <row r="26" spans="1:10" ht="13.2" x14ac:dyDescent="0.25"/>
    <row r="27" spans="1:10" ht="13.2" x14ac:dyDescent="0.25"/>
    <row r="28" spans="1:10" ht="13.2" x14ac:dyDescent="0.25"/>
    <row r="29" spans="1:10" ht="13.2" x14ac:dyDescent="0.25"/>
    <row r="30" spans="1:10" ht="13.2" x14ac:dyDescent="0.25"/>
    <row r="31" spans="1:10" ht="13.2" x14ac:dyDescent="0.25"/>
    <row r="32" spans="1:10" ht="13.2" x14ac:dyDescent="0.25"/>
    <row r="33" ht="13.2" x14ac:dyDescent="0.25"/>
    <row r="34" ht="13.2" x14ac:dyDescent="0.25"/>
    <row r="35" ht="13.2" x14ac:dyDescent="0.25"/>
    <row r="36" ht="13.2" x14ac:dyDescent="0.25"/>
    <row r="37" ht="13.2" x14ac:dyDescent="0.25"/>
    <row r="38" ht="13.2" x14ac:dyDescent="0.25"/>
    <row r="39" ht="13.2" x14ac:dyDescent="0.25"/>
    <row r="40" ht="13.2" x14ac:dyDescent="0.25"/>
    <row r="41" ht="13.2" x14ac:dyDescent="0.25"/>
    <row r="42" ht="13.2" x14ac:dyDescent="0.25"/>
    <row r="43" ht="13.2" x14ac:dyDescent="0.25"/>
    <row r="44" ht="13.2" x14ac:dyDescent="0.25"/>
    <row r="45" ht="13.2" x14ac:dyDescent="0.25"/>
    <row r="46" ht="13.2" x14ac:dyDescent="0.25"/>
    <row r="47" ht="13.2" x14ac:dyDescent="0.25"/>
    <row r="48" ht="13.2" x14ac:dyDescent="0.25"/>
    <row r="49" ht="13.2" x14ac:dyDescent="0.25"/>
    <row r="50" ht="13.2" x14ac:dyDescent="0.25"/>
    <row r="51" ht="13.2" x14ac:dyDescent="0.25"/>
    <row r="52" ht="13.2" x14ac:dyDescent="0.25"/>
    <row r="53" ht="13.2" x14ac:dyDescent="0.25"/>
    <row r="54" ht="13.2" x14ac:dyDescent="0.25"/>
    <row r="55" ht="13.2" x14ac:dyDescent="0.25"/>
    <row r="56" ht="13.2" x14ac:dyDescent="0.25"/>
    <row r="57" ht="13.2" x14ac:dyDescent="0.25"/>
    <row r="58" ht="13.2" x14ac:dyDescent="0.25"/>
    <row r="59" ht="13.2" x14ac:dyDescent="0.25"/>
    <row r="60" ht="13.2" x14ac:dyDescent="0.25"/>
    <row r="61" ht="13.2" x14ac:dyDescent="0.25"/>
    <row r="62" ht="13.2" x14ac:dyDescent="0.25"/>
    <row r="63" ht="13.2" x14ac:dyDescent="0.25"/>
    <row r="64" ht="13.2" x14ac:dyDescent="0.25"/>
    <row r="65" ht="13.2" x14ac:dyDescent="0.25"/>
    <row r="66" ht="13.2" x14ac:dyDescent="0.25"/>
    <row r="67" ht="13.2" x14ac:dyDescent="0.25"/>
    <row r="68" ht="13.2" x14ac:dyDescent="0.25"/>
    <row r="69" ht="13.2" x14ac:dyDescent="0.25"/>
    <row r="70" ht="13.2" x14ac:dyDescent="0.25"/>
    <row r="71" ht="13.2" x14ac:dyDescent="0.25"/>
    <row r="72" ht="13.2" x14ac:dyDescent="0.25"/>
    <row r="73" ht="13.2" x14ac:dyDescent="0.25"/>
    <row r="74" ht="13.2" x14ac:dyDescent="0.25"/>
    <row r="75" ht="13.2" x14ac:dyDescent="0.25"/>
    <row r="76" ht="13.2" x14ac:dyDescent="0.25"/>
    <row r="77" ht="13.2" x14ac:dyDescent="0.25"/>
    <row r="78" ht="13.2" x14ac:dyDescent="0.25"/>
    <row r="79" ht="13.2" x14ac:dyDescent="0.25"/>
    <row r="80" ht="13.2" x14ac:dyDescent="0.25"/>
    <row r="81" ht="13.2" x14ac:dyDescent="0.25"/>
    <row r="82" ht="13.2" x14ac:dyDescent="0.25"/>
    <row r="83" ht="13.2" x14ac:dyDescent="0.25"/>
    <row r="84" ht="13.2" x14ac:dyDescent="0.25"/>
    <row r="85" ht="13.2" x14ac:dyDescent="0.25"/>
    <row r="86" ht="13.2" x14ac:dyDescent="0.25"/>
    <row r="87" ht="13.2" x14ac:dyDescent="0.25"/>
    <row r="88" ht="13.2" x14ac:dyDescent="0.25"/>
    <row r="89" ht="13.2" x14ac:dyDescent="0.25"/>
    <row r="90" ht="13.2" x14ac:dyDescent="0.25"/>
    <row r="91" ht="13.2" x14ac:dyDescent="0.25"/>
    <row r="92" ht="13.2" x14ac:dyDescent="0.25"/>
    <row r="93" ht="13.2" x14ac:dyDescent="0.25"/>
    <row r="94" ht="13.2" x14ac:dyDescent="0.25"/>
    <row r="95" ht="13.2" x14ac:dyDescent="0.25"/>
    <row r="96" ht="13.2" x14ac:dyDescent="0.25"/>
    <row r="97" ht="13.2" x14ac:dyDescent="0.25"/>
    <row r="98" ht="13.2" x14ac:dyDescent="0.25"/>
    <row r="99" ht="13.2" x14ac:dyDescent="0.25"/>
    <row r="100" ht="13.2" x14ac:dyDescent="0.25"/>
    <row r="101" ht="13.2" x14ac:dyDescent="0.25"/>
    <row r="102" ht="13.2" x14ac:dyDescent="0.25"/>
  </sheetData>
  <pageMargins left="0.7" right="0.7" top="0.75" bottom="0.75" header="0.3" footer="0.3"/>
  <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S100"/>
  <sheetViews>
    <sheetView showGridLines="0" workbookViewId="0">
      <selection activeCell="J16" sqref="J16"/>
    </sheetView>
  </sheetViews>
  <sheetFormatPr defaultColWidth="12.6640625" defaultRowHeight="15.75" customHeight="1" x14ac:dyDescent="0.25"/>
  <cols>
    <col min="1" max="1" width="25.77734375" bestFit="1" customWidth="1"/>
    <col min="2" max="2" width="17.77734375" bestFit="1" customWidth="1"/>
    <col min="3" max="3" width="9.77734375" bestFit="1" customWidth="1"/>
    <col min="4" max="4" width="7.21875" bestFit="1" customWidth="1"/>
    <col min="6" max="6" width="8.5546875" bestFit="1" customWidth="1"/>
    <col min="7" max="7" width="9.33203125" bestFit="1" customWidth="1"/>
    <col min="8" max="8" width="7.21875" bestFit="1" customWidth="1"/>
    <col min="9" max="9" width="14.21875" bestFit="1" customWidth="1"/>
    <col min="10" max="10" width="20.77734375" bestFit="1" customWidth="1"/>
    <col min="11" max="11" width="17.77734375" bestFit="1" customWidth="1"/>
    <col min="12" max="12" width="9.77734375" bestFit="1" customWidth="1"/>
    <col min="13" max="13" width="4.6640625" bestFit="1" customWidth="1"/>
    <col min="14" max="14" width="12.6640625" customWidth="1"/>
    <col min="15" max="15" width="8.21875" bestFit="1" customWidth="1"/>
    <col min="16" max="16" width="20.77734375" bestFit="1" customWidth="1"/>
    <col min="17" max="17" width="16.109375" bestFit="1" customWidth="1"/>
    <col min="18" max="18" width="9.77734375" bestFit="1" customWidth="1"/>
    <col min="19" max="19" width="4.6640625" customWidth="1"/>
  </cols>
  <sheetData>
    <row r="1" spans="1:19" ht="13.2" x14ac:dyDescent="0.25">
      <c r="A1" s="11" t="s">
        <v>111</v>
      </c>
      <c r="B1" s="11" t="s">
        <v>108</v>
      </c>
      <c r="C1" s="11" t="s">
        <v>124</v>
      </c>
      <c r="D1" s="11" t="s">
        <v>125</v>
      </c>
      <c r="E1" s="11" t="s">
        <v>1</v>
      </c>
      <c r="F1" s="11" t="s">
        <v>126</v>
      </c>
      <c r="G1" s="11" t="s">
        <v>127</v>
      </c>
      <c r="H1" s="11" t="s">
        <v>2</v>
      </c>
      <c r="I1" s="1"/>
      <c r="J1" s="1"/>
      <c r="K1" s="5"/>
      <c r="L1" s="2"/>
      <c r="M1" s="2"/>
      <c r="N1" s="1"/>
      <c r="O1" s="1"/>
      <c r="P1" s="1"/>
      <c r="Q1" s="5"/>
      <c r="R1" s="2"/>
      <c r="S1" s="2"/>
    </row>
    <row r="2" spans="1:19" ht="13.2" x14ac:dyDescent="0.25">
      <c r="A2" s="43" t="s">
        <v>112</v>
      </c>
      <c r="B2" s="43" t="s">
        <v>109</v>
      </c>
      <c r="C2" s="43" t="s">
        <v>128</v>
      </c>
      <c r="D2">
        <v>1841</v>
      </c>
      <c r="E2" s="43" t="s">
        <v>9</v>
      </c>
      <c r="F2">
        <v>254</v>
      </c>
      <c r="G2">
        <v>37</v>
      </c>
      <c r="H2">
        <v>14.6</v>
      </c>
      <c r="I2" s="7"/>
      <c r="J2" s="7"/>
      <c r="K2" s="5"/>
      <c r="L2" s="2"/>
      <c r="M2" s="3"/>
      <c r="N2" s="1"/>
      <c r="O2" s="1"/>
      <c r="P2" s="1"/>
      <c r="Q2" s="5"/>
      <c r="R2" s="2"/>
      <c r="S2" s="2"/>
    </row>
    <row r="3" spans="1:19" ht="13.2" x14ac:dyDescent="0.25">
      <c r="A3" s="43" t="s">
        <v>112</v>
      </c>
      <c r="B3" s="43" t="s">
        <v>109</v>
      </c>
      <c r="C3" s="43" t="s">
        <v>129</v>
      </c>
      <c r="D3">
        <v>1841</v>
      </c>
      <c r="E3" s="43" t="s">
        <v>10</v>
      </c>
      <c r="F3">
        <v>239</v>
      </c>
      <c r="G3">
        <v>18</v>
      </c>
      <c r="H3">
        <v>7.5</v>
      </c>
      <c r="I3" s="7"/>
      <c r="J3" s="7"/>
      <c r="K3" s="5"/>
      <c r="L3" s="2"/>
      <c r="M3" s="3"/>
      <c r="N3" s="1"/>
      <c r="O3" s="1"/>
      <c r="P3" s="1"/>
      <c r="Q3" s="5"/>
      <c r="R3" s="2"/>
      <c r="S3" s="2"/>
    </row>
    <row r="4" spans="1:19" ht="13.2" x14ac:dyDescent="0.25">
      <c r="A4" s="43" t="s">
        <v>112</v>
      </c>
      <c r="B4" s="43" t="s">
        <v>109</v>
      </c>
      <c r="C4" s="43" t="s">
        <v>130</v>
      </c>
      <c r="D4">
        <v>1841</v>
      </c>
      <c r="E4" s="43" t="s">
        <v>11</v>
      </c>
      <c r="F4">
        <v>277</v>
      </c>
      <c r="G4">
        <v>12</v>
      </c>
      <c r="H4">
        <v>4.3</v>
      </c>
      <c r="I4" s="7"/>
      <c r="J4" s="7"/>
      <c r="K4" s="5"/>
      <c r="L4" s="2"/>
      <c r="M4" s="3"/>
      <c r="N4" s="1"/>
      <c r="O4" s="1"/>
      <c r="P4" s="1"/>
      <c r="Q4" s="5"/>
      <c r="R4" s="2"/>
      <c r="S4" s="2"/>
    </row>
    <row r="5" spans="1:19" ht="13.2" x14ac:dyDescent="0.25">
      <c r="A5" s="43" t="s">
        <v>112</v>
      </c>
      <c r="B5" s="43" t="s">
        <v>109</v>
      </c>
      <c r="C5" s="43" t="s">
        <v>131</v>
      </c>
      <c r="D5">
        <v>1841</v>
      </c>
      <c r="E5" s="43" t="s">
        <v>12</v>
      </c>
      <c r="F5">
        <v>255</v>
      </c>
      <c r="G5">
        <v>4</v>
      </c>
      <c r="H5">
        <v>1.6</v>
      </c>
      <c r="I5" s="7"/>
      <c r="J5" s="7"/>
      <c r="K5" s="5"/>
      <c r="L5" s="2"/>
      <c r="M5" s="3"/>
      <c r="N5" s="1"/>
      <c r="O5" s="1"/>
      <c r="P5" s="1"/>
      <c r="Q5" s="5"/>
      <c r="R5" s="2"/>
      <c r="S5" s="2"/>
    </row>
    <row r="6" spans="1:19" ht="13.2" x14ac:dyDescent="0.25">
      <c r="A6" s="43" t="s">
        <v>112</v>
      </c>
      <c r="B6" s="43" t="s">
        <v>109</v>
      </c>
      <c r="C6" s="43" t="s">
        <v>132</v>
      </c>
      <c r="D6">
        <v>1841</v>
      </c>
      <c r="E6" s="43" t="s">
        <v>13</v>
      </c>
      <c r="F6">
        <v>255</v>
      </c>
      <c r="G6">
        <v>2</v>
      </c>
      <c r="H6">
        <v>0.8</v>
      </c>
      <c r="I6" s="7"/>
      <c r="J6" s="7"/>
      <c r="K6" s="5"/>
      <c r="L6" s="2"/>
      <c r="M6" s="3"/>
      <c r="N6" s="1"/>
      <c r="O6" s="1"/>
      <c r="P6" s="1"/>
      <c r="Q6" s="5"/>
      <c r="R6" s="2"/>
      <c r="S6" s="2"/>
    </row>
    <row r="7" spans="1:19" ht="13.2" x14ac:dyDescent="0.25">
      <c r="A7" s="43" t="s">
        <v>112</v>
      </c>
      <c r="B7" s="43" t="s">
        <v>109</v>
      </c>
      <c r="C7" s="43" t="s">
        <v>133</v>
      </c>
      <c r="D7">
        <v>1841</v>
      </c>
      <c r="E7" s="43" t="s">
        <v>14</v>
      </c>
      <c r="F7">
        <v>200</v>
      </c>
      <c r="G7">
        <v>10</v>
      </c>
      <c r="H7">
        <v>5</v>
      </c>
      <c r="I7" s="7"/>
      <c r="J7" s="7"/>
      <c r="K7" s="5"/>
      <c r="L7" s="2"/>
      <c r="M7" s="3"/>
      <c r="N7" s="1"/>
      <c r="O7" s="1"/>
      <c r="P7" s="1"/>
      <c r="Q7" s="5"/>
      <c r="R7" s="2"/>
      <c r="S7" s="2"/>
    </row>
    <row r="8" spans="1:19" ht="13.2" x14ac:dyDescent="0.25">
      <c r="A8" s="43" t="s">
        <v>112</v>
      </c>
      <c r="B8" s="43" t="s">
        <v>109</v>
      </c>
      <c r="C8" s="43" t="s">
        <v>134</v>
      </c>
      <c r="D8">
        <v>1841</v>
      </c>
      <c r="E8" s="43" t="s">
        <v>15</v>
      </c>
      <c r="F8">
        <v>190</v>
      </c>
      <c r="G8">
        <v>16</v>
      </c>
      <c r="H8">
        <v>8.4</v>
      </c>
      <c r="I8" s="7"/>
      <c r="J8" s="7"/>
      <c r="K8" s="5"/>
      <c r="L8" s="2"/>
      <c r="M8" s="3"/>
      <c r="N8" s="1"/>
      <c r="O8" s="1"/>
      <c r="P8" s="1"/>
      <c r="Q8" s="5"/>
      <c r="R8" s="2"/>
      <c r="S8" s="2"/>
    </row>
    <row r="9" spans="1:19" ht="13.2" x14ac:dyDescent="0.25">
      <c r="A9" s="43" t="s">
        <v>112</v>
      </c>
      <c r="B9" s="43" t="s">
        <v>109</v>
      </c>
      <c r="C9" s="43" t="s">
        <v>135</v>
      </c>
      <c r="D9">
        <v>1841</v>
      </c>
      <c r="E9" s="43" t="s">
        <v>16</v>
      </c>
      <c r="F9">
        <v>222</v>
      </c>
      <c r="G9">
        <v>3</v>
      </c>
      <c r="H9">
        <v>1.4</v>
      </c>
      <c r="I9" s="7"/>
      <c r="J9" s="7"/>
      <c r="K9" s="5"/>
      <c r="L9" s="2"/>
      <c r="M9" s="3"/>
      <c r="N9" s="1"/>
      <c r="O9" s="1"/>
      <c r="P9" s="1"/>
      <c r="Q9" s="5"/>
      <c r="R9" s="2"/>
      <c r="S9" s="2"/>
    </row>
    <row r="10" spans="1:19" ht="13.2" x14ac:dyDescent="0.25">
      <c r="A10" s="43" t="s">
        <v>112</v>
      </c>
      <c r="B10" s="43" t="s">
        <v>109</v>
      </c>
      <c r="C10" s="43" t="s">
        <v>136</v>
      </c>
      <c r="D10">
        <v>1841</v>
      </c>
      <c r="E10" s="43" t="s">
        <v>17</v>
      </c>
      <c r="F10">
        <v>213</v>
      </c>
      <c r="G10">
        <v>4</v>
      </c>
      <c r="H10">
        <v>1.9</v>
      </c>
      <c r="I10" s="7"/>
      <c r="J10" s="7"/>
      <c r="K10" s="5"/>
      <c r="L10" s="2"/>
      <c r="M10" s="3"/>
      <c r="N10" s="1"/>
      <c r="O10" s="1"/>
      <c r="P10" s="1"/>
      <c r="Q10" s="5"/>
      <c r="R10" s="2"/>
      <c r="S10" s="2"/>
    </row>
    <row r="11" spans="1:19" ht="13.2" x14ac:dyDescent="0.25">
      <c r="A11" s="43" t="s">
        <v>112</v>
      </c>
      <c r="B11" s="43" t="s">
        <v>109</v>
      </c>
      <c r="C11" s="43" t="s">
        <v>137</v>
      </c>
      <c r="D11">
        <v>1841</v>
      </c>
      <c r="E11" s="43" t="s">
        <v>18</v>
      </c>
      <c r="F11">
        <v>236</v>
      </c>
      <c r="G11">
        <v>26</v>
      </c>
      <c r="H11">
        <v>11</v>
      </c>
      <c r="I11" s="7"/>
      <c r="J11" s="7"/>
      <c r="K11" s="5"/>
      <c r="L11" s="2"/>
      <c r="M11" s="3"/>
      <c r="N11" s="1"/>
      <c r="O11" s="1"/>
      <c r="P11" s="1"/>
      <c r="Q11" s="5"/>
      <c r="R11" s="2"/>
      <c r="S11" s="2"/>
    </row>
    <row r="12" spans="1:19" ht="13.2" x14ac:dyDescent="0.25">
      <c r="A12" s="43" t="s">
        <v>112</v>
      </c>
      <c r="B12" s="43" t="s">
        <v>109</v>
      </c>
      <c r="C12" s="43" t="s">
        <v>138</v>
      </c>
      <c r="D12">
        <v>1841</v>
      </c>
      <c r="E12" s="43" t="s">
        <v>19</v>
      </c>
      <c r="F12">
        <v>235</v>
      </c>
      <c r="G12">
        <v>53</v>
      </c>
      <c r="H12">
        <v>22.6</v>
      </c>
      <c r="I12" s="7"/>
      <c r="J12" s="7"/>
      <c r="K12" s="5"/>
      <c r="L12" s="2"/>
      <c r="M12" s="3"/>
      <c r="N12" s="1"/>
      <c r="O12" s="1"/>
      <c r="P12" s="1"/>
      <c r="Q12" s="5"/>
      <c r="R12" s="2"/>
      <c r="S12" s="2"/>
    </row>
    <row r="13" spans="1:19" ht="13.2" x14ac:dyDescent="0.25">
      <c r="A13" s="43" t="s">
        <v>112</v>
      </c>
      <c r="B13" s="43" t="s">
        <v>109</v>
      </c>
      <c r="C13" s="43" t="s">
        <v>139</v>
      </c>
      <c r="D13">
        <v>1841</v>
      </c>
      <c r="E13" s="43" t="s">
        <v>20</v>
      </c>
      <c r="I13" s="7"/>
      <c r="J13" s="7"/>
      <c r="K13" s="5"/>
      <c r="L13" s="2"/>
      <c r="M13" s="4"/>
      <c r="N13" s="1"/>
      <c r="O13" s="1"/>
      <c r="P13" s="1"/>
      <c r="Q13" s="5"/>
      <c r="R13" s="2"/>
      <c r="S13" s="2"/>
    </row>
    <row r="14" spans="1:19" ht="13.2" x14ac:dyDescent="0.25">
      <c r="A14" s="43" t="s">
        <v>112</v>
      </c>
      <c r="B14" s="43" t="s">
        <v>109</v>
      </c>
      <c r="C14" s="43" t="s">
        <v>128</v>
      </c>
      <c r="D14">
        <v>1842</v>
      </c>
      <c r="E14" s="43" t="s">
        <v>21</v>
      </c>
      <c r="F14">
        <v>307</v>
      </c>
      <c r="G14">
        <v>64</v>
      </c>
      <c r="H14">
        <v>20.8</v>
      </c>
      <c r="I14" s="7"/>
      <c r="J14" s="7"/>
      <c r="K14" s="5"/>
      <c r="L14" s="2"/>
      <c r="M14" s="3"/>
      <c r="N14" s="1"/>
      <c r="O14" s="1"/>
      <c r="P14" s="1"/>
      <c r="Q14" s="5"/>
      <c r="R14" s="2"/>
      <c r="S14" s="2"/>
    </row>
    <row r="15" spans="1:19" ht="13.2" x14ac:dyDescent="0.25">
      <c r="A15" s="43" t="s">
        <v>112</v>
      </c>
      <c r="B15" s="43" t="s">
        <v>109</v>
      </c>
      <c r="C15" s="43" t="s">
        <v>129</v>
      </c>
      <c r="D15">
        <v>1842</v>
      </c>
      <c r="E15" s="43" t="s">
        <v>22</v>
      </c>
      <c r="F15">
        <v>311</v>
      </c>
      <c r="G15">
        <v>38</v>
      </c>
      <c r="H15">
        <v>12.2</v>
      </c>
      <c r="I15" s="7"/>
      <c r="J15" s="7"/>
      <c r="K15" s="5"/>
      <c r="L15" s="2"/>
      <c r="M15" s="3"/>
      <c r="N15" s="1"/>
      <c r="O15" s="1"/>
      <c r="P15" s="1"/>
      <c r="Q15" s="5"/>
      <c r="R15" s="2"/>
      <c r="S15" s="2"/>
    </row>
    <row r="16" spans="1:19" ht="13.2" x14ac:dyDescent="0.25">
      <c r="A16" s="43" t="s">
        <v>112</v>
      </c>
      <c r="B16" s="43" t="s">
        <v>109</v>
      </c>
      <c r="C16" s="43" t="s">
        <v>130</v>
      </c>
      <c r="D16">
        <v>1842</v>
      </c>
      <c r="E16" s="43" t="s">
        <v>23</v>
      </c>
      <c r="F16">
        <v>264</v>
      </c>
      <c r="G16">
        <v>27</v>
      </c>
      <c r="H16">
        <v>10.199999999999999</v>
      </c>
      <c r="I16" s="7"/>
      <c r="J16" s="7"/>
      <c r="K16" s="5"/>
      <c r="L16" s="2"/>
      <c r="M16" s="3"/>
      <c r="N16" s="1"/>
      <c r="O16" s="1"/>
      <c r="P16" s="1"/>
      <c r="Q16" s="5"/>
      <c r="R16" s="2"/>
      <c r="S16" s="2"/>
    </row>
    <row r="17" spans="1:19" ht="13.2" x14ac:dyDescent="0.25">
      <c r="A17" s="43" t="s">
        <v>112</v>
      </c>
      <c r="B17" s="43" t="s">
        <v>109</v>
      </c>
      <c r="C17" s="43" t="s">
        <v>131</v>
      </c>
      <c r="D17">
        <v>1842</v>
      </c>
      <c r="E17" s="43" t="s">
        <v>24</v>
      </c>
      <c r="F17">
        <v>242</v>
      </c>
      <c r="G17">
        <v>26</v>
      </c>
      <c r="H17">
        <v>10.7</v>
      </c>
      <c r="I17" s="7"/>
      <c r="J17" s="7"/>
      <c r="K17" s="5"/>
      <c r="L17" s="2"/>
      <c r="M17" s="3"/>
      <c r="N17" s="1"/>
      <c r="O17" s="1"/>
      <c r="P17" s="1"/>
      <c r="Q17" s="5"/>
      <c r="R17" s="2"/>
      <c r="S17" s="2"/>
    </row>
    <row r="18" spans="1:19" ht="13.2" x14ac:dyDescent="0.25">
      <c r="A18" s="43" t="s">
        <v>112</v>
      </c>
      <c r="B18" s="43" t="s">
        <v>109</v>
      </c>
      <c r="C18" s="43" t="s">
        <v>132</v>
      </c>
      <c r="D18">
        <v>1842</v>
      </c>
      <c r="E18" s="43" t="s">
        <v>25</v>
      </c>
      <c r="F18">
        <v>310</v>
      </c>
      <c r="G18">
        <v>10</v>
      </c>
      <c r="H18">
        <v>3.2</v>
      </c>
      <c r="I18" s="7"/>
      <c r="J18" s="7"/>
      <c r="K18" s="5"/>
      <c r="L18" s="2"/>
      <c r="M18" s="3"/>
      <c r="N18" s="1"/>
      <c r="O18" s="1"/>
      <c r="P18" s="1"/>
      <c r="Q18" s="5"/>
      <c r="R18" s="2"/>
      <c r="S18" s="2"/>
    </row>
    <row r="19" spans="1:19" ht="13.2" x14ac:dyDescent="0.25">
      <c r="A19" s="43" t="s">
        <v>112</v>
      </c>
      <c r="B19" s="43" t="s">
        <v>109</v>
      </c>
      <c r="C19" s="43" t="s">
        <v>133</v>
      </c>
      <c r="D19">
        <v>1842</v>
      </c>
      <c r="E19" s="43" t="s">
        <v>26</v>
      </c>
      <c r="F19">
        <v>273</v>
      </c>
      <c r="G19">
        <v>18</v>
      </c>
      <c r="H19">
        <v>6.6</v>
      </c>
      <c r="I19" s="7"/>
      <c r="J19" s="7"/>
      <c r="K19" s="5"/>
      <c r="L19" s="2"/>
      <c r="M19" s="3"/>
      <c r="N19" s="1"/>
      <c r="O19" s="1"/>
      <c r="P19" s="1"/>
      <c r="Q19" s="5"/>
      <c r="R19" s="2"/>
      <c r="S19" s="2"/>
    </row>
    <row r="20" spans="1:19" ht="13.2" x14ac:dyDescent="0.25">
      <c r="A20" s="43" t="s">
        <v>112</v>
      </c>
      <c r="B20" s="43" t="s">
        <v>109</v>
      </c>
      <c r="C20" s="43" t="s">
        <v>134</v>
      </c>
      <c r="D20">
        <v>1842</v>
      </c>
      <c r="E20" s="43" t="s">
        <v>27</v>
      </c>
      <c r="F20">
        <v>231</v>
      </c>
      <c r="G20">
        <v>48</v>
      </c>
      <c r="H20">
        <v>20.8</v>
      </c>
      <c r="I20" s="7"/>
      <c r="J20" s="7"/>
      <c r="K20" s="5"/>
      <c r="L20" s="2"/>
      <c r="M20" s="3"/>
      <c r="N20" s="1"/>
      <c r="O20" s="1"/>
      <c r="P20" s="1"/>
      <c r="Q20" s="5"/>
      <c r="R20" s="2"/>
      <c r="S20" s="2"/>
    </row>
    <row r="21" spans="1:19" ht="13.2" x14ac:dyDescent="0.25">
      <c r="A21" s="43" t="s">
        <v>112</v>
      </c>
      <c r="B21" s="43" t="s">
        <v>109</v>
      </c>
      <c r="C21" s="43" t="s">
        <v>135</v>
      </c>
      <c r="D21">
        <v>1842</v>
      </c>
      <c r="E21" s="43" t="s">
        <v>28</v>
      </c>
      <c r="F21">
        <v>216</v>
      </c>
      <c r="G21">
        <v>55</v>
      </c>
      <c r="H21">
        <v>25.5</v>
      </c>
      <c r="I21" s="7"/>
      <c r="J21" s="7"/>
      <c r="K21" s="5"/>
      <c r="L21" s="2"/>
      <c r="M21" s="3"/>
      <c r="N21" s="1"/>
      <c r="O21" s="1"/>
      <c r="P21" s="1"/>
      <c r="Q21" s="5"/>
      <c r="R21" s="2"/>
      <c r="S21" s="2"/>
    </row>
    <row r="22" spans="1:19" ht="13.2" x14ac:dyDescent="0.25">
      <c r="A22" s="43" t="s">
        <v>112</v>
      </c>
      <c r="B22" s="43" t="s">
        <v>109</v>
      </c>
      <c r="C22" s="43" t="s">
        <v>136</v>
      </c>
      <c r="D22">
        <v>1842</v>
      </c>
      <c r="E22" s="43" t="s">
        <v>29</v>
      </c>
      <c r="F22">
        <v>223</v>
      </c>
      <c r="G22">
        <v>41</v>
      </c>
      <c r="H22">
        <v>18.399999999999999</v>
      </c>
      <c r="I22" s="7"/>
      <c r="J22" s="7"/>
      <c r="K22" s="5"/>
      <c r="L22" s="2"/>
      <c r="M22" s="3"/>
      <c r="N22" s="1"/>
      <c r="O22" s="1"/>
      <c r="P22" s="1"/>
      <c r="Q22" s="5"/>
      <c r="R22" s="2"/>
      <c r="S22" s="2"/>
    </row>
    <row r="23" spans="1:19" ht="13.2" x14ac:dyDescent="0.25">
      <c r="A23" s="43" t="s">
        <v>112</v>
      </c>
      <c r="B23" s="43" t="s">
        <v>109</v>
      </c>
      <c r="C23" s="43" t="s">
        <v>137</v>
      </c>
      <c r="D23">
        <v>1842</v>
      </c>
      <c r="E23" s="43" t="s">
        <v>30</v>
      </c>
      <c r="F23">
        <v>242</v>
      </c>
      <c r="G23">
        <v>71</v>
      </c>
      <c r="H23">
        <v>29.3</v>
      </c>
      <c r="I23" s="7"/>
      <c r="J23" s="7"/>
      <c r="K23" s="5"/>
      <c r="L23" s="2"/>
      <c r="M23" s="3"/>
      <c r="N23" s="1"/>
      <c r="O23" s="1"/>
      <c r="P23" s="1"/>
      <c r="Q23" s="5"/>
      <c r="R23" s="2"/>
      <c r="S23" s="2"/>
    </row>
    <row r="24" spans="1:19" ht="13.2" x14ac:dyDescent="0.25">
      <c r="A24" s="43" t="s">
        <v>112</v>
      </c>
      <c r="B24" s="43" t="s">
        <v>109</v>
      </c>
      <c r="C24" s="43" t="s">
        <v>138</v>
      </c>
      <c r="D24">
        <v>1842</v>
      </c>
      <c r="E24" s="43" t="s">
        <v>31</v>
      </c>
      <c r="F24">
        <v>209</v>
      </c>
      <c r="G24">
        <v>48</v>
      </c>
      <c r="H24">
        <v>23</v>
      </c>
      <c r="I24" s="7"/>
      <c r="J24" s="7"/>
      <c r="K24" s="5"/>
      <c r="L24" s="2"/>
      <c r="M24" s="2"/>
      <c r="N24" s="1"/>
      <c r="O24" s="1"/>
      <c r="P24" s="1"/>
      <c r="Q24" s="1"/>
      <c r="R24" s="8"/>
      <c r="S24" s="6"/>
    </row>
    <row r="25" spans="1:19" ht="13.2" x14ac:dyDescent="0.25">
      <c r="A25" s="43" t="s">
        <v>112</v>
      </c>
      <c r="B25" s="43" t="s">
        <v>109</v>
      </c>
      <c r="C25" s="43" t="s">
        <v>139</v>
      </c>
      <c r="D25">
        <v>1842</v>
      </c>
      <c r="E25" s="43" t="s">
        <v>32</v>
      </c>
      <c r="F25">
        <v>239</v>
      </c>
      <c r="G25">
        <v>75</v>
      </c>
      <c r="H25">
        <v>31.4</v>
      </c>
      <c r="I25" s="7"/>
      <c r="J25" s="7"/>
      <c r="K25" s="5"/>
      <c r="L25" s="2"/>
      <c r="M25" s="2"/>
      <c r="N25" s="1"/>
      <c r="O25" s="1"/>
      <c r="P25" s="1"/>
      <c r="Q25" s="1"/>
      <c r="R25" s="8"/>
      <c r="S25" s="6"/>
    </row>
    <row r="26" spans="1:19" ht="13.2" x14ac:dyDescent="0.25">
      <c r="A26" s="43" t="s">
        <v>112</v>
      </c>
      <c r="B26" s="43" t="s">
        <v>109</v>
      </c>
      <c r="C26" s="43" t="s">
        <v>128</v>
      </c>
      <c r="D26">
        <v>1843</v>
      </c>
      <c r="E26" s="43" t="s">
        <v>33</v>
      </c>
      <c r="F26">
        <v>272</v>
      </c>
      <c r="G26">
        <v>52</v>
      </c>
      <c r="H26">
        <v>19.100000000000001</v>
      </c>
      <c r="I26" s="7"/>
      <c r="J26" s="7"/>
      <c r="K26" s="5"/>
      <c r="L26" s="2"/>
      <c r="M26" s="2"/>
      <c r="N26" s="1"/>
      <c r="O26" s="1"/>
      <c r="P26" s="1"/>
      <c r="Q26" s="1"/>
      <c r="R26" s="8"/>
      <c r="S26" s="6"/>
    </row>
    <row r="27" spans="1:19" ht="13.2" x14ac:dyDescent="0.25">
      <c r="A27" s="43" t="s">
        <v>112</v>
      </c>
      <c r="B27" s="43" t="s">
        <v>109</v>
      </c>
      <c r="C27" s="43" t="s">
        <v>129</v>
      </c>
      <c r="D27">
        <v>1843</v>
      </c>
      <c r="E27" s="43" t="s">
        <v>34</v>
      </c>
      <c r="F27">
        <v>263</v>
      </c>
      <c r="G27">
        <v>42</v>
      </c>
      <c r="H27">
        <v>16</v>
      </c>
      <c r="I27" s="7"/>
      <c r="J27" s="7"/>
      <c r="K27" s="5"/>
      <c r="L27" s="2"/>
      <c r="M27" s="2"/>
      <c r="N27" s="1"/>
      <c r="O27" s="1"/>
      <c r="P27" s="1"/>
      <c r="Q27" s="1"/>
      <c r="R27" s="8"/>
      <c r="S27" s="6"/>
    </row>
    <row r="28" spans="1:19" ht="13.2" x14ac:dyDescent="0.25">
      <c r="A28" s="43" t="s">
        <v>112</v>
      </c>
      <c r="B28" s="43" t="s">
        <v>109</v>
      </c>
      <c r="C28" s="43" t="s">
        <v>140</v>
      </c>
      <c r="D28">
        <v>1843</v>
      </c>
      <c r="E28" s="43" t="s">
        <v>35</v>
      </c>
      <c r="F28">
        <v>266</v>
      </c>
      <c r="G28">
        <v>33</v>
      </c>
      <c r="H28">
        <v>12.4</v>
      </c>
      <c r="I28" s="7"/>
      <c r="J28" s="7"/>
      <c r="K28" s="5"/>
      <c r="L28" s="2"/>
      <c r="M28" s="2"/>
      <c r="N28" s="1"/>
      <c r="O28" s="1"/>
      <c r="P28" s="1"/>
      <c r="Q28" s="1"/>
      <c r="R28" s="8"/>
      <c r="S28" s="6"/>
    </row>
    <row r="29" spans="1:19" ht="13.2" x14ac:dyDescent="0.25">
      <c r="A29" s="43" t="s">
        <v>112</v>
      </c>
      <c r="B29" s="43" t="s">
        <v>109</v>
      </c>
      <c r="C29" s="43" t="s">
        <v>131</v>
      </c>
      <c r="D29">
        <v>1843</v>
      </c>
      <c r="E29" s="43" t="s">
        <v>36</v>
      </c>
      <c r="F29">
        <v>285</v>
      </c>
      <c r="G29">
        <v>34</v>
      </c>
      <c r="H29">
        <v>11.9</v>
      </c>
      <c r="I29" s="7"/>
      <c r="J29" s="7"/>
      <c r="K29" s="5"/>
      <c r="L29" s="2"/>
      <c r="M29" s="2"/>
      <c r="N29" s="1"/>
      <c r="O29" s="1"/>
      <c r="P29" s="1"/>
      <c r="Q29" s="1"/>
      <c r="R29" s="8"/>
      <c r="S29" s="6"/>
    </row>
    <row r="30" spans="1:19" ht="13.2" x14ac:dyDescent="0.25">
      <c r="A30" s="43" t="s">
        <v>112</v>
      </c>
      <c r="B30" s="43" t="s">
        <v>109</v>
      </c>
      <c r="C30" s="43" t="s">
        <v>132</v>
      </c>
      <c r="D30">
        <v>1843</v>
      </c>
      <c r="E30" s="43" t="s">
        <v>37</v>
      </c>
      <c r="F30">
        <v>246</v>
      </c>
      <c r="G30">
        <v>15</v>
      </c>
      <c r="H30">
        <v>6.1</v>
      </c>
      <c r="I30" s="7"/>
      <c r="J30" s="7"/>
      <c r="K30" s="5"/>
      <c r="L30" s="2"/>
      <c r="M30" s="2"/>
      <c r="N30" s="1"/>
      <c r="O30" s="1"/>
      <c r="P30" s="1"/>
      <c r="Q30" s="1"/>
      <c r="R30" s="8"/>
      <c r="S30" s="6"/>
    </row>
    <row r="31" spans="1:19" ht="13.2" x14ac:dyDescent="0.25">
      <c r="A31" s="43" t="s">
        <v>112</v>
      </c>
      <c r="B31" s="43" t="s">
        <v>109</v>
      </c>
      <c r="C31" s="43" t="s">
        <v>133</v>
      </c>
      <c r="D31">
        <v>1843</v>
      </c>
      <c r="E31" s="43" t="s">
        <v>38</v>
      </c>
      <c r="F31">
        <v>196</v>
      </c>
      <c r="G31">
        <v>8</v>
      </c>
      <c r="H31">
        <v>4.0999999999999996</v>
      </c>
      <c r="I31" s="7"/>
      <c r="J31" s="7"/>
      <c r="K31" s="5"/>
      <c r="L31" s="2"/>
      <c r="M31" s="2"/>
      <c r="N31" s="1"/>
      <c r="O31" s="1"/>
      <c r="P31" s="1"/>
      <c r="Q31" s="1"/>
      <c r="R31" s="8"/>
      <c r="S31" s="6"/>
    </row>
    <row r="32" spans="1:19" ht="13.2" x14ac:dyDescent="0.25">
      <c r="A32" s="43" t="s">
        <v>112</v>
      </c>
      <c r="B32" s="43" t="s">
        <v>109</v>
      </c>
      <c r="C32" s="43" t="s">
        <v>134</v>
      </c>
      <c r="D32">
        <v>1843</v>
      </c>
      <c r="E32" s="43" t="s">
        <v>39</v>
      </c>
      <c r="F32">
        <v>191</v>
      </c>
      <c r="G32">
        <v>1</v>
      </c>
      <c r="H32">
        <v>0.5</v>
      </c>
      <c r="I32" s="7"/>
      <c r="J32" s="7"/>
      <c r="K32" s="5"/>
      <c r="L32" s="2"/>
      <c r="M32" s="2"/>
      <c r="N32" s="1"/>
      <c r="O32" s="1"/>
      <c r="P32" s="1"/>
      <c r="Q32" s="1"/>
      <c r="R32" s="8"/>
      <c r="S32" s="6"/>
    </row>
    <row r="33" spans="1:19" ht="13.2" x14ac:dyDescent="0.25">
      <c r="A33" s="43" t="s">
        <v>112</v>
      </c>
      <c r="B33" s="43" t="s">
        <v>109</v>
      </c>
      <c r="C33" s="43" t="s">
        <v>135</v>
      </c>
      <c r="D33">
        <v>1843</v>
      </c>
      <c r="E33" s="43" t="s">
        <v>40</v>
      </c>
      <c r="F33">
        <v>193</v>
      </c>
      <c r="G33">
        <v>3</v>
      </c>
      <c r="H33">
        <v>1.6</v>
      </c>
      <c r="I33" s="7"/>
      <c r="J33" s="7"/>
      <c r="K33" s="5"/>
      <c r="L33" s="2"/>
      <c r="M33" s="2"/>
      <c r="N33" s="1"/>
      <c r="O33" s="1"/>
      <c r="P33" s="1"/>
      <c r="Q33" s="1"/>
      <c r="R33" s="8"/>
      <c r="S33" s="6"/>
    </row>
    <row r="34" spans="1:19" ht="13.2" x14ac:dyDescent="0.25">
      <c r="A34" s="43" t="s">
        <v>112</v>
      </c>
      <c r="B34" s="43" t="s">
        <v>109</v>
      </c>
      <c r="C34" s="43" t="s">
        <v>136</v>
      </c>
      <c r="D34">
        <v>1843</v>
      </c>
      <c r="E34" s="43" t="s">
        <v>41</v>
      </c>
      <c r="F34">
        <v>221</v>
      </c>
      <c r="G34">
        <v>5</v>
      </c>
      <c r="H34">
        <v>2.2999999999999998</v>
      </c>
      <c r="I34" s="7"/>
      <c r="J34" s="7"/>
      <c r="K34" s="5"/>
      <c r="L34" s="2"/>
      <c r="M34" s="2"/>
      <c r="N34" s="1"/>
      <c r="O34" s="1"/>
      <c r="P34" s="1"/>
      <c r="Q34" s="1"/>
      <c r="R34" s="8"/>
      <c r="S34" s="6"/>
    </row>
    <row r="35" spans="1:19" ht="13.2" x14ac:dyDescent="0.25">
      <c r="A35" s="43" t="s">
        <v>112</v>
      </c>
      <c r="B35" s="43" t="s">
        <v>109</v>
      </c>
      <c r="C35" s="43" t="s">
        <v>137</v>
      </c>
      <c r="D35">
        <v>1843</v>
      </c>
      <c r="E35" s="43" t="s">
        <v>42</v>
      </c>
      <c r="F35">
        <v>250</v>
      </c>
      <c r="G35">
        <v>44</v>
      </c>
      <c r="H35">
        <v>17.600000000000001</v>
      </c>
      <c r="I35" s="7"/>
      <c r="J35" s="7"/>
      <c r="K35" s="5"/>
      <c r="L35" s="2"/>
      <c r="M35" s="2"/>
      <c r="N35" s="1"/>
      <c r="O35" s="1"/>
      <c r="P35" s="1"/>
      <c r="Q35" s="1"/>
      <c r="R35" s="8"/>
      <c r="S35" s="6"/>
    </row>
    <row r="36" spans="1:19" ht="13.2" x14ac:dyDescent="0.25">
      <c r="A36" s="43" t="s">
        <v>112</v>
      </c>
      <c r="B36" s="43" t="s">
        <v>109</v>
      </c>
      <c r="C36" s="43" t="s">
        <v>138</v>
      </c>
      <c r="D36">
        <v>1843</v>
      </c>
      <c r="E36" s="43" t="s">
        <v>43</v>
      </c>
      <c r="F36">
        <v>252</v>
      </c>
      <c r="G36">
        <v>18</v>
      </c>
      <c r="H36">
        <v>7.1</v>
      </c>
      <c r="I36" s="7"/>
      <c r="J36" s="7"/>
      <c r="K36" s="5"/>
      <c r="L36" s="2"/>
      <c r="M36" s="2"/>
      <c r="N36" s="1"/>
      <c r="O36" s="1"/>
      <c r="P36" s="1"/>
      <c r="Q36" s="1"/>
      <c r="R36" s="8"/>
      <c r="S36" s="6"/>
    </row>
    <row r="37" spans="1:19" ht="13.2" x14ac:dyDescent="0.25">
      <c r="A37" s="43" t="s">
        <v>112</v>
      </c>
      <c r="B37" s="43" t="s">
        <v>109</v>
      </c>
      <c r="C37" s="43" t="s">
        <v>139</v>
      </c>
      <c r="D37">
        <v>1843</v>
      </c>
      <c r="E37" s="43" t="s">
        <v>44</v>
      </c>
      <c r="F37">
        <v>236</v>
      </c>
      <c r="G37">
        <v>19</v>
      </c>
      <c r="H37">
        <v>8.1</v>
      </c>
      <c r="I37" s="7"/>
      <c r="J37" s="7"/>
      <c r="K37" s="5"/>
      <c r="L37" s="2"/>
      <c r="M37" s="2"/>
      <c r="N37" s="1"/>
      <c r="O37" s="1"/>
      <c r="P37" s="1"/>
      <c r="Q37" s="1"/>
      <c r="R37" s="8"/>
      <c r="S37" s="6"/>
    </row>
    <row r="38" spans="1:19" ht="13.2" x14ac:dyDescent="0.25">
      <c r="A38" s="43" t="s">
        <v>112</v>
      </c>
      <c r="B38" s="43" t="s">
        <v>109</v>
      </c>
      <c r="C38" s="43" t="s">
        <v>128</v>
      </c>
      <c r="D38">
        <v>1844</v>
      </c>
      <c r="E38" s="43" t="s">
        <v>45</v>
      </c>
      <c r="F38">
        <v>244</v>
      </c>
      <c r="G38">
        <v>37</v>
      </c>
      <c r="H38">
        <v>15.2</v>
      </c>
      <c r="I38" s="7"/>
      <c r="J38" s="7"/>
      <c r="K38" s="5"/>
      <c r="L38" s="2"/>
      <c r="M38" s="2"/>
      <c r="N38" s="1"/>
      <c r="O38" s="1"/>
      <c r="P38" s="1"/>
      <c r="Q38" s="1"/>
      <c r="R38" s="8"/>
      <c r="S38" s="6"/>
    </row>
    <row r="39" spans="1:19" ht="13.2" x14ac:dyDescent="0.25">
      <c r="A39" s="43" t="s">
        <v>112</v>
      </c>
      <c r="B39" s="43" t="s">
        <v>109</v>
      </c>
      <c r="C39" s="43" t="s">
        <v>129</v>
      </c>
      <c r="D39">
        <v>1844</v>
      </c>
      <c r="E39" s="43" t="s">
        <v>46</v>
      </c>
      <c r="F39">
        <v>257</v>
      </c>
      <c r="G39">
        <v>29</v>
      </c>
      <c r="H39">
        <v>11.3</v>
      </c>
      <c r="I39" s="7"/>
      <c r="J39" s="7"/>
      <c r="K39" s="5"/>
      <c r="L39" s="2"/>
      <c r="M39" s="2"/>
      <c r="N39" s="1"/>
      <c r="O39" s="1"/>
      <c r="P39" s="1"/>
      <c r="Q39" s="1"/>
      <c r="R39" s="8"/>
      <c r="S39" s="6"/>
    </row>
    <row r="40" spans="1:19" ht="13.2" x14ac:dyDescent="0.25">
      <c r="A40" s="43" t="s">
        <v>112</v>
      </c>
      <c r="B40" s="43" t="s">
        <v>109</v>
      </c>
      <c r="C40" s="43" t="s">
        <v>130</v>
      </c>
      <c r="D40">
        <v>1844</v>
      </c>
      <c r="E40" s="43" t="s">
        <v>47</v>
      </c>
      <c r="F40">
        <v>276</v>
      </c>
      <c r="G40">
        <v>47</v>
      </c>
      <c r="H40">
        <v>17</v>
      </c>
      <c r="I40" s="7"/>
      <c r="J40" s="7"/>
      <c r="K40" s="5"/>
      <c r="L40" s="2"/>
      <c r="M40" s="2"/>
      <c r="N40" s="1"/>
      <c r="O40" s="1"/>
      <c r="P40" s="1"/>
      <c r="Q40" s="1"/>
      <c r="R40" s="8"/>
      <c r="S40" s="6"/>
    </row>
    <row r="41" spans="1:19" ht="13.2" x14ac:dyDescent="0.25">
      <c r="A41" s="43" t="s">
        <v>112</v>
      </c>
      <c r="B41" s="43" t="s">
        <v>109</v>
      </c>
      <c r="C41" s="43" t="s">
        <v>131</v>
      </c>
      <c r="D41">
        <v>1844</v>
      </c>
      <c r="E41" s="43" t="s">
        <v>48</v>
      </c>
      <c r="F41">
        <v>208</v>
      </c>
      <c r="G41">
        <v>36</v>
      </c>
      <c r="H41">
        <v>17.3</v>
      </c>
      <c r="I41" s="7"/>
      <c r="J41" s="7"/>
      <c r="K41" s="5"/>
      <c r="L41" s="2"/>
      <c r="M41" s="2"/>
      <c r="N41" s="1"/>
      <c r="O41" s="1"/>
      <c r="P41" s="1"/>
      <c r="Q41" s="1"/>
      <c r="R41" s="8"/>
      <c r="S41" s="6"/>
    </row>
    <row r="42" spans="1:19" ht="13.2" x14ac:dyDescent="0.25">
      <c r="A42" s="43" t="s">
        <v>112</v>
      </c>
      <c r="B42" s="43" t="s">
        <v>109</v>
      </c>
      <c r="C42" s="43" t="s">
        <v>132</v>
      </c>
      <c r="D42">
        <v>1844</v>
      </c>
      <c r="E42" s="43" t="s">
        <v>49</v>
      </c>
      <c r="F42">
        <v>240</v>
      </c>
      <c r="G42">
        <v>14</v>
      </c>
      <c r="H42">
        <v>5.8</v>
      </c>
      <c r="I42" s="7"/>
      <c r="J42" s="7"/>
      <c r="K42" s="5"/>
      <c r="L42" s="2"/>
      <c r="M42" s="2"/>
      <c r="N42" s="1"/>
      <c r="O42" s="1"/>
      <c r="P42" s="1"/>
      <c r="Q42" s="1"/>
      <c r="R42" s="8"/>
      <c r="S42" s="6"/>
    </row>
    <row r="43" spans="1:19" ht="13.2" x14ac:dyDescent="0.25">
      <c r="A43" s="43" t="s">
        <v>112</v>
      </c>
      <c r="B43" s="43" t="s">
        <v>109</v>
      </c>
      <c r="C43" s="43" t="s">
        <v>133</v>
      </c>
      <c r="D43">
        <v>1844</v>
      </c>
      <c r="E43" s="43" t="s">
        <v>50</v>
      </c>
      <c r="F43">
        <v>224</v>
      </c>
      <c r="G43">
        <v>6</v>
      </c>
      <c r="H43">
        <v>2.7</v>
      </c>
      <c r="I43" s="7"/>
      <c r="J43" s="7"/>
      <c r="K43" s="5"/>
      <c r="L43" s="2"/>
      <c r="M43" s="2"/>
      <c r="N43" s="1"/>
      <c r="O43" s="1"/>
      <c r="P43" s="1"/>
      <c r="Q43" s="1"/>
      <c r="R43" s="8"/>
      <c r="S43" s="6"/>
    </row>
    <row r="44" spans="1:19" ht="13.2" x14ac:dyDescent="0.25">
      <c r="A44" s="43" t="s">
        <v>112</v>
      </c>
      <c r="B44" s="43" t="s">
        <v>109</v>
      </c>
      <c r="C44" s="43" t="s">
        <v>134</v>
      </c>
      <c r="D44">
        <v>1844</v>
      </c>
      <c r="E44" s="43" t="s">
        <v>51</v>
      </c>
      <c r="F44">
        <v>206</v>
      </c>
      <c r="G44">
        <v>9</v>
      </c>
      <c r="H44">
        <v>4.4000000000000004</v>
      </c>
      <c r="I44" s="7"/>
      <c r="J44" s="7"/>
      <c r="K44" s="5"/>
      <c r="L44" s="2"/>
      <c r="M44" s="2"/>
      <c r="N44" s="1"/>
      <c r="O44" s="1"/>
      <c r="P44" s="1"/>
      <c r="Q44" s="1"/>
      <c r="R44" s="8"/>
      <c r="S44" s="6"/>
    </row>
    <row r="45" spans="1:19" ht="13.2" x14ac:dyDescent="0.25">
      <c r="A45" s="43" t="s">
        <v>112</v>
      </c>
      <c r="B45" s="43" t="s">
        <v>109</v>
      </c>
      <c r="C45" s="43" t="s">
        <v>135</v>
      </c>
      <c r="D45">
        <v>1844</v>
      </c>
      <c r="E45" s="43" t="s">
        <v>52</v>
      </c>
      <c r="F45">
        <v>269</v>
      </c>
      <c r="G45">
        <v>17</v>
      </c>
      <c r="H45">
        <v>6.3</v>
      </c>
      <c r="I45" s="7"/>
      <c r="J45" s="7"/>
      <c r="K45" s="5"/>
      <c r="L45" s="2"/>
      <c r="M45" s="2"/>
      <c r="N45" s="1"/>
      <c r="O45" s="1"/>
      <c r="P45" s="1"/>
      <c r="Q45" s="1"/>
      <c r="R45" s="8"/>
      <c r="S45" s="6"/>
    </row>
    <row r="46" spans="1:19" ht="13.2" x14ac:dyDescent="0.25">
      <c r="A46" s="43" t="s">
        <v>112</v>
      </c>
      <c r="B46" s="43" t="s">
        <v>109</v>
      </c>
      <c r="C46" s="43" t="s">
        <v>136</v>
      </c>
      <c r="D46">
        <v>1844</v>
      </c>
      <c r="E46" s="43" t="s">
        <v>53</v>
      </c>
      <c r="F46">
        <v>245</v>
      </c>
      <c r="G46">
        <v>3</v>
      </c>
      <c r="H46">
        <v>1.2</v>
      </c>
      <c r="I46" s="7"/>
      <c r="J46" s="7"/>
      <c r="K46" s="5"/>
      <c r="L46" s="2"/>
      <c r="M46" s="2"/>
      <c r="N46" s="1"/>
      <c r="O46" s="1"/>
      <c r="P46" s="1"/>
      <c r="Q46" s="1"/>
      <c r="R46" s="8"/>
      <c r="S46" s="6"/>
    </row>
    <row r="47" spans="1:19" ht="13.2" x14ac:dyDescent="0.25">
      <c r="A47" s="43" t="s">
        <v>112</v>
      </c>
      <c r="B47" s="43" t="s">
        <v>109</v>
      </c>
      <c r="C47" s="43" t="s">
        <v>137</v>
      </c>
      <c r="D47">
        <v>1844</v>
      </c>
      <c r="E47" s="43" t="s">
        <v>54</v>
      </c>
      <c r="F47">
        <v>248</v>
      </c>
      <c r="G47">
        <v>8</v>
      </c>
      <c r="H47">
        <v>3.2</v>
      </c>
      <c r="I47" s="7"/>
      <c r="J47" s="7"/>
      <c r="K47" s="5"/>
      <c r="L47" s="2"/>
      <c r="M47" s="2"/>
      <c r="N47" s="1"/>
      <c r="O47" s="1"/>
      <c r="P47" s="1"/>
      <c r="Q47" s="1"/>
      <c r="R47" s="8"/>
      <c r="S47" s="6"/>
    </row>
    <row r="48" spans="1:19" ht="13.2" x14ac:dyDescent="0.25">
      <c r="A48" s="43" t="s">
        <v>112</v>
      </c>
      <c r="B48" s="43" t="s">
        <v>109</v>
      </c>
      <c r="C48" s="43" t="s">
        <v>138</v>
      </c>
      <c r="D48">
        <v>1844</v>
      </c>
      <c r="E48" s="43" t="s">
        <v>55</v>
      </c>
      <c r="F48">
        <v>245</v>
      </c>
      <c r="G48">
        <v>27</v>
      </c>
      <c r="H48">
        <v>11</v>
      </c>
      <c r="I48" s="7"/>
      <c r="J48" s="7"/>
      <c r="K48" s="5"/>
      <c r="L48" s="2"/>
      <c r="M48" s="2"/>
      <c r="N48" s="1"/>
      <c r="O48" s="1"/>
      <c r="P48" s="1"/>
      <c r="Q48" s="1"/>
      <c r="R48" s="8"/>
      <c r="S48" s="6"/>
    </row>
    <row r="49" spans="1:19" ht="13.2" x14ac:dyDescent="0.25">
      <c r="A49" s="43" t="s">
        <v>112</v>
      </c>
      <c r="B49" s="43" t="s">
        <v>109</v>
      </c>
      <c r="C49" s="43" t="s">
        <v>139</v>
      </c>
      <c r="D49">
        <v>1844</v>
      </c>
      <c r="E49" s="43" t="s">
        <v>56</v>
      </c>
      <c r="F49">
        <v>256</v>
      </c>
      <c r="G49">
        <v>27</v>
      </c>
      <c r="H49">
        <v>10.5</v>
      </c>
      <c r="I49" s="7"/>
      <c r="J49" s="7"/>
      <c r="K49" s="5"/>
      <c r="L49" s="2"/>
      <c r="M49" s="2"/>
      <c r="N49" s="1"/>
      <c r="O49" s="1"/>
      <c r="P49" s="1"/>
      <c r="Q49" s="1"/>
      <c r="R49" s="8"/>
      <c r="S49" s="6"/>
    </row>
    <row r="50" spans="1:19" ht="13.2" x14ac:dyDescent="0.25">
      <c r="A50" s="43" t="s">
        <v>112</v>
      </c>
      <c r="B50" s="43" t="s">
        <v>109</v>
      </c>
      <c r="C50" s="43" t="s">
        <v>128</v>
      </c>
      <c r="D50">
        <v>1845</v>
      </c>
      <c r="E50" s="43" t="s">
        <v>57</v>
      </c>
      <c r="F50">
        <v>303</v>
      </c>
      <c r="G50">
        <v>23</v>
      </c>
      <c r="H50">
        <v>7.6</v>
      </c>
      <c r="I50" s="7"/>
      <c r="J50" s="7"/>
      <c r="K50" s="5"/>
      <c r="L50" s="2"/>
      <c r="M50" s="2"/>
      <c r="N50" s="1"/>
      <c r="O50" s="1"/>
      <c r="P50" s="1"/>
      <c r="Q50" s="1"/>
      <c r="R50" s="8"/>
      <c r="S50" s="6"/>
    </row>
    <row r="51" spans="1:19" ht="13.2" x14ac:dyDescent="0.25">
      <c r="A51" s="43" t="s">
        <v>112</v>
      </c>
      <c r="B51" s="43" t="s">
        <v>109</v>
      </c>
      <c r="C51" s="43" t="s">
        <v>129</v>
      </c>
      <c r="D51">
        <v>1845</v>
      </c>
      <c r="E51" s="43" t="s">
        <v>58</v>
      </c>
      <c r="F51">
        <v>274</v>
      </c>
      <c r="G51">
        <v>13</v>
      </c>
      <c r="H51">
        <v>4.7</v>
      </c>
      <c r="I51" s="7"/>
      <c r="J51" s="7"/>
      <c r="K51" s="5"/>
      <c r="L51" s="2"/>
      <c r="M51" s="2"/>
      <c r="N51" s="1"/>
      <c r="O51" s="1"/>
      <c r="P51" s="1"/>
      <c r="Q51" s="1"/>
      <c r="R51" s="8"/>
      <c r="S51" s="6"/>
    </row>
    <row r="52" spans="1:19" ht="13.2" x14ac:dyDescent="0.25">
      <c r="A52" s="43" t="s">
        <v>112</v>
      </c>
      <c r="B52" s="43" t="s">
        <v>109</v>
      </c>
      <c r="C52" s="43" t="s">
        <v>130</v>
      </c>
      <c r="D52">
        <v>1845</v>
      </c>
      <c r="E52" s="43" t="s">
        <v>59</v>
      </c>
      <c r="F52">
        <v>292</v>
      </c>
      <c r="G52">
        <v>13</v>
      </c>
      <c r="H52">
        <v>4.5</v>
      </c>
      <c r="I52" s="7"/>
      <c r="J52" s="7"/>
      <c r="K52" s="5"/>
      <c r="L52" s="2"/>
      <c r="M52" s="2"/>
      <c r="N52" s="1"/>
      <c r="O52" s="1"/>
      <c r="P52" s="1"/>
      <c r="Q52" s="1"/>
      <c r="R52" s="8"/>
      <c r="S52" s="6"/>
    </row>
    <row r="53" spans="1:19" ht="13.2" x14ac:dyDescent="0.25">
      <c r="A53" s="43" t="s">
        <v>112</v>
      </c>
      <c r="B53" s="43" t="s">
        <v>109</v>
      </c>
      <c r="C53" s="43" t="s">
        <v>131</v>
      </c>
      <c r="D53">
        <v>1845</v>
      </c>
      <c r="E53" s="43" t="s">
        <v>60</v>
      </c>
      <c r="F53">
        <v>260</v>
      </c>
      <c r="G53">
        <v>11</v>
      </c>
      <c r="H53">
        <v>4.2</v>
      </c>
      <c r="I53" s="7"/>
      <c r="J53" s="7"/>
      <c r="K53" s="5"/>
      <c r="L53" s="2"/>
      <c r="M53" s="2"/>
      <c r="N53" s="1"/>
      <c r="O53" s="1"/>
      <c r="P53" s="1"/>
      <c r="Q53" s="1"/>
      <c r="R53" s="8"/>
      <c r="S53" s="6"/>
    </row>
    <row r="54" spans="1:19" ht="13.2" x14ac:dyDescent="0.25">
      <c r="A54" s="43" t="s">
        <v>112</v>
      </c>
      <c r="B54" s="43" t="s">
        <v>109</v>
      </c>
      <c r="C54" s="43" t="s">
        <v>132</v>
      </c>
      <c r="D54">
        <v>1845</v>
      </c>
      <c r="E54" s="43" t="s">
        <v>61</v>
      </c>
      <c r="F54">
        <v>296</v>
      </c>
      <c r="G54">
        <v>13</v>
      </c>
      <c r="H54">
        <v>4.4000000000000004</v>
      </c>
      <c r="I54" s="7"/>
      <c r="J54" s="7"/>
      <c r="K54" s="5"/>
      <c r="L54" s="2"/>
      <c r="M54" s="2"/>
      <c r="N54" s="1"/>
      <c r="O54" s="1"/>
      <c r="P54" s="1"/>
      <c r="Q54" s="1"/>
      <c r="R54" s="8"/>
      <c r="S54" s="6"/>
    </row>
    <row r="55" spans="1:19" ht="13.2" x14ac:dyDescent="0.25">
      <c r="A55" s="43" t="s">
        <v>112</v>
      </c>
      <c r="B55" s="43" t="s">
        <v>109</v>
      </c>
      <c r="C55" s="43" t="s">
        <v>133</v>
      </c>
      <c r="D55">
        <v>1845</v>
      </c>
      <c r="E55" s="43" t="s">
        <v>62</v>
      </c>
      <c r="F55">
        <v>280</v>
      </c>
      <c r="G55">
        <v>20</v>
      </c>
      <c r="H55">
        <v>7.1</v>
      </c>
      <c r="I55" s="7"/>
      <c r="J55" s="7"/>
      <c r="K55" s="5"/>
      <c r="L55" s="2"/>
      <c r="M55" s="2"/>
      <c r="N55" s="1"/>
      <c r="O55" s="1"/>
      <c r="P55" s="1"/>
      <c r="Q55" s="1"/>
      <c r="R55" s="8"/>
      <c r="S55" s="6"/>
    </row>
    <row r="56" spans="1:19" ht="13.2" x14ac:dyDescent="0.25">
      <c r="A56" s="43" t="s">
        <v>112</v>
      </c>
      <c r="B56" s="43" t="s">
        <v>109</v>
      </c>
      <c r="C56" s="43" t="s">
        <v>134</v>
      </c>
      <c r="D56">
        <v>1845</v>
      </c>
      <c r="E56" s="43" t="s">
        <v>63</v>
      </c>
      <c r="F56">
        <v>245</v>
      </c>
      <c r="G56">
        <v>15</v>
      </c>
      <c r="H56">
        <v>6.1</v>
      </c>
      <c r="I56" s="7"/>
      <c r="J56" s="7"/>
      <c r="K56" s="5"/>
      <c r="L56" s="2"/>
      <c r="M56" s="2"/>
      <c r="N56" s="1"/>
      <c r="O56" s="1"/>
      <c r="P56" s="1"/>
      <c r="Q56" s="1"/>
      <c r="R56" s="8"/>
      <c r="S56" s="6"/>
    </row>
    <row r="57" spans="1:19" ht="13.2" x14ac:dyDescent="0.25">
      <c r="A57" s="43" t="s">
        <v>112</v>
      </c>
      <c r="B57" s="43" t="s">
        <v>109</v>
      </c>
      <c r="C57" s="43" t="s">
        <v>135</v>
      </c>
      <c r="D57">
        <v>1845</v>
      </c>
      <c r="E57" s="43" t="s">
        <v>64</v>
      </c>
      <c r="F57">
        <v>251</v>
      </c>
      <c r="G57">
        <v>9</v>
      </c>
      <c r="H57">
        <v>3.6</v>
      </c>
      <c r="I57" s="7"/>
      <c r="J57" s="7"/>
      <c r="K57" s="5"/>
      <c r="L57" s="2"/>
      <c r="M57" s="2"/>
      <c r="N57" s="1"/>
      <c r="O57" s="1"/>
      <c r="P57" s="1"/>
      <c r="Q57" s="1"/>
      <c r="R57" s="8"/>
      <c r="S57" s="6"/>
    </row>
    <row r="58" spans="1:19" ht="13.2" x14ac:dyDescent="0.25">
      <c r="A58" s="43" t="s">
        <v>112</v>
      </c>
      <c r="B58" s="43" t="s">
        <v>109</v>
      </c>
      <c r="C58" s="43" t="s">
        <v>136</v>
      </c>
      <c r="D58">
        <v>1845</v>
      </c>
      <c r="E58" s="43" t="s">
        <v>65</v>
      </c>
      <c r="F58">
        <v>237</v>
      </c>
      <c r="G58">
        <v>25</v>
      </c>
      <c r="H58">
        <v>10.5</v>
      </c>
      <c r="I58" s="7"/>
      <c r="J58" s="7"/>
      <c r="K58" s="5"/>
      <c r="L58" s="2"/>
      <c r="M58" s="2"/>
      <c r="N58" s="1"/>
      <c r="O58" s="1"/>
      <c r="P58" s="1"/>
      <c r="Q58" s="1"/>
      <c r="R58" s="8"/>
      <c r="S58" s="6"/>
    </row>
    <row r="59" spans="1:19" ht="13.2" x14ac:dyDescent="0.25">
      <c r="A59" s="43" t="s">
        <v>112</v>
      </c>
      <c r="B59" s="43" t="s">
        <v>109</v>
      </c>
      <c r="C59" s="43" t="s">
        <v>137</v>
      </c>
      <c r="D59">
        <v>1845</v>
      </c>
      <c r="E59" s="43" t="s">
        <v>66</v>
      </c>
      <c r="F59">
        <v>283</v>
      </c>
      <c r="G59">
        <v>42</v>
      </c>
      <c r="H59">
        <v>14.8</v>
      </c>
      <c r="I59" s="7"/>
      <c r="J59" s="7"/>
      <c r="K59" s="5"/>
      <c r="L59" s="2"/>
      <c r="M59" s="2"/>
      <c r="N59" s="1"/>
      <c r="O59" s="1"/>
      <c r="P59" s="1"/>
      <c r="Q59" s="1"/>
      <c r="R59" s="8"/>
      <c r="S59" s="6"/>
    </row>
    <row r="60" spans="1:19" ht="13.2" x14ac:dyDescent="0.25">
      <c r="A60" s="43" t="s">
        <v>112</v>
      </c>
      <c r="B60" s="43" t="s">
        <v>109</v>
      </c>
      <c r="C60" s="43" t="s">
        <v>138</v>
      </c>
      <c r="D60">
        <v>1845</v>
      </c>
      <c r="E60" s="43" t="s">
        <v>67</v>
      </c>
      <c r="F60">
        <v>265</v>
      </c>
      <c r="G60">
        <v>29</v>
      </c>
      <c r="H60">
        <v>10.9</v>
      </c>
      <c r="I60" s="7"/>
      <c r="J60" s="7"/>
      <c r="K60" s="5"/>
      <c r="L60" s="2"/>
      <c r="M60" s="2"/>
      <c r="N60" s="1"/>
      <c r="O60" s="1"/>
      <c r="P60" s="1"/>
      <c r="Q60" s="1"/>
      <c r="R60" s="8"/>
      <c r="S60" s="6"/>
    </row>
    <row r="61" spans="1:19" ht="13.2" x14ac:dyDescent="0.25">
      <c r="A61" s="43" t="s">
        <v>112</v>
      </c>
      <c r="B61" s="43" t="s">
        <v>109</v>
      </c>
      <c r="C61" s="43" t="s">
        <v>139</v>
      </c>
      <c r="D61">
        <v>1845</v>
      </c>
      <c r="E61" s="43" t="s">
        <v>68</v>
      </c>
      <c r="F61">
        <v>267</v>
      </c>
      <c r="G61">
        <v>28</v>
      </c>
      <c r="H61">
        <v>10.5</v>
      </c>
      <c r="I61" s="7"/>
      <c r="J61" s="7"/>
      <c r="K61" s="5"/>
      <c r="L61" s="2"/>
      <c r="M61" s="2"/>
      <c r="N61" s="1"/>
      <c r="O61" s="1"/>
      <c r="P61" s="1"/>
      <c r="Q61" s="1"/>
      <c r="R61" s="8"/>
      <c r="S61" s="6"/>
    </row>
    <row r="62" spans="1:19" ht="13.2" x14ac:dyDescent="0.25">
      <c r="A62" s="43" t="s">
        <v>112</v>
      </c>
      <c r="B62" s="43" t="s">
        <v>109</v>
      </c>
      <c r="C62" s="43" t="s">
        <v>128</v>
      </c>
      <c r="D62">
        <v>1846</v>
      </c>
      <c r="E62" s="43" t="s">
        <v>69</v>
      </c>
      <c r="F62">
        <v>336</v>
      </c>
      <c r="G62">
        <v>45</v>
      </c>
      <c r="H62">
        <v>13.4</v>
      </c>
      <c r="I62" s="7"/>
      <c r="J62" s="7"/>
      <c r="K62" s="5"/>
      <c r="L62" s="2"/>
      <c r="M62" s="2"/>
      <c r="N62" s="1"/>
      <c r="O62" s="1"/>
      <c r="P62" s="1"/>
      <c r="Q62" s="1"/>
      <c r="R62" s="8"/>
      <c r="S62" s="6"/>
    </row>
    <row r="63" spans="1:19" ht="13.2" x14ac:dyDescent="0.25">
      <c r="A63" s="43" t="s">
        <v>112</v>
      </c>
      <c r="B63" s="43" t="s">
        <v>109</v>
      </c>
      <c r="C63" s="43" t="s">
        <v>129</v>
      </c>
      <c r="D63">
        <v>1846</v>
      </c>
      <c r="E63" s="43" t="s">
        <v>70</v>
      </c>
      <c r="F63">
        <v>293</v>
      </c>
      <c r="G63">
        <v>53</v>
      </c>
      <c r="H63">
        <v>18.100000000000001</v>
      </c>
      <c r="I63" s="7"/>
      <c r="J63" s="7"/>
      <c r="K63" s="5"/>
      <c r="L63" s="2"/>
      <c r="M63" s="2"/>
      <c r="N63" s="1"/>
      <c r="O63" s="1"/>
      <c r="P63" s="1"/>
      <c r="Q63" s="1"/>
      <c r="R63" s="8"/>
      <c r="S63" s="6"/>
    </row>
    <row r="64" spans="1:19" ht="13.2" x14ac:dyDescent="0.25">
      <c r="A64" s="43" t="s">
        <v>112</v>
      </c>
      <c r="B64" s="43" t="s">
        <v>109</v>
      </c>
      <c r="C64" s="43" t="s">
        <v>130</v>
      </c>
      <c r="D64">
        <v>1846</v>
      </c>
      <c r="E64" s="43" t="s">
        <v>71</v>
      </c>
      <c r="F64">
        <v>311</v>
      </c>
      <c r="G64">
        <v>48</v>
      </c>
      <c r="H64">
        <v>15.4</v>
      </c>
      <c r="I64" s="7"/>
      <c r="J64" s="7"/>
      <c r="K64" s="5"/>
      <c r="L64" s="2"/>
      <c r="M64" s="2"/>
      <c r="N64" s="1"/>
      <c r="O64" s="1"/>
      <c r="P64" s="1"/>
      <c r="Q64" s="1"/>
      <c r="R64" s="8"/>
      <c r="S64" s="6"/>
    </row>
    <row r="65" spans="1:19" ht="13.2" x14ac:dyDescent="0.25">
      <c r="A65" s="43" t="s">
        <v>112</v>
      </c>
      <c r="B65" s="43" t="s">
        <v>109</v>
      </c>
      <c r="C65" s="43" t="s">
        <v>131</v>
      </c>
      <c r="D65">
        <v>1846</v>
      </c>
      <c r="E65" s="43" t="s">
        <v>72</v>
      </c>
      <c r="F65">
        <v>253</v>
      </c>
      <c r="G65">
        <v>48</v>
      </c>
      <c r="H65">
        <v>19</v>
      </c>
      <c r="I65" s="7"/>
      <c r="J65" s="7"/>
      <c r="K65" s="5"/>
      <c r="L65" s="2"/>
      <c r="M65" s="2"/>
      <c r="N65" s="1"/>
      <c r="O65" s="1"/>
      <c r="P65" s="1"/>
      <c r="Q65" s="1"/>
      <c r="R65" s="8"/>
      <c r="S65" s="6"/>
    </row>
    <row r="66" spans="1:19" ht="13.2" x14ac:dyDescent="0.25">
      <c r="A66" s="43" t="s">
        <v>112</v>
      </c>
      <c r="B66" s="43" t="s">
        <v>109</v>
      </c>
      <c r="C66" s="43" t="s">
        <v>132</v>
      </c>
      <c r="D66">
        <v>1846</v>
      </c>
      <c r="E66" s="43" t="s">
        <v>73</v>
      </c>
      <c r="F66">
        <v>305</v>
      </c>
      <c r="G66">
        <v>41</v>
      </c>
      <c r="H66">
        <v>13.4</v>
      </c>
      <c r="I66" s="7"/>
      <c r="J66" s="7"/>
      <c r="K66" s="5"/>
      <c r="L66" s="2"/>
      <c r="M66" s="2"/>
      <c r="N66" s="1"/>
      <c r="O66" s="1"/>
      <c r="P66" s="1"/>
      <c r="Q66" s="1"/>
      <c r="R66" s="8"/>
      <c r="S66" s="6"/>
    </row>
    <row r="67" spans="1:19" ht="13.2" x14ac:dyDescent="0.25">
      <c r="A67" s="43" t="s">
        <v>112</v>
      </c>
      <c r="B67" s="43" t="s">
        <v>109</v>
      </c>
      <c r="C67" s="43" t="s">
        <v>133</v>
      </c>
      <c r="D67">
        <v>1846</v>
      </c>
      <c r="E67" s="43" t="s">
        <v>74</v>
      </c>
      <c r="F67">
        <v>266</v>
      </c>
      <c r="G67">
        <v>27</v>
      </c>
      <c r="H67">
        <v>10.199999999999999</v>
      </c>
      <c r="I67" s="7"/>
      <c r="J67" s="7"/>
      <c r="K67" s="5"/>
      <c r="L67" s="2"/>
      <c r="M67" s="2"/>
      <c r="N67" s="1"/>
      <c r="O67" s="1"/>
      <c r="P67" s="1"/>
      <c r="Q67" s="1"/>
      <c r="R67" s="8"/>
      <c r="S67" s="1"/>
    </row>
    <row r="68" spans="1:19" ht="13.2" x14ac:dyDescent="0.25">
      <c r="A68" s="43" t="s">
        <v>112</v>
      </c>
      <c r="B68" s="43" t="s">
        <v>109</v>
      </c>
      <c r="C68" s="43" t="s">
        <v>134</v>
      </c>
      <c r="D68">
        <v>1846</v>
      </c>
      <c r="E68" s="43" t="s">
        <v>75</v>
      </c>
      <c r="F68">
        <v>252</v>
      </c>
      <c r="G68">
        <v>33</v>
      </c>
      <c r="H68">
        <v>13.1</v>
      </c>
      <c r="I68" s="7"/>
      <c r="J68" s="1"/>
      <c r="K68" s="5"/>
      <c r="L68" s="2"/>
      <c r="M68" s="2"/>
      <c r="N68" s="1"/>
      <c r="O68" s="1"/>
      <c r="P68" s="1"/>
      <c r="Q68" s="1"/>
      <c r="R68" s="8"/>
      <c r="S68" s="1"/>
    </row>
    <row r="69" spans="1:19" ht="13.2" x14ac:dyDescent="0.25">
      <c r="A69" s="43" t="s">
        <v>112</v>
      </c>
      <c r="B69" s="43" t="s">
        <v>109</v>
      </c>
      <c r="C69" s="43" t="s">
        <v>135</v>
      </c>
      <c r="D69">
        <v>1846</v>
      </c>
      <c r="E69" s="43" t="s">
        <v>76</v>
      </c>
      <c r="F69">
        <v>216</v>
      </c>
      <c r="G69">
        <v>39</v>
      </c>
      <c r="H69">
        <v>18.100000000000001</v>
      </c>
      <c r="I69" s="7"/>
      <c r="J69" s="1"/>
      <c r="K69" s="5"/>
      <c r="L69" s="2"/>
      <c r="M69" s="2"/>
      <c r="N69" s="1"/>
      <c r="O69" s="1"/>
      <c r="P69" s="1"/>
      <c r="Q69" s="1"/>
      <c r="R69" s="8"/>
      <c r="S69" s="1"/>
    </row>
    <row r="70" spans="1:19" ht="13.2" x14ac:dyDescent="0.25">
      <c r="A70" s="43" t="s">
        <v>112</v>
      </c>
      <c r="B70" s="43" t="s">
        <v>109</v>
      </c>
      <c r="C70" s="43" t="s">
        <v>136</v>
      </c>
      <c r="D70">
        <v>1846</v>
      </c>
      <c r="E70" s="43" t="s">
        <v>77</v>
      </c>
      <c r="F70">
        <v>271</v>
      </c>
      <c r="G70">
        <v>39</v>
      </c>
      <c r="H70">
        <v>14.4</v>
      </c>
      <c r="I70" s="7"/>
      <c r="J70" s="1"/>
      <c r="K70" s="5"/>
      <c r="L70" s="2"/>
      <c r="M70" s="2"/>
      <c r="N70" s="1"/>
      <c r="O70" s="1"/>
      <c r="P70" s="1"/>
      <c r="Q70" s="1"/>
      <c r="R70" s="8"/>
      <c r="S70" s="1"/>
    </row>
    <row r="71" spans="1:19" ht="13.2" x14ac:dyDescent="0.25">
      <c r="A71" s="43" t="s">
        <v>112</v>
      </c>
      <c r="B71" s="43" t="s">
        <v>109</v>
      </c>
      <c r="C71" s="43" t="s">
        <v>137</v>
      </c>
      <c r="D71">
        <v>1846</v>
      </c>
      <c r="E71" s="43" t="s">
        <v>78</v>
      </c>
      <c r="F71">
        <v>254</v>
      </c>
      <c r="G71">
        <v>38</v>
      </c>
      <c r="H71">
        <v>15</v>
      </c>
      <c r="I71" s="7"/>
      <c r="J71" s="1"/>
      <c r="K71" s="5"/>
      <c r="L71" s="2"/>
      <c r="M71" s="2"/>
      <c r="N71" s="1"/>
      <c r="O71" s="1"/>
      <c r="P71" s="1"/>
      <c r="Q71" s="1"/>
      <c r="R71" s="8"/>
      <c r="S71" s="1"/>
    </row>
    <row r="72" spans="1:19" ht="13.2" x14ac:dyDescent="0.25">
      <c r="A72" s="43" t="s">
        <v>112</v>
      </c>
      <c r="B72" s="43" t="s">
        <v>109</v>
      </c>
      <c r="C72" s="43" t="s">
        <v>138</v>
      </c>
      <c r="D72">
        <v>1846</v>
      </c>
      <c r="E72" s="43" t="s">
        <v>79</v>
      </c>
      <c r="F72">
        <v>297</v>
      </c>
      <c r="G72">
        <v>32</v>
      </c>
      <c r="H72">
        <v>10.8</v>
      </c>
      <c r="I72" s="7"/>
      <c r="J72" s="1"/>
      <c r="K72" s="5"/>
      <c r="L72" s="2"/>
      <c r="M72" s="2"/>
      <c r="N72" s="1"/>
      <c r="O72" s="1"/>
      <c r="P72" s="1"/>
      <c r="Q72" s="1"/>
      <c r="R72" s="8"/>
      <c r="S72" s="1"/>
    </row>
    <row r="73" spans="1:19" ht="13.2" x14ac:dyDescent="0.25">
      <c r="A73" s="43" t="s">
        <v>112</v>
      </c>
      <c r="B73" s="43" t="s">
        <v>109</v>
      </c>
      <c r="C73" s="43" t="s">
        <v>139</v>
      </c>
      <c r="D73">
        <v>1846</v>
      </c>
      <c r="E73" s="43" t="s">
        <v>80</v>
      </c>
      <c r="F73">
        <v>298</v>
      </c>
      <c r="G73">
        <v>16</v>
      </c>
      <c r="H73">
        <v>5.4</v>
      </c>
      <c r="I73" s="7"/>
      <c r="J73" s="1"/>
      <c r="K73" s="5"/>
      <c r="L73" s="2"/>
      <c r="M73" s="2"/>
      <c r="N73" s="1"/>
      <c r="O73" s="1"/>
      <c r="P73" s="1"/>
      <c r="Q73" s="1"/>
      <c r="R73" s="8"/>
      <c r="S73" s="1"/>
    </row>
    <row r="74" spans="1:19" ht="13.2" x14ac:dyDescent="0.25">
      <c r="A74" s="43" t="s">
        <v>112</v>
      </c>
      <c r="B74" s="43" t="s">
        <v>109</v>
      </c>
      <c r="C74" s="43" t="s">
        <v>128</v>
      </c>
      <c r="D74">
        <v>1847</v>
      </c>
      <c r="E74" s="43" t="s">
        <v>81</v>
      </c>
      <c r="F74">
        <v>311</v>
      </c>
      <c r="G74">
        <v>10</v>
      </c>
      <c r="H74">
        <v>3.2</v>
      </c>
      <c r="I74" s="7"/>
      <c r="J74" s="1"/>
      <c r="K74" s="5"/>
      <c r="L74" s="2"/>
      <c r="M74" s="2"/>
      <c r="N74" s="1"/>
      <c r="O74" s="1"/>
      <c r="P74" s="1"/>
      <c r="Q74" s="1"/>
      <c r="R74" s="8"/>
      <c r="S74" s="1"/>
    </row>
    <row r="75" spans="1:19" ht="13.2" x14ac:dyDescent="0.25">
      <c r="A75" s="43" t="s">
        <v>112</v>
      </c>
      <c r="B75" s="43" t="s">
        <v>109</v>
      </c>
      <c r="C75" s="43" t="s">
        <v>129</v>
      </c>
      <c r="D75">
        <v>1847</v>
      </c>
      <c r="E75" s="43" t="s">
        <v>82</v>
      </c>
      <c r="F75">
        <v>312</v>
      </c>
      <c r="G75">
        <v>6</v>
      </c>
      <c r="H75">
        <v>1.9</v>
      </c>
      <c r="I75" s="7"/>
      <c r="J75" s="1"/>
      <c r="K75" s="5"/>
      <c r="L75" s="2"/>
      <c r="M75" s="2"/>
      <c r="N75" s="1"/>
      <c r="O75" s="1"/>
      <c r="P75" s="1"/>
      <c r="Q75" s="1"/>
      <c r="R75" s="8"/>
      <c r="S75" s="1"/>
    </row>
    <row r="76" spans="1:19" ht="13.2" x14ac:dyDescent="0.25">
      <c r="A76" s="43" t="s">
        <v>112</v>
      </c>
      <c r="B76" s="43" t="s">
        <v>109</v>
      </c>
      <c r="C76" s="43" t="s">
        <v>130</v>
      </c>
      <c r="D76">
        <v>1847</v>
      </c>
      <c r="E76" s="43" t="s">
        <v>83</v>
      </c>
      <c r="F76">
        <v>305</v>
      </c>
      <c r="G76">
        <v>11</v>
      </c>
      <c r="H76">
        <v>3.6</v>
      </c>
      <c r="I76" s="7"/>
      <c r="J76" s="1"/>
      <c r="K76" s="5"/>
      <c r="L76" s="2"/>
      <c r="M76" s="2"/>
      <c r="N76" s="1"/>
      <c r="O76" s="1"/>
      <c r="P76" s="1"/>
      <c r="Q76" s="1"/>
      <c r="R76" s="8"/>
      <c r="S76" s="1"/>
    </row>
    <row r="77" spans="1:19" ht="13.2" x14ac:dyDescent="0.25">
      <c r="A77" s="43" t="s">
        <v>112</v>
      </c>
      <c r="B77" s="43" t="s">
        <v>109</v>
      </c>
      <c r="C77" s="43" t="s">
        <v>131</v>
      </c>
      <c r="D77">
        <v>1847</v>
      </c>
      <c r="E77" s="43" t="s">
        <v>84</v>
      </c>
      <c r="F77">
        <v>312</v>
      </c>
      <c r="G77">
        <v>57</v>
      </c>
      <c r="H77">
        <v>18.3</v>
      </c>
      <c r="I77" s="7"/>
      <c r="J77" s="1"/>
      <c r="K77" s="5"/>
      <c r="L77" s="2"/>
      <c r="M77" s="2"/>
      <c r="N77" s="1"/>
      <c r="O77" s="1"/>
      <c r="P77" s="1"/>
      <c r="Q77" s="1"/>
      <c r="R77" s="8"/>
      <c r="S77" s="1"/>
    </row>
    <row r="78" spans="1:19" ht="13.2" x14ac:dyDescent="0.25">
      <c r="A78" s="43" t="s">
        <v>112</v>
      </c>
      <c r="B78" s="43" t="s">
        <v>109</v>
      </c>
      <c r="C78" s="43" t="s">
        <v>132</v>
      </c>
      <c r="D78">
        <v>1847</v>
      </c>
      <c r="E78" s="43" t="s">
        <v>85</v>
      </c>
      <c r="F78">
        <v>294</v>
      </c>
      <c r="G78">
        <v>36</v>
      </c>
      <c r="H78">
        <v>12.2</v>
      </c>
      <c r="I78" s="7"/>
      <c r="J78" s="1"/>
      <c r="K78" s="5"/>
      <c r="L78" s="2"/>
      <c r="M78" s="2"/>
      <c r="N78" s="1"/>
      <c r="O78" s="1"/>
      <c r="P78" s="1"/>
      <c r="Q78" s="1"/>
      <c r="R78" s="8"/>
      <c r="S78" s="1"/>
    </row>
    <row r="79" spans="1:19" ht="13.2" x14ac:dyDescent="0.25">
      <c r="A79" s="43" t="s">
        <v>112</v>
      </c>
      <c r="B79" s="43" t="s">
        <v>110</v>
      </c>
      <c r="C79" s="43" t="s">
        <v>133</v>
      </c>
      <c r="D79">
        <v>1847</v>
      </c>
      <c r="E79" s="43" t="s">
        <v>86</v>
      </c>
      <c r="F79">
        <v>268</v>
      </c>
      <c r="G79">
        <v>6</v>
      </c>
      <c r="H79">
        <v>2.2000000000000002</v>
      </c>
      <c r="I79" s="7"/>
      <c r="J79" s="1"/>
      <c r="K79" s="5"/>
      <c r="L79" s="2"/>
      <c r="M79" s="2"/>
      <c r="N79" s="1"/>
      <c r="O79" s="1"/>
      <c r="P79" s="1"/>
      <c r="Q79" s="1"/>
      <c r="R79" s="8"/>
      <c r="S79" s="1"/>
    </row>
    <row r="80" spans="1:19" ht="13.2" x14ac:dyDescent="0.25">
      <c r="A80" s="43" t="s">
        <v>112</v>
      </c>
      <c r="B80" s="43" t="s">
        <v>110</v>
      </c>
      <c r="C80" s="43" t="s">
        <v>134</v>
      </c>
      <c r="D80">
        <v>1847</v>
      </c>
      <c r="E80" s="43" t="s">
        <v>87</v>
      </c>
      <c r="F80">
        <v>250</v>
      </c>
      <c r="G80">
        <v>3</v>
      </c>
      <c r="H80">
        <v>1.2</v>
      </c>
      <c r="I80" s="7"/>
      <c r="J80" s="1"/>
      <c r="K80" s="5"/>
      <c r="L80" s="2"/>
      <c r="M80" s="2"/>
      <c r="N80" s="1"/>
      <c r="O80" s="1"/>
      <c r="P80" s="1"/>
      <c r="Q80" s="1"/>
      <c r="R80" s="8"/>
      <c r="S80" s="1"/>
    </row>
    <row r="81" spans="1:19" ht="13.2" x14ac:dyDescent="0.25">
      <c r="A81" s="43" t="s">
        <v>112</v>
      </c>
      <c r="B81" s="43" t="s">
        <v>110</v>
      </c>
      <c r="C81" s="43" t="s">
        <v>135</v>
      </c>
      <c r="D81">
        <v>1847</v>
      </c>
      <c r="E81" s="43" t="s">
        <v>88</v>
      </c>
      <c r="F81">
        <v>264</v>
      </c>
      <c r="G81">
        <v>5</v>
      </c>
      <c r="H81">
        <v>1.9</v>
      </c>
      <c r="I81" s="7"/>
      <c r="J81" s="1"/>
      <c r="K81" s="5"/>
      <c r="L81" s="2"/>
      <c r="M81" s="2"/>
      <c r="N81" s="1"/>
      <c r="O81" s="1"/>
      <c r="P81" s="1"/>
      <c r="Q81" s="1"/>
      <c r="R81" s="8"/>
      <c r="S81" s="1"/>
    </row>
    <row r="82" spans="1:19" ht="13.2" x14ac:dyDescent="0.25">
      <c r="A82" s="43" t="s">
        <v>112</v>
      </c>
      <c r="B82" s="43" t="s">
        <v>110</v>
      </c>
      <c r="C82" s="43" t="s">
        <v>136</v>
      </c>
      <c r="D82">
        <v>1847</v>
      </c>
      <c r="E82" s="43" t="s">
        <v>89</v>
      </c>
      <c r="F82">
        <v>262</v>
      </c>
      <c r="G82">
        <v>12</v>
      </c>
      <c r="H82">
        <v>4.5999999999999996</v>
      </c>
      <c r="I82" s="7"/>
      <c r="J82" s="1"/>
      <c r="K82" s="5"/>
      <c r="L82" s="2"/>
      <c r="M82" s="2"/>
      <c r="N82" s="1"/>
      <c r="O82" s="1"/>
      <c r="P82" s="1"/>
      <c r="Q82" s="1"/>
      <c r="R82" s="8"/>
      <c r="S82" s="1"/>
    </row>
    <row r="83" spans="1:19" ht="13.2" x14ac:dyDescent="0.25">
      <c r="A83" s="43" t="s">
        <v>112</v>
      </c>
      <c r="B83" s="43" t="s">
        <v>110</v>
      </c>
      <c r="C83" s="43" t="s">
        <v>137</v>
      </c>
      <c r="D83">
        <v>1847</v>
      </c>
      <c r="E83" s="43" t="s">
        <v>90</v>
      </c>
      <c r="F83">
        <v>278</v>
      </c>
      <c r="G83">
        <v>11</v>
      </c>
      <c r="H83">
        <v>4</v>
      </c>
      <c r="I83" s="7"/>
      <c r="J83" s="1"/>
      <c r="K83" s="5"/>
      <c r="L83" s="2"/>
      <c r="M83" s="2"/>
      <c r="N83" s="1"/>
      <c r="O83" s="1"/>
      <c r="P83" s="1"/>
      <c r="Q83" s="1"/>
      <c r="R83" s="8"/>
      <c r="S83" s="1"/>
    </row>
    <row r="84" spans="1:19" ht="13.2" x14ac:dyDescent="0.25">
      <c r="A84" s="43" t="s">
        <v>112</v>
      </c>
      <c r="B84" s="43" t="s">
        <v>110</v>
      </c>
      <c r="C84" s="43" t="s">
        <v>138</v>
      </c>
      <c r="D84">
        <v>1847</v>
      </c>
      <c r="E84" s="43" t="s">
        <v>91</v>
      </c>
      <c r="F84">
        <v>246</v>
      </c>
      <c r="G84">
        <v>11</v>
      </c>
      <c r="H84">
        <v>4.5</v>
      </c>
      <c r="I84" s="7"/>
      <c r="J84" s="1"/>
      <c r="K84" s="5"/>
      <c r="L84" s="2"/>
      <c r="M84" s="2"/>
      <c r="N84" s="1"/>
      <c r="O84" s="1"/>
      <c r="P84" s="1"/>
      <c r="Q84" s="1"/>
      <c r="R84" s="8"/>
      <c r="S84" s="1"/>
    </row>
    <row r="85" spans="1:19" ht="13.2" x14ac:dyDescent="0.25">
      <c r="A85" s="43" t="s">
        <v>112</v>
      </c>
      <c r="B85" s="43" t="s">
        <v>110</v>
      </c>
      <c r="C85" s="43" t="s">
        <v>139</v>
      </c>
      <c r="D85">
        <v>1847</v>
      </c>
      <c r="E85" s="43" t="s">
        <v>92</v>
      </c>
      <c r="F85">
        <v>273</v>
      </c>
      <c r="G85">
        <v>8</v>
      </c>
      <c r="H85">
        <v>2.9</v>
      </c>
      <c r="I85" s="7"/>
      <c r="J85" s="1"/>
      <c r="K85" s="5"/>
      <c r="L85" s="2"/>
      <c r="M85" s="2"/>
      <c r="N85" s="1"/>
      <c r="O85" s="1"/>
      <c r="P85" s="1"/>
      <c r="Q85" s="1"/>
      <c r="R85" s="8"/>
      <c r="S85" s="1"/>
    </row>
    <row r="86" spans="1:19" ht="13.2" x14ac:dyDescent="0.25">
      <c r="A86" s="43" t="s">
        <v>112</v>
      </c>
      <c r="B86" s="43" t="s">
        <v>110</v>
      </c>
      <c r="C86" s="43" t="s">
        <v>128</v>
      </c>
      <c r="D86">
        <v>1848</v>
      </c>
      <c r="E86" s="43" t="s">
        <v>93</v>
      </c>
      <c r="F86">
        <v>283</v>
      </c>
      <c r="G86">
        <v>10</v>
      </c>
      <c r="H86">
        <v>3.5</v>
      </c>
      <c r="I86" s="7"/>
      <c r="J86" s="1"/>
      <c r="K86" s="5"/>
      <c r="L86" s="2"/>
      <c r="M86" s="2"/>
      <c r="N86" s="1"/>
      <c r="O86" s="1"/>
      <c r="P86" s="1"/>
      <c r="Q86" s="1"/>
      <c r="R86" s="8"/>
      <c r="S86" s="1"/>
    </row>
    <row r="87" spans="1:19" ht="13.2" x14ac:dyDescent="0.25">
      <c r="A87" s="43" t="s">
        <v>112</v>
      </c>
      <c r="B87" s="43" t="s">
        <v>110</v>
      </c>
      <c r="C87" s="43" t="s">
        <v>129</v>
      </c>
      <c r="D87">
        <v>1848</v>
      </c>
      <c r="E87" s="43" t="s">
        <v>94</v>
      </c>
      <c r="F87">
        <v>291</v>
      </c>
      <c r="G87">
        <v>2</v>
      </c>
      <c r="H87">
        <v>0.7</v>
      </c>
      <c r="I87" s="7"/>
      <c r="J87" s="1"/>
      <c r="K87" s="5"/>
      <c r="L87" s="2"/>
      <c r="M87" s="2"/>
      <c r="N87" s="1"/>
      <c r="O87" s="1"/>
      <c r="P87" s="1"/>
      <c r="Q87" s="1"/>
      <c r="R87" s="8"/>
      <c r="S87" s="1"/>
    </row>
    <row r="88" spans="1:19" ht="13.2" x14ac:dyDescent="0.25">
      <c r="A88" s="43" t="s">
        <v>112</v>
      </c>
      <c r="B88" s="43" t="s">
        <v>110</v>
      </c>
      <c r="C88" s="43" t="s">
        <v>130</v>
      </c>
      <c r="D88">
        <v>1848</v>
      </c>
      <c r="E88" s="43" t="s">
        <v>95</v>
      </c>
      <c r="F88">
        <v>276</v>
      </c>
      <c r="G88">
        <v>0</v>
      </c>
      <c r="H88">
        <v>0</v>
      </c>
      <c r="I88" s="7"/>
      <c r="J88" s="1"/>
      <c r="K88" s="5"/>
      <c r="L88" s="2"/>
      <c r="M88" s="2"/>
      <c r="N88" s="1"/>
      <c r="O88" s="1"/>
      <c r="P88" s="1"/>
      <c r="Q88" s="1"/>
      <c r="R88" s="8"/>
      <c r="S88" s="1"/>
    </row>
    <row r="89" spans="1:19" ht="13.2" x14ac:dyDescent="0.25">
      <c r="A89" s="43" t="s">
        <v>112</v>
      </c>
      <c r="B89" s="43" t="s">
        <v>110</v>
      </c>
      <c r="C89" s="43" t="s">
        <v>131</v>
      </c>
      <c r="D89">
        <v>1848</v>
      </c>
      <c r="E89" s="43" t="s">
        <v>96</v>
      </c>
      <c r="F89">
        <v>305</v>
      </c>
      <c r="G89">
        <v>2</v>
      </c>
      <c r="H89">
        <v>0.7</v>
      </c>
      <c r="I89" s="7"/>
      <c r="J89" s="1"/>
      <c r="K89" s="5"/>
      <c r="L89" s="2"/>
      <c r="M89" s="2"/>
      <c r="N89" s="1"/>
      <c r="O89" s="1"/>
      <c r="P89" s="1"/>
      <c r="Q89" s="1"/>
      <c r="R89" s="8"/>
      <c r="S89" s="1"/>
    </row>
    <row r="90" spans="1:19" ht="13.2" x14ac:dyDescent="0.25">
      <c r="A90" s="43" t="s">
        <v>112</v>
      </c>
      <c r="B90" s="43" t="s">
        <v>110</v>
      </c>
      <c r="C90" s="43" t="s">
        <v>132</v>
      </c>
      <c r="D90">
        <v>1848</v>
      </c>
      <c r="E90" s="43" t="s">
        <v>97</v>
      </c>
      <c r="F90">
        <v>313</v>
      </c>
      <c r="G90">
        <v>3</v>
      </c>
      <c r="H90">
        <v>1</v>
      </c>
      <c r="I90" s="7"/>
      <c r="J90" s="1"/>
      <c r="K90" s="5"/>
      <c r="L90" s="2"/>
      <c r="M90" s="2"/>
      <c r="N90" s="1"/>
      <c r="O90" s="1"/>
      <c r="P90" s="1"/>
      <c r="Q90" s="1"/>
      <c r="R90" s="8"/>
      <c r="S90" s="1"/>
    </row>
    <row r="91" spans="1:19" ht="13.2" x14ac:dyDescent="0.25">
      <c r="A91" s="43" t="s">
        <v>112</v>
      </c>
      <c r="B91" s="43" t="s">
        <v>110</v>
      </c>
      <c r="C91" s="43" t="s">
        <v>133</v>
      </c>
      <c r="D91">
        <v>1848</v>
      </c>
      <c r="E91" s="43" t="s">
        <v>98</v>
      </c>
      <c r="F91">
        <v>264</v>
      </c>
      <c r="G91">
        <v>3</v>
      </c>
      <c r="H91">
        <v>1.1000000000000001</v>
      </c>
      <c r="I91" s="7"/>
      <c r="J91" s="1"/>
      <c r="K91" s="5"/>
      <c r="L91" s="2"/>
      <c r="M91" s="2"/>
      <c r="N91" s="1"/>
      <c r="O91" s="1"/>
      <c r="P91" s="1"/>
      <c r="Q91" s="1"/>
      <c r="R91" s="8"/>
      <c r="S91" s="1"/>
    </row>
    <row r="92" spans="1:19" ht="13.2" x14ac:dyDescent="0.25">
      <c r="A92" s="43" t="s">
        <v>112</v>
      </c>
      <c r="B92" s="43" t="s">
        <v>110</v>
      </c>
      <c r="C92" s="43" t="s">
        <v>134</v>
      </c>
      <c r="D92">
        <v>1848</v>
      </c>
      <c r="E92" s="43" t="s">
        <v>99</v>
      </c>
      <c r="F92">
        <v>269</v>
      </c>
      <c r="G92">
        <v>1</v>
      </c>
      <c r="H92">
        <v>0.4</v>
      </c>
      <c r="I92" s="7"/>
      <c r="J92" s="1"/>
      <c r="K92" s="5"/>
      <c r="L92" s="2"/>
      <c r="M92" s="2"/>
      <c r="N92" s="1"/>
      <c r="O92" s="1"/>
      <c r="P92" s="1"/>
      <c r="Q92" s="1"/>
      <c r="R92" s="8"/>
      <c r="S92" s="1"/>
    </row>
    <row r="93" spans="1:19" ht="13.2" x14ac:dyDescent="0.25">
      <c r="A93" s="43" t="s">
        <v>112</v>
      </c>
      <c r="B93" s="43" t="s">
        <v>110</v>
      </c>
      <c r="C93" s="43" t="s">
        <v>135</v>
      </c>
      <c r="D93">
        <v>1848</v>
      </c>
      <c r="E93" s="43" t="s">
        <v>100</v>
      </c>
      <c r="F93">
        <v>261</v>
      </c>
      <c r="G93">
        <v>0</v>
      </c>
      <c r="H93">
        <v>0</v>
      </c>
      <c r="I93" s="7"/>
      <c r="J93" s="1"/>
      <c r="K93" s="5"/>
      <c r="L93" s="2"/>
      <c r="M93" s="2"/>
      <c r="N93" s="1"/>
      <c r="O93" s="1"/>
      <c r="P93" s="1"/>
      <c r="Q93" s="1"/>
      <c r="R93" s="8"/>
      <c r="S93" s="1"/>
    </row>
    <row r="94" spans="1:19" ht="13.2" x14ac:dyDescent="0.25">
      <c r="A94" s="43" t="s">
        <v>112</v>
      </c>
      <c r="B94" s="43" t="s">
        <v>110</v>
      </c>
      <c r="C94" s="43" t="s">
        <v>136</v>
      </c>
      <c r="D94">
        <v>1848</v>
      </c>
      <c r="E94" s="43" t="s">
        <v>101</v>
      </c>
      <c r="F94">
        <v>312</v>
      </c>
      <c r="G94">
        <v>3</v>
      </c>
      <c r="H94">
        <v>1</v>
      </c>
      <c r="I94" s="7"/>
      <c r="J94" s="1"/>
      <c r="K94" s="5"/>
      <c r="L94" s="2"/>
      <c r="M94" s="2"/>
      <c r="N94" s="1"/>
      <c r="O94" s="1"/>
      <c r="P94" s="1"/>
      <c r="Q94" s="1"/>
      <c r="R94" s="8"/>
      <c r="S94" s="1"/>
    </row>
    <row r="95" spans="1:19" ht="13.2" x14ac:dyDescent="0.25">
      <c r="A95" s="43" t="s">
        <v>112</v>
      </c>
      <c r="B95" s="43" t="s">
        <v>110</v>
      </c>
      <c r="C95" s="43" t="s">
        <v>137</v>
      </c>
      <c r="D95">
        <v>1848</v>
      </c>
      <c r="E95" s="43" t="s">
        <v>102</v>
      </c>
      <c r="F95">
        <v>299</v>
      </c>
      <c r="G95">
        <v>7</v>
      </c>
      <c r="H95">
        <v>2.2999999999999998</v>
      </c>
      <c r="I95" s="7"/>
      <c r="J95" s="1"/>
      <c r="K95" s="5"/>
      <c r="L95" s="2"/>
      <c r="M95" s="2"/>
      <c r="N95" s="1"/>
      <c r="O95" s="1"/>
      <c r="P95" s="1"/>
      <c r="Q95" s="1"/>
      <c r="R95" s="8"/>
      <c r="S95" s="1"/>
    </row>
    <row r="96" spans="1:19" ht="13.2" x14ac:dyDescent="0.25">
      <c r="A96" s="43" t="s">
        <v>112</v>
      </c>
      <c r="B96" s="43" t="s">
        <v>110</v>
      </c>
      <c r="C96" s="43" t="s">
        <v>138</v>
      </c>
      <c r="D96">
        <v>1848</v>
      </c>
      <c r="E96" s="43" t="s">
        <v>103</v>
      </c>
      <c r="F96">
        <v>310</v>
      </c>
      <c r="G96">
        <v>9</v>
      </c>
      <c r="H96">
        <v>2.9</v>
      </c>
      <c r="I96" s="7"/>
      <c r="J96" s="1"/>
      <c r="K96" s="5"/>
      <c r="L96" s="2"/>
      <c r="M96" s="2"/>
      <c r="N96" s="1"/>
      <c r="O96" s="1"/>
      <c r="P96" s="1"/>
      <c r="Q96" s="1"/>
      <c r="R96" s="8"/>
      <c r="S96" s="1"/>
    </row>
    <row r="97" spans="1:19" ht="13.2" x14ac:dyDescent="0.25">
      <c r="A97" s="43" t="s">
        <v>112</v>
      </c>
      <c r="B97" s="43" t="s">
        <v>110</v>
      </c>
      <c r="C97" s="43" t="s">
        <v>139</v>
      </c>
      <c r="D97">
        <v>1848</v>
      </c>
      <c r="E97" s="43" t="s">
        <v>104</v>
      </c>
      <c r="F97">
        <v>373</v>
      </c>
      <c r="G97">
        <v>5</v>
      </c>
      <c r="H97">
        <v>1.3</v>
      </c>
      <c r="I97" s="7"/>
      <c r="J97" s="1"/>
      <c r="K97" s="5"/>
      <c r="L97" s="2"/>
      <c r="M97" s="2"/>
      <c r="N97" s="1"/>
      <c r="O97" s="1"/>
      <c r="P97" s="1"/>
      <c r="Q97" s="1"/>
      <c r="R97" s="8"/>
      <c r="S97" s="1"/>
    </row>
    <row r="98" spans="1:19" ht="13.2" x14ac:dyDescent="0.25">
      <c r="A98" s="43" t="s">
        <v>112</v>
      </c>
      <c r="B98" s="43" t="s">
        <v>110</v>
      </c>
      <c r="C98" s="43" t="s">
        <v>128</v>
      </c>
      <c r="D98">
        <v>1849</v>
      </c>
      <c r="E98" s="43" t="s">
        <v>105</v>
      </c>
      <c r="F98">
        <v>403</v>
      </c>
      <c r="G98">
        <v>9</v>
      </c>
      <c r="H98">
        <v>2.2000000000000002</v>
      </c>
      <c r="I98" s="7"/>
      <c r="J98" s="1"/>
      <c r="K98" s="5"/>
      <c r="L98" s="2"/>
      <c r="M98" s="2"/>
      <c r="N98" s="1"/>
      <c r="O98" s="1"/>
      <c r="P98" s="1"/>
      <c r="Q98" s="1"/>
      <c r="R98" s="8"/>
      <c r="S98" s="1"/>
    </row>
    <row r="99" spans="1:19" ht="13.2" x14ac:dyDescent="0.25">
      <c r="A99" s="43" t="s">
        <v>112</v>
      </c>
      <c r="B99" s="43" t="s">
        <v>110</v>
      </c>
      <c r="C99" s="43" t="s">
        <v>129</v>
      </c>
      <c r="D99">
        <v>1849</v>
      </c>
      <c r="E99" s="43" t="s">
        <v>106</v>
      </c>
      <c r="F99">
        <v>389</v>
      </c>
      <c r="G99">
        <v>12</v>
      </c>
      <c r="H99">
        <v>3.1</v>
      </c>
      <c r="I99" s="7"/>
      <c r="J99" s="1"/>
      <c r="K99" s="5"/>
      <c r="L99" s="2"/>
      <c r="M99" s="2"/>
      <c r="N99" s="1"/>
      <c r="O99" s="1"/>
      <c r="P99" s="1"/>
      <c r="Q99" s="1"/>
      <c r="R99" s="8"/>
      <c r="S99" s="1"/>
    </row>
    <row r="100" spans="1:19" ht="13.2" x14ac:dyDescent="0.25">
      <c r="A100" s="43" t="s">
        <v>112</v>
      </c>
      <c r="B100" s="43" t="s">
        <v>110</v>
      </c>
      <c r="C100" s="43" t="s">
        <v>130</v>
      </c>
      <c r="D100">
        <v>1849</v>
      </c>
      <c r="E100" s="43" t="s">
        <v>107</v>
      </c>
      <c r="F100">
        <v>406</v>
      </c>
      <c r="G100">
        <v>20</v>
      </c>
      <c r="H100">
        <v>4.9000000000000004</v>
      </c>
      <c r="I100" s="7"/>
      <c r="J100" s="1"/>
      <c r="K100" s="5"/>
      <c r="L100" s="2"/>
      <c r="M100" s="2"/>
      <c r="N100" s="1"/>
      <c r="O100" s="1"/>
      <c r="P100" s="1"/>
      <c r="Q100" s="1"/>
      <c r="R100" s="8"/>
      <c r="S100" s="1"/>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152814C-E253-4DFB-8BD9-F2D8EE2259C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Overview</vt:lpstr>
      <vt:lpstr>Fig 14.1 &amp; 14.2 XmR chart</vt:lpstr>
      <vt:lpstr>Fig 14.3. Before &amp; After</vt:lpstr>
      <vt:lpstr>Fig 14.4. After-handwashing</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Jim Lehner</cp:lastModifiedBy>
  <dcterms:modified xsi:type="dcterms:W3CDTF">2026-05-07T16:45:03Z</dcterms:modified>
</cp:coreProperties>
</file>