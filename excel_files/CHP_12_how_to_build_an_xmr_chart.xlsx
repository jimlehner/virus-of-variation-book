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drawings/drawing2.xml" ContentType="application/vnd.openxmlformats-officedocument.drawing+xml"/>
  <Override PartName="/xl/tables/table6.xml" ContentType="application/vnd.openxmlformats-officedocument.spreadsheetml.table+xml"/>
  <Override PartName="/xl/queryTables/queryTable6.xml" ContentType="application/vnd.openxmlformats-officedocument.spreadsheetml.query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mes\OneDrive\Documents\GitHub\the-virus-of-variation\excel_files_2\"/>
    </mc:Choice>
  </mc:AlternateContent>
  <xr:revisionPtr revIDLastSave="0" documentId="13_ncr:1_{1FC193D5-CBBD-4D68-929C-8D4832691FBE}" xr6:coauthVersionLast="47" xr6:coauthVersionMax="47" xr10:uidLastSave="{00000000-0000-0000-0000-000000000000}"/>
  <bookViews>
    <workbookView xWindow="-120" yWindow="-16320" windowWidth="29040" windowHeight="15720" xr2:uid="{00000000-000D-0000-FFFF-FFFF00000000}"/>
  </bookViews>
  <sheets>
    <sheet name="Overview" sheetId="20" r:id="rId1"/>
    <sheet name="Step 1" sheetId="16" r:id="rId2"/>
    <sheet name="Step 2" sheetId="10" r:id="rId3"/>
    <sheet name="Step 3" sheetId="11" r:id="rId4"/>
    <sheet name="Step 4" sheetId="12" r:id="rId5"/>
    <sheet name="Step 5" sheetId="13" r:id="rId6"/>
    <sheet name="Step 6" sheetId="14" r:id="rId7"/>
    <sheet name="Results" sheetId="15" r:id="rId8"/>
    <sheet name="DATA" sheetId="18" r:id="rId9"/>
  </sheets>
  <definedNames>
    <definedName name="ExternalData_1" localSheetId="8" hidden="1">DATA!$A$1:$H$100</definedName>
    <definedName name="ExternalData_1" localSheetId="7" hidden="1">Results!$A$2:$B$101</definedName>
    <definedName name="ExternalData_1" localSheetId="2" hidden="1">'Step 2'!$A$2:$B$101</definedName>
    <definedName name="ExternalData_1" localSheetId="3" hidden="1">'Step 3'!$A$2:$B$101</definedName>
    <definedName name="ExternalData_1" localSheetId="4" hidden="1">'Step 4'!$A$2:$B$101</definedName>
    <definedName name="ExternalData_1" localSheetId="5" hidden="1">'Step 5'!$A$2:$B$101</definedName>
    <definedName name="ExternalData_1" localSheetId="6" hidden="1">'Step 6'!$A$2:$B$101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3" l="1"/>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F101" i="15"/>
  <c r="C101" i="15"/>
  <c r="F100" i="15"/>
  <c r="C100" i="15"/>
  <c r="F99" i="15"/>
  <c r="C99" i="15"/>
  <c r="F98" i="15"/>
  <c r="C98" i="15"/>
  <c r="F97" i="15"/>
  <c r="C97" i="15"/>
  <c r="F96" i="15"/>
  <c r="C96" i="15"/>
  <c r="F95" i="15"/>
  <c r="C95" i="15"/>
  <c r="F94" i="15"/>
  <c r="C94" i="15"/>
  <c r="F93" i="15"/>
  <c r="C93" i="15"/>
  <c r="F92" i="15"/>
  <c r="C92" i="15"/>
  <c r="F91" i="15"/>
  <c r="C91" i="15"/>
  <c r="F90" i="15"/>
  <c r="C90" i="15"/>
  <c r="F89" i="15"/>
  <c r="C89" i="15"/>
  <c r="F88" i="15"/>
  <c r="C88" i="15"/>
  <c r="F87" i="15"/>
  <c r="C87" i="15"/>
  <c r="F86" i="15"/>
  <c r="C86" i="15"/>
  <c r="F85" i="15"/>
  <c r="C85" i="15"/>
  <c r="F84" i="15"/>
  <c r="C84" i="15"/>
  <c r="F83" i="15"/>
  <c r="C83" i="15"/>
  <c r="F82" i="15"/>
  <c r="C82" i="15"/>
  <c r="F81" i="15"/>
  <c r="C81" i="15"/>
  <c r="F80" i="15"/>
  <c r="C80" i="15"/>
  <c r="F79" i="15"/>
  <c r="C79" i="15"/>
  <c r="F78" i="15"/>
  <c r="C78" i="15"/>
  <c r="F77" i="15"/>
  <c r="C77" i="15"/>
  <c r="F76" i="15"/>
  <c r="C76" i="15"/>
  <c r="F75" i="15"/>
  <c r="C75" i="15"/>
  <c r="F74" i="15"/>
  <c r="C74" i="15"/>
  <c r="F73" i="15"/>
  <c r="C73" i="15"/>
  <c r="F72" i="15"/>
  <c r="C72" i="15"/>
  <c r="F71" i="15"/>
  <c r="C71" i="15"/>
  <c r="F70" i="15"/>
  <c r="C70" i="15"/>
  <c r="F69" i="15"/>
  <c r="C69" i="15"/>
  <c r="F68" i="15"/>
  <c r="C68" i="15"/>
  <c r="F67" i="15"/>
  <c r="C67" i="15"/>
  <c r="F66" i="15"/>
  <c r="C66" i="15"/>
  <c r="F65" i="15"/>
  <c r="C65" i="15"/>
  <c r="F64" i="15"/>
  <c r="C64" i="15"/>
  <c r="F63" i="15"/>
  <c r="C63" i="15"/>
  <c r="F62" i="15"/>
  <c r="C62" i="15"/>
  <c r="F61" i="15"/>
  <c r="C61" i="15"/>
  <c r="F60" i="15"/>
  <c r="C60" i="15"/>
  <c r="F59" i="15"/>
  <c r="C59" i="15"/>
  <c r="F58" i="15"/>
  <c r="C58" i="15"/>
  <c r="F57" i="15"/>
  <c r="C57" i="15"/>
  <c r="F56" i="15"/>
  <c r="C56" i="15"/>
  <c r="F55" i="15"/>
  <c r="C55" i="15"/>
  <c r="F54" i="15"/>
  <c r="C54" i="15"/>
  <c r="F53" i="15"/>
  <c r="C53" i="15"/>
  <c r="F52" i="15"/>
  <c r="C52" i="15"/>
  <c r="F51" i="15"/>
  <c r="C51" i="15"/>
  <c r="F50" i="15"/>
  <c r="C50" i="15"/>
  <c r="F49" i="15"/>
  <c r="C49" i="15"/>
  <c r="F48" i="15"/>
  <c r="C48" i="15"/>
  <c r="F47" i="15"/>
  <c r="C47" i="15"/>
  <c r="F46" i="15"/>
  <c r="C46" i="15"/>
  <c r="F45" i="15"/>
  <c r="C45" i="15"/>
  <c r="F44" i="15"/>
  <c r="C44" i="15"/>
  <c r="F43" i="15"/>
  <c r="C43" i="15"/>
  <c r="F42" i="15"/>
  <c r="C42" i="15"/>
  <c r="F41" i="15"/>
  <c r="C41" i="15"/>
  <c r="F40" i="15"/>
  <c r="C40" i="15"/>
  <c r="F39" i="15"/>
  <c r="C39" i="15"/>
  <c r="F38" i="15"/>
  <c r="C38" i="15"/>
  <c r="F37" i="15"/>
  <c r="C37" i="15"/>
  <c r="F36" i="15"/>
  <c r="C36" i="15"/>
  <c r="F35" i="15"/>
  <c r="C35" i="15"/>
  <c r="F34" i="15"/>
  <c r="C34" i="15"/>
  <c r="F33" i="15"/>
  <c r="C33" i="15"/>
  <c r="F32" i="15"/>
  <c r="C32" i="15"/>
  <c r="F31" i="15"/>
  <c r="C31" i="15"/>
  <c r="F30" i="15"/>
  <c r="C30" i="15"/>
  <c r="F29" i="15"/>
  <c r="C29" i="15"/>
  <c r="F28" i="15"/>
  <c r="C28" i="15"/>
  <c r="F27" i="15"/>
  <c r="C27" i="15"/>
  <c r="F26" i="15"/>
  <c r="C26" i="15"/>
  <c r="F25" i="15"/>
  <c r="C25" i="15"/>
  <c r="F24" i="15"/>
  <c r="C24" i="15"/>
  <c r="F23" i="15"/>
  <c r="C23" i="15"/>
  <c r="F22" i="15"/>
  <c r="C22" i="15"/>
  <c r="F21" i="15"/>
  <c r="C21" i="15"/>
  <c r="F20" i="15"/>
  <c r="C20" i="15"/>
  <c r="F19" i="15"/>
  <c r="C19" i="15"/>
  <c r="F18" i="15"/>
  <c r="C18" i="15"/>
  <c r="F17" i="15"/>
  <c r="C17" i="15"/>
  <c r="F16" i="15"/>
  <c r="C16" i="15"/>
  <c r="F13" i="15"/>
  <c r="C13" i="15"/>
  <c r="F12" i="15"/>
  <c r="C12" i="15"/>
  <c r="F11" i="15"/>
  <c r="C11" i="15"/>
  <c r="F10" i="15"/>
  <c r="C10" i="15"/>
  <c r="F9" i="15"/>
  <c r="C9" i="15"/>
  <c r="F8" i="15"/>
  <c r="C8" i="15"/>
  <c r="F7" i="15"/>
  <c r="C7" i="15"/>
  <c r="F6" i="15"/>
  <c r="C6" i="15"/>
  <c r="F5" i="15"/>
  <c r="C5" i="15"/>
  <c r="F4" i="15"/>
  <c r="C4" i="15"/>
  <c r="G3" i="15"/>
  <c r="H3" i="15" s="1"/>
  <c r="C3" i="15"/>
  <c r="E101" i="14"/>
  <c r="E100" i="14"/>
  <c r="E99" i="14"/>
  <c r="E98" i="14"/>
  <c r="E97" i="14"/>
  <c r="E96" i="14"/>
  <c r="E95" i="14"/>
  <c r="E94" i="14"/>
  <c r="E93" i="14"/>
  <c r="E92" i="14"/>
  <c r="E91" i="14"/>
  <c r="E90" i="14"/>
  <c r="E89" i="14"/>
  <c r="E88" i="14"/>
  <c r="E87" i="14"/>
  <c r="E86" i="14"/>
  <c r="E85" i="14"/>
  <c r="E84" i="14"/>
  <c r="E83" i="14"/>
  <c r="E82" i="14"/>
  <c r="E81" i="14"/>
  <c r="E80" i="14"/>
  <c r="E79" i="14"/>
  <c r="E78" i="14"/>
  <c r="E77" i="14"/>
  <c r="E76" i="14"/>
  <c r="E75" i="14"/>
  <c r="E74" i="14"/>
  <c r="E73" i="14"/>
  <c r="E72" i="14"/>
  <c r="E71" i="14"/>
  <c r="E70" i="14"/>
  <c r="E69" i="14"/>
  <c r="E68" i="14"/>
  <c r="E67" i="14"/>
  <c r="E66" i="14"/>
  <c r="E65" i="14"/>
  <c r="E64" i="14"/>
  <c r="E63" i="14"/>
  <c r="E62" i="14"/>
  <c r="E61" i="14"/>
  <c r="E60" i="14"/>
  <c r="E59" i="14"/>
  <c r="E58" i="14"/>
  <c r="E57" i="14"/>
  <c r="E56" i="14"/>
  <c r="E55" i="14"/>
  <c r="E54" i="14"/>
  <c r="E53" i="14"/>
  <c r="E52" i="14"/>
  <c r="E51" i="14"/>
  <c r="E50" i="14"/>
  <c r="E49" i="14"/>
  <c r="E48" i="14"/>
  <c r="E47" i="14"/>
  <c r="E46" i="14"/>
  <c r="E45" i="14"/>
  <c r="E44" i="14"/>
  <c r="E43" i="14"/>
  <c r="E42" i="14"/>
  <c r="E41" i="14"/>
  <c r="E40" i="14"/>
  <c r="E39" i="14"/>
  <c r="E38" i="14"/>
  <c r="E37" i="14"/>
  <c r="E36" i="14"/>
  <c r="E35" i="14"/>
  <c r="E34" i="14"/>
  <c r="E33" i="14"/>
  <c r="E32" i="14"/>
  <c r="E31" i="14"/>
  <c r="E30" i="14"/>
  <c r="E29" i="14"/>
  <c r="E28" i="14"/>
  <c r="E27" i="14"/>
  <c r="E26" i="14"/>
  <c r="E25" i="14"/>
  <c r="E24" i="14"/>
  <c r="E23" i="14"/>
  <c r="E22" i="14"/>
  <c r="E21" i="14"/>
  <c r="E20" i="14"/>
  <c r="E19" i="14"/>
  <c r="E18" i="14"/>
  <c r="E17" i="14"/>
  <c r="E16" i="14"/>
  <c r="E13" i="14"/>
  <c r="E12" i="14"/>
  <c r="E11" i="14"/>
  <c r="E10" i="14"/>
  <c r="E9" i="14"/>
  <c r="E8" i="14"/>
  <c r="E7" i="14"/>
  <c r="E6" i="14"/>
  <c r="E5" i="14"/>
  <c r="E4" i="14"/>
  <c r="E3" i="14"/>
  <c r="D3" i="14"/>
  <c r="D4" i="14"/>
  <c r="D5" i="14"/>
  <c r="D6" i="14"/>
  <c r="D7" i="14"/>
  <c r="D8" i="14"/>
  <c r="D9" i="14"/>
  <c r="D10" i="14"/>
  <c r="D11" i="14"/>
  <c r="D12" i="14"/>
  <c r="D13" i="14"/>
  <c r="D16" i="14"/>
  <c r="D17" i="14"/>
  <c r="D18" i="14"/>
  <c r="D19" i="14"/>
  <c r="D20" i="14"/>
  <c r="D21" i="14"/>
  <c r="D22" i="14"/>
  <c r="D23" i="14"/>
  <c r="D24" i="14"/>
  <c r="D25" i="14"/>
  <c r="D26" i="14"/>
  <c r="D27" i="14"/>
  <c r="D28" i="14"/>
  <c r="D29" i="14"/>
  <c r="D30" i="14"/>
  <c r="D31" i="14"/>
  <c r="D32" i="14"/>
  <c r="D33" i="14"/>
  <c r="D34" i="14"/>
  <c r="D35" i="14"/>
  <c r="D36" i="14"/>
  <c r="D37" i="14"/>
  <c r="D38" i="14"/>
  <c r="D39" i="14"/>
  <c r="D40" i="14"/>
  <c r="D41" i="14"/>
  <c r="D42" i="14"/>
  <c r="D43" i="14"/>
  <c r="D44" i="14"/>
  <c r="D45" i="14"/>
  <c r="D46" i="14"/>
  <c r="D47" i="14"/>
  <c r="D48" i="14"/>
  <c r="D49" i="14"/>
  <c r="D50" i="14"/>
  <c r="D51" i="14"/>
  <c r="D52" i="14"/>
  <c r="D53" i="14"/>
  <c r="D54" i="14"/>
  <c r="D55" i="14"/>
  <c r="D56" i="14"/>
  <c r="D57" i="14"/>
  <c r="D58" i="14"/>
  <c r="D59" i="14"/>
  <c r="D60" i="14"/>
  <c r="D61" i="14"/>
  <c r="D62" i="14"/>
  <c r="D63" i="14"/>
  <c r="D64" i="14"/>
  <c r="D65" i="14"/>
  <c r="D66" i="14"/>
  <c r="D67" i="14"/>
  <c r="D68" i="14"/>
  <c r="D69" i="14"/>
  <c r="D70" i="14"/>
  <c r="D71" i="14"/>
  <c r="D72" i="14"/>
  <c r="D73" i="14"/>
  <c r="D74" i="14"/>
  <c r="D75" i="14"/>
  <c r="D76" i="14"/>
  <c r="D77" i="14"/>
  <c r="D78" i="14"/>
  <c r="D79" i="14"/>
  <c r="D80" i="14"/>
  <c r="D81" i="14"/>
  <c r="D82" i="14"/>
  <c r="D83" i="14"/>
  <c r="D84" i="14"/>
  <c r="D85" i="14"/>
  <c r="D86" i="14"/>
  <c r="D87" i="14"/>
  <c r="D88" i="14"/>
  <c r="D89" i="14"/>
  <c r="D90" i="14"/>
  <c r="D91" i="14"/>
  <c r="D92" i="14"/>
  <c r="D93" i="14"/>
  <c r="D94" i="14"/>
  <c r="D95" i="14"/>
  <c r="D96" i="14"/>
  <c r="D97" i="14"/>
  <c r="D98" i="14"/>
  <c r="D99" i="14"/>
  <c r="D100" i="14"/>
  <c r="D101" i="14"/>
  <c r="C3" i="14"/>
  <c r="C4" i="14"/>
  <c r="C5" i="14"/>
  <c r="C6" i="14"/>
  <c r="C7" i="14"/>
  <c r="C8" i="14"/>
  <c r="C9" i="14"/>
  <c r="C10" i="14"/>
  <c r="C11" i="14"/>
  <c r="C12" i="14"/>
  <c r="C13"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G3" i="14"/>
  <c r="H3" i="14" s="1"/>
  <c r="G4" i="14"/>
  <c r="H4" i="14" s="1"/>
  <c r="G5" i="14"/>
  <c r="H5" i="14" s="1"/>
  <c r="G6" i="14"/>
  <c r="H6" i="14" s="1"/>
  <c r="G7" i="14"/>
  <c r="H7" i="14" s="1"/>
  <c r="G8" i="14"/>
  <c r="H8" i="14" s="1"/>
  <c r="G9" i="14"/>
  <c r="H9" i="14" s="1"/>
  <c r="G10" i="14"/>
  <c r="H10" i="14" s="1"/>
  <c r="G11" i="14"/>
  <c r="H11" i="14" s="1"/>
  <c r="G12" i="14"/>
  <c r="H12" i="14" s="1"/>
  <c r="G13" i="14"/>
  <c r="H13" i="14" s="1"/>
  <c r="G16" i="14"/>
  <c r="H16" i="14" s="1"/>
  <c r="G17" i="14"/>
  <c r="H17" i="14" s="1"/>
  <c r="G18" i="14"/>
  <c r="H18" i="14" s="1"/>
  <c r="G19" i="14"/>
  <c r="H19" i="14" s="1"/>
  <c r="G20" i="14"/>
  <c r="H20" i="14" s="1"/>
  <c r="G21" i="14"/>
  <c r="H21" i="14" s="1"/>
  <c r="G22" i="14"/>
  <c r="H22" i="14" s="1"/>
  <c r="G23" i="14"/>
  <c r="H23" i="14" s="1"/>
  <c r="G24" i="14"/>
  <c r="H24" i="14" s="1"/>
  <c r="G25" i="14"/>
  <c r="H25" i="14" s="1"/>
  <c r="G26" i="14"/>
  <c r="H26" i="14" s="1"/>
  <c r="G27" i="14"/>
  <c r="H27" i="14" s="1"/>
  <c r="G28" i="14"/>
  <c r="H28" i="14" s="1"/>
  <c r="G29" i="14"/>
  <c r="H29" i="14" s="1"/>
  <c r="G30" i="14"/>
  <c r="H30" i="14" s="1"/>
  <c r="G31" i="14"/>
  <c r="H31" i="14" s="1"/>
  <c r="G32" i="14"/>
  <c r="H32" i="14" s="1"/>
  <c r="G33" i="14"/>
  <c r="H33" i="14" s="1"/>
  <c r="G34" i="14"/>
  <c r="H34" i="14" s="1"/>
  <c r="G35" i="14"/>
  <c r="H35" i="14" s="1"/>
  <c r="G36" i="14"/>
  <c r="H36" i="14" s="1"/>
  <c r="G37" i="14"/>
  <c r="H37" i="14" s="1"/>
  <c r="G38" i="14"/>
  <c r="H38" i="14" s="1"/>
  <c r="G39" i="14"/>
  <c r="H39" i="14" s="1"/>
  <c r="G40" i="14"/>
  <c r="H40" i="14" s="1"/>
  <c r="G41" i="14"/>
  <c r="H41" i="14" s="1"/>
  <c r="G42" i="14"/>
  <c r="H42" i="14" s="1"/>
  <c r="G43" i="14"/>
  <c r="H43" i="14" s="1"/>
  <c r="G44" i="14"/>
  <c r="H44" i="14" s="1"/>
  <c r="G45" i="14"/>
  <c r="H45" i="14" s="1"/>
  <c r="G46" i="14"/>
  <c r="H46" i="14" s="1"/>
  <c r="G47" i="14"/>
  <c r="H47" i="14" s="1"/>
  <c r="G48" i="14"/>
  <c r="H48" i="14" s="1"/>
  <c r="G49" i="14"/>
  <c r="H49" i="14" s="1"/>
  <c r="G50" i="14"/>
  <c r="H50" i="14" s="1"/>
  <c r="G51" i="14"/>
  <c r="H51" i="14" s="1"/>
  <c r="G52" i="14"/>
  <c r="H52" i="14" s="1"/>
  <c r="G53" i="14"/>
  <c r="H53" i="14" s="1"/>
  <c r="G54" i="14"/>
  <c r="H54" i="14" s="1"/>
  <c r="G55" i="14"/>
  <c r="H55" i="14" s="1"/>
  <c r="G56" i="14"/>
  <c r="H56" i="14" s="1"/>
  <c r="G57" i="14"/>
  <c r="H57" i="14" s="1"/>
  <c r="G58" i="14"/>
  <c r="H58" i="14" s="1"/>
  <c r="G59" i="14"/>
  <c r="H59" i="14" s="1"/>
  <c r="G60" i="14"/>
  <c r="H60" i="14" s="1"/>
  <c r="G61" i="14"/>
  <c r="H61" i="14" s="1"/>
  <c r="G62" i="14"/>
  <c r="H62" i="14" s="1"/>
  <c r="G63" i="14"/>
  <c r="H63" i="14" s="1"/>
  <c r="G64" i="14"/>
  <c r="H64" i="14" s="1"/>
  <c r="G65" i="14"/>
  <c r="H65" i="14" s="1"/>
  <c r="G66" i="14"/>
  <c r="H66" i="14" s="1"/>
  <c r="G67" i="14"/>
  <c r="H67" i="14" s="1"/>
  <c r="G68" i="14"/>
  <c r="H68" i="14" s="1"/>
  <c r="G69" i="14"/>
  <c r="H69" i="14" s="1"/>
  <c r="G70" i="14"/>
  <c r="H70" i="14" s="1"/>
  <c r="G71" i="14"/>
  <c r="H71" i="14" s="1"/>
  <c r="G72" i="14"/>
  <c r="H72" i="14" s="1"/>
  <c r="G73" i="14"/>
  <c r="H73" i="14" s="1"/>
  <c r="G74" i="14"/>
  <c r="H74" i="14" s="1"/>
  <c r="G75" i="14"/>
  <c r="H75" i="14" s="1"/>
  <c r="G76" i="14"/>
  <c r="H76" i="14" s="1"/>
  <c r="G77" i="14"/>
  <c r="H77" i="14" s="1"/>
  <c r="G78" i="14"/>
  <c r="H78" i="14" s="1"/>
  <c r="G79" i="14"/>
  <c r="H79" i="14" s="1"/>
  <c r="G80" i="14"/>
  <c r="H80" i="14" s="1"/>
  <c r="G81" i="14"/>
  <c r="H81" i="14" s="1"/>
  <c r="G82" i="14"/>
  <c r="H82" i="14" s="1"/>
  <c r="G83" i="14"/>
  <c r="H83" i="14" s="1"/>
  <c r="G84" i="14"/>
  <c r="H84" i="14" s="1"/>
  <c r="G85" i="14"/>
  <c r="H85" i="14" s="1"/>
  <c r="G86" i="14"/>
  <c r="H86" i="14" s="1"/>
  <c r="G87" i="14"/>
  <c r="H87" i="14" s="1"/>
  <c r="G88" i="14"/>
  <c r="H88" i="14" s="1"/>
  <c r="G89" i="14"/>
  <c r="H89" i="14" s="1"/>
  <c r="G90" i="14"/>
  <c r="H90" i="14" s="1"/>
  <c r="G91" i="14"/>
  <c r="H91" i="14" s="1"/>
  <c r="G92" i="14"/>
  <c r="H92" i="14" s="1"/>
  <c r="G93" i="14"/>
  <c r="H93" i="14" s="1"/>
  <c r="G94" i="14"/>
  <c r="H94" i="14" s="1"/>
  <c r="G95" i="14"/>
  <c r="H95" i="14" s="1"/>
  <c r="G96" i="14"/>
  <c r="H96" i="14" s="1"/>
  <c r="G97" i="14"/>
  <c r="H97" i="14" s="1"/>
  <c r="G98" i="14"/>
  <c r="H98" i="14" s="1"/>
  <c r="G99" i="14"/>
  <c r="H99" i="14" s="1"/>
  <c r="G100" i="14"/>
  <c r="H100" i="14" s="1"/>
  <c r="G101" i="14"/>
  <c r="H101" i="14" s="1"/>
  <c r="C3" i="13"/>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46" i="13"/>
  <c r="C47" i="13"/>
  <c r="C48" i="13"/>
  <c r="C49" i="13"/>
  <c r="C50" i="13"/>
  <c r="C51" i="13"/>
  <c r="C52" i="13"/>
  <c r="C53" i="13"/>
  <c r="C54" i="13"/>
  <c r="C55" i="13"/>
  <c r="C56" i="13"/>
  <c r="C57" i="13"/>
  <c r="C58" i="13"/>
  <c r="C59" i="13"/>
  <c r="C60" i="13"/>
  <c r="C61" i="13"/>
  <c r="C62" i="13"/>
  <c r="C63" i="13"/>
  <c r="C64" i="13"/>
  <c r="C65" i="13"/>
  <c r="C66" i="13"/>
  <c r="C67" i="13"/>
  <c r="C68" i="13"/>
  <c r="C69" i="13"/>
  <c r="C70" i="13"/>
  <c r="C71" i="13"/>
  <c r="C72" i="13"/>
  <c r="C73" i="13"/>
  <c r="C74" i="13"/>
  <c r="C75" i="13"/>
  <c r="C76" i="13"/>
  <c r="C77" i="13"/>
  <c r="C78" i="13"/>
  <c r="C79" i="13"/>
  <c r="C80" i="13"/>
  <c r="C81" i="13"/>
  <c r="C82" i="13"/>
  <c r="C83" i="13"/>
  <c r="C84" i="13"/>
  <c r="C85" i="13"/>
  <c r="C86" i="13"/>
  <c r="C87" i="13"/>
  <c r="C88" i="13"/>
  <c r="C89" i="13"/>
  <c r="C90" i="13"/>
  <c r="C91" i="13"/>
  <c r="C92" i="13"/>
  <c r="C93" i="13"/>
  <c r="C94" i="13"/>
  <c r="C95" i="13"/>
  <c r="C96" i="13"/>
  <c r="C97" i="13"/>
  <c r="C98" i="13"/>
  <c r="C99" i="13"/>
  <c r="C100" i="13"/>
  <c r="C101" i="13"/>
  <c r="F5" i="12"/>
  <c r="F6" i="12"/>
  <c r="F7" i="12"/>
  <c r="F8" i="12"/>
  <c r="F9" i="12"/>
  <c r="F10" i="12"/>
  <c r="F11" i="12"/>
  <c r="F12" i="12"/>
  <c r="F13"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4" i="12"/>
  <c r="F5" i="11"/>
  <c r="F6" i="11"/>
  <c r="F7" i="11"/>
  <c r="F8" i="11"/>
  <c r="F9" i="11"/>
  <c r="F10" i="11"/>
  <c r="F11" i="11"/>
  <c r="F12" i="11"/>
  <c r="F13"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4" i="11"/>
  <c r="F101" i="14"/>
  <c r="F100" i="14"/>
  <c r="F99" i="14"/>
  <c r="F98" i="14"/>
  <c r="F97" i="14"/>
  <c r="F96" i="14"/>
  <c r="F95" i="14"/>
  <c r="F94" i="14"/>
  <c r="F93" i="14"/>
  <c r="F92" i="14"/>
  <c r="F91" i="14"/>
  <c r="F90" i="14"/>
  <c r="F89" i="14"/>
  <c r="F88" i="14"/>
  <c r="F87" i="14"/>
  <c r="F86" i="14"/>
  <c r="F85" i="14"/>
  <c r="F84"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3" i="14"/>
  <c r="F12" i="14"/>
  <c r="F11" i="14"/>
  <c r="F10" i="14"/>
  <c r="F9" i="14"/>
  <c r="F8" i="14"/>
  <c r="F7" i="14"/>
  <c r="F6" i="14"/>
  <c r="F5" i="14"/>
  <c r="F4" i="14"/>
  <c r="F101" i="13"/>
  <c r="F100" i="13"/>
  <c r="F99" i="13"/>
  <c r="F98" i="13"/>
  <c r="F97" i="13"/>
  <c r="F96" i="13"/>
  <c r="F95" i="13"/>
  <c r="F94" i="13"/>
  <c r="F93" i="13"/>
  <c r="F92" i="13"/>
  <c r="F91" i="13"/>
  <c r="F90" i="13"/>
  <c r="F89" i="13"/>
  <c r="F88" i="13"/>
  <c r="F87" i="13"/>
  <c r="F86" i="13"/>
  <c r="F85" i="13"/>
  <c r="F84" i="13"/>
  <c r="F83" i="13"/>
  <c r="F82" i="13"/>
  <c r="F81" i="13"/>
  <c r="F80" i="13"/>
  <c r="F79" i="13"/>
  <c r="F78" i="13"/>
  <c r="F77" i="13"/>
  <c r="F76" i="13"/>
  <c r="F75" i="13"/>
  <c r="F74" i="13"/>
  <c r="F73" i="13"/>
  <c r="F72" i="13"/>
  <c r="F71" i="13"/>
  <c r="F70" i="13"/>
  <c r="F69" i="13"/>
  <c r="F68" i="13"/>
  <c r="F67" i="13"/>
  <c r="F66" i="13"/>
  <c r="F65" i="13"/>
  <c r="F64" i="13"/>
  <c r="F63" i="13"/>
  <c r="F62" i="13"/>
  <c r="F61" i="13"/>
  <c r="F60" i="13"/>
  <c r="F59" i="13"/>
  <c r="F58" i="13"/>
  <c r="F57" i="13"/>
  <c r="F56" i="13"/>
  <c r="F55" i="13"/>
  <c r="F54" i="13"/>
  <c r="F53" i="13"/>
  <c r="F52" i="13"/>
  <c r="F51" i="13"/>
  <c r="F50" i="13"/>
  <c r="F49" i="13"/>
  <c r="F48" i="13"/>
  <c r="F47" i="13"/>
  <c r="F46" i="13"/>
  <c r="F45" i="13"/>
  <c r="F44" i="13"/>
  <c r="F43" i="13"/>
  <c r="F42" i="13"/>
  <c r="F41" i="13"/>
  <c r="F40" i="13"/>
  <c r="F39" i="13"/>
  <c r="F38" i="13"/>
  <c r="F37" i="13"/>
  <c r="F36" i="13"/>
  <c r="F35" i="13"/>
  <c r="F34" i="13"/>
  <c r="F33" i="13"/>
  <c r="F32" i="13"/>
  <c r="F31" i="13"/>
  <c r="F30" i="13"/>
  <c r="F29" i="13"/>
  <c r="F28" i="13"/>
  <c r="F27" i="13"/>
  <c r="F26" i="13"/>
  <c r="F25" i="13"/>
  <c r="F24" i="13"/>
  <c r="F23" i="13"/>
  <c r="F22" i="13"/>
  <c r="F21" i="13"/>
  <c r="F20" i="13"/>
  <c r="F19" i="13"/>
  <c r="F18" i="13"/>
  <c r="F17" i="13"/>
  <c r="F16" i="13"/>
  <c r="F13" i="13"/>
  <c r="F12" i="13"/>
  <c r="F11" i="13"/>
  <c r="F10" i="13"/>
  <c r="F9" i="13"/>
  <c r="F8" i="13"/>
  <c r="F7" i="13"/>
  <c r="F6" i="13"/>
  <c r="F5" i="13"/>
  <c r="F4" i="13"/>
  <c r="E69" i="15" l="1"/>
  <c r="D69" i="15"/>
  <c r="D65" i="15"/>
  <c r="E65" i="15"/>
  <c r="D59" i="15"/>
  <c r="E59" i="15"/>
  <c r="D44" i="15"/>
  <c r="E44" i="15"/>
  <c r="D41" i="15"/>
  <c r="E41" i="15"/>
  <c r="E35" i="15"/>
  <c r="D35" i="15"/>
  <c r="D5" i="15"/>
  <c r="E5" i="15"/>
  <c r="G34" i="15"/>
  <c r="G29" i="15"/>
  <c r="G30" i="15"/>
  <c r="G28" i="15"/>
  <c r="G27" i="15"/>
  <c r="G25" i="15"/>
  <c r="G24" i="15"/>
  <c r="G23" i="15"/>
  <c r="G21" i="15"/>
  <c r="G19" i="15"/>
  <c r="G18" i="15"/>
  <c r="G17" i="15"/>
  <c r="G11" i="15"/>
  <c r="G9" i="15"/>
  <c r="G13" i="15"/>
  <c r="G4" i="15"/>
  <c r="G101" i="15"/>
  <c r="G10" i="15"/>
  <c r="G99" i="15"/>
  <c r="G96" i="15"/>
  <c r="G94" i="15"/>
  <c r="G92" i="15"/>
  <c r="G90" i="15"/>
  <c r="G93" i="15"/>
  <c r="G91" i="15"/>
  <c r="G88" i="15"/>
  <c r="G87" i="15"/>
  <c r="G84" i="15"/>
  <c r="G83" i="15"/>
  <c r="G80" i="15"/>
  <c r="G100" i="15"/>
  <c r="G78" i="15"/>
  <c r="G75" i="15"/>
  <c r="G98" i="15"/>
  <c r="G74" i="15"/>
  <c r="G73" i="15"/>
  <c r="G97" i="15"/>
  <c r="G67" i="15"/>
  <c r="G95" i="15"/>
  <c r="G71" i="15"/>
  <c r="G64" i="15"/>
  <c r="G89" i="15"/>
  <c r="G86" i="15"/>
  <c r="G61" i="15"/>
  <c r="G68" i="15"/>
  <c r="G60" i="15"/>
  <c r="G85" i="15"/>
  <c r="G82" i="15"/>
  <c r="G66" i="15"/>
  <c r="G81" i="15"/>
  <c r="G52" i="15"/>
  <c r="G63" i="15"/>
  <c r="G79" i="15"/>
  <c r="G76" i="15"/>
  <c r="G62" i="15"/>
  <c r="G72" i="15"/>
  <c r="G46" i="15"/>
  <c r="G69" i="15"/>
  <c r="H69" i="15" s="1"/>
  <c r="G59" i="15"/>
  <c r="H59" i="15" s="1"/>
  <c r="G44" i="15"/>
  <c r="H44" i="15" s="1"/>
  <c r="G65" i="15"/>
  <c r="H65" i="15" s="1"/>
  <c r="G5" i="15"/>
  <c r="H5" i="15" s="1"/>
  <c r="G41" i="15"/>
  <c r="H41" i="15" s="1"/>
  <c r="G58" i="15"/>
  <c r="G57" i="15"/>
  <c r="G40" i="15"/>
  <c r="G56" i="15"/>
  <c r="G55" i="15"/>
  <c r="G54" i="15"/>
  <c r="G53" i="15"/>
  <c r="G32" i="15"/>
  <c r="G51" i="15"/>
  <c r="G49" i="15"/>
  <c r="G31" i="15"/>
  <c r="G50" i="15"/>
  <c r="G47" i="15"/>
  <c r="G26" i="15"/>
  <c r="G48" i="15"/>
  <c r="G77" i="15"/>
  <c r="G45" i="15"/>
  <c r="G22" i="15"/>
  <c r="G42" i="15"/>
  <c r="G20" i="15"/>
  <c r="G16" i="15"/>
  <c r="G43" i="15"/>
  <c r="G12" i="15"/>
  <c r="G38" i="15"/>
  <c r="G39" i="15"/>
  <c r="G37" i="15"/>
  <c r="G70" i="15"/>
  <c r="G8" i="15"/>
  <c r="G7" i="15"/>
  <c r="G36" i="15"/>
  <c r="G6" i="15"/>
  <c r="G33" i="15"/>
  <c r="G35" i="15"/>
  <c r="H35" i="15" s="1"/>
  <c r="E3" i="15"/>
  <c r="D3" i="15"/>
  <c r="D48" i="15" l="1"/>
  <c r="H48" i="15"/>
  <c r="E48" i="15"/>
  <c r="D20" i="15"/>
  <c r="H20" i="15"/>
  <c r="E20" i="15"/>
  <c r="H34" i="15"/>
  <c r="D34" i="15"/>
  <c r="E34" i="15"/>
  <c r="H29" i="15"/>
  <c r="D29" i="15"/>
  <c r="E29" i="15"/>
  <c r="H30" i="15"/>
  <c r="E30" i="15"/>
  <c r="D30" i="15"/>
  <c r="H28" i="15"/>
  <c r="E28" i="15"/>
  <c r="D28" i="15"/>
  <c r="H27" i="15"/>
  <c r="D27" i="15"/>
  <c r="E27" i="15"/>
  <c r="H25" i="15"/>
  <c r="E25" i="15"/>
  <c r="D25" i="15"/>
  <c r="H24" i="15"/>
  <c r="D24" i="15"/>
  <c r="E24" i="15"/>
  <c r="H23" i="15"/>
  <c r="D23" i="15"/>
  <c r="E23" i="15"/>
  <c r="H21" i="15"/>
  <c r="D21" i="15"/>
  <c r="E21" i="15"/>
  <c r="H19" i="15"/>
  <c r="D19" i="15"/>
  <c r="E19" i="15"/>
  <c r="H18" i="15"/>
  <c r="E18" i="15"/>
  <c r="D18" i="15"/>
  <c r="H17" i="15"/>
  <c r="E17" i="15"/>
  <c r="D17" i="15"/>
  <c r="H11" i="15"/>
  <c r="E11" i="15"/>
  <c r="D11" i="15"/>
  <c r="H9" i="15"/>
  <c r="E9" i="15"/>
  <c r="D9" i="15"/>
  <c r="H13" i="15"/>
  <c r="E13" i="15"/>
  <c r="D13" i="15"/>
  <c r="H4" i="15"/>
  <c r="D4" i="15"/>
  <c r="E4" i="15"/>
  <c r="H101" i="15"/>
  <c r="E101" i="15"/>
  <c r="D101" i="15"/>
  <c r="H10" i="15"/>
  <c r="E10" i="15"/>
  <c r="D10" i="15"/>
  <c r="H99" i="15"/>
  <c r="D99" i="15"/>
  <c r="E99" i="15"/>
  <c r="H96" i="15"/>
  <c r="E96" i="15"/>
  <c r="D96" i="15"/>
  <c r="H94" i="15"/>
  <c r="E94" i="15"/>
  <c r="D94" i="15"/>
  <c r="H92" i="15"/>
  <c r="D92" i="15"/>
  <c r="E92" i="15"/>
  <c r="H90" i="15"/>
  <c r="D90" i="15"/>
  <c r="E90" i="15"/>
  <c r="H93" i="15"/>
  <c r="D93" i="15"/>
  <c r="E93" i="15"/>
  <c r="H91" i="15"/>
  <c r="D91" i="15"/>
  <c r="E91" i="15"/>
  <c r="H88" i="15"/>
  <c r="D88" i="15"/>
  <c r="E88" i="15"/>
  <c r="H87" i="15"/>
  <c r="D87" i="15"/>
  <c r="E87" i="15"/>
  <c r="H84" i="15"/>
  <c r="D84" i="15"/>
  <c r="E84" i="15"/>
  <c r="H83" i="15"/>
  <c r="E83" i="15"/>
  <c r="D83" i="15"/>
  <c r="H80" i="15"/>
  <c r="D80" i="15"/>
  <c r="E80" i="15"/>
  <c r="H100" i="15"/>
  <c r="E100" i="15"/>
  <c r="D100" i="15"/>
  <c r="H78" i="15"/>
  <c r="E78" i="15"/>
  <c r="D78" i="15"/>
  <c r="H75" i="15"/>
  <c r="E75" i="15"/>
  <c r="D75" i="15"/>
  <c r="H98" i="15"/>
  <c r="E98" i="15"/>
  <c r="D98" i="15"/>
  <c r="H74" i="15"/>
  <c r="E74" i="15"/>
  <c r="D74" i="15"/>
  <c r="H73" i="15"/>
  <c r="D73" i="15"/>
  <c r="E73" i="15"/>
  <c r="H97" i="15"/>
  <c r="E97" i="15"/>
  <c r="D97" i="15"/>
  <c r="H67" i="15"/>
  <c r="E67" i="15"/>
  <c r="D67" i="15"/>
  <c r="H95" i="15"/>
  <c r="D95" i="15"/>
  <c r="E95" i="15"/>
  <c r="H71" i="15"/>
  <c r="E71" i="15"/>
  <c r="D71" i="15"/>
  <c r="H64" i="15"/>
  <c r="E64" i="15"/>
  <c r="D64" i="15"/>
  <c r="H89" i="15"/>
  <c r="E89" i="15"/>
  <c r="D89" i="15"/>
  <c r="H86" i="15"/>
  <c r="D86" i="15"/>
  <c r="E86" i="15"/>
  <c r="H61" i="15"/>
  <c r="E61" i="15"/>
  <c r="D61" i="15"/>
  <c r="H68" i="15"/>
  <c r="D68" i="15"/>
  <c r="E68" i="15"/>
  <c r="H60" i="15"/>
  <c r="E60" i="15"/>
  <c r="D60" i="15"/>
  <c r="H85" i="15"/>
  <c r="D85" i="15"/>
  <c r="E85" i="15"/>
  <c r="H82" i="15"/>
  <c r="D82" i="15"/>
  <c r="E82" i="15"/>
  <c r="H66" i="15"/>
  <c r="D66" i="15"/>
  <c r="E66" i="15"/>
  <c r="H81" i="15"/>
  <c r="D81" i="15"/>
  <c r="E81" i="15"/>
  <c r="H52" i="15"/>
  <c r="D52" i="15"/>
  <c r="E52" i="15"/>
  <c r="H63" i="15"/>
  <c r="D63" i="15"/>
  <c r="E63" i="15"/>
  <c r="H79" i="15"/>
  <c r="D79" i="15"/>
  <c r="E79" i="15"/>
  <c r="H76" i="15"/>
  <c r="D76" i="15"/>
  <c r="E76" i="15"/>
  <c r="H62" i="15"/>
  <c r="E62" i="15"/>
  <c r="D62" i="15"/>
  <c r="H72" i="15"/>
  <c r="D72" i="15"/>
  <c r="E72" i="15"/>
  <c r="H46" i="15"/>
  <c r="D46" i="15"/>
  <c r="E46" i="15"/>
  <c r="H58" i="15"/>
  <c r="E58" i="15"/>
  <c r="D58" i="15"/>
  <c r="H57" i="15"/>
  <c r="D57" i="15"/>
  <c r="E57" i="15"/>
  <c r="H40" i="15"/>
  <c r="E40" i="15"/>
  <c r="D40" i="15"/>
  <c r="H56" i="15"/>
  <c r="D56" i="15"/>
  <c r="E56" i="15"/>
  <c r="H55" i="15"/>
  <c r="E55" i="15"/>
  <c r="D55" i="15"/>
  <c r="H54" i="15"/>
  <c r="D54" i="15"/>
  <c r="E54" i="15"/>
  <c r="H53" i="15"/>
  <c r="E53" i="15"/>
  <c r="D53" i="15"/>
  <c r="H32" i="15"/>
  <c r="D32" i="15"/>
  <c r="E32" i="15"/>
  <c r="H51" i="15"/>
  <c r="E51" i="15"/>
  <c r="D51" i="15"/>
  <c r="H49" i="15"/>
  <c r="D49" i="15"/>
  <c r="E49" i="15"/>
  <c r="H31" i="15"/>
  <c r="E31" i="15"/>
  <c r="D31" i="15"/>
  <c r="H50" i="15"/>
  <c r="E50" i="15"/>
  <c r="D50" i="15"/>
  <c r="H47" i="15"/>
  <c r="D47" i="15"/>
  <c r="E47" i="15"/>
  <c r="H26" i="15"/>
  <c r="E26" i="15"/>
  <c r="D26" i="15"/>
  <c r="H77" i="15"/>
  <c r="D77" i="15"/>
  <c r="E77" i="15"/>
  <c r="H45" i="15"/>
  <c r="E45" i="15"/>
  <c r="D45" i="15"/>
  <c r="H22" i="15"/>
  <c r="E22" i="15"/>
  <c r="D22" i="15"/>
  <c r="H42" i="15"/>
  <c r="D42" i="15"/>
  <c r="E42" i="15"/>
  <c r="H16" i="15"/>
  <c r="D16" i="15"/>
  <c r="E16" i="15"/>
  <c r="H43" i="15"/>
  <c r="E43" i="15"/>
  <c r="D43" i="15"/>
  <c r="H12" i="15"/>
  <c r="E12" i="15"/>
  <c r="D12" i="15"/>
  <c r="H38" i="15"/>
  <c r="D38" i="15"/>
  <c r="E38" i="15"/>
  <c r="H39" i="15"/>
  <c r="D39" i="15"/>
  <c r="E39" i="15"/>
  <c r="H37" i="15"/>
  <c r="D37" i="15"/>
  <c r="E37" i="15"/>
  <c r="H70" i="15"/>
  <c r="E70" i="15"/>
  <c r="D70" i="15"/>
  <c r="H8" i="15"/>
  <c r="D8" i="15"/>
  <c r="E8" i="15"/>
  <c r="H7" i="15"/>
  <c r="D7" i="15"/>
  <c r="E7" i="15"/>
  <c r="H36" i="15"/>
  <c r="E36" i="15"/>
  <c r="D36" i="15"/>
  <c r="H6" i="15"/>
  <c r="E6" i="15"/>
  <c r="D6" i="15"/>
  <c r="H33" i="15"/>
  <c r="E33" i="15"/>
  <c r="D3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FB03F1-4C23-4550-AE08-2643C18DF8D3}" keepAlive="1" name="Query - impact-of-handwashing-death-to-birth-rates" description="Connection to the 'impact-of-handwashing-death-to-birth-rates' query in the workbook." type="5" refreshedVersion="8" background="1" saveData="1">
    <dbPr connection="Provider=Microsoft.Mashup.OleDb.1;Data Source=$Workbook$;Location=impact-of-handwashing-death-to-birth-rates;Extended Properties=&quot;&quot;" command="SELECT * FROM [impact-of-handwashing-death-to-birth-rates]"/>
  </connection>
  <connection id="2" xr16:uid="{3D7156AF-9286-4F5C-9111-573F10FA8FBF}" keepAlive="1" name="Query - impact-of-handwashing-death-to-birth-rates (2)" description="Connection to the 'impact-of-handwashing-death-to-birth-rates (2)' query in the workbook." type="5" refreshedVersion="8" background="1" saveData="1">
    <dbPr connection="Provider=Microsoft.Mashup.OleDb.1;Data Source=$Workbook$;Location=&quot;impact-of-handwashing-death-to-birth-rates (2)&quot;;Extended Properties=&quot;&quot;" command="SELECT * FROM [impact-of-handwashing-death-to-birth-rates (2)]"/>
  </connection>
  <connection id="3" xr16:uid="{C13FEDE7-99F9-49AD-8795-6D174E7D8185}" keepAlive="1" name="Query - impact-of-handwashing-death-to-birth-rates (3)" description="Connection to the 'impact-of-handwashing-death-to-birth-rates (3)' query in the workbook." type="5" refreshedVersion="8" background="1" saveData="1">
    <dbPr connection="Provider=Microsoft.Mashup.OleDb.1;Data Source=$Workbook$;Location=&quot;impact-of-handwashing-death-to-birth-rates (3)&quot;;Extended Properties=&quot;&quot;" command="SELECT * FROM [impact-of-handwashing-death-to-birth-rates (3)]"/>
  </connection>
  <connection id="4" xr16:uid="{FF842C3B-80B9-4544-8BE3-B78F3633EDE1}" keepAlive="1" name="Query - impact-of-handwashing-death-to-birth-rates (4)" description="Connection to the 'impact-of-handwashing-death-to-birth-rates (4)' query in the workbook." type="5" refreshedVersion="8" background="1" saveData="1">
    <dbPr connection="Provider=Microsoft.Mashup.OleDb.1;Data Source=$Workbook$;Location=&quot;impact-of-handwashing-death-to-birth-rates (4)&quot;;Extended Properties=&quot;&quot;" command="SELECT * FROM [impact-of-handwashing-death-to-birth-rates (4)]"/>
  </connection>
  <connection id="5" xr16:uid="{B5B80F41-1DCD-4C45-A8D2-C635DF363250}" keepAlive="1" name="Query - impact-of-handwashing-death-to-birth-rates (5)" description="Connection to the 'impact-of-handwashing-death-to-birth-rates (5)' query in the workbook." type="5" refreshedVersion="8" background="1" saveData="1">
    <dbPr connection="Provider=Microsoft.Mashup.OleDb.1;Data Source=$Workbook$;Location=&quot;impact-of-handwashing-death-to-birth-rates (5)&quot;;Extended Properties=&quot;&quot;" command="SELECT * FROM [impact-of-handwashing-death-to-birth-rates (5)]"/>
  </connection>
  <connection id="6" xr16:uid="{ED33CD88-6F85-43DA-977A-3700E85D0318}" keepAlive="1" name="Query - impact-of-handwashing-death-to-birth-rates (6)" description="Connection to the 'impact-of-handwashing-death-to-birth-rates (6)' query in the workbook." type="5" refreshedVersion="8" background="1" saveData="1">
    <dbPr connection="Provider=Microsoft.Mashup.OleDb.1;Data Source=$Workbook$;Location=&quot;impact-of-handwashing-death-to-birth-rates (6)&quot;;Extended Properties=&quot;&quot;" command="SELECT * FROM [impact-of-handwashing-death-to-birth-rates (6)]"/>
  </connection>
  <connection id="7" xr16:uid="{4354A24C-C673-4964-B5E3-3F327E6A4B63}" keepAlive="1" name="Query - impact-of-handwashing-death-to-birth-rates (7)" description="Connection to the 'impact-of-handwashing-death-to-birth-rates (7)' query in the workbook." type="5" refreshedVersion="8" background="1" saveData="1">
    <dbPr connection="Provider=Microsoft.Mashup.OleDb.1;Data Source=$Workbook$;Location=&quot;impact-of-handwashing-death-to-birth-rates (7)&quot;;Extended Properties=&quot;&quot;" command="SELECT * FROM [impact-of-handwashing-death-to-birth-rates (7)]"/>
  </connection>
</connections>
</file>

<file path=xl/sharedStrings.xml><?xml version="1.0" encoding="utf-8"?>
<sst xmlns="http://schemas.openxmlformats.org/spreadsheetml/2006/main" count="1082" uniqueCount="159">
  <si>
    <t>Chapter 12. How to Build an XmR Chart</t>
  </si>
  <si>
    <t>Step 1. Gather the data</t>
  </si>
  <si>
    <t>Instructions</t>
  </si>
  <si>
    <t>MonthYear</t>
  </si>
  <si>
    <t>Rate</t>
  </si>
  <si>
    <t>Mean</t>
  </si>
  <si>
    <t>UPL</t>
  </si>
  <si>
    <t>LPL</t>
  </si>
  <si>
    <t>mR</t>
  </si>
  <si>
    <t>Ave. mR</t>
  </si>
  <si>
    <t>URL</t>
  </si>
  <si>
    <t>Step 2. Calculate the moving range</t>
  </si>
  <si>
    <t>Jan-41</t>
  </si>
  <si>
    <t>Feb-41</t>
  </si>
  <si>
    <t>Mar-41</t>
  </si>
  <si>
    <t>Apr-41</t>
  </si>
  <si>
    <t>May-41</t>
  </si>
  <si>
    <t>Jun-41</t>
  </si>
  <si>
    <t>Jul-41</t>
  </si>
  <si>
    <t>Aug-41</t>
  </si>
  <si>
    <t>Sep-41</t>
  </si>
  <si>
    <t>Oct-41</t>
  </si>
  <si>
    <t>Nov-41</t>
  </si>
  <si>
    <t>Dec-41</t>
  </si>
  <si>
    <t>Jan-42</t>
  </si>
  <si>
    <t>Feb-42</t>
  </si>
  <si>
    <t>Mar-42</t>
  </si>
  <si>
    <t>Apr-42</t>
  </si>
  <si>
    <t>May-42</t>
  </si>
  <si>
    <t>Jun-42</t>
  </si>
  <si>
    <t>Jul-42</t>
  </si>
  <si>
    <t>Aug-42</t>
  </si>
  <si>
    <t>Sep-42</t>
  </si>
  <si>
    <t>Oct-42</t>
  </si>
  <si>
    <t>Nov-42</t>
  </si>
  <si>
    <t>Dec-42</t>
  </si>
  <si>
    <t>Jan-43</t>
  </si>
  <si>
    <t>Feb-43</t>
  </si>
  <si>
    <t>Mar-43</t>
  </si>
  <si>
    <t>Apr-43</t>
  </si>
  <si>
    <t>May-43</t>
  </si>
  <si>
    <t>Jun-43</t>
  </si>
  <si>
    <t>Jul-43</t>
  </si>
  <si>
    <t>Aug-43</t>
  </si>
  <si>
    <t>Sep-43</t>
  </si>
  <si>
    <t>Oct-43</t>
  </si>
  <si>
    <t>Nov-43</t>
  </si>
  <si>
    <t>Dec-43</t>
  </si>
  <si>
    <t>Jan-44</t>
  </si>
  <si>
    <t>Feb-44</t>
  </si>
  <si>
    <t>Mar-44</t>
  </si>
  <si>
    <t>Apr-44</t>
  </si>
  <si>
    <t>May-44</t>
  </si>
  <si>
    <t>Jun-44</t>
  </si>
  <si>
    <t>Jul-44</t>
  </si>
  <si>
    <t>Aug-44</t>
  </si>
  <si>
    <t>Sep-44</t>
  </si>
  <si>
    <t>Oct-44</t>
  </si>
  <si>
    <t>Nov-44</t>
  </si>
  <si>
    <t>Dec-44</t>
  </si>
  <si>
    <t>Jan-45</t>
  </si>
  <si>
    <t>Feb-45</t>
  </si>
  <si>
    <t>Mar-45</t>
  </si>
  <si>
    <t>Apr-45</t>
  </si>
  <si>
    <t>May-45</t>
  </si>
  <si>
    <t>Jun-45</t>
  </si>
  <si>
    <t>Jul-45</t>
  </si>
  <si>
    <t>Aug-45</t>
  </si>
  <si>
    <t>Sep-45</t>
  </si>
  <si>
    <t>Oct-45</t>
  </si>
  <si>
    <t>Nov-45</t>
  </si>
  <si>
    <t>Dec-45</t>
  </si>
  <si>
    <t>Jan-46</t>
  </si>
  <si>
    <t>Feb-46</t>
  </si>
  <si>
    <t>Mar-46</t>
  </si>
  <si>
    <t>Apr-46</t>
  </si>
  <si>
    <t>May-46</t>
  </si>
  <si>
    <t>Jun-46</t>
  </si>
  <si>
    <t>Jul-46</t>
  </si>
  <si>
    <t>Aug-46</t>
  </si>
  <si>
    <t>Sep-46</t>
  </si>
  <si>
    <t>Oct-46</t>
  </si>
  <si>
    <t>Nov-46</t>
  </si>
  <si>
    <t>Dec-46</t>
  </si>
  <si>
    <t>Jan-47</t>
  </si>
  <si>
    <t>Feb-47</t>
  </si>
  <si>
    <t>Mar-47</t>
  </si>
  <si>
    <t>Apr-47</t>
  </si>
  <si>
    <t>May-47</t>
  </si>
  <si>
    <t>Jun-47</t>
  </si>
  <si>
    <t>Jul-47</t>
  </si>
  <si>
    <t>Aug-47</t>
  </si>
  <si>
    <t>Sep-47</t>
  </si>
  <si>
    <t>Oct-47</t>
  </si>
  <si>
    <t>Nov-47</t>
  </si>
  <si>
    <t>Dec-47</t>
  </si>
  <si>
    <t>Jan-48</t>
  </si>
  <si>
    <t>Feb-48</t>
  </si>
  <si>
    <t>Mar-48</t>
  </si>
  <si>
    <t>Apr-48</t>
  </si>
  <si>
    <t>May-48</t>
  </si>
  <si>
    <t>Jun-48</t>
  </si>
  <si>
    <t>Jul-48</t>
  </si>
  <si>
    <t>Aug-48</t>
  </si>
  <si>
    <t>Sep-48</t>
  </si>
  <si>
    <t>Oct-48</t>
  </si>
  <si>
    <t>Nov-48</t>
  </si>
  <si>
    <t>Dec-48</t>
  </si>
  <si>
    <t>Jan-49</t>
  </si>
  <si>
    <t>Feb-49</t>
  </si>
  <si>
    <t>Mar-49</t>
  </si>
  <si>
    <t>Step 3. Calculate the ave. moving range</t>
  </si>
  <si>
    <t>Step 4. Calculate the mean</t>
  </si>
  <si>
    <t>Step 5. Calculate the process limits</t>
  </si>
  <si>
    <t>Step 6. Put it all together</t>
  </si>
  <si>
    <t>Understanding the XmR chart</t>
  </si>
  <si>
    <t>Hospital</t>
  </si>
  <si>
    <t>Stage</t>
  </si>
  <si>
    <t>Vienna General Hospital</t>
  </si>
  <si>
    <t>Before handwashing</t>
  </si>
  <si>
    <t>After handwashing</t>
  </si>
  <si>
    <t>Results</t>
  </si>
  <si>
    <t>https://raw.githubusercontent.com/jimlehner/virus-of-variation-book/refs/heads/main/data/impact-of-handwashing-death-to-birth-rates.csv</t>
  </si>
  <si>
    <t>Raw GitHub URL</t>
  </si>
  <si>
    <r>
      <t xml:space="preserve">The death-to-birth rate data used here can be found in the DATA tab. However, rather than copy and paste it from them, we will load them using the more pragmatic approach of </t>
    </r>
    <r>
      <rPr>
        <b/>
        <sz val="12"/>
        <color theme="1"/>
        <rFont val="Montserrat"/>
      </rPr>
      <t>Power Query</t>
    </r>
    <r>
      <rPr>
        <sz val="12"/>
        <color theme="1"/>
        <rFont val="Montserrat"/>
      </rPr>
      <t xml:space="preserve">, Excel's data transformation and prepartiation tool.
To begin, select cell </t>
    </r>
    <r>
      <rPr>
        <b/>
        <sz val="12"/>
        <color theme="1"/>
        <rFont val="Montserrat"/>
      </rPr>
      <t>Z6</t>
    </r>
    <r>
      <rPr>
        <sz val="12"/>
        <color theme="1"/>
        <rFont val="Montserrat"/>
      </rPr>
      <t xml:space="preserve"> and press CTRL + C. This will copy the raw GitHub URL in this cell---------------------------------------------------&gt;
Next, select cell </t>
    </r>
    <r>
      <rPr>
        <b/>
        <sz val="12"/>
        <color theme="1"/>
        <rFont val="Montserrat"/>
      </rPr>
      <t>A2</t>
    </r>
    <r>
      <rPr>
        <sz val="12"/>
        <color theme="1"/>
        <rFont val="Montserrat"/>
      </rPr>
      <t xml:space="preserve">, then in the </t>
    </r>
    <r>
      <rPr>
        <b/>
        <sz val="12"/>
        <color theme="1"/>
        <rFont val="Montserrat"/>
      </rPr>
      <t>Ribbon</t>
    </r>
    <r>
      <rPr>
        <sz val="12"/>
        <color theme="1"/>
        <rFont val="Montserrat"/>
      </rPr>
      <t xml:space="preserve">, navigate to </t>
    </r>
    <r>
      <rPr>
        <b/>
        <sz val="12"/>
        <color theme="1"/>
        <rFont val="Montserrat"/>
      </rPr>
      <t>Data &gt; Get Data &gt; From Other Sources &gt; From Web</t>
    </r>
    <r>
      <rPr>
        <sz val="12"/>
        <color theme="1"/>
        <rFont val="Montserrat"/>
      </rPr>
      <t xml:space="preserve">. The </t>
    </r>
    <r>
      <rPr>
        <b/>
        <sz val="12"/>
        <color theme="1"/>
        <rFont val="Montserrat"/>
      </rPr>
      <t>From Web</t>
    </r>
    <r>
      <rPr>
        <sz val="12"/>
        <color theme="1"/>
        <rFont val="Montserrat"/>
      </rPr>
      <t xml:space="preserve"> dialogue box will appear. Paste the copied URL in the URL field of the </t>
    </r>
    <r>
      <rPr>
        <b/>
        <sz val="12"/>
        <color theme="1"/>
        <rFont val="Montserrat"/>
      </rPr>
      <t>From Web</t>
    </r>
    <r>
      <rPr>
        <sz val="12"/>
        <color theme="1"/>
        <rFont val="Montserrat"/>
      </rPr>
      <t xml:space="preserve"> dialogue box and click </t>
    </r>
    <r>
      <rPr>
        <b/>
        <sz val="12"/>
        <color theme="1"/>
        <rFont val="Montserrat"/>
      </rPr>
      <t>OK</t>
    </r>
    <r>
      <rPr>
        <sz val="12"/>
        <color theme="1"/>
        <rFont val="Montserrat"/>
      </rPr>
      <t xml:space="preserve">.
After clicking OK, the </t>
    </r>
    <r>
      <rPr>
        <b/>
        <sz val="12"/>
        <color theme="1"/>
        <rFont val="Montserrat"/>
      </rPr>
      <t>Navigation Window</t>
    </r>
    <r>
      <rPr>
        <sz val="12"/>
        <color theme="1"/>
        <rFont val="Montserrat"/>
      </rPr>
      <t xml:space="preserve"> appear. This is where Excel shows a preview of the data from the web source and allows you to load the data or transform it. Because the raw death-to-birth rate data contains columns of information that we do not need, some filtering is required. To do this click the </t>
    </r>
    <r>
      <rPr>
        <b/>
        <sz val="12"/>
        <color theme="1"/>
        <rFont val="Montserrat"/>
      </rPr>
      <t>Transform Data</t>
    </r>
    <r>
      <rPr>
        <sz val="12"/>
        <color theme="1"/>
        <rFont val="Montserrat"/>
      </rPr>
      <t xml:space="preserve"> button in the bottom right-hand corner of the Navigation Window. The </t>
    </r>
    <r>
      <rPr>
        <b/>
        <sz val="12"/>
        <color theme="1"/>
        <rFont val="Montserrat"/>
      </rPr>
      <t>Power Query Editor</t>
    </r>
    <r>
      <rPr>
        <sz val="12"/>
        <color theme="1"/>
        <rFont val="Montserrat"/>
      </rPr>
      <t xml:space="preserve"> will appear.
In the Power Query Editor, right-click on the </t>
    </r>
    <r>
      <rPr>
        <b/>
        <sz val="12"/>
        <color theme="1"/>
        <rFont val="Montserrat"/>
      </rPr>
      <t>Hospital</t>
    </r>
    <r>
      <rPr>
        <sz val="12"/>
        <color theme="1"/>
        <rFont val="Montserrat"/>
      </rPr>
      <t xml:space="preserve"> column header and select </t>
    </r>
    <r>
      <rPr>
        <b/>
        <sz val="12"/>
        <color theme="1"/>
        <rFont val="Montserrat"/>
      </rPr>
      <t>Remove</t>
    </r>
    <r>
      <rPr>
        <sz val="12"/>
        <color theme="1"/>
        <rFont val="Montserrat"/>
      </rPr>
      <t xml:space="preserve">. The </t>
    </r>
    <r>
      <rPr>
        <b/>
        <sz val="12"/>
        <color theme="1"/>
        <rFont val="Montserrat"/>
      </rPr>
      <t>Hospital</t>
    </r>
    <r>
      <rPr>
        <sz val="12"/>
        <color theme="1"/>
        <rFont val="Montserrat"/>
      </rPr>
      <t xml:space="preserve"> column is now hidden and will not appear in the query's output. Do the same for the </t>
    </r>
    <r>
      <rPr>
        <b/>
        <sz val="12"/>
        <color theme="1"/>
        <rFont val="Montserrat"/>
      </rPr>
      <t>Stage</t>
    </r>
    <r>
      <rPr>
        <sz val="12"/>
        <color theme="1"/>
        <rFont val="Montserrat"/>
      </rPr>
      <t xml:space="preserve">, </t>
    </r>
    <r>
      <rPr>
        <b/>
        <sz val="12"/>
        <color theme="1"/>
        <rFont val="Montserrat"/>
      </rPr>
      <t>Month</t>
    </r>
    <r>
      <rPr>
        <sz val="12"/>
        <color theme="1"/>
        <rFont val="Montserrat"/>
      </rPr>
      <t xml:space="preserve">, </t>
    </r>
    <r>
      <rPr>
        <b/>
        <sz val="12"/>
        <color theme="1"/>
        <rFont val="Montserrat"/>
      </rPr>
      <t>Year</t>
    </r>
    <r>
      <rPr>
        <sz val="12"/>
        <color theme="1"/>
        <rFont val="Montserrat"/>
      </rPr>
      <t xml:space="preserve">, </t>
    </r>
    <r>
      <rPr>
        <b/>
        <sz val="12"/>
        <color theme="1"/>
        <rFont val="Montserrat"/>
      </rPr>
      <t>Births</t>
    </r>
    <r>
      <rPr>
        <sz val="12"/>
        <color theme="1"/>
        <rFont val="Montserrat"/>
      </rPr>
      <t xml:space="preserve">, and </t>
    </r>
    <r>
      <rPr>
        <b/>
        <sz val="12"/>
        <color theme="1"/>
        <rFont val="Montserrat"/>
      </rPr>
      <t>Deaths</t>
    </r>
    <r>
      <rPr>
        <sz val="12"/>
        <color theme="1"/>
        <rFont val="Montserrat"/>
      </rPr>
      <t xml:space="preserve"> columns. If done correctly, the only columns that should remain are </t>
    </r>
    <r>
      <rPr>
        <b/>
        <sz val="12"/>
        <color theme="1"/>
        <rFont val="Montserrat"/>
      </rPr>
      <t>MonthYear</t>
    </r>
    <r>
      <rPr>
        <sz val="12"/>
        <color theme="1"/>
        <rFont val="Montserrat"/>
      </rPr>
      <t xml:space="preserve"> and </t>
    </r>
    <r>
      <rPr>
        <b/>
        <sz val="12"/>
        <color theme="1"/>
        <rFont val="Montserrat"/>
      </rPr>
      <t>Rate</t>
    </r>
    <r>
      <rPr>
        <sz val="12"/>
        <color theme="1"/>
        <rFont val="Montserrat"/>
      </rPr>
      <t xml:space="preserve">. 
</t>
    </r>
    <r>
      <rPr>
        <b/>
        <sz val="12"/>
        <color theme="1"/>
        <rFont val="Montserrat"/>
      </rPr>
      <t xml:space="preserve">Do NOT </t>
    </r>
    <r>
      <rPr>
        <sz val="12"/>
        <color theme="1"/>
        <rFont val="Montserrat"/>
      </rPr>
      <t xml:space="preserve">remove the </t>
    </r>
    <r>
      <rPr>
        <b/>
        <sz val="12"/>
        <color theme="1"/>
        <rFont val="Montserrat"/>
      </rPr>
      <t>MonthYear</t>
    </r>
    <r>
      <rPr>
        <sz val="12"/>
        <color theme="1"/>
        <rFont val="Montserrat"/>
      </rPr>
      <t xml:space="preserve"> and </t>
    </r>
    <r>
      <rPr>
        <b/>
        <sz val="12"/>
        <color theme="1"/>
        <rFont val="Montserrat"/>
      </rPr>
      <t>Rate</t>
    </r>
    <r>
      <rPr>
        <sz val="12"/>
        <color theme="1"/>
        <rFont val="Montserrat"/>
      </rPr>
      <t xml:space="preserve"> columns.
In the top left hand corner of the </t>
    </r>
    <r>
      <rPr>
        <b/>
        <sz val="12"/>
        <color theme="1"/>
        <rFont val="Montserrat"/>
      </rPr>
      <t>Power Query Editor</t>
    </r>
    <r>
      <rPr>
        <sz val="12"/>
        <color theme="1"/>
        <rFont val="Montserrat"/>
      </rPr>
      <t xml:space="preserve"> under File, click the drop down arrow under </t>
    </r>
    <r>
      <rPr>
        <b/>
        <sz val="12"/>
        <color theme="1"/>
        <rFont val="Montserrat"/>
      </rPr>
      <t>Close &amp; Load</t>
    </r>
    <r>
      <rPr>
        <sz val="12"/>
        <color theme="1"/>
        <rFont val="Montserrat"/>
      </rPr>
      <t xml:space="preserve"> and select </t>
    </r>
    <r>
      <rPr>
        <b/>
        <sz val="12"/>
        <color theme="1"/>
        <rFont val="Montserrat"/>
      </rPr>
      <t>Close &amp; Load To...</t>
    </r>
    <r>
      <rPr>
        <sz val="12"/>
        <color theme="1"/>
        <rFont val="Montserrat"/>
      </rPr>
      <t xml:space="preserve"> The </t>
    </r>
    <r>
      <rPr>
        <b/>
        <sz val="12"/>
        <color theme="1"/>
        <rFont val="Montserrat"/>
      </rPr>
      <t>Import Data</t>
    </r>
    <r>
      <rPr>
        <sz val="12"/>
        <color theme="1"/>
        <rFont val="Montserrat"/>
      </rPr>
      <t xml:space="preserve"> window will appear. Here, under </t>
    </r>
    <r>
      <rPr>
        <b/>
        <sz val="12"/>
        <color theme="1"/>
        <rFont val="Montserrat"/>
      </rPr>
      <t>Where do you want to put the data?</t>
    </r>
    <r>
      <rPr>
        <sz val="12"/>
        <color theme="1"/>
        <rFont val="Montserrat"/>
      </rPr>
      <t xml:space="preserve">, select </t>
    </r>
    <r>
      <rPr>
        <b/>
        <sz val="12"/>
        <color theme="1"/>
        <rFont val="Montserrat"/>
      </rPr>
      <t>Existing Worksheet</t>
    </r>
    <r>
      <rPr>
        <sz val="12"/>
        <color theme="1"/>
        <rFont val="Montserrat"/>
      </rPr>
      <t xml:space="preserve">. Before clicking </t>
    </r>
    <r>
      <rPr>
        <b/>
        <sz val="12"/>
        <color theme="1"/>
        <rFont val="Montserrat"/>
      </rPr>
      <t>OK</t>
    </r>
    <r>
      <rPr>
        <sz val="12"/>
        <color theme="1"/>
        <rFont val="Montserrat"/>
      </rPr>
      <t xml:space="preserve">, verify that the text box below the words Existing Worksheet displays </t>
    </r>
    <r>
      <rPr>
        <b/>
        <sz val="12"/>
        <color theme="1"/>
        <rFont val="Montserrat"/>
      </rPr>
      <t>=$A$2.</t>
    </r>
    <r>
      <rPr>
        <sz val="12"/>
        <color theme="1"/>
        <rFont val="Montserrat"/>
      </rPr>
      <t xml:space="preserve"> If it does not, change the value to </t>
    </r>
    <r>
      <rPr>
        <b/>
        <sz val="12"/>
        <color theme="1"/>
        <rFont val="Montserrat"/>
      </rPr>
      <t>=$A$2</t>
    </r>
    <r>
      <rPr>
        <sz val="12"/>
        <color theme="1"/>
        <rFont val="Montserrat"/>
      </rPr>
      <t xml:space="preserve"> and click </t>
    </r>
    <r>
      <rPr>
        <b/>
        <sz val="12"/>
        <color theme="1"/>
        <rFont val="Montserrat"/>
      </rPr>
      <t>OK</t>
    </r>
    <r>
      <rPr>
        <sz val="12"/>
        <color theme="1"/>
        <rFont val="Montserrat"/>
      </rPr>
      <t xml:space="preserve">. The death-to-birth rate data will be loaded as a table of two columns that starts in cell A2 and in cell B101.
Finally, label columns </t>
    </r>
    <r>
      <rPr>
        <b/>
        <sz val="12"/>
        <color theme="1"/>
        <rFont val="Montserrat"/>
      </rPr>
      <t>C2</t>
    </r>
    <r>
      <rPr>
        <sz val="12"/>
        <color theme="1"/>
        <rFont val="Montserrat"/>
      </rPr>
      <t xml:space="preserve"> through </t>
    </r>
    <r>
      <rPr>
        <b/>
        <sz val="12"/>
        <color theme="1"/>
        <rFont val="Montserrat"/>
      </rPr>
      <t>H2</t>
    </r>
    <r>
      <rPr>
        <sz val="12"/>
        <color theme="1"/>
        <rFont val="Montserrat"/>
      </rPr>
      <t xml:space="preserve"> with the following headers: </t>
    </r>
    <r>
      <rPr>
        <b/>
        <sz val="12"/>
        <color theme="1"/>
        <rFont val="Montserrat"/>
      </rPr>
      <t>Mean</t>
    </r>
    <r>
      <rPr>
        <sz val="12"/>
        <color theme="1"/>
        <rFont val="Montserrat"/>
      </rPr>
      <t xml:space="preserve">, </t>
    </r>
    <r>
      <rPr>
        <b/>
        <sz val="12"/>
        <color theme="1"/>
        <rFont val="Montserrat"/>
      </rPr>
      <t>UPL</t>
    </r>
    <r>
      <rPr>
        <sz val="12"/>
        <color theme="1"/>
        <rFont val="Montserrat"/>
      </rPr>
      <t xml:space="preserve">, </t>
    </r>
    <r>
      <rPr>
        <b/>
        <sz val="12"/>
        <color theme="1"/>
        <rFont val="Montserrat"/>
      </rPr>
      <t>LPL</t>
    </r>
    <r>
      <rPr>
        <sz val="12"/>
        <color theme="1"/>
        <rFont val="Montserrat"/>
      </rPr>
      <t xml:space="preserve">, </t>
    </r>
    <r>
      <rPr>
        <b/>
        <sz val="12"/>
        <color theme="1"/>
        <rFont val="Montserrat"/>
      </rPr>
      <t>mR</t>
    </r>
    <r>
      <rPr>
        <sz val="12"/>
        <color theme="1"/>
        <rFont val="Montserrat"/>
      </rPr>
      <t xml:space="preserve">, </t>
    </r>
    <r>
      <rPr>
        <b/>
        <sz val="12"/>
        <color theme="1"/>
        <rFont val="Montserrat"/>
      </rPr>
      <t>Ave. mR</t>
    </r>
    <r>
      <rPr>
        <sz val="12"/>
        <color theme="1"/>
        <rFont val="Montserrat"/>
      </rPr>
      <t xml:space="preserve">, </t>
    </r>
    <r>
      <rPr>
        <b/>
        <sz val="12"/>
        <color theme="1"/>
        <rFont val="Montserrat"/>
      </rPr>
      <t>URL</t>
    </r>
    <r>
      <rPr>
        <sz val="12"/>
        <color theme="1"/>
        <rFont val="Montserrat"/>
      </rPr>
      <t>. By labeling the table columns in this way, the data and values associated with the X chart are placed in columns B through E, while the data and values associated with the mR chart are placed in columns F through H. This will simplify the task of constructing the XmR chart in step 6.</t>
    </r>
  </si>
  <si>
    <r>
      <t xml:space="preserve">To calculate the moving ranges, begin by selecting cell </t>
    </r>
    <r>
      <rPr>
        <b/>
        <sz val="12"/>
        <color theme="1"/>
        <rFont val="Montserrat"/>
      </rPr>
      <t>F4</t>
    </r>
    <r>
      <rPr>
        <sz val="12"/>
        <color theme="1"/>
        <rFont val="Montserrat"/>
      </rPr>
      <t xml:space="preserve"> and entering the equation </t>
    </r>
    <r>
      <rPr>
        <b/>
        <sz val="12"/>
        <color theme="1"/>
        <rFont val="Montserrat"/>
      </rPr>
      <t>= ROUND(ABS(B3 - B4), 2)</t>
    </r>
    <r>
      <rPr>
        <sz val="12"/>
        <color theme="1"/>
        <rFont val="Montserrat"/>
      </rPr>
      <t xml:space="preserve">. This formula calculates the absolute value of the difference between cells B3 (14.6) and B4 (7.5). Because we are working inside a table, Excel automatically copies the formula to all other rows in column F, calculating all of the values of the moving range. 
Since we are only concerned with the magnitude of the difference between values, the formula wraps the subtraction between successive cells in the </t>
    </r>
    <r>
      <rPr>
        <b/>
        <sz val="12"/>
        <color theme="1"/>
        <rFont val="Montserrat"/>
      </rPr>
      <t>ABS()</t>
    </r>
    <r>
      <rPr>
        <sz val="12"/>
        <color theme="1"/>
        <rFont val="Montserrat"/>
      </rPr>
      <t xml:space="preserve"> function. This ensures the result of the subtraction is always positive, never negative. The </t>
    </r>
    <r>
      <rPr>
        <b/>
        <sz val="12"/>
        <color theme="1"/>
        <rFont val="Montserrat"/>
      </rPr>
      <t>ABS()</t>
    </r>
    <r>
      <rPr>
        <sz val="12"/>
        <color theme="1"/>
        <rFont val="Montserrat"/>
      </rPr>
      <t xml:space="preserve"> function is then wrapped in </t>
    </r>
    <r>
      <rPr>
        <b/>
        <sz val="12"/>
        <color theme="1"/>
        <rFont val="Montserrat"/>
      </rPr>
      <t>ROUND()</t>
    </r>
    <r>
      <rPr>
        <sz val="12"/>
        <color theme="1"/>
        <rFont val="Montserrat"/>
      </rPr>
      <t xml:space="preserve"> so we can specify the result is returned to 2 decimal places.
When the formula is entered correctly, the moving range in cell F4 should be 7.1. 
Note that cell F3 returns </t>
    </r>
    <r>
      <rPr>
        <b/>
        <sz val="12"/>
        <color theme="1"/>
        <rFont val="Montserrat"/>
      </rPr>
      <t>#VALUE!</t>
    </r>
    <r>
      <rPr>
        <sz val="12"/>
        <color theme="1"/>
        <rFont val="Montserrat"/>
      </rPr>
      <t xml:space="preserve"> This error is Excel's way of telling you that one of the cells in the cormula contains text instead of a number. That is, Excel has attempted to subtract the numeric value in B3 of 14.6 from the text value in B2 of Rate. Since arithmetic between text and numbers is not possible #VALUE! is returned. Select F4 and press delete to remove the error.  
Note that the values in cells F14 and F15 are also highlighted. Since B14 contains no value, the calculated moving ranges in cells F14 and F15 are erroneous. If they are not deleted they will inflate the average moving range. Thus, to avoid calculating an inflated average moving range, select cells F14 and F15 and press delete.</t>
    </r>
  </si>
  <si>
    <r>
      <t xml:space="preserve">The XmR chart requires the calculation of three process limits: the Upper Process Limit (UPL) , the Lower Process Limit (LPL) , and the Upper Range Limit (URL). The generic formulas for these limits are:
UPL = Mean + (2.660*Ave. mR)
LPL = Mean - (2.660*Ave. mR)
URL = 3.268*Ave. mR
Note that the scaling factors, 2.660 and 3.268, are always used when calcuting process limits for an XmR chart. Failure to use these scaling factors will yield incorrect limits.
To calculate the UPL of the death-to-birth rates in Excel, enter the following formula in cell D3:
</t>
    </r>
    <r>
      <rPr>
        <b/>
        <sz val="12"/>
        <color theme="1"/>
        <rFont val="Montserrat"/>
      </rPr>
      <t xml:space="preserve">=ROUND(C3 + (2.660*G3), 2)
</t>
    </r>
    <r>
      <rPr>
        <sz val="12"/>
        <color theme="1"/>
        <rFont val="Montserrat"/>
      </rPr>
      <t xml:space="preserve">The UPL of 18.7 will automatically populate column D.
To calculate the LPL, enter the following formula in cell E3:
</t>
    </r>
    <r>
      <rPr>
        <b/>
        <sz val="12"/>
        <color theme="1"/>
        <rFont val="Montserrat"/>
      </rPr>
      <t>=ROUND(MAX(0, C3 - (2.660*G3)), 2)</t>
    </r>
    <r>
      <rPr>
        <sz val="12"/>
        <color theme="1"/>
        <rFont val="Montserrat"/>
      </rPr>
      <t xml:space="preserve">
After pressing enter, the LPL of 0 will automatically populate column E. Note that the formula for the LPL is wrapped in a </t>
    </r>
    <r>
      <rPr>
        <b/>
        <sz val="12"/>
        <color theme="1"/>
        <rFont val="Montserrat"/>
      </rPr>
      <t>MAX()</t>
    </r>
    <r>
      <rPr>
        <sz val="12"/>
        <color theme="1"/>
        <rFont val="Montserrat"/>
      </rPr>
      <t xml:space="preserve"> function, ensuring that the larger value of the two arguments is returned. Without the MAX() function, the returned value for the LPL will be -2.55. In the context of death-to-birth rates, a negative value does not make sense. Thus, the MAX() function ensures that the LPL assumes the boundary value of 0.
To calculate the URL for the moving ranges, enter the following formula in cell H3:
</t>
    </r>
    <r>
      <rPr>
        <b/>
        <sz val="12"/>
        <color theme="1"/>
        <rFont val="Montserrat"/>
      </rPr>
      <t>=ROUND(3.268*G2, 2)</t>
    </r>
    <r>
      <rPr>
        <sz val="12"/>
        <color theme="1"/>
        <rFont val="Montserrat"/>
      </rPr>
      <t xml:space="preserve">
The URL of 12.39 will automatically populate column H.</t>
    </r>
  </si>
  <si>
    <t>X chart</t>
  </si>
  <si>
    <t>mR chart</t>
  </si>
  <si>
    <r>
      <t xml:space="preserve">With 9 values greater than the Upper Process Limit (UPL), 2 values equal to the Lower Process Limit (LPL), and 3 values greater than the Upper Range Limit (URL), the underlying causal system is characterized as </t>
    </r>
    <r>
      <rPr>
        <b/>
        <sz val="12"/>
        <rFont val="Montserrat"/>
      </rPr>
      <t>UNPREDICTABLE</t>
    </r>
    <r>
      <rPr>
        <sz val="12"/>
        <color theme="1"/>
        <rFont val="Montserrat"/>
      </rPr>
      <t>.
An unpredictable process, as oppsed to a predictable process, is influenced by both common causes of routine variation and assignable causes of exceptional variation. This means that, moving forward, all that we can expect from this process is the unexpected.
Until the assignable causes of exceptional variation are identified, understood, and eliminated, this process will continue to produce values outside of the specification limits.</t>
    </r>
  </si>
  <si>
    <r>
      <t xml:space="preserve">Constructing an XmR chart in Excel is achieved in two steps: constructing the X chart and constructing the mR chart. We will begin by constructing the X chart. 
To construct the X chart select cells A2 through E101. With these cells selected, navigate to the toolbar and select </t>
    </r>
    <r>
      <rPr>
        <b/>
        <sz val="12"/>
        <color theme="1"/>
        <rFont val="Montserrat"/>
      </rPr>
      <t>INSERT &gt; CHARTS &gt; LINE</t>
    </r>
    <r>
      <rPr>
        <sz val="12"/>
        <color theme="1"/>
        <rFont val="Montserrat"/>
      </rPr>
      <t xml:space="preserve">.
To construct the mR chart select cells F2 through H101. With these cells selected, navigate to </t>
    </r>
    <r>
      <rPr>
        <b/>
        <sz val="12"/>
        <color theme="1"/>
        <rFont val="Montserrat"/>
      </rPr>
      <t>INSERT &gt; CHARTS &gt; LINE</t>
    </r>
    <r>
      <rPr>
        <sz val="12"/>
        <color theme="1"/>
        <rFont val="Montserrat"/>
      </rPr>
      <t>.
With the charts inserted, format them so that:
1) Delete the Chart Titles, Legends, and horizontal grid lines. 
2) Change all of the process limits to a dashed line style and make the color red.
3) Change the line color for the mean and the average moving range to black. 
4) Change the marker type for the rates and moving ranges to built in type circle and size 6.
Additionally, establish conditional formating paramters for the Rate column (B4:B102) so that any cell with a death-to-birth rate that is greater than the UPL or equal to the LPL is highlighted with a light red fill and a dark red text. Also establish conditional formatting for any moving range greater than the URL in the mR column (F4:F101).</t>
    </r>
  </si>
  <si>
    <t>Month</t>
  </si>
  <si>
    <t>Year</t>
  </si>
  <si>
    <t>Births</t>
  </si>
  <si>
    <t>Deaths</t>
  </si>
  <si>
    <t>January</t>
  </si>
  <si>
    <t>February</t>
  </si>
  <si>
    <t>March</t>
  </si>
  <si>
    <t>April</t>
  </si>
  <si>
    <t>May</t>
  </si>
  <si>
    <t>June</t>
  </si>
  <si>
    <t>July</t>
  </si>
  <si>
    <t>August</t>
  </si>
  <si>
    <t>September</t>
  </si>
  <si>
    <t>October</t>
  </si>
  <si>
    <t>November</t>
  </si>
  <si>
    <t>December</t>
  </si>
  <si>
    <t>Mar</t>
  </si>
  <si>
    <t>Link to book:</t>
  </si>
  <si>
    <t>https://github.com/jimlehner/virus-of-variation-book</t>
  </si>
  <si>
    <t>https://www.brokenquality.com/book</t>
  </si>
  <si>
    <t>Link to GitHub:</t>
  </si>
  <si>
    <t>Contact:</t>
  </si>
  <si>
    <t>James.Lehner@gmail.com</t>
  </si>
  <si>
    <t>QualityIsBroken@gmail.com</t>
  </si>
  <si>
    <r>
      <t xml:space="preserve">The most useful type of process behavior chart and easiest to construct is the XmR chart. This chart is composed of the chart of individual values, called the X chart, and the chart of the associated moving ranges, called the mR chart.
This Excel workbook provides step-by-step instructions for how to construct an XmR chart of the monthly death-to-birth rates at Vienna General Hospital from Jan-41 to Mar-49 as discussed in Chapter 12 of </t>
    </r>
    <r>
      <rPr>
        <i/>
        <sz val="12"/>
        <color rgb="FF000000"/>
        <rFont val="Montserrat"/>
      </rPr>
      <t>The Virus of Variation</t>
    </r>
    <r>
      <rPr>
        <sz val="12"/>
        <color rgb="FF000000"/>
        <rFont val="Montserrat"/>
      </rPr>
      <t>. 
The 6 steps for constructing the XmR chart are:
1. Gather the data
2. Calculate the moving ranges
3. Calculate the average moving range
4. Calculate the mean
5. Calculate the process limits
6. Put it all together
Each of these steps corresponds with a tab in this workbook. If you get stuck, the subsequent tab for each step can be used as a reference for the prior step. That is, the "answers" to Step 1 can be found in Step 2.
The workbook also contains a Results tab which can be used for further reference.
For additional details outlining the theory, construction, and use of the XmR chart see
The Virus of Variation: Making Sense of Death and Data Using Process Behavior Charts (</t>
    </r>
    <r>
      <rPr>
        <b/>
        <sz val="12"/>
        <color rgb="FF000000"/>
        <rFont val="Montserrat"/>
      </rPr>
      <t>BrokenQuality.com/book</t>
    </r>
    <r>
      <rPr>
        <sz val="12"/>
        <color rgb="FF000000"/>
        <rFont val="Montserrat"/>
      </rPr>
      <t xml:space="preserve">).
If you are familiar with Python (or would like to learn), the Python code used to generate the XmR chart, as it appears in The Virus of Variation, can be found at:
</t>
    </r>
    <r>
      <rPr>
        <b/>
        <sz val="12"/>
        <color rgb="FF000000"/>
        <rFont val="Montserrat"/>
      </rPr>
      <t xml:space="preserve">github.com/jimlehner/virus-of-variation-book
</t>
    </r>
    <r>
      <rPr>
        <sz val="12"/>
        <color rgb="FF000000"/>
        <rFont val="Montserrat"/>
      </rPr>
      <t xml:space="preserve">
If you have question or feedback email us at:
</t>
    </r>
    <r>
      <rPr>
        <b/>
        <sz val="12"/>
        <color rgb="FF000000"/>
        <rFont val="Montserrat"/>
      </rPr>
      <t>James.Lehner@gmail.com</t>
    </r>
    <r>
      <rPr>
        <sz val="12"/>
        <color rgb="FF000000"/>
        <rFont val="Montserrat"/>
      </rPr>
      <t xml:space="preserve"> or </t>
    </r>
    <r>
      <rPr>
        <b/>
        <sz val="12"/>
        <color rgb="FF000000"/>
        <rFont val="Montserrat"/>
      </rPr>
      <t>QualityIsBroken@gmail.com</t>
    </r>
    <r>
      <rPr>
        <sz val="12"/>
        <color rgb="FF000000"/>
        <rFont val="Montserrat"/>
      </rPr>
      <t>.</t>
    </r>
  </si>
  <si>
    <r>
      <t xml:space="preserve">To calculate the average moving range, select cell G3 and enter the formula:
</t>
    </r>
    <r>
      <rPr>
        <b/>
        <sz val="12"/>
        <color theme="1"/>
        <rFont val="Montserrat"/>
      </rPr>
      <t xml:space="preserve">=ROUND(AVERAGE($F$4:$F$101), 2)
</t>
    </r>
    <r>
      <rPr>
        <sz val="12"/>
        <color theme="1"/>
        <rFont val="Montserrat"/>
      </rPr>
      <t xml:space="preserve">After pressing enter, the average moving range of 3.79 will populate all of the cells in column G. If the average moving range is 4.12, you have forgotten to delete the erroneous moving ranges in cells F14 and F15. 
Note that the inside the </t>
    </r>
    <r>
      <rPr>
        <b/>
        <sz val="12"/>
        <color theme="1"/>
        <rFont val="Montserrat"/>
      </rPr>
      <t>AVERAGE()</t>
    </r>
    <r>
      <rPr>
        <sz val="12"/>
        <color theme="1"/>
        <rFont val="Montserrat"/>
      </rPr>
      <t xml:space="preserve"> function, the </t>
    </r>
    <r>
      <rPr>
        <b/>
        <sz val="12"/>
        <color theme="1"/>
        <rFont val="Montserrat"/>
      </rPr>
      <t>$</t>
    </r>
    <r>
      <rPr>
        <sz val="12"/>
        <color theme="1"/>
        <rFont val="Montserrat"/>
      </rPr>
      <t xml:space="preserve"> symbol is used to create absolute references. This locks the cell address so it doesn't change when the formula is copied to the other cells in column G. The </t>
    </r>
    <r>
      <rPr>
        <b/>
        <sz val="12"/>
        <color theme="1"/>
        <rFont val="Montserrat"/>
      </rPr>
      <t>AVERAGE()</t>
    </r>
    <r>
      <rPr>
        <sz val="12"/>
        <color theme="1"/>
        <rFont val="Montserrat"/>
      </rPr>
      <t xml:space="preserve"> function is wrapped in the </t>
    </r>
    <r>
      <rPr>
        <b/>
        <sz val="12"/>
        <color theme="1"/>
        <rFont val="Montserrat"/>
      </rPr>
      <t>ROUND()</t>
    </r>
    <r>
      <rPr>
        <sz val="12"/>
        <color theme="1"/>
        <rFont val="Montserrat"/>
      </rPr>
      <t xml:space="preserve"> function to ensure the result is returned to 2 decimal places.</t>
    </r>
  </si>
  <si>
    <r>
      <t xml:space="preserve">To calculate the mean, select cell C3 and enter the formula:
</t>
    </r>
    <r>
      <rPr>
        <b/>
        <sz val="12"/>
        <color theme="1"/>
        <rFont val="Montserrat"/>
      </rPr>
      <t xml:space="preserve">=ROUND(AVERAGE($B$3:$B$101), 2)
</t>
    </r>
    <r>
      <rPr>
        <sz val="12"/>
        <color theme="1"/>
        <rFont val="Montserrat"/>
      </rPr>
      <t xml:space="preserve">After pressing enter, the mean of 8.62 will populate all of the cells in column C.
Note that </t>
    </r>
    <r>
      <rPr>
        <b/>
        <sz val="12"/>
        <color theme="1"/>
        <rFont val="Montserrat"/>
      </rPr>
      <t>$</t>
    </r>
    <r>
      <rPr>
        <sz val="12"/>
        <color theme="1"/>
        <rFont val="Montserrat"/>
      </rPr>
      <t xml:space="preserve"> symbol is once again used to create absolute references and the </t>
    </r>
    <r>
      <rPr>
        <b/>
        <sz val="12"/>
        <color theme="1"/>
        <rFont val="Montserrat"/>
      </rPr>
      <t>AVERAGE()</t>
    </r>
    <r>
      <rPr>
        <sz val="12"/>
        <color theme="1"/>
        <rFont val="Montserrat"/>
      </rPr>
      <t xml:space="preserve"> function is wrapped in </t>
    </r>
    <r>
      <rPr>
        <b/>
        <sz val="12"/>
        <color theme="1"/>
        <rFont val="Montserrat"/>
      </rPr>
      <t>ROUND()</t>
    </r>
    <r>
      <rPr>
        <sz val="12"/>
        <color theme="1"/>
        <rFont val="Montserrat"/>
      </rPr>
      <t xml:space="preserve"> to ensure the result is returned to 2 decimal places.</t>
    </r>
  </si>
  <si>
    <t>Raw Data GitHub 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</si>
</sst>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0"/>
      <color rgb="FF000000"/>
      <name val="Arial"/>
      <scheme val="minor"/>
    </font>
    <font>
      <sz val="10"/>
      <color theme="1"/>
      <name val="Arial"/>
      <family val="2"/>
    </font>
    <font>
      <b/>
      <sz val="16"/>
      <color rgb="FFD72323"/>
      <name val="Montserrat"/>
    </font>
    <font>
      <sz val="12"/>
      <color theme="1"/>
      <name val="Montserrat"/>
    </font>
    <font>
      <b/>
      <sz val="16"/>
      <color rgb="FFFF0000"/>
      <name val="Montserrat"/>
    </font>
    <font>
      <b/>
      <sz val="12"/>
      <color theme="1"/>
      <name val="Montserrat"/>
    </font>
    <font>
      <u/>
      <sz val="10"/>
      <color theme="10"/>
      <name val="Arial"/>
      <family val="2"/>
      <scheme val="minor"/>
    </font>
    <font>
      <sz val="10"/>
      <color rgb="FF000000"/>
      <name val="Arial"/>
      <family val="2"/>
      <scheme val="minor"/>
    </font>
    <font>
      <b/>
      <sz val="10"/>
      <color rgb="FF000000"/>
      <name val="Arial"/>
      <family val="2"/>
      <scheme val="minor"/>
    </font>
    <font>
      <sz val="24"/>
      <color rgb="FF000000"/>
      <name val="Arial"/>
      <family val="2"/>
      <scheme val="minor"/>
    </font>
    <font>
      <b/>
      <sz val="12"/>
      <name val="Montserrat"/>
    </font>
    <font>
      <sz val="12"/>
      <color rgb="FF000000"/>
      <name val="Montserrat"/>
    </font>
    <font>
      <i/>
      <sz val="12"/>
      <color rgb="FF000000"/>
      <name val="Montserrat"/>
    </font>
    <font>
      <b/>
      <sz val="12"/>
      <color rgb="FF000000"/>
      <name val="Montserrat"/>
    </font>
  </fonts>
  <fills count="3">
    <fill>
      <patternFill patternType="none"/>
    </fill>
    <fill>
      <patternFill patternType="gray125"/>
    </fill>
    <fill>
      <patternFill patternType="solid">
        <fgColor theme="9"/>
        <bgColor indexed="64"/>
      </patternFill>
    </fill>
  </fills>
  <borders count="14">
    <border>
      <left/>
      <right/>
      <top/>
      <bottom/>
      <diagonal/>
    </border>
    <border>
      <left/>
      <right/>
      <top/>
      <bottom style="thin">
        <color rgb="FFB7B7B7"/>
      </bottom>
      <diagonal/>
    </border>
    <border>
      <left style="thin">
        <color theme="0" tint="-0.249977111117893"/>
      </left>
      <right/>
      <top/>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2">
    <xf numFmtId="0" fontId="0" fillId="0" borderId="0"/>
    <xf numFmtId="0" fontId="6" fillId="0" borderId="0" applyNumberFormat="0" applyFill="0" applyBorder="0" applyAlignment="0" applyProtection="0"/>
  </cellStyleXfs>
  <cellXfs count="46">
    <xf numFmtId="0" fontId="0" fillId="0" borderId="0" xfId="0"/>
    <xf numFmtId="0" fontId="1" fillId="0" borderId="0" xfId="0" applyFont="1"/>
    <xf numFmtId="0" fontId="3" fillId="0" borderId="0" xfId="0" applyFont="1" applyAlignment="1">
      <alignment vertical="center" wrapText="1"/>
    </xf>
    <xf numFmtId="0" fontId="0" fillId="2" borderId="0" xfId="0" applyFill="1"/>
    <xf numFmtId="0" fontId="7" fillId="0" borderId="0" xfId="0" applyFont="1"/>
    <xf numFmtId="0" fontId="8" fillId="0" borderId="0" xfId="0" applyFont="1"/>
    <xf numFmtId="0" fontId="11" fillId="0" borderId="0" xfId="0" applyFont="1" applyAlignment="1">
      <alignment vertical="center" wrapText="1"/>
    </xf>
    <xf numFmtId="0" fontId="6" fillId="0" borderId="6" xfId="1" applyBorder="1" applyAlignment="1">
      <alignment horizontal="center"/>
    </xf>
    <xf numFmtId="0" fontId="6" fillId="0" borderId="0" xfId="1" applyBorder="1" applyAlignment="1">
      <alignment horizontal="center"/>
    </xf>
    <xf numFmtId="0" fontId="6" fillId="0" borderId="7" xfId="1" applyBorder="1" applyAlignment="1">
      <alignment horizontal="center"/>
    </xf>
    <xf numFmtId="0" fontId="6" fillId="0" borderId="8" xfId="1" applyBorder="1" applyAlignment="1">
      <alignment horizontal="center"/>
    </xf>
    <xf numFmtId="0" fontId="6" fillId="0" borderId="9" xfId="1" applyBorder="1" applyAlignment="1">
      <alignment horizontal="center"/>
    </xf>
    <xf numFmtId="0" fontId="6" fillId="0" borderId="10" xfId="1" applyBorder="1" applyAlignment="1">
      <alignment horizontal="center"/>
    </xf>
    <xf numFmtId="0" fontId="2" fillId="0" borderId="11" xfId="0" applyFont="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0" xfId="0" applyFont="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0" fillId="0" borderId="0" xfId="0" applyAlignment="1">
      <alignment horizontal="center"/>
    </xf>
    <xf numFmtId="0" fontId="0" fillId="0" borderId="7" xfId="0" applyBorder="1" applyAlignment="1">
      <alignment horizontal="center"/>
    </xf>
    <xf numFmtId="0" fontId="8" fillId="0" borderId="6" xfId="0" applyFont="1" applyBorder="1" applyAlignment="1">
      <alignment horizontal="center"/>
    </xf>
    <xf numFmtId="0" fontId="8" fillId="0" borderId="0" xfId="0" applyFont="1" applyAlignment="1">
      <alignment horizontal="center"/>
    </xf>
    <xf numFmtId="0" fontId="8" fillId="0" borderId="7"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8" fillId="0" borderId="5" xfId="0" applyFont="1" applyBorder="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0" borderId="4" xfId="0" applyBorder="1" applyAlignment="1">
      <alignment horizontal="center"/>
    </xf>
    <xf numFmtId="0" fontId="0" fillId="0" borderId="5" xfId="0" applyBorder="1" applyAlignment="1">
      <alignment horizontal="center"/>
    </xf>
    <xf numFmtId="0" fontId="2" fillId="0" borderId="0" xfId="0" applyFont="1" applyAlignment="1">
      <alignment horizontal="center"/>
    </xf>
    <xf numFmtId="0" fontId="2" fillId="0" borderId="2" xfId="0" applyFont="1" applyBorder="1" applyAlignment="1">
      <alignment horizontal="center"/>
    </xf>
    <xf numFmtId="0" fontId="3" fillId="0" borderId="0" xfId="0" applyFont="1" applyAlignment="1">
      <alignment horizontal="center" vertical="center" wrapText="1"/>
    </xf>
    <xf numFmtId="0" fontId="4" fillId="0" borderId="2" xfId="0" applyFont="1" applyBorder="1" applyAlignment="1">
      <alignment horizontal="center"/>
    </xf>
    <xf numFmtId="0" fontId="4" fillId="0" borderId="0" xfId="0" applyFont="1" applyAlignment="1">
      <alignment horizontal="center"/>
    </xf>
    <xf numFmtId="0" fontId="2" fillId="0" borderId="1" xfId="0" applyFont="1" applyBorder="1" applyAlignment="1">
      <alignment horizontal="center"/>
    </xf>
    <xf numFmtId="0" fontId="9" fillId="0" borderId="0" xfId="0" applyFont="1" applyAlignment="1">
      <alignment horizontal="center" vertical="center"/>
    </xf>
    <xf numFmtId="0" fontId="0" fillId="0" borderId="0" xfId="0" applyAlignment="1">
      <alignment horizontal="center" vertical="center"/>
    </xf>
  </cellXfs>
  <cellStyles count="2">
    <cellStyle name="Hyperlink" xfId="1" builtinId="8"/>
    <cellStyle name="Normal" xfId="0" builtinId="0"/>
  </cellStyles>
  <dxfs count="79">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rgb="FFB7B7B7"/>
        </top>
      </border>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top style="thin">
          <color rgb="FFB7B7B7"/>
        </top>
      </border>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numFmt numFmtId="0" formatCode="General"/>
    </dxf>
    <dxf>
      <numFmt numFmtId="0" formatCode="General"/>
    </dxf>
    <dxf>
      <border outline="0">
        <top style="thin">
          <color rgb="FFB7B7B7"/>
        </top>
      </border>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numFmt numFmtId="0" formatCode="General"/>
    </dxf>
    <dxf>
      <border outline="0">
        <top style="thin">
          <color rgb="FFB7B7B7"/>
        </top>
      </border>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numFmt numFmtId="0" formatCode="General"/>
    </dxf>
    <dxf>
      <border outline="0">
        <top style="thin">
          <color rgb="FFB7B7B7"/>
        </top>
      </border>
    </dxf>
    <dxf>
      <font>
        <b val="0"/>
        <i val="0"/>
        <strike val="0"/>
        <condense val="0"/>
        <extend val="0"/>
        <outline val="0"/>
        <shadow val="0"/>
        <u val="none"/>
        <vertAlign val="baseline"/>
        <sz val="10"/>
        <color theme="1"/>
        <name val="Arial"/>
        <family val="2"/>
        <scheme val="none"/>
      </font>
    </dxf>
    <dxf>
      <numFmt numFmtId="0" formatCode="General"/>
    </dxf>
    <dxf>
      <numFmt numFmtId="0" formatCode="General"/>
    </dxf>
    <dxf>
      <border outline="0">
        <top style="thin">
          <color rgb="FFB7B7B7"/>
        </top>
      </border>
    </dxf>
    <dxf>
      <font>
        <b val="0"/>
        <i val="0"/>
        <strike val="0"/>
        <condense val="0"/>
        <extend val="0"/>
        <outline val="0"/>
        <shadow val="0"/>
        <u val="none"/>
        <vertAlign val="baseline"/>
        <sz val="10"/>
        <color theme="1"/>
        <name val="Arial"/>
        <family val="2"/>
        <scheme val="none"/>
      </font>
    </dxf>
    <dxf>
      <fill>
        <patternFill>
          <bgColor rgb="FFFFFFFF"/>
        </patternFill>
      </fill>
    </dxf>
    <dxf>
      <fill>
        <patternFill>
          <bgColor rgb="FFE8F3F7"/>
        </patternFill>
      </fill>
    </dxf>
    <dxf>
      <fill>
        <patternFill>
          <bgColor rgb="FF3688A4"/>
        </patternFill>
      </fill>
    </dxf>
    <dxf>
      <border>
        <left style="thin">
          <color rgb="FF8BB4C5"/>
        </left>
        <right style="thin">
          <color rgb="FF8BB4C5"/>
        </right>
        <top style="thin">
          <color rgb="FF8BB4C5"/>
        </top>
        <bottom style="thin">
          <color rgb="FF8BB4C5"/>
        </bottom>
        <vertical style="thin">
          <color rgb="FFC8DDE6"/>
        </vertical>
        <horizontal style="thin">
          <color rgb="FF8BB4C5"/>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vertical style="thin">
          <color rgb="FFD4D4D4"/>
        </vertical>
        <horizontal style="thin">
          <color rgb="FFD4D4D4"/>
        </horizontal>
      </border>
    </dxf>
    <dxf>
      <fill>
        <patternFill patternType="solid">
          <fgColor rgb="FFF6F8F9"/>
          <bgColor rgb="FFF6F8F9"/>
        </patternFill>
      </fill>
    </dxf>
    <dxf>
      <fill>
        <patternFill patternType="solid">
          <fgColor rgb="FFFFFFFF"/>
          <bgColor rgb="FFFFFFFF"/>
        </patternFill>
      </fill>
    </dxf>
    <dxf>
      <fill>
        <patternFill patternType="solid">
          <fgColor rgb="FFD72323"/>
          <bgColor rgb="FFD72323"/>
        </patternFill>
      </fill>
    </dxf>
    <dxf>
      <border>
        <left style="thin">
          <color rgb="FFD72323"/>
        </left>
        <right style="thin">
          <color rgb="FFD72323"/>
        </right>
        <top style="thin">
          <color rgb="FFD72323"/>
        </top>
        <bottom style="thin">
          <color rgb="FFD72323"/>
        </bottom>
      </border>
    </dxf>
  </dxfs>
  <tableStyles count="9" defaultTableStyle="The Virus of Variation">
    <tableStyle name="Step 1-style" pivot="0" count="4" xr9:uid="{00000000-0011-0000-FFFF-FFFF00000000}">
      <tableStyleElement type="wholeTable" size="0" dxfId="78"/>
      <tableStyleElement type="headerRow" dxfId="77"/>
      <tableStyleElement type="firstRowStripe" dxfId="76"/>
      <tableStyleElement type="secondRowStripe" dxfId="75"/>
    </tableStyle>
    <tableStyle name="Step 2-style" pivot="0" count="4" xr9:uid="{00000000-0011-0000-FFFF-FFFF01000000}">
      <tableStyleElement type="wholeTable" size="0" dxfId="74"/>
      <tableStyleElement type="headerRow" dxfId="73"/>
      <tableStyleElement type="firstRowStripe" dxfId="72"/>
      <tableStyleElement type="secondRowStripe" dxfId="71"/>
    </tableStyle>
    <tableStyle name="Step 3-style" pivot="0" count="4" xr9:uid="{00000000-0011-0000-FFFF-FFFF02000000}">
      <tableStyleElement type="wholeTable" size="0" dxfId="70"/>
      <tableStyleElement type="headerRow" dxfId="69"/>
      <tableStyleElement type="firstRowStripe" dxfId="68"/>
      <tableStyleElement type="secondRowStripe" dxfId="67"/>
    </tableStyle>
    <tableStyle name="Step 4-style" pivot="0" count="4" xr9:uid="{00000000-0011-0000-FFFF-FFFF03000000}">
      <tableStyleElement type="wholeTable" size="0" dxfId="66"/>
      <tableStyleElement type="headerRow" dxfId="65"/>
      <tableStyleElement type="firstRowStripe" dxfId="64"/>
      <tableStyleElement type="secondRowStripe" dxfId="63"/>
    </tableStyle>
    <tableStyle name="Step 5-style" pivot="0" count="4" xr9:uid="{00000000-0011-0000-FFFF-FFFF04000000}">
      <tableStyleElement type="wholeTable" size="0" dxfId="62"/>
      <tableStyleElement type="headerRow" dxfId="61"/>
      <tableStyleElement type="firstRowStripe" dxfId="60"/>
      <tableStyleElement type="secondRowStripe" dxfId="59"/>
    </tableStyle>
    <tableStyle name="Step 6-style" pivot="0" count="4" xr9:uid="{00000000-0011-0000-FFFF-FFFF05000000}">
      <tableStyleElement type="wholeTable" size="0" dxfId="58"/>
      <tableStyleElement type="headerRow" dxfId="57"/>
      <tableStyleElement type="firstRowStripe" dxfId="56"/>
      <tableStyleElement type="secondRowStripe" dxfId="55"/>
    </tableStyle>
    <tableStyle name="Results-style" pivot="0" count="4" xr9:uid="{00000000-0011-0000-FFFF-FFFF06000000}">
      <tableStyleElement type="wholeTable" size="0" dxfId="54"/>
      <tableStyleElement type="headerRow" dxfId="53"/>
      <tableStyleElement type="firstRowStripe" dxfId="52"/>
      <tableStyleElement type="secondRowStripe" dxfId="51"/>
    </tableStyle>
    <tableStyle name="Table Style 1" pivot="0" count="0" xr9:uid="{BE55866D-FF73-42A2-A435-7E211190098B}"/>
    <tableStyle name="The Virus of Variation" pivot="0" count="4" xr9:uid="{7993DD85-50BD-4AC4-BB45-FE1F924045FB}">
      <tableStyleElement type="wholeTable" dxfId="50"/>
      <tableStyleElement type="headerRow" dxfId="49"/>
      <tableStyleElement type="firstRowStripe" dxfId="48"/>
      <tableStyleElement type="secondRowStripe" dxfId="47"/>
    </tableStyle>
  </tableStyles>
  <colors>
    <mruColors>
      <color rgb="FFC8DDE6"/>
      <color rgb="FF8BB4C5"/>
      <color rgb="FF3688A4"/>
      <color rgb="FFB8D4DE"/>
      <color rgb="FFFFFFFF"/>
      <color rgb="FFE8F3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Results!$B$2</c:f>
              <c:strCache>
                <c:ptCount val="1"/>
                <c:pt idx="0">
                  <c:v>Rate</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cat>
            <c:strRef>
              <c:f>Results!$A$3:$A$101</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Results!$B$3:$B$101</c:f>
              <c:numCache>
                <c:formatCode>General</c:formatCode>
                <c:ptCount val="99"/>
                <c:pt idx="0">
                  <c:v>14.6</c:v>
                </c:pt>
                <c:pt idx="1">
                  <c:v>7.5</c:v>
                </c:pt>
                <c:pt idx="2">
                  <c:v>4.3</c:v>
                </c:pt>
                <c:pt idx="3">
                  <c:v>1.6</c:v>
                </c:pt>
                <c:pt idx="4">
                  <c:v>0.8</c:v>
                </c:pt>
                <c:pt idx="5">
                  <c:v>5</c:v>
                </c:pt>
                <c:pt idx="6">
                  <c:v>8.4</c:v>
                </c:pt>
                <c:pt idx="7">
                  <c:v>1.4</c:v>
                </c:pt>
                <c:pt idx="8">
                  <c:v>1.9</c:v>
                </c:pt>
                <c:pt idx="9">
                  <c:v>11</c:v>
                </c:pt>
                <c:pt idx="10">
                  <c:v>22.6</c:v>
                </c:pt>
                <c:pt idx="12">
                  <c:v>20.8</c:v>
                </c:pt>
                <c:pt idx="13">
                  <c:v>12.2</c:v>
                </c:pt>
                <c:pt idx="14">
                  <c:v>10.199999999999999</c:v>
                </c:pt>
                <c:pt idx="15">
                  <c:v>10.7</c:v>
                </c:pt>
                <c:pt idx="16">
                  <c:v>3.2</c:v>
                </c:pt>
                <c:pt idx="17">
                  <c:v>6.6</c:v>
                </c:pt>
                <c:pt idx="18">
                  <c:v>20.8</c:v>
                </c:pt>
                <c:pt idx="19">
                  <c:v>25.5</c:v>
                </c:pt>
                <c:pt idx="20">
                  <c:v>18.399999999999999</c:v>
                </c:pt>
                <c:pt idx="21">
                  <c:v>29.3</c:v>
                </c:pt>
                <c:pt idx="22">
                  <c:v>23</c:v>
                </c:pt>
                <c:pt idx="23">
                  <c:v>31.4</c:v>
                </c:pt>
                <c:pt idx="24">
                  <c:v>19.100000000000001</c:v>
                </c:pt>
                <c:pt idx="25">
                  <c:v>16</c:v>
                </c:pt>
                <c:pt idx="26">
                  <c:v>12.4</c:v>
                </c:pt>
                <c:pt idx="27">
                  <c:v>11.9</c:v>
                </c:pt>
                <c:pt idx="28">
                  <c:v>6.1</c:v>
                </c:pt>
                <c:pt idx="29">
                  <c:v>4.0999999999999996</c:v>
                </c:pt>
                <c:pt idx="30">
                  <c:v>0.5</c:v>
                </c:pt>
                <c:pt idx="31">
                  <c:v>1.6</c:v>
                </c:pt>
                <c:pt idx="32">
                  <c:v>2.2999999999999998</c:v>
                </c:pt>
                <c:pt idx="33">
                  <c:v>17.600000000000001</c:v>
                </c:pt>
                <c:pt idx="34">
                  <c:v>7.1</c:v>
                </c:pt>
                <c:pt idx="35">
                  <c:v>8.1</c:v>
                </c:pt>
                <c:pt idx="36">
                  <c:v>15.2</c:v>
                </c:pt>
                <c:pt idx="37">
                  <c:v>11.3</c:v>
                </c:pt>
                <c:pt idx="38">
                  <c:v>17</c:v>
                </c:pt>
                <c:pt idx="39">
                  <c:v>17.3</c:v>
                </c:pt>
                <c:pt idx="40">
                  <c:v>5.8</c:v>
                </c:pt>
                <c:pt idx="41">
                  <c:v>2.7</c:v>
                </c:pt>
                <c:pt idx="42">
                  <c:v>4.4000000000000004</c:v>
                </c:pt>
                <c:pt idx="43">
                  <c:v>6.3</c:v>
                </c:pt>
                <c:pt idx="44">
                  <c:v>1.2</c:v>
                </c:pt>
                <c:pt idx="45">
                  <c:v>3.2</c:v>
                </c:pt>
                <c:pt idx="46">
                  <c:v>11</c:v>
                </c:pt>
                <c:pt idx="47">
                  <c:v>10.5</c:v>
                </c:pt>
                <c:pt idx="48">
                  <c:v>7.6</c:v>
                </c:pt>
                <c:pt idx="49">
                  <c:v>4.7</c:v>
                </c:pt>
                <c:pt idx="50">
                  <c:v>4.5</c:v>
                </c:pt>
                <c:pt idx="51">
                  <c:v>4.2</c:v>
                </c:pt>
                <c:pt idx="52">
                  <c:v>4.4000000000000004</c:v>
                </c:pt>
                <c:pt idx="53">
                  <c:v>7.1</c:v>
                </c:pt>
                <c:pt idx="54">
                  <c:v>6.1</c:v>
                </c:pt>
                <c:pt idx="55">
                  <c:v>3.6</c:v>
                </c:pt>
                <c:pt idx="56">
                  <c:v>10.5</c:v>
                </c:pt>
                <c:pt idx="57">
                  <c:v>14.8</c:v>
                </c:pt>
                <c:pt idx="58">
                  <c:v>10.9</c:v>
                </c:pt>
                <c:pt idx="59">
                  <c:v>10.5</c:v>
                </c:pt>
                <c:pt idx="60">
                  <c:v>13.4</c:v>
                </c:pt>
                <c:pt idx="61">
                  <c:v>18.100000000000001</c:v>
                </c:pt>
                <c:pt idx="62">
                  <c:v>15.4</c:v>
                </c:pt>
                <c:pt idx="63">
                  <c:v>19</c:v>
                </c:pt>
                <c:pt idx="64">
                  <c:v>13.4</c:v>
                </c:pt>
                <c:pt idx="65">
                  <c:v>10.199999999999999</c:v>
                </c:pt>
                <c:pt idx="66">
                  <c:v>13.1</c:v>
                </c:pt>
                <c:pt idx="67">
                  <c:v>18.100000000000001</c:v>
                </c:pt>
                <c:pt idx="68">
                  <c:v>14.4</c:v>
                </c:pt>
                <c:pt idx="69">
                  <c:v>15</c:v>
                </c:pt>
                <c:pt idx="70">
                  <c:v>10.8</c:v>
                </c:pt>
                <c:pt idx="71">
                  <c:v>5.4</c:v>
                </c:pt>
                <c:pt idx="72">
                  <c:v>3.2</c:v>
                </c:pt>
                <c:pt idx="73">
                  <c:v>1.9</c:v>
                </c:pt>
                <c:pt idx="74">
                  <c:v>3.6</c:v>
                </c:pt>
                <c:pt idx="75">
                  <c:v>18.3</c:v>
                </c:pt>
                <c:pt idx="76">
                  <c:v>12.2</c:v>
                </c:pt>
                <c:pt idx="77">
                  <c:v>2.2000000000000002</c:v>
                </c:pt>
                <c:pt idx="78">
                  <c:v>1.2</c:v>
                </c:pt>
                <c:pt idx="79">
                  <c:v>1.9</c:v>
                </c:pt>
                <c:pt idx="80">
                  <c:v>4.5999999999999996</c:v>
                </c:pt>
                <c:pt idx="81">
                  <c:v>4</c:v>
                </c:pt>
                <c:pt idx="82">
                  <c:v>4.5</c:v>
                </c:pt>
                <c:pt idx="83">
                  <c:v>2.9</c:v>
                </c:pt>
                <c:pt idx="84">
                  <c:v>3.5</c:v>
                </c:pt>
                <c:pt idx="85">
                  <c:v>0.7</c:v>
                </c:pt>
                <c:pt idx="86">
                  <c:v>0</c:v>
                </c:pt>
                <c:pt idx="87">
                  <c:v>0.7</c:v>
                </c:pt>
                <c:pt idx="88">
                  <c:v>1</c:v>
                </c:pt>
                <c:pt idx="89">
                  <c:v>1.1000000000000001</c:v>
                </c:pt>
                <c:pt idx="90">
                  <c:v>0.4</c:v>
                </c:pt>
                <c:pt idx="91">
                  <c:v>0</c:v>
                </c:pt>
                <c:pt idx="92">
                  <c:v>1</c:v>
                </c:pt>
                <c:pt idx="93">
                  <c:v>2.2999999999999998</c:v>
                </c:pt>
                <c:pt idx="94">
                  <c:v>2.9</c:v>
                </c:pt>
                <c:pt idx="95">
                  <c:v>1.3</c:v>
                </c:pt>
                <c:pt idx="96">
                  <c:v>2.2000000000000002</c:v>
                </c:pt>
                <c:pt idx="97">
                  <c:v>3.1</c:v>
                </c:pt>
                <c:pt idx="98">
                  <c:v>4.9000000000000004</c:v>
                </c:pt>
              </c:numCache>
            </c:numRef>
          </c:val>
          <c:smooth val="0"/>
          <c:extLst>
            <c:ext xmlns:c16="http://schemas.microsoft.com/office/drawing/2014/chart" uri="{C3380CC4-5D6E-409C-BE32-E72D297353CC}">
              <c16:uniqueId val="{00000000-329B-41D6-8340-43856FD2F6C5}"/>
            </c:ext>
          </c:extLst>
        </c:ser>
        <c:ser>
          <c:idx val="1"/>
          <c:order val="1"/>
          <c:tx>
            <c:strRef>
              <c:f>Results!$C$2</c:f>
              <c:strCache>
                <c:ptCount val="1"/>
                <c:pt idx="0">
                  <c:v>Mean</c:v>
                </c:pt>
              </c:strCache>
            </c:strRef>
          </c:tx>
          <c:spPr>
            <a:ln w="28575" cap="rnd">
              <a:solidFill>
                <a:schemeClr val="tx1"/>
              </a:solidFill>
              <a:round/>
            </a:ln>
            <a:effectLst/>
          </c:spPr>
          <c:marker>
            <c:symbol val="none"/>
          </c:marker>
          <c:cat>
            <c:strRef>
              <c:f>Results!$A$3:$A$101</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Results!$C$3:$C$101</c:f>
              <c:numCache>
                <c:formatCode>General</c:formatCode>
                <c:ptCount val="99"/>
                <c:pt idx="0">
                  <c:v>8.6199999999999992</c:v>
                </c:pt>
                <c:pt idx="1">
                  <c:v>8.6199999999999992</c:v>
                </c:pt>
                <c:pt idx="2">
                  <c:v>8.6199999999999992</c:v>
                </c:pt>
                <c:pt idx="3">
                  <c:v>8.6199999999999992</c:v>
                </c:pt>
                <c:pt idx="4">
                  <c:v>8.6199999999999992</c:v>
                </c:pt>
                <c:pt idx="5">
                  <c:v>8.6199999999999992</c:v>
                </c:pt>
                <c:pt idx="6">
                  <c:v>8.6199999999999992</c:v>
                </c:pt>
                <c:pt idx="7">
                  <c:v>8.6199999999999992</c:v>
                </c:pt>
                <c:pt idx="8">
                  <c:v>8.6199999999999992</c:v>
                </c:pt>
                <c:pt idx="9">
                  <c:v>8.6199999999999992</c:v>
                </c:pt>
                <c:pt idx="10">
                  <c:v>8.6199999999999992</c:v>
                </c:pt>
                <c:pt idx="13">
                  <c:v>8.6199999999999992</c:v>
                </c:pt>
                <c:pt idx="14">
                  <c:v>8.6199999999999992</c:v>
                </c:pt>
                <c:pt idx="15">
                  <c:v>8.6199999999999992</c:v>
                </c:pt>
                <c:pt idx="16">
                  <c:v>8.6199999999999992</c:v>
                </c:pt>
                <c:pt idx="17">
                  <c:v>8.6199999999999992</c:v>
                </c:pt>
                <c:pt idx="18">
                  <c:v>8.6199999999999992</c:v>
                </c:pt>
                <c:pt idx="19">
                  <c:v>8.6199999999999992</c:v>
                </c:pt>
                <c:pt idx="20">
                  <c:v>8.6199999999999992</c:v>
                </c:pt>
                <c:pt idx="21">
                  <c:v>8.6199999999999992</c:v>
                </c:pt>
                <c:pt idx="22">
                  <c:v>8.6199999999999992</c:v>
                </c:pt>
                <c:pt idx="23">
                  <c:v>8.6199999999999992</c:v>
                </c:pt>
                <c:pt idx="24">
                  <c:v>8.6199999999999992</c:v>
                </c:pt>
                <c:pt idx="25">
                  <c:v>8.6199999999999992</c:v>
                </c:pt>
                <c:pt idx="26">
                  <c:v>8.6199999999999992</c:v>
                </c:pt>
                <c:pt idx="27">
                  <c:v>8.6199999999999992</c:v>
                </c:pt>
                <c:pt idx="28">
                  <c:v>8.6199999999999992</c:v>
                </c:pt>
                <c:pt idx="29">
                  <c:v>8.6199999999999992</c:v>
                </c:pt>
                <c:pt idx="30">
                  <c:v>8.6199999999999992</c:v>
                </c:pt>
                <c:pt idx="31">
                  <c:v>8.6199999999999992</c:v>
                </c:pt>
                <c:pt idx="32">
                  <c:v>8.6199999999999992</c:v>
                </c:pt>
                <c:pt idx="33">
                  <c:v>8.6199999999999992</c:v>
                </c:pt>
                <c:pt idx="34">
                  <c:v>8.6199999999999992</c:v>
                </c:pt>
                <c:pt idx="35">
                  <c:v>8.6199999999999992</c:v>
                </c:pt>
                <c:pt idx="36">
                  <c:v>8.6199999999999992</c:v>
                </c:pt>
                <c:pt idx="37">
                  <c:v>8.6199999999999992</c:v>
                </c:pt>
                <c:pt idx="38">
                  <c:v>8.6199999999999992</c:v>
                </c:pt>
                <c:pt idx="39">
                  <c:v>8.6199999999999992</c:v>
                </c:pt>
                <c:pt idx="40">
                  <c:v>8.6199999999999992</c:v>
                </c:pt>
                <c:pt idx="41">
                  <c:v>8.6199999999999992</c:v>
                </c:pt>
                <c:pt idx="42">
                  <c:v>8.6199999999999992</c:v>
                </c:pt>
                <c:pt idx="43">
                  <c:v>8.6199999999999992</c:v>
                </c:pt>
                <c:pt idx="44">
                  <c:v>8.6199999999999992</c:v>
                </c:pt>
                <c:pt idx="45">
                  <c:v>8.6199999999999992</c:v>
                </c:pt>
                <c:pt idx="46">
                  <c:v>8.6199999999999992</c:v>
                </c:pt>
                <c:pt idx="47">
                  <c:v>8.6199999999999992</c:v>
                </c:pt>
                <c:pt idx="48">
                  <c:v>8.6199999999999992</c:v>
                </c:pt>
                <c:pt idx="49">
                  <c:v>8.6199999999999992</c:v>
                </c:pt>
                <c:pt idx="50">
                  <c:v>8.6199999999999992</c:v>
                </c:pt>
                <c:pt idx="51">
                  <c:v>8.6199999999999992</c:v>
                </c:pt>
                <c:pt idx="52">
                  <c:v>8.6199999999999992</c:v>
                </c:pt>
                <c:pt idx="53">
                  <c:v>8.6199999999999992</c:v>
                </c:pt>
                <c:pt idx="54">
                  <c:v>8.6199999999999992</c:v>
                </c:pt>
                <c:pt idx="55">
                  <c:v>8.6199999999999992</c:v>
                </c:pt>
                <c:pt idx="56">
                  <c:v>8.6199999999999992</c:v>
                </c:pt>
                <c:pt idx="57">
                  <c:v>8.6199999999999992</c:v>
                </c:pt>
                <c:pt idx="58">
                  <c:v>8.6199999999999992</c:v>
                </c:pt>
                <c:pt idx="59">
                  <c:v>8.6199999999999992</c:v>
                </c:pt>
                <c:pt idx="60">
                  <c:v>8.6199999999999992</c:v>
                </c:pt>
                <c:pt idx="61">
                  <c:v>8.6199999999999992</c:v>
                </c:pt>
                <c:pt idx="62">
                  <c:v>8.6199999999999992</c:v>
                </c:pt>
                <c:pt idx="63">
                  <c:v>8.6199999999999992</c:v>
                </c:pt>
                <c:pt idx="64">
                  <c:v>8.6199999999999992</c:v>
                </c:pt>
                <c:pt idx="65">
                  <c:v>8.6199999999999992</c:v>
                </c:pt>
                <c:pt idx="66">
                  <c:v>8.6199999999999992</c:v>
                </c:pt>
                <c:pt idx="67">
                  <c:v>8.6199999999999992</c:v>
                </c:pt>
                <c:pt idx="68">
                  <c:v>8.6199999999999992</c:v>
                </c:pt>
                <c:pt idx="69">
                  <c:v>8.6199999999999992</c:v>
                </c:pt>
                <c:pt idx="70">
                  <c:v>8.6199999999999992</c:v>
                </c:pt>
                <c:pt idx="71">
                  <c:v>8.6199999999999992</c:v>
                </c:pt>
                <c:pt idx="72">
                  <c:v>8.6199999999999992</c:v>
                </c:pt>
                <c:pt idx="73">
                  <c:v>8.6199999999999992</c:v>
                </c:pt>
                <c:pt idx="74">
                  <c:v>8.6199999999999992</c:v>
                </c:pt>
                <c:pt idx="75">
                  <c:v>8.6199999999999992</c:v>
                </c:pt>
                <c:pt idx="76">
                  <c:v>8.6199999999999992</c:v>
                </c:pt>
                <c:pt idx="77">
                  <c:v>8.6199999999999992</c:v>
                </c:pt>
                <c:pt idx="78">
                  <c:v>8.6199999999999992</c:v>
                </c:pt>
                <c:pt idx="79">
                  <c:v>8.6199999999999992</c:v>
                </c:pt>
                <c:pt idx="80">
                  <c:v>8.6199999999999992</c:v>
                </c:pt>
                <c:pt idx="81">
                  <c:v>8.6199999999999992</c:v>
                </c:pt>
                <c:pt idx="82">
                  <c:v>8.6199999999999992</c:v>
                </c:pt>
                <c:pt idx="83">
                  <c:v>8.6199999999999992</c:v>
                </c:pt>
                <c:pt idx="84">
                  <c:v>8.6199999999999992</c:v>
                </c:pt>
                <c:pt idx="85">
                  <c:v>8.6199999999999992</c:v>
                </c:pt>
                <c:pt idx="86">
                  <c:v>8.6199999999999992</c:v>
                </c:pt>
                <c:pt idx="87">
                  <c:v>8.6199999999999992</c:v>
                </c:pt>
                <c:pt idx="88">
                  <c:v>8.6199999999999992</c:v>
                </c:pt>
                <c:pt idx="89">
                  <c:v>8.6199999999999992</c:v>
                </c:pt>
                <c:pt idx="90">
                  <c:v>8.6199999999999992</c:v>
                </c:pt>
                <c:pt idx="91">
                  <c:v>8.6199999999999992</c:v>
                </c:pt>
                <c:pt idx="92">
                  <c:v>8.6199999999999992</c:v>
                </c:pt>
                <c:pt idx="93">
                  <c:v>8.6199999999999992</c:v>
                </c:pt>
                <c:pt idx="94">
                  <c:v>8.6199999999999992</c:v>
                </c:pt>
                <c:pt idx="95">
                  <c:v>8.6199999999999992</c:v>
                </c:pt>
                <c:pt idx="96">
                  <c:v>8.6199999999999992</c:v>
                </c:pt>
                <c:pt idx="97">
                  <c:v>8.6199999999999992</c:v>
                </c:pt>
                <c:pt idx="98">
                  <c:v>8.6199999999999992</c:v>
                </c:pt>
              </c:numCache>
            </c:numRef>
          </c:val>
          <c:smooth val="0"/>
          <c:extLst>
            <c:ext xmlns:c16="http://schemas.microsoft.com/office/drawing/2014/chart" uri="{C3380CC4-5D6E-409C-BE32-E72D297353CC}">
              <c16:uniqueId val="{00000001-329B-41D6-8340-43856FD2F6C5}"/>
            </c:ext>
          </c:extLst>
        </c:ser>
        <c:ser>
          <c:idx val="2"/>
          <c:order val="2"/>
          <c:tx>
            <c:strRef>
              <c:f>Results!$D$2</c:f>
              <c:strCache>
                <c:ptCount val="1"/>
                <c:pt idx="0">
                  <c:v>UPL</c:v>
                </c:pt>
              </c:strCache>
            </c:strRef>
          </c:tx>
          <c:spPr>
            <a:ln w="28575" cap="rnd">
              <a:solidFill>
                <a:srgbClr val="D72323"/>
              </a:solidFill>
              <a:prstDash val="dash"/>
              <a:round/>
            </a:ln>
            <a:effectLst/>
          </c:spPr>
          <c:marker>
            <c:symbol val="none"/>
          </c:marker>
          <c:cat>
            <c:strRef>
              <c:f>Results!$A$3:$A$101</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Results!$D$3:$D$101</c:f>
              <c:numCache>
                <c:formatCode>General</c:formatCode>
                <c:ptCount val="99"/>
                <c:pt idx="0">
                  <c:v>18.7</c:v>
                </c:pt>
                <c:pt idx="1">
                  <c:v>18.7</c:v>
                </c:pt>
                <c:pt idx="2">
                  <c:v>18.7</c:v>
                </c:pt>
                <c:pt idx="3">
                  <c:v>18.7</c:v>
                </c:pt>
                <c:pt idx="4">
                  <c:v>18.7</c:v>
                </c:pt>
                <c:pt idx="5">
                  <c:v>18.7</c:v>
                </c:pt>
                <c:pt idx="6">
                  <c:v>18.7</c:v>
                </c:pt>
                <c:pt idx="7">
                  <c:v>18.7</c:v>
                </c:pt>
                <c:pt idx="8">
                  <c:v>18.7</c:v>
                </c:pt>
                <c:pt idx="9">
                  <c:v>18.7</c:v>
                </c:pt>
                <c:pt idx="10">
                  <c:v>18.7</c:v>
                </c:pt>
                <c:pt idx="13">
                  <c:v>18.7</c:v>
                </c:pt>
                <c:pt idx="14">
                  <c:v>18.7</c:v>
                </c:pt>
                <c:pt idx="15">
                  <c:v>18.7</c:v>
                </c:pt>
                <c:pt idx="16">
                  <c:v>18.7</c:v>
                </c:pt>
                <c:pt idx="17">
                  <c:v>18.7</c:v>
                </c:pt>
                <c:pt idx="18">
                  <c:v>18.7</c:v>
                </c:pt>
                <c:pt idx="19">
                  <c:v>18.7</c:v>
                </c:pt>
                <c:pt idx="20">
                  <c:v>18.7</c:v>
                </c:pt>
                <c:pt idx="21">
                  <c:v>18.7</c:v>
                </c:pt>
                <c:pt idx="22">
                  <c:v>18.7</c:v>
                </c:pt>
                <c:pt idx="23">
                  <c:v>18.7</c:v>
                </c:pt>
                <c:pt idx="24">
                  <c:v>18.7</c:v>
                </c:pt>
                <c:pt idx="25">
                  <c:v>18.7</c:v>
                </c:pt>
                <c:pt idx="26">
                  <c:v>18.7</c:v>
                </c:pt>
                <c:pt idx="27">
                  <c:v>18.7</c:v>
                </c:pt>
                <c:pt idx="28">
                  <c:v>18.7</c:v>
                </c:pt>
                <c:pt idx="29">
                  <c:v>18.7</c:v>
                </c:pt>
                <c:pt idx="30">
                  <c:v>18.7</c:v>
                </c:pt>
                <c:pt idx="31">
                  <c:v>18.7</c:v>
                </c:pt>
                <c:pt idx="32">
                  <c:v>18.7</c:v>
                </c:pt>
                <c:pt idx="33">
                  <c:v>18.7</c:v>
                </c:pt>
                <c:pt idx="34">
                  <c:v>18.7</c:v>
                </c:pt>
                <c:pt idx="35">
                  <c:v>18.7</c:v>
                </c:pt>
                <c:pt idx="36">
                  <c:v>18.7</c:v>
                </c:pt>
                <c:pt idx="37">
                  <c:v>18.7</c:v>
                </c:pt>
                <c:pt idx="38">
                  <c:v>18.7</c:v>
                </c:pt>
                <c:pt idx="39">
                  <c:v>18.7</c:v>
                </c:pt>
                <c:pt idx="40">
                  <c:v>18.7</c:v>
                </c:pt>
                <c:pt idx="41">
                  <c:v>18.7</c:v>
                </c:pt>
                <c:pt idx="42">
                  <c:v>18.7</c:v>
                </c:pt>
                <c:pt idx="43">
                  <c:v>18.7</c:v>
                </c:pt>
                <c:pt idx="44">
                  <c:v>18.7</c:v>
                </c:pt>
                <c:pt idx="45">
                  <c:v>18.7</c:v>
                </c:pt>
                <c:pt idx="46">
                  <c:v>18.7</c:v>
                </c:pt>
                <c:pt idx="47">
                  <c:v>18.7</c:v>
                </c:pt>
                <c:pt idx="48">
                  <c:v>18.7</c:v>
                </c:pt>
                <c:pt idx="49">
                  <c:v>18.7</c:v>
                </c:pt>
                <c:pt idx="50">
                  <c:v>18.7</c:v>
                </c:pt>
                <c:pt idx="51">
                  <c:v>18.7</c:v>
                </c:pt>
                <c:pt idx="52">
                  <c:v>18.7</c:v>
                </c:pt>
                <c:pt idx="53">
                  <c:v>18.7</c:v>
                </c:pt>
                <c:pt idx="54">
                  <c:v>18.7</c:v>
                </c:pt>
                <c:pt idx="55">
                  <c:v>18.7</c:v>
                </c:pt>
                <c:pt idx="56">
                  <c:v>18.7</c:v>
                </c:pt>
                <c:pt idx="57">
                  <c:v>18.7</c:v>
                </c:pt>
                <c:pt idx="58">
                  <c:v>18.7</c:v>
                </c:pt>
                <c:pt idx="59">
                  <c:v>18.7</c:v>
                </c:pt>
                <c:pt idx="60">
                  <c:v>18.7</c:v>
                </c:pt>
                <c:pt idx="61">
                  <c:v>18.7</c:v>
                </c:pt>
                <c:pt idx="62">
                  <c:v>18.7</c:v>
                </c:pt>
                <c:pt idx="63">
                  <c:v>18.7</c:v>
                </c:pt>
                <c:pt idx="64">
                  <c:v>18.7</c:v>
                </c:pt>
                <c:pt idx="65">
                  <c:v>18.7</c:v>
                </c:pt>
                <c:pt idx="66">
                  <c:v>18.7</c:v>
                </c:pt>
                <c:pt idx="67">
                  <c:v>18.7</c:v>
                </c:pt>
                <c:pt idx="68">
                  <c:v>18.7</c:v>
                </c:pt>
                <c:pt idx="69">
                  <c:v>18.7</c:v>
                </c:pt>
                <c:pt idx="70">
                  <c:v>18.7</c:v>
                </c:pt>
                <c:pt idx="71">
                  <c:v>18.7</c:v>
                </c:pt>
                <c:pt idx="72">
                  <c:v>18.7</c:v>
                </c:pt>
                <c:pt idx="73">
                  <c:v>18.7</c:v>
                </c:pt>
                <c:pt idx="74">
                  <c:v>18.7</c:v>
                </c:pt>
                <c:pt idx="75">
                  <c:v>18.7</c:v>
                </c:pt>
                <c:pt idx="76">
                  <c:v>18.7</c:v>
                </c:pt>
                <c:pt idx="77">
                  <c:v>18.7</c:v>
                </c:pt>
                <c:pt idx="78">
                  <c:v>18.7</c:v>
                </c:pt>
                <c:pt idx="79">
                  <c:v>18.7</c:v>
                </c:pt>
                <c:pt idx="80">
                  <c:v>18.7</c:v>
                </c:pt>
                <c:pt idx="81">
                  <c:v>18.7</c:v>
                </c:pt>
                <c:pt idx="82">
                  <c:v>18.7</c:v>
                </c:pt>
                <c:pt idx="83">
                  <c:v>18.7</c:v>
                </c:pt>
                <c:pt idx="84">
                  <c:v>18.7</c:v>
                </c:pt>
                <c:pt idx="85">
                  <c:v>18.7</c:v>
                </c:pt>
                <c:pt idx="86">
                  <c:v>18.7</c:v>
                </c:pt>
                <c:pt idx="87">
                  <c:v>18.7</c:v>
                </c:pt>
                <c:pt idx="88">
                  <c:v>18.7</c:v>
                </c:pt>
                <c:pt idx="89">
                  <c:v>18.7</c:v>
                </c:pt>
                <c:pt idx="90">
                  <c:v>18.7</c:v>
                </c:pt>
                <c:pt idx="91">
                  <c:v>18.7</c:v>
                </c:pt>
                <c:pt idx="92">
                  <c:v>18.7</c:v>
                </c:pt>
                <c:pt idx="93">
                  <c:v>18.7</c:v>
                </c:pt>
                <c:pt idx="94">
                  <c:v>18.7</c:v>
                </c:pt>
                <c:pt idx="95">
                  <c:v>18.7</c:v>
                </c:pt>
                <c:pt idx="96">
                  <c:v>18.7</c:v>
                </c:pt>
                <c:pt idx="97">
                  <c:v>18.7</c:v>
                </c:pt>
                <c:pt idx="98">
                  <c:v>18.7</c:v>
                </c:pt>
              </c:numCache>
            </c:numRef>
          </c:val>
          <c:smooth val="0"/>
          <c:extLst>
            <c:ext xmlns:c16="http://schemas.microsoft.com/office/drawing/2014/chart" uri="{C3380CC4-5D6E-409C-BE32-E72D297353CC}">
              <c16:uniqueId val="{00000002-329B-41D6-8340-43856FD2F6C5}"/>
            </c:ext>
          </c:extLst>
        </c:ser>
        <c:ser>
          <c:idx val="3"/>
          <c:order val="3"/>
          <c:tx>
            <c:strRef>
              <c:f>Results!$E$2</c:f>
              <c:strCache>
                <c:ptCount val="1"/>
                <c:pt idx="0">
                  <c:v>LPL</c:v>
                </c:pt>
              </c:strCache>
            </c:strRef>
          </c:tx>
          <c:spPr>
            <a:ln w="28575" cap="rnd">
              <a:solidFill>
                <a:srgbClr val="D72323"/>
              </a:solidFill>
              <a:prstDash val="dash"/>
              <a:round/>
            </a:ln>
            <a:effectLst/>
          </c:spPr>
          <c:marker>
            <c:symbol val="none"/>
          </c:marker>
          <c:cat>
            <c:strRef>
              <c:f>Results!$A$3:$A$101</c:f>
              <c:strCache>
                <c:ptCount val="99"/>
                <c:pt idx="0">
                  <c:v>Jan-41</c:v>
                </c:pt>
                <c:pt idx="1">
                  <c:v>Feb-41</c:v>
                </c:pt>
                <c:pt idx="2">
                  <c:v>Mar-41</c:v>
                </c:pt>
                <c:pt idx="3">
                  <c:v>Apr-41</c:v>
                </c:pt>
                <c:pt idx="4">
                  <c:v>May-41</c:v>
                </c:pt>
                <c:pt idx="5">
                  <c:v>Jun-41</c:v>
                </c:pt>
                <c:pt idx="6">
                  <c:v>Jul-41</c:v>
                </c:pt>
                <c:pt idx="7">
                  <c:v>Aug-41</c:v>
                </c:pt>
                <c:pt idx="8">
                  <c:v>Sep-41</c:v>
                </c:pt>
                <c:pt idx="9">
                  <c:v>Oct-41</c:v>
                </c:pt>
                <c:pt idx="10">
                  <c:v>Nov-41</c:v>
                </c:pt>
                <c:pt idx="11">
                  <c:v>Dec-41</c:v>
                </c:pt>
                <c:pt idx="12">
                  <c:v>Jan-42</c:v>
                </c:pt>
                <c:pt idx="13">
                  <c:v>Feb-42</c:v>
                </c:pt>
                <c:pt idx="14">
                  <c:v>Mar-42</c:v>
                </c:pt>
                <c:pt idx="15">
                  <c:v>Apr-42</c:v>
                </c:pt>
                <c:pt idx="16">
                  <c:v>May-42</c:v>
                </c:pt>
                <c:pt idx="17">
                  <c:v>Jun-42</c:v>
                </c:pt>
                <c:pt idx="18">
                  <c:v>Jul-42</c:v>
                </c:pt>
                <c:pt idx="19">
                  <c:v>Aug-42</c:v>
                </c:pt>
                <c:pt idx="20">
                  <c:v>Sep-42</c:v>
                </c:pt>
                <c:pt idx="21">
                  <c:v>Oct-42</c:v>
                </c:pt>
                <c:pt idx="22">
                  <c:v>Nov-42</c:v>
                </c:pt>
                <c:pt idx="23">
                  <c:v>Dec-42</c:v>
                </c:pt>
                <c:pt idx="24">
                  <c:v>Jan-43</c:v>
                </c:pt>
                <c:pt idx="25">
                  <c:v>Feb-43</c:v>
                </c:pt>
                <c:pt idx="26">
                  <c:v>Mar-43</c:v>
                </c:pt>
                <c:pt idx="27">
                  <c:v>Apr-43</c:v>
                </c:pt>
                <c:pt idx="28">
                  <c:v>May-43</c:v>
                </c:pt>
                <c:pt idx="29">
                  <c:v>Jun-43</c:v>
                </c:pt>
                <c:pt idx="30">
                  <c:v>Jul-43</c:v>
                </c:pt>
                <c:pt idx="31">
                  <c:v>Aug-43</c:v>
                </c:pt>
                <c:pt idx="32">
                  <c:v>Sep-43</c:v>
                </c:pt>
                <c:pt idx="33">
                  <c:v>Oct-43</c:v>
                </c:pt>
                <c:pt idx="34">
                  <c:v>Nov-43</c:v>
                </c:pt>
                <c:pt idx="35">
                  <c:v>Dec-43</c:v>
                </c:pt>
                <c:pt idx="36">
                  <c:v>Jan-44</c:v>
                </c:pt>
                <c:pt idx="37">
                  <c:v>Feb-44</c:v>
                </c:pt>
                <c:pt idx="38">
                  <c:v>Mar-44</c:v>
                </c:pt>
                <c:pt idx="39">
                  <c:v>Apr-44</c:v>
                </c:pt>
                <c:pt idx="40">
                  <c:v>May-44</c:v>
                </c:pt>
                <c:pt idx="41">
                  <c:v>Jun-44</c:v>
                </c:pt>
                <c:pt idx="42">
                  <c:v>Jul-44</c:v>
                </c:pt>
                <c:pt idx="43">
                  <c:v>Aug-44</c:v>
                </c:pt>
                <c:pt idx="44">
                  <c:v>Sep-44</c:v>
                </c:pt>
                <c:pt idx="45">
                  <c:v>Oct-44</c:v>
                </c:pt>
                <c:pt idx="46">
                  <c:v>Nov-44</c:v>
                </c:pt>
                <c:pt idx="47">
                  <c:v>Dec-44</c:v>
                </c:pt>
                <c:pt idx="48">
                  <c:v>Jan-45</c:v>
                </c:pt>
                <c:pt idx="49">
                  <c:v>Feb-45</c:v>
                </c:pt>
                <c:pt idx="50">
                  <c:v>Mar-45</c:v>
                </c:pt>
                <c:pt idx="51">
                  <c:v>Apr-45</c:v>
                </c:pt>
                <c:pt idx="52">
                  <c:v>May-45</c:v>
                </c:pt>
                <c:pt idx="53">
                  <c:v>Jun-45</c:v>
                </c:pt>
                <c:pt idx="54">
                  <c:v>Jul-45</c:v>
                </c:pt>
                <c:pt idx="55">
                  <c:v>Aug-45</c:v>
                </c:pt>
                <c:pt idx="56">
                  <c:v>Sep-45</c:v>
                </c:pt>
                <c:pt idx="57">
                  <c:v>Oct-45</c:v>
                </c:pt>
                <c:pt idx="58">
                  <c:v>Nov-45</c:v>
                </c:pt>
                <c:pt idx="59">
                  <c:v>Dec-45</c:v>
                </c:pt>
                <c:pt idx="60">
                  <c:v>Jan-46</c:v>
                </c:pt>
                <c:pt idx="61">
                  <c:v>Feb-46</c:v>
                </c:pt>
                <c:pt idx="62">
                  <c:v>Mar-46</c:v>
                </c:pt>
                <c:pt idx="63">
                  <c:v>Apr-46</c:v>
                </c:pt>
                <c:pt idx="64">
                  <c:v>May-46</c:v>
                </c:pt>
                <c:pt idx="65">
                  <c:v>Jun-46</c:v>
                </c:pt>
                <c:pt idx="66">
                  <c:v>Jul-46</c:v>
                </c:pt>
                <c:pt idx="67">
                  <c:v>Aug-46</c:v>
                </c:pt>
                <c:pt idx="68">
                  <c:v>Sep-46</c:v>
                </c:pt>
                <c:pt idx="69">
                  <c:v>Oct-46</c:v>
                </c:pt>
                <c:pt idx="70">
                  <c:v>Nov-46</c:v>
                </c:pt>
                <c:pt idx="71">
                  <c:v>Dec-46</c:v>
                </c:pt>
                <c:pt idx="72">
                  <c:v>Jan-47</c:v>
                </c:pt>
                <c:pt idx="73">
                  <c:v>Feb-47</c:v>
                </c:pt>
                <c:pt idx="74">
                  <c:v>Mar-47</c:v>
                </c:pt>
                <c:pt idx="75">
                  <c:v>Apr-47</c:v>
                </c:pt>
                <c:pt idx="76">
                  <c:v>May-47</c:v>
                </c:pt>
                <c:pt idx="77">
                  <c:v>Jun-47</c:v>
                </c:pt>
                <c:pt idx="78">
                  <c:v>Jul-47</c:v>
                </c:pt>
                <c:pt idx="79">
                  <c:v>Aug-47</c:v>
                </c:pt>
                <c:pt idx="80">
                  <c:v>Sep-47</c:v>
                </c:pt>
                <c:pt idx="81">
                  <c:v>Oct-47</c:v>
                </c:pt>
                <c:pt idx="82">
                  <c:v>Nov-47</c:v>
                </c:pt>
                <c:pt idx="83">
                  <c:v>Dec-47</c:v>
                </c:pt>
                <c:pt idx="84">
                  <c:v>Jan-48</c:v>
                </c:pt>
                <c:pt idx="85">
                  <c:v>Feb-48</c:v>
                </c:pt>
                <c:pt idx="86">
                  <c:v>Mar-48</c:v>
                </c:pt>
                <c:pt idx="87">
                  <c:v>Apr-48</c:v>
                </c:pt>
                <c:pt idx="88">
                  <c:v>May-48</c:v>
                </c:pt>
                <c:pt idx="89">
                  <c:v>Jun-48</c:v>
                </c:pt>
                <c:pt idx="90">
                  <c:v>Jul-48</c:v>
                </c:pt>
                <c:pt idx="91">
                  <c:v>Aug-48</c:v>
                </c:pt>
                <c:pt idx="92">
                  <c:v>Sep-48</c:v>
                </c:pt>
                <c:pt idx="93">
                  <c:v>Oct-48</c:v>
                </c:pt>
                <c:pt idx="94">
                  <c:v>Nov-48</c:v>
                </c:pt>
                <c:pt idx="95">
                  <c:v>Dec-48</c:v>
                </c:pt>
                <c:pt idx="96">
                  <c:v>Jan-49</c:v>
                </c:pt>
                <c:pt idx="97">
                  <c:v>Feb-49</c:v>
                </c:pt>
                <c:pt idx="98">
                  <c:v>Mar-49</c:v>
                </c:pt>
              </c:strCache>
            </c:strRef>
          </c:cat>
          <c:val>
            <c:numRef>
              <c:f>Results!$E$3:$E$101</c:f>
              <c:numCache>
                <c:formatCode>General</c:formatCode>
                <c:ptCount val="99"/>
                <c:pt idx="0">
                  <c:v>0</c:v>
                </c:pt>
                <c:pt idx="1">
                  <c:v>0</c:v>
                </c:pt>
                <c:pt idx="2">
                  <c:v>0</c:v>
                </c:pt>
                <c:pt idx="3">
                  <c:v>0</c:v>
                </c:pt>
                <c:pt idx="4">
                  <c:v>0</c:v>
                </c:pt>
                <c:pt idx="5">
                  <c:v>0</c:v>
                </c:pt>
                <c:pt idx="6">
                  <c:v>0</c:v>
                </c:pt>
                <c:pt idx="7">
                  <c:v>0</c:v>
                </c:pt>
                <c:pt idx="8">
                  <c:v>0</c:v>
                </c:pt>
                <c:pt idx="9">
                  <c:v>0</c:v>
                </c:pt>
                <c:pt idx="10">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numCache>
            </c:numRef>
          </c:val>
          <c:smooth val="0"/>
          <c:extLst>
            <c:ext xmlns:c16="http://schemas.microsoft.com/office/drawing/2014/chart" uri="{C3380CC4-5D6E-409C-BE32-E72D297353CC}">
              <c16:uniqueId val="{00000003-329B-41D6-8340-43856FD2F6C5}"/>
            </c:ext>
          </c:extLst>
        </c:ser>
        <c:dLbls>
          <c:showLegendKey val="0"/>
          <c:showVal val="0"/>
          <c:showCatName val="0"/>
          <c:showSerName val="0"/>
          <c:showPercent val="0"/>
          <c:showBubbleSize val="0"/>
        </c:dLbls>
        <c:marker val="1"/>
        <c:smooth val="0"/>
        <c:axId val="2024056368"/>
        <c:axId val="2024057808"/>
      </c:lineChart>
      <c:catAx>
        <c:axId val="202405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7808"/>
        <c:crosses val="autoZero"/>
        <c:auto val="1"/>
        <c:lblAlgn val="ctr"/>
        <c:lblOffset val="100"/>
        <c:noMultiLvlLbl val="0"/>
      </c:catAx>
      <c:valAx>
        <c:axId val="20240578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Rates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56368"/>
        <c:crosses val="autoZero"/>
        <c:crossBetween val="between"/>
      </c:valAx>
      <c:spPr>
        <a:noFill/>
        <a:ln w="25400">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lineChart>
        <c:grouping val="standard"/>
        <c:varyColors val="0"/>
        <c:ser>
          <c:idx val="0"/>
          <c:order val="0"/>
          <c:tx>
            <c:strRef>
              <c:f>Results!$F$2</c:f>
              <c:strCache>
                <c:ptCount val="1"/>
                <c:pt idx="0">
                  <c:v>mR</c:v>
                </c:pt>
              </c:strCache>
            </c:strRef>
          </c:tx>
          <c:spPr>
            <a:ln w="28575" cap="rnd">
              <a:solidFill>
                <a:schemeClr val="accent1"/>
              </a:solidFill>
              <a:round/>
            </a:ln>
            <a:effectLst/>
          </c:spPr>
          <c:marker>
            <c:symbol val="circle"/>
            <c:size val="6"/>
            <c:spPr>
              <a:solidFill>
                <a:schemeClr val="accent1"/>
              </a:solidFill>
              <a:ln w="9525">
                <a:solidFill>
                  <a:schemeClr val="accent1"/>
                </a:solidFill>
              </a:ln>
              <a:effectLst/>
            </c:spPr>
          </c:marker>
          <c:val>
            <c:numRef>
              <c:f>Results!$F$3:$F$101</c:f>
              <c:numCache>
                <c:formatCode>General</c:formatCode>
                <c:ptCount val="99"/>
                <c:pt idx="1">
                  <c:v>7.1</c:v>
                </c:pt>
                <c:pt idx="2">
                  <c:v>3.2</c:v>
                </c:pt>
                <c:pt idx="3">
                  <c:v>2.7</c:v>
                </c:pt>
                <c:pt idx="4">
                  <c:v>0.8</c:v>
                </c:pt>
                <c:pt idx="5">
                  <c:v>4.2</c:v>
                </c:pt>
                <c:pt idx="6">
                  <c:v>3.4</c:v>
                </c:pt>
                <c:pt idx="7">
                  <c:v>7</c:v>
                </c:pt>
                <c:pt idx="8">
                  <c:v>0.5</c:v>
                </c:pt>
                <c:pt idx="9">
                  <c:v>9.1</c:v>
                </c:pt>
                <c:pt idx="10">
                  <c:v>11.6</c:v>
                </c:pt>
                <c:pt idx="13">
                  <c:v>8.6</c:v>
                </c:pt>
                <c:pt idx="14">
                  <c:v>2</c:v>
                </c:pt>
                <c:pt idx="15">
                  <c:v>0.5</c:v>
                </c:pt>
                <c:pt idx="16">
                  <c:v>7.5</c:v>
                </c:pt>
                <c:pt idx="17">
                  <c:v>3.4</c:v>
                </c:pt>
                <c:pt idx="18">
                  <c:v>14.2</c:v>
                </c:pt>
                <c:pt idx="19">
                  <c:v>4.7</c:v>
                </c:pt>
                <c:pt idx="20">
                  <c:v>7.1</c:v>
                </c:pt>
                <c:pt idx="21">
                  <c:v>10.9</c:v>
                </c:pt>
                <c:pt idx="22">
                  <c:v>6.3</c:v>
                </c:pt>
                <c:pt idx="23">
                  <c:v>8.4</c:v>
                </c:pt>
                <c:pt idx="24">
                  <c:v>12.3</c:v>
                </c:pt>
                <c:pt idx="25">
                  <c:v>3.1</c:v>
                </c:pt>
                <c:pt idx="26">
                  <c:v>3.6</c:v>
                </c:pt>
                <c:pt idx="27">
                  <c:v>0.5</c:v>
                </c:pt>
                <c:pt idx="28">
                  <c:v>5.8</c:v>
                </c:pt>
                <c:pt idx="29">
                  <c:v>2</c:v>
                </c:pt>
                <c:pt idx="30">
                  <c:v>3.6</c:v>
                </c:pt>
                <c:pt idx="31">
                  <c:v>1.1000000000000001</c:v>
                </c:pt>
                <c:pt idx="32">
                  <c:v>0.7</c:v>
                </c:pt>
                <c:pt idx="33">
                  <c:v>15.3</c:v>
                </c:pt>
                <c:pt idx="34">
                  <c:v>10.5</c:v>
                </c:pt>
                <c:pt idx="35">
                  <c:v>1</c:v>
                </c:pt>
                <c:pt idx="36">
                  <c:v>7.1</c:v>
                </c:pt>
                <c:pt idx="37">
                  <c:v>3.9</c:v>
                </c:pt>
                <c:pt idx="38">
                  <c:v>5.7</c:v>
                </c:pt>
                <c:pt idx="39">
                  <c:v>0.3</c:v>
                </c:pt>
                <c:pt idx="40">
                  <c:v>11.5</c:v>
                </c:pt>
                <c:pt idx="41">
                  <c:v>3.1</c:v>
                </c:pt>
                <c:pt idx="42">
                  <c:v>1.7</c:v>
                </c:pt>
                <c:pt idx="43">
                  <c:v>1.9</c:v>
                </c:pt>
                <c:pt idx="44">
                  <c:v>5.0999999999999996</c:v>
                </c:pt>
                <c:pt idx="45">
                  <c:v>2</c:v>
                </c:pt>
                <c:pt idx="46">
                  <c:v>7.8</c:v>
                </c:pt>
                <c:pt idx="47">
                  <c:v>0.5</c:v>
                </c:pt>
                <c:pt idx="48">
                  <c:v>2.9</c:v>
                </c:pt>
                <c:pt idx="49">
                  <c:v>2.9</c:v>
                </c:pt>
                <c:pt idx="50">
                  <c:v>0.2</c:v>
                </c:pt>
                <c:pt idx="51">
                  <c:v>0.3</c:v>
                </c:pt>
                <c:pt idx="52">
                  <c:v>0.2</c:v>
                </c:pt>
                <c:pt idx="53">
                  <c:v>2.7</c:v>
                </c:pt>
                <c:pt idx="54">
                  <c:v>1</c:v>
                </c:pt>
                <c:pt idx="55">
                  <c:v>2.5</c:v>
                </c:pt>
                <c:pt idx="56">
                  <c:v>6.9</c:v>
                </c:pt>
                <c:pt idx="57">
                  <c:v>4.3</c:v>
                </c:pt>
                <c:pt idx="58">
                  <c:v>3.9</c:v>
                </c:pt>
                <c:pt idx="59">
                  <c:v>0.4</c:v>
                </c:pt>
                <c:pt idx="60">
                  <c:v>2.9</c:v>
                </c:pt>
                <c:pt idx="61">
                  <c:v>4.7</c:v>
                </c:pt>
                <c:pt idx="62">
                  <c:v>2.7</c:v>
                </c:pt>
                <c:pt idx="63">
                  <c:v>3.6</c:v>
                </c:pt>
                <c:pt idx="64">
                  <c:v>5.6</c:v>
                </c:pt>
                <c:pt idx="65">
                  <c:v>3.2</c:v>
                </c:pt>
                <c:pt idx="66">
                  <c:v>2.9</c:v>
                </c:pt>
                <c:pt idx="67">
                  <c:v>5</c:v>
                </c:pt>
                <c:pt idx="68">
                  <c:v>3.7</c:v>
                </c:pt>
                <c:pt idx="69">
                  <c:v>0.6</c:v>
                </c:pt>
                <c:pt idx="70">
                  <c:v>4.2</c:v>
                </c:pt>
                <c:pt idx="71">
                  <c:v>5.4</c:v>
                </c:pt>
                <c:pt idx="72">
                  <c:v>2.2000000000000002</c:v>
                </c:pt>
                <c:pt idx="73">
                  <c:v>1.3</c:v>
                </c:pt>
                <c:pt idx="74">
                  <c:v>1.7</c:v>
                </c:pt>
                <c:pt idx="75">
                  <c:v>14.7</c:v>
                </c:pt>
                <c:pt idx="76">
                  <c:v>6.1</c:v>
                </c:pt>
                <c:pt idx="77">
                  <c:v>10</c:v>
                </c:pt>
                <c:pt idx="78">
                  <c:v>1</c:v>
                </c:pt>
                <c:pt idx="79">
                  <c:v>0.7</c:v>
                </c:pt>
                <c:pt idx="80">
                  <c:v>2.7</c:v>
                </c:pt>
                <c:pt idx="81">
                  <c:v>0.6</c:v>
                </c:pt>
                <c:pt idx="82">
                  <c:v>0.5</c:v>
                </c:pt>
                <c:pt idx="83">
                  <c:v>1.6</c:v>
                </c:pt>
                <c:pt idx="84">
                  <c:v>0.6</c:v>
                </c:pt>
                <c:pt idx="85">
                  <c:v>2.8</c:v>
                </c:pt>
                <c:pt idx="86">
                  <c:v>0.7</c:v>
                </c:pt>
                <c:pt idx="87">
                  <c:v>0.7</c:v>
                </c:pt>
                <c:pt idx="88">
                  <c:v>0.3</c:v>
                </c:pt>
                <c:pt idx="89">
                  <c:v>0.1</c:v>
                </c:pt>
                <c:pt idx="90">
                  <c:v>0.7</c:v>
                </c:pt>
                <c:pt idx="91">
                  <c:v>0.4</c:v>
                </c:pt>
                <c:pt idx="92">
                  <c:v>1</c:v>
                </c:pt>
                <c:pt idx="93">
                  <c:v>1.3</c:v>
                </c:pt>
                <c:pt idx="94">
                  <c:v>0.6</c:v>
                </c:pt>
                <c:pt idx="95">
                  <c:v>1.6</c:v>
                </c:pt>
                <c:pt idx="96">
                  <c:v>0.9</c:v>
                </c:pt>
                <c:pt idx="97">
                  <c:v>0.9</c:v>
                </c:pt>
                <c:pt idx="98">
                  <c:v>1.8</c:v>
                </c:pt>
              </c:numCache>
            </c:numRef>
          </c:val>
          <c:smooth val="0"/>
          <c:extLst>
            <c:ext xmlns:c16="http://schemas.microsoft.com/office/drawing/2014/chart" uri="{C3380CC4-5D6E-409C-BE32-E72D297353CC}">
              <c16:uniqueId val="{00000000-5D18-47FA-93F7-2AB89D044415}"/>
            </c:ext>
          </c:extLst>
        </c:ser>
        <c:ser>
          <c:idx val="1"/>
          <c:order val="1"/>
          <c:tx>
            <c:strRef>
              <c:f>Results!$G$2</c:f>
              <c:strCache>
                <c:ptCount val="1"/>
                <c:pt idx="0">
                  <c:v>Ave. mR</c:v>
                </c:pt>
              </c:strCache>
            </c:strRef>
          </c:tx>
          <c:spPr>
            <a:ln w="28575" cap="rnd">
              <a:solidFill>
                <a:schemeClr val="tx1"/>
              </a:solidFill>
              <a:round/>
            </a:ln>
            <a:effectLst/>
          </c:spPr>
          <c:marker>
            <c:symbol val="none"/>
          </c:marker>
          <c:val>
            <c:numRef>
              <c:f>Results!$G$3:$G$101</c:f>
              <c:numCache>
                <c:formatCode>General</c:formatCode>
                <c:ptCount val="99"/>
                <c:pt idx="0">
                  <c:v>3.79</c:v>
                </c:pt>
                <c:pt idx="1">
                  <c:v>3.79</c:v>
                </c:pt>
                <c:pt idx="2">
                  <c:v>3.79</c:v>
                </c:pt>
                <c:pt idx="3">
                  <c:v>3.79</c:v>
                </c:pt>
                <c:pt idx="4">
                  <c:v>3.79</c:v>
                </c:pt>
                <c:pt idx="5">
                  <c:v>3.79</c:v>
                </c:pt>
                <c:pt idx="6">
                  <c:v>3.79</c:v>
                </c:pt>
                <c:pt idx="7">
                  <c:v>3.79</c:v>
                </c:pt>
                <c:pt idx="8">
                  <c:v>3.79</c:v>
                </c:pt>
                <c:pt idx="9">
                  <c:v>3.79</c:v>
                </c:pt>
                <c:pt idx="10">
                  <c:v>3.79</c:v>
                </c:pt>
                <c:pt idx="13">
                  <c:v>3.79</c:v>
                </c:pt>
                <c:pt idx="14">
                  <c:v>3.79</c:v>
                </c:pt>
                <c:pt idx="15">
                  <c:v>3.79</c:v>
                </c:pt>
                <c:pt idx="16">
                  <c:v>3.79</c:v>
                </c:pt>
                <c:pt idx="17">
                  <c:v>3.79</c:v>
                </c:pt>
                <c:pt idx="18">
                  <c:v>3.79</c:v>
                </c:pt>
                <c:pt idx="19">
                  <c:v>3.79</c:v>
                </c:pt>
                <c:pt idx="20">
                  <c:v>3.79</c:v>
                </c:pt>
                <c:pt idx="21">
                  <c:v>3.79</c:v>
                </c:pt>
                <c:pt idx="22">
                  <c:v>3.79</c:v>
                </c:pt>
                <c:pt idx="23">
                  <c:v>3.79</c:v>
                </c:pt>
                <c:pt idx="24">
                  <c:v>3.79</c:v>
                </c:pt>
                <c:pt idx="25">
                  <c:v>3.79</c:v>
                </c:pt>
                <c:pt idx="26">
                  <c:v>3.79</c:v>
                </c:pt>
                <c:pt idx="27">
                  <c:v>3.79</c:v>
                </c:pt>
                <c:pt idx="28">
                  <c:v>3.79</c:v>
                </c:pt>
                <c:pt idx="29">
                  <c:v>3.79</c:v>
                </c:pt>
                <c:pt idx="30">
                  <c:v>3.79</c:v>
                </c:pt>
                <c:pt idx="31">
                  <c:v>3.79</c:v>
                </c:pt>
                <c:pt idx="32">
                  <c:v>3.79</c:v>
                </c:pt>
                <c:pt idx="33">
                  <c:v>3.79</c:v>
                </c:pt>
                <c:pt idx="34">
                  <c:v>3.79</c:v>
                </c:pt>
                <c:pt idx="35">
                  <c:v>3.79</c:v>
                </c:pt>
                <c:pt idx="36">
                  <c:v>3.79</c:v>
                </c:pt>
                <c:pt idx="37">
                  <c:v>3.79</c:v>
                </c:pt>
                <c:pt idx="38">
                  <c:v>3.79</c:v>
                </c:pt>
                <c:pt idx="39">
                  <c:v>3.79</c:v>
                </c:pt>
                <c:pt idx="40">
                  <c:v>3.79</c:v>
                </c:pt>
                <c:pt idx="41">
                  <c:v>3.79</c:v>
                </c:pt>
                <c:pt idx="42">
                  <c:v>3.79</c:v>
                </c:pt>
                <c:pt idx="43">
                  <c:v>3.79</c:v>
                </c:pt>
                <c:pt idx="44">
                  <c:v>3.79</c:v>
                </c:pt>
                <c:pt idx="45">
                  <c:v>3.79</c:v>
                </c:pt>
                <c:pt idx="46">
                  <c:v>3.79</c:v>
                </c:pt>
                <c:pt idx="47">
                  <c:v>3.79</c:v>
                </c:pt>
                <c:pt idx="48">
                  <c:v>3.79</c:v>
                </c:pt>
                <c:pt idx="49">
                  <c:v>3.79</c:v>
                </c:pt>
                <c:pt idx="50">
                  <c:v>3.79</c:v>
                </c:pt>
                <c:pt idx="51">
                  <c:v>3.79</c:v>
                </c:pt>
                <c:pt idx="52">
                  <c:v>3.79</c:v>
                </c:pt>
                <c:pt idx="53">
                  <c:v>3.79</c:v>
                </c:pt>
                <c:pt idx="54">
                  <c:v>3.79</c:v>
                </c:pt>
                <c:pt idx="55">
                  <c:v>3.79</c:v>
                </c:pt>
                <c:pt idx="56">
                  <c:v>3.79</c:v>
                </c:pt>
                <c:pt idx="57">
                  <c:v>3.79</c:v>
                </c:pt>
                <c:pt idx="58">
                  <c:v>3.79</c:v>
                </c:pt>
                <c:pt idx="59">
                  <c:v>3.79</c:v>
                </c:pt>
                <c:pt idx="60">
                  <c:v>3.79</c:v>
                </c:pt>
                <c:pt idx="61">
                  <c:v>3.79</c:v>
                </c:pt>
                <c:pt idx="62">
                  <c:v>3.79</c:v>
                </c:pt>
                <c:pt idx="63">
                  <c:v>3.79</c:v>
                </c:pt>
                <c:pt idx="64">
                  <c:v>3.79</c:v>
                </c:pt>
                <c:pt idx="65">
                  <c:v>3.79</c:v>
                </c:pt>
                <c:pt idx="66">
                  <c:v>3.79</c:v>
                </c:pt>
                <c:pt idx="67">
                  <c:v>3.79</c:v>
                </c:pt>
                <c:pt idx="68">
                  <c:v>3.79</c:v>
                </c:pt>
                <c:pt idx="69">
                  <c:v>3.79</c:v>
                </c:pt>
                <c:pt idx="70">
                  <c:v>3.79</c:v>
                </c:pt>
                <c:pt idx="71">
                  <c:v>3.79</c:v>
                </c:pt>
                <c:pt idx="72">
                  <c:v>3.79</c:v>
                </c:pt>
                <c:pt idx="73">
                  <c:v>3.79</c:v>
                </c:pt>
                <c:pt idx="74">
                  <c:v>3.79</c:v>
                </c:pt>
                <c:pt idx="75">
                  <c:v>3.79</c:v>
                </c:pt>
                <c:pt idx="76">
                  <c:v>3.79</c:v>
                </c:pt>
                <c:pt idx="77">
                  <c:v>3.79</c:v>
                </c:pt>
                <c:pt idx="78">
                  <c:v>3.79</c:v>
                </c:pt>
                <c:pt idx="79">
                  <c:v>3.79</c:v>
                </c:pt>
                <c:pt idx="80">
                  <c:v>3.79</c:v>
                </c:pt>
                <c:pt idx="81">
                  <c:v>3.79</c:v>
                </c:pt>
                <c:pt idx="82">
                  <c:v>3.79</c:v>
                </c:pt>
                <c:pt idx="83">
                  <c:v>3.79</c:v>
                </c:pt>
                <c:pt idx="84">
                  <c:v>3.79</c:v>
                </c:pt>
                <c:pt idx="85">
                  <c:v>3.79</c:v>
                </c:pt>
                <c:pt idx="86">
                  <c:v>3.79</c:v>
                </c:pt>
                <c:pt idx="87">
                  <c:v>3.79</c:v>
                </c:pt>
                <c:pt idx="88">
                  <c:v>3.79</c:v>
                </c:pt>
                <c:pt idx="89">
                  <c:v>3.79</c:v>
                </c:pt>
                <c:pt idx="90">
                  <c:v>3.79</c:v>
                </c:pt>
                <c:pt idx="91">
                  <c:v>3.79</c:v>
                </c:pt>
                <c:pt idx="92">
                  <c:v>3.79</c:v>
                </c:pt>
                <c:pt idx="93">
                  <c:v>3.79</c:v>
                </c:pt>
                <c:pt idx="94">
                  <c:v>3.79</c:v>
                </c:pt>
                <c:pt idx="95">
                  <c:v>3.79</c:v>
                </c:pt>
                <c:pt idx="96">
                  <c:v>3.79</c:v>
                </c:pt>
                <c:pt idx="97">
                  <c:v>3.79</c:v>
                </c:pt>
                <c:pt idx="98">
                  <c:v>3.79</c:v>
                </c:pt>
              </c:numCache>
            </c:numRef>
          </c:val>
          <c:smooth val="0"/>
          <c:extLst>
            <c:ext xmlns:c16="http://schemas.microsoft.com/office/drawing/2014/chart" uri="{C3380CC4-5D6E-409C-BE32-E72D297353CC}">
              <c16:uniqueId val="{00000001-5D18-47FA-93F7-2AB89D044415}"/>
            </c:ext>
          </c:extLst>
        </c:ser>
        <c:ser>
          <c:idx val="2"/>
          <c:order val="2"/>
          <c:tx>
            <c:strRef>
              <c:f>Results!$H$2</c:f>
              <c:strCache>
                <c:ptCount val="1"/>
                <c:pt idx="0">
                  <c:v>URL</c:v>
                </c:pt>
              </c:strCache>
            </c:strRef>
          </c:tx>
          <c:spPr>
            <a:ln w="28575" cap="rnd">
              <a:solidFill>
                <a:srgbClr val="D72323"/>
              </a:solidFill>
              <a:prstDash val="dash"/>
              <a:round/>
            </a:ln>
            <a:effectLst/>
          </c:spPr>
          <c:marker>
            <c:symbol val="none"/>
          </c:marker>
          <c:val>
            <c:numRef>
              <c:f>Results!$H$3:$H$101</c:f>
              <c:numCache>
                <c:formatCode>General</c:formatCode>
                <c:ptCount val="99"/>
                <c:pt idx="0">
                  <c:v>12.39</c:v>
                </c:pt>
                <c:pt idx="1">
                  <c:v>12.39</c:v>
                </c:pt>
                <c:pt idx="2">
                  <c:v>12.39</c:v>
                </c:pt>
                <c:pt idx="3">
                  <c:v>12.39</c:v>
                </c:pt>
                <c:pt idx="4">
                  <c:v>12.39</c:v>
                </c:pt>
                <c:pt idx="5">
                  <c:v>12.39</c:v>
                </c:pt>
                <c:pt idx="6">
                  <c:v>12.39</c:v>
                </c:pt>
                <c:pt idx="7">
                  <c:v>12.39</c:v>
                </c:pt>
                <c:pt idx="8">
                  <c:v>12.39</c:v>
                </c:pt>
                <c:pt idx="9">
                  <c:v>12.39</c:v>
                </c:pt>
                <c:pt idx="10">
                  <c:v>12.39</c:v>
                </c:pt>
                <c:pt idx="13">
                  <c:v>12.39</c:v>
                </c:pt>
                <c:pt idx="14">
                  <c:v>12.39</c:v>
                </c:pt>
                <c:pt idx="15">
                  <c:v>12.39</c:v>
                </c:pt>
                <c:pt idx="16">
                  <c:v>12.39</c:v>
                </c:pt>
                <c:pt idx="17">
                  <c:v>12.39</c:v>
                </c:pt>
                <c:pt idx="18">
                  <c:v>12.39</c:v>
                </c:pt>
                <c:pt idx="19">
                  <c:v>12.39</c:v>
                </c:pt>
                <c:pt idx="20">
                  <c:v>12.39</c:v>
                </c:pt>
                <c:pt idx="21">
                  <c:v>12.39</c:v>
                </c:pt>
                <c:pt idx="22">
                  <c:v>12.39</c:v>
                </c:pt>
                <c:pt idx="23">
                  <c:v>12.39</c:v>
                </c:pt>
                <c:pt idx="24">
                  <c:v>12.39</c:v>
                </c:pt>
                <c:pt idx="25">
                  <c:v>12.39</c:v>
                </c:pt>
                <c:pt idx="26">
                  <c:v>12.39</c:v>
                </c:pt>
                <c:pt idx="27">
                  <c:v>12.39</c:v>
                </c:pt>
                <c:pt idx="28">
                  <c:v>12.39</c:v>
                </c:pt>
                <c:pt idx="29">
                  <c:v>12.39</c:v>
                </c:pt>
                <c:pt idx="30">
                  <c:v>12.39</c:v>
                </c:pt>
                <c:pt idx="31">
                  <c:v>12.39</c:v>
                </c:pt>
                <c:pt idx="32">
                  <c:v>12.39</c:v>
                </c:pt>
                <c:pt idx="33">
                  <c:v>12.39</c:v>
                </c:pt>
                <c:pt idx="34">
                  <c:v>12.39</c:v>
                </c:pt>
                <c:pt idx="35">
                  <c:v>12.39</c:v>
                </c:pt>
                <c:pt idx="36">
                  <c:v>12.39</c:v>
                </c:pt>
                <c:pt idx="37">
                  <c:v>12.39</c:v>
                </c:pt>
                <c:pt idx="38">
                  <c:v>12.39</c:v>
                </c:pt>
                <c:pt idx="39">
                  <c:v>12.39</c:v>
                </c:pt>
                <c:pt idx="40">
                  <c:v>12.39</c:v>
                </c:pt>
                <c:pt idx="41">
                  <c:v>12.39</c:v>
                </c:pt>
                <c:pt idx="42">
                  <c:v>12.39</c:v>
                </c:pt>
                <c:pt idx="43">
                  <c:v>12.39</c:v>
                </c:pt>
                <c:pt idx="44">
                  <c:v>12.39</c:v>
                </c:pt>
                <c:pt idx="45">
                  <c:v>12.39</c:v>
                </c:pt>
                <c:pt idx="46">
                  <c:v>12.39</c:v>
                </c:pt>
                <c:pt idx="47">
                  <c:v>12.39</c:v>
                </c:pt>
                <c:pt idx="48">
                  <c:v>12.39</c:v>
                </c:pt>
                <c:pt idx="49">
                  <c:v>12.39</c:v>
                </c:pt>
                <c:pt idx="50">
                  <c:v>12.39</c:v>
                </c:pt>
                <c:pt idx="51">
                  <c:v>12.39</c:v>
                </c:pt>
                <c:pt idx="52">
                  <c:v>12.39</c:v>
                </c:pt>
                <c:pt idx="53">
                  <c:v>12.39</c:v>
                </c:pt>
                <c:pt idx="54">
                  <c:v>12.39</c:v>
                </c:pt>
                <c:pt idx="55">
                  <c:v>12.39</c:v>
                </c:pt>
                <c:pt idx="56">
                  <c:v>12.39</c:v>
                </c:pt>
                <c:pt idx="57">
                  <c:v>12.39</c:v>
                </c:pt>
                <c:pt idx="58">
                  <c:v>12.39</c:v>
                </c:pt>
                <c:pt idx="59">
                  <c:v>12.39</c:v>
                </c:pt>
                <c:pt idx="60">
                  <c:v>12.39</c:v>
                </c:pt>
                <c:pt idx="61">
                  <c:v>12.39</c:v>
                </c:pt>
                <c:pt idx="62">
                  <c:v>12.39</c:v>
                </c:pt>
                <c:pt idx="63">
                  <c:v>12.39</c:v>
                </c:pt>
                <c:pt idx="64">
                  <c:v>12.39</c:v>
                </c:pt>
                <c:pt idx="65">
                  <c:v>12.39</c:v>
                </c:pt>
                <c:pt idx="66">
                  <c:v>12.39</c:v>
                </c:pt>
                <c:pt idx="67">
                  <c:v>12.39</c:v>
                </c:pt>
                <c:pt idx="68">
                  <c:v>12.39</c:v>
                </c:pt>
                <c:pt idx="69">
                  <c:v>12.39</c:v>
                </c:pt>
                <c:pt idx="70">
                  <c:v>12.39</c:v>
                </c:pt>
                <c:pt idx="71">
                  <c:v>12.39</c:v>
                </c:pt>
                <c:pt idx="72">
                  <c:v>12.39</c:v>
                </c:pt>
                <c:pt idx="73">
                  <c:v>12.39</c:v>
                </c:pt>
                <c:pt idx="74">
                  <c:v>12.39</c:v>
                </c:pt>
                <c:pt idx="75">
                  <c:v>12.39</c:v>
                </c:pt>
                <c:pt idx="76">
                  <c:v>12.39</c:v>
                </c:pt>
                <c:pt idx="77">
                  <c:v>12.39</c:v>
                </c:pt>
                <c:pt idx="78">
                  <c:v>12.39</c:v>
                </c:pt>
                <c:pt idx="79">
                  <c:v>12.39</c:v>
                </c:pt>
                <c:pt idx="80">
                  <c:v>12.39</c:v>
                </c:pt>
                <c:pt idx="81">
                  <c:v>12.39</c:v>
                </c:pt>
                <c:pt idx="82">
                  <c:v>12.39</c:v>
                </c:pt>
                <c:pt idx="83">
                  <c:v>12.39</c:v>
                </c:pt>
                <c:pt idx="84">
                  <c:v>12.39</c:v>
                </c:pt>
                <c:pt idx="85">
                  <c:v>12.39</c:v>
                </c:pt>
                <c:pt idx="86">
                  <c:v>12.39</c:v>
                </c:pt>
                <c:pt idx="87">
                  <c:v>12.39</c:v>
                </c:pt>
                <c:pt idx="88">
                  <c:v>12.39</c:v>
                </c:pt>
                <c:pt idx="89">
                  <c:v>12.39</c:v>
                </c:pt>
                <c:pt idx="90">
                  <c:v>12.39</c:v>
                </c:pt>
                <c:pt idx="91">
                  <c:v>12.39</c:v>
                </c:pt>
                <c:pt idx="92">
                  <c:v>12.39</c:v>
                </c:pt>
                <c:pt idx="93">
                  <c:v>12.39</c:v>
                </c:pt>
                <c:pt idx="94">
                  <c:v>12.39</c:v>
                </c:pt>
                <c:pt idx="95">
                  <c:v>12.39</c:v>
                </c:pt>
                <c:pt idx="96">
                  <c:v>12.39</c:v>
                </c:pt>
                <c:pt idx="97">
                  <c:v>12.39</c:v>
                </c:pt>
                <c:pt idx="98">
                  <c:v>12.39</c:v>
                </c:pt>
              </c:numCache>
            </c:numRef>
          </c:val>
          <c:smooth val="0"/>
          <c:extLst>
            <c:ext xmlns:c16="http://schemas.microsoft.com/office/drawing/2014/chart" uri="{C3380CC4-5D6E-409C-BE32-E72D297353CC}">
              <c16:uniqueId val="{00000002-5D18-47FA-93F7-2AB89D044415}"/>
            </c:ext>
          </c:extLst>
        </c:ser>
        <c:dLbls>
          <c:showLegendKey val="0"/>
          <c:showVal val="0"/>
          <c:showCatName val="0"/>
          <c:showSerName val="0"/>
          <c:showPercent val="0"/>
          <c:showBubbleSize val="0"/>
        </c:dLbls>
        <c:marker val="1"/>
        <c:smooth val="0"/>
        <c:axId val="2024086608"/>
        <c:axId val="2024084208"/>
      </c:lineChart>
      <c:catAx>
        <c:axId val="2024086608"/>
        <c:scaling>
          <c:orientation val="minMax"/>
        </c:scaling>
        <c:delete val="1"/>
        <c:axPos val="b"/>
        <c:majorTickMark val="none"/>
        <c:minorTickMark val="none"/>
        <c:tickLblPos val="nextTo"/>
        <c:crossAx val="2024084208"/>
        <c:crosses val="autoZero"/>
        <c:auto val="1"/>
        <c:lblAlgn val="ctr"/>
        <c:lblOffset val="100"/>
        <c:noMultiLvlLbl val="0"/>
      </c:catAx>
      <c:valAx>
        <c:axId val="20240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086608"/>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18</xdr:col>
      <xdr:colOff>0</xdr:colOff>
      <xdr:row>1</xdr:row>
      <xdr:rowOff>0</xdr:rowOff>
    </xdr:from>
    <xdr:to>
      <xdr:col>22</xdr:col>
      <xdr:colOff>197908</xdr:colOff>
      <xdr:row>24</xdr:row>
      <xdr:rowOff>153670</xdr:rowOff>
    </xdr:to>
    <xdr:pic>
      <xdr:nvPicPr>
        <xdr:cNvPr id="2" name="image1.jpg">
          <a:extLst>
            <a:ext uri="{FF2B5EF4-FFF2-40B4-BE49-F238E27FC236}">
              <a16:creationId xmlns:a16="http://schemas.microsoft.com/office/drawing/2014/main" id="{902BDF45-5796-4C67-98E9-5C82FD5EA2A3}"/>
            </a:ext>
          </a:extLst>
        </xdr:cNvPr>
        <xdr:cNvPicPr preferRelativeResize="0"/>
      </xdr:nvPicPr>
      <xdr:blipFill>
        <a:blip xmlns:r="http://schemas.openxmlformats.org/officeDocument/2006/relationships" r:embed="rId1" cstate="print"/>
        <a:stretch>
          <a:fillRect/>
        </a:stretch>
      </xdr:blipFill>
      <xdr:spPr>
        <a:xfrm>
          <a:off x="10972800" y="314325"/>
          <a:ext cx="2636308" cy="40970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19</xdr:row>
      <xdr:rowOff>0</xdr:rowOff>
    </xdr:from>
    <xdr:to>
      <xdr:col>24</xdr:col>
      <xdr:colOff>0</xdr:colOff>
      <xdr:row>31</xdr:row>
      <xdr:rowOff>0</xdr:rowOff>
    </xdr:to>
    <xdr:graphicFrame macro="">
      <xdr:nvGraphicFramePr>
        <xdr:cNvPr id="4" name="Chart 3">
          <a:extLst>
            <a:ext uri="{FF2B5EF4-FFF2-40B4-BE49-F238E27FC236}">
              <a16:creationId xmlns:a16="http://schemas.microsoft.com/office/drawing/2014/main" id="{5279A7CB-20F6-AA58-B646-05D43C3A6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31</xdr:row>
      <xdr:rowOff>0</xdr:rowOff>
    </xdr:from>
    <xdr:to>
      <xdr:col>24</xdr:col>
      <xdr:colOff>0</xdr:colOff>
      <xdr:row>41</xdr:row>
      <xdr:rowOff>0</xdr:rowOff>
    </xdr:to>
    <xdr:graphicFrame macro="">
      <xdr:nvGraphicFramePr>
        <xdr:cNvPr id="6" name="Chart 5">
          <a:extLst>
            <a:ext uri="{FF2B5EF4-FFF2-40B4-BE49-F238E27FC236}">
              <a16:creationId xmlns:a16="http://schemas.microsoft.com/office/drawing/2014/main" id="{6EFAC432-FE3B-CA3F-30BB-B64C27083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A41067-8D00-4B36-8562-5E1972C5DAE2}" autoFormatId="16" applyNumberFormats="0" applyBorderFormats="0" applyFontFormats="0" applyPatternFormats="0" applyAlignmentFormats="0" applyWidthHeightFormats="0">
  <queryTableRefresh nextId="9" unboundColumnsRight="6">
    <queryTableFields count="8">
      <queryTableField id="1" name="MonthYear" tableColumnId="1"/>
      <queryTableField id="2" name="Rate"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C1EDB092-B2B1-495A-AE5B-A10D09BBA11B}" autoFormatId="16" applyNumberFormats="0" applyBorderFormats="0" applyFontFormats="0" applyPatternFormats="0" applyAlignmentFormats="0" applyWidthHeightFormats="0">
  <queryTableRefresh nextId="9" unboundColumnsRight="6">
    <queryTableFields count="8">
      <queryTableField id="1" name="MonthYear" tableColumnId="1"/>
      <queryTableField id="2" name="Rate"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9ADDFAA7-4B1E-43F7-A078-D9704084F261}" autoFormatId="16" applyNumberFormats="0" applyBorderFormats="0" applyFontFormats="0" applyPatternFormats="0" applyAlignmentFormats="0" applyWidthHeightFormats="0">
  <queryTableRefresh nextId="9" unboundColumnsRight="6">
    <queryTableFields count="8">
      <queryTableField id="1" name="MonthYear" tableColumnId="1"/>
      <queryTableField id="2" name="Rate"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2656C9E9-3A84-4D18-916F-5604F4885E20}" autoFormatId="16" applyNumberFormats="0" applyBorderFormats="0" applyFontFormats="0" applyPatternFormats="0" applyAlignmentFormats="0" applyWidthHeightFormats="0">
  <queryTableRefresh nextId="9" unboundColumnsRight="6">
    <queryTableFields count="8">
      <queryTableField id="1" name="MonthYear" tableColumnId="1"/>
      <queryTableField id="2" name="Rate"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F55F6AA9-A570-4B88-8034-1E11B3083212}" autoFormatId="16" applyNumberFormats="0" applyBorderFormats="0" applyFontFormats="0" applyPatternFormats="0" applyAlignmentFormats="0" applyWidthHeightFormats="0">
  <queryTableRefresh nextId="9" unboundColumnsRight="6">
    <queryTableFields count="8">
      <queryTableField id="1" name="MonthYear" tableColumnId="1"/>
      <queryTableField id="2" name="Rate"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6" xr16:uid="{9E8C9BFB-FE2F-453C-89A6-DD2AF17C78CF}" autoFormatId="16" applyNumberFormats="0" applyBorderFormats="0" applyFontFormats="0" applyPatternFormats="0" applyAlignmentFormats="0" applyWidthHeightFormats="0">
  <queryTableRefresh nextId="9" unboundColumnsRight="6">
    <queryTableFields count="8">
      <queryTableField id="1" name="MonthYear" tableColumnId="1"/>
      <queryTableField id="2" name="Rate" tableColumnId="2"/>
      <queryTableField id="3" dataBound="0" tableColumnId="3"/>
      <queryTableField id="4" dataBound="0" tableColumnId="4"/>
      <queryTableField id="5" dataBound="0" tableColumnId="5"/>
      <queryTableField id="6" dataBound="0" tableColumnId="6"/>
      <queryTableField id="7" dataBound="0" tableColumnId="7"/>
      <queryTableField id="8" dataBound="0"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7" xr16:uid="{C001CB15-6886-4FBF-8335-505B7F7CA2CF}" autoFormatId="16" applyNumberFormats="0" applyBorderFormats="0" applyFontFormats="0" applyPatternFormats="0" applyAlignmentFormats="0" applyWidthHeightFormats="0">
  <queryTableRefresh nextId="9">
    <queryTableFields count="8">
      <queryTableField id="1" name="Hospital" tableColumnId="1"/>
      <queryTableField id="2" name="Stage" tableColumnId="2"/>
      <queryTableField id="3" name="Month" tableColumnId="3"/>
      <queryTableField id="4" name="Year" tableColumnId="4"/>
      <queryTableField id="5" name="MonthYear" tableColumnId="5"/>
      <queryTableField id="6" name="Births" tableColumnId="6"/>
      <queryTableField id="7" name="Deaths" tableColumnId="7"/>
      <queryTableField id="8" name="Rate" tableColumnId="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B70F988-4716-4B27-BFB6-0E962D781EAC}" name="impact_of_handwashing_death_to_birth_rates" displayName="impact_of_handwashing_death_to_birth_rates" ref="A2:H101" tableType="queryTable" totalsRowShown="0" headerRowDxfId="46" tableBorderDxfId="45">
  <autoFilter ref="A2:H101" xr:uid="{FB70F988-4716-4B27-BFB6-0E962D781EAC}"/>
  <tableColumns count="8">
    <tableColumn id="1" xr3:uid="{92F37365-470F-4341-86B8-AAE7B0D5A8A6}" uniqueName="1" name="MonthYear" queryTableFieldId="1" dataDxfId="44"/>
    <tableColumn id="2" xr3:uid="{22E1D7CE-3993-4F76-A907-E3A641E6EC20}" uniqueName="2" name="Rate" queryTableFieldId="2"/>
    <tableColumn id="3" xr3:uid="{FBD27007-1AAD-494C-93FD-33023DA6CBD8}" uniqueName="3" name="Mean" queryTableFieldId="3"/>
    <tableColumn id="4" xr3:uid="{88E1F898-ACF6-44D6-9883-7F35FD8345BD}" uniqueName="4" name="UPL" queryTableFieldId="4"/>
    <tableColumn id="5" xr3:uid="{4E6C306D-620E-459B-ABA1-B61BD5526120}" uniqueName="5" name="LPL" queryTableFieldId="5"/>
    <tableColumn id="6" xr3:uid="{559AB03B-2516-449D-B795-A31C902B0A86}" uniqueName="6" name="mR" queryTableFieldId="6" dataDxfId="43"/>
    <tableColumn id="7" xr3:uid="{B1DF0D76-B337-4F41-BC9D-21AEC631435C}" uniqueName="7" name="Ave. mR" queryTableFieldId="7"/>
    <tableColumn id="8" xr3:uid="{D7A374F2-2C84-47FD-B498-A22E33CA1AA9}" uniqueName="8" name="URL" queryTableFieldId="8"/>
  </tableColumns>
  <tableStyleInfo name="The Virus of Variation"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F74C8D1-5FE6-446F-B81E-4F8ABCFCA9E1}" name="impact_of_handwashing_death_to_birth_rates10" displayName="impact_of_handwashing_death_to_birth_rates10" ref="A2:H101" tableType="queryTable" totalsRowShown="0" headerRowDxfId="42" tableBorderDxfId="41">
  <autoFilter ref="A2:H101" xr:uid="{FB70F988-4716-4B27-BFB6-0E962D781EAC}"/>
  <tableColumns count="8">
    <tableColumn id="1" xr3:uid="{A2F5AF30-6D1F-4A3D-BC98-A43ACA30FDC2}" uniqueName="1" name="MonthYear" queryTableFieldId="1" dataDxfId="40"/>
    <tableColumn id="2" xr3:uid="{86188547-41C7-4113-8FCB-E2997C15D842}" uniqueName="2" name="Rate" queryTableFieldId="2"/>
    <tableColumn id="3" xr3:uid="{9F104C8B-43F7-4752-94BF-1713B07B957A}" uniqueName="3" name="Mean" queryTableFieldId="3"/>
    <tableColumn id="4" xr3:uid="{27912C51-59FE-4402-9451-EAE97E8BA9C1}" uniqueName="4" name="UPL" queryTableFieldId="4"/>
    <tableColumn id="5" xr3:uid="{11D046AD-75F3-4D0E-B687-6F299E1EE01A}" uniqueName="5" name="LPL" queryTableFieldId="5"/>
    <tableColumn id="6" xr3:uid="{5AA5505A-0153-4F9E-A622-FCB61BC8519F}" uniqueName="6" name="mR" queryTableFieldId="6" dataDxfId="39">
      <calculatedColumnFormula>ROUND(ABS(B2-B3),1)</calculatedColumnFormula>
    </tableColumn>
    <tableColumn id="7" xr3:uid="{2565A2B8-18F0-41A4-86EC-B20777A82366}" uniqueName="7" name="Ave. mR" queryTableFieldId="7" dataDxfId="38"/>
    <tableColumn id="8" xr3:uid="{141E7607-ED50-4425-B00E-65FEBA6A4139}" uniqueName="8" name="URL" queryTableFieldId="8"/>
  </tableColumns>
  <tableStyleInfo name="The Virus of Variation"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651C9A4-DC62-4199-A0F4-DB437A87F100}" name="impact_of_handwashing_death_to_birth_rates1011" displayName="impact_of_handwashing_death_to_birth_rates1011" ref="A2:H101" tableType="queryTable" totalsRowShown="0" headerRowDxfId="37" tableBorderDxfId="36">
  <autoFilter ref="A2:H101" xr:uid="{FB70F988-4716-4B27-BFB6-0E962D781EAC}"/>
  <tableColumns count="8">
    <tableColumn id="1" xr3:uid="{06827A50-33F9-414C-BAC6-472C6A28F872}" uniqueName="1" name="MonthYear" queryTableFieldId="1" dataDxfId="35"/>
    <tableColumn id="2" xr3:uid="{D3CDA2C2-DECA-4E57-B09C-D5890EFEE2A4}" uniqueName="2" name="Rate" queryTableFieldId="2"/>
    <tableColumn id="3" xr3:uid="{FC1C18FC-A39A-4D85-9EF1-CAFE4327AE75}" uniqueName="3" name="Mean" queryTableFieldId="3" dataDxfId="34"/>
    <tableColumn id="4" xr3:uid="{728359D3-2C1C-4CF9-80DE-113FFA0FAEB1}" uniqueName="4" name="UPL" queryTableFieldId="4"/>
    <tableColumn id="5" xr3:uid="{F0484F13-549E-40A5-AF27-33AAAF13040D}" uniqueName="5" name="LPL" queryTableFieldId="5"/>
    <tableColumn id="6" xr3:uid="{7AC33F8B-A2B4-4689-A4E7-D6805DA04B8A}" uniqueName="6" name="mR" queryTableFieldId="6" dataDxfId="33">
      <calculatedColumnFormula>ROUND(AVERAGE(B2:B100),1)</calculatedColumnFormula>
    </tableColumn>
    <tableColumn id="7" xr3:uid="{DB008ACC-EEE9-4394-B7E6-1DF9130D622B}" uniqueName="7" name="Ave. mR" queryTableFieldId="7" dataDxfId="32">
      <calculatedColumnFormula>ROUND(AVERAGE($F$4:$F$101),2)</calculatedColumnFormula>
    </tableColumn>
    <tableColumn id="8" xr3:uid="{40198C70-EC02-404F-B2A7-9D41D04012F9}" uniqueName="8" name="URL" queryTableFieldId="8"/>
  </tableColumns>
  <tableStyleInfo name="The Virus of Variation"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F8A0CC5-6466-479B-A5DC-A2F4911E7D24}" name="impact_of_handwashing_death_to_birth_rates101112" displayName="impact_of_handwashing_death_to_birth_rates101112" ref="A2:H101" tableType="queryTable" totalsRowShown="0" headerRowDxfId="31" tableBorderDxfId="30">
  <autoFilter ref="A2:H101" xr:uid="{FB70F988-4716-4B27-BFB6-0E962D781EAC}"/>
  <tableColumns count="8">
    <tableColumn id="1" xr3:uid="{E2DB8CBE-D867-4C83-8832-F94E1335CC40}" uniqueName="1" name="MonthYear" queryTableFieldId="1" dataDxfId="29"/>
    <tableColumn id="2" xr3:uid="{1F3056B9-3477-4734-93F5-85946AF4F338}" uniqueName="2" name="Rate" queryTableFieldId="2"/>
    <tableColumn id="3" xr3:uid="{99D60CCC-76DB-45E4-BF05-C554C6B8CAC7}" uniqueName="3" name="Mean" queryTableFieldId="3" dataDxfId="28">
      <calculatedColumnFormula>ROUND(AVERAGE($B$3:$B$101), 2)</calculatedColumnFormula>
    </tableColumn>
    <tableColumn id="4" xr3:uid="{233E206F-1067-4342-919A-DB89ADEFED0A}" uniqueName="4" name="UPL" queryTableFieldId="4"/>
    <tableColumn id="5" xr3:uid="{3429162C-8D1B-4BE8-A220-A9FA8B01BC52}" uniqueName="5" name="LPL" queryTableFieldId="5" dataDxfId="27"/>
    <tableColumn id="6" xr3:uid="{7916631D-BABC-4C05-9D44-D1F47B224EF2}" uniqueName="6" name="mR" queryTableFieldId="6" dataDxfId="26">
      <calculatedColumnFormula>ROUND(AVERAGE(B2:B100),1)</calculatedColumnFormula>
    </tableColumn>
    <tableColumn id="7" xr3:uid="{1AC38B87-6282-4868-B08D-055AEC3FFDAF}" uniqueName="7" name="Ave. mR" queryTableFieldId="7" dataDxfId="25">
      <calculatedColumnFormula>ROUND(AVERAGE($F$4:$F$101),2)</calculatedColumnFormula>
    </tableColumn>
    <tableColumn id="8" xr3:uid="{BDA58147-FB80-4B3E-929E-3FC8CC02DF92}" uniqueName="8" name="URL" queryTableFieldId="8"/>
  </tableColumns>
  <tableStyleInfo name="The Virus of Variation"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75866BC-D534-41D1-9A8E-22FA8A1904C7}" name="impact_of_handwashing_death_to_birth_rates10111213" displayName="impact_of_handwashing_death_to_birth_rates10111213" ref="A2:H101" tableType="queryTable" totalsRowShown="0" headerRowDxfId="24" tableBorderDxfId="23">
  <autoFilter ref="A2:H101" xr:uid="{FB70F988-4716-4B27-BFB6-0E962D781EAC}"/>
  <tableColumns count="8">
    <tableColumn id="1" xr3:uid="{2F2A4B8E-AE66-4A63-95EF-DEF6BE9A76E1}" uniqueName="1" name="MonthYear" queryTableFieldId="1" dataDxfId="22"/>
    <tableColumn id="2" xr3:uid="{130102E5-5C95-4B55-B657-65DD10D99CF2}" uniqueName="2" name="Rate" queryTableFieldId="2"/>
    <tableColumn id="3" xr3:uid="{FDBE8C9B-749D-44A8-A2B9-F5CBDF661906}" uniqueName="3" name="Mean" queryTableFieldId="3" dataDxfId="21">
      <calculatedColumnFormula>ROUND(AVERAGE($B$3:$B$101), 2)</calculatedColumnFormula>
    </tableColumn>
    <tableColumn id="4" xr3:uid="{8B9E17F7-2831-4ADA-8996-C7D503A16C19}" uniqueName="4" name="UPL" queryTableFieldId="4" dataDxfId="20">
      <calculatedColumnFormula>ROUND(C3+(2.66*G3),2)</calculatedColumnFormula>
    </tableColumn>
    <tableColumn id="5" xr3:uid="{CA927EDA-6E1E-4FE5-9C4F-92E4CCF2F98F}" uniqueName="5" name="LPL" queryTableFieldId="5" dataDxfId="19">
      <calculatedColumnFormula>MAX(0,ROUND(C3-(2.66*G3),2))</calculatedColumnFormula>
    </tableColumn>
    <tableColumn id="6" xr3:uid="{8BDC7DB1-1D89-4002-AD2D-5A09A6E36C63}" uniqueName="6" name="mR" queryTableFieldId="6" dataDxfId="18">
      <calculatedColumnFormula>ROUND(AVERAGE(B2:B100),1)</calculatedColumnFormula>
    </tableColumn>
    <tableColumn id="7" xr3:uid="{E54FF7FA-3FF6-4DCA-B810-4EC67DA6B0CC}" uniqueName="7" name="Ave. mR" queryTableFieldId="7" dataDxfId="17">
      <calculatedColumnFormula>ROUND(AVERAGE($F$4:$F$101),2)</calculatedColumnFormula>
    </tableColumn>
    <tableColumn id="8" xr3:uid="{B7D56B3F-449C-4E57-B830-5893A381359B}" uniqueName="8" name="URL" queryTableFieldId="8" dataDxfId="16">
      <calculatedColumnFormula>ROUND(3.268*G3,1)</calculatedColumnFormula>
    </tableColumn>
  </tableColumns>
  <tableStyleInfo name="The Virus of Variation"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9FCA355-70DA-481B-9CD4-8FC431F10C4B}" name="impact_of_handwashing_death_to_birth_rates1011121314" displayName="impact_of_handwashing_death_to_birth_rates1011121314" ref="A2:H101" tableType="queryTable" totalsRowShown="0" headerRowDxfId="15" tableBorderDxfId="14">
  <autoFilter ref="A2:H101" xr:uid="{FB70F988-4716-4B27-BFB6-0E962D781EAC}"/>
  <tableColumns count="8">
    <tableColumn id="1" xr3:uid="{E6E8F88F-C68B-4EDA-A89F-76CA2A6BA61D}" uniqueName="1" name="MonthYear" queryTableFieldId="1" dataDxfId="13"/>
    <tableColumn id="2" xr3:uid="{9E9F6E30-8B7F-4DF6-989C-56305747C04F}" uniqueName="2" name="Rate" queryTableFieldId="2"/>
    <tableColumn id="3" xr3:uid="{178E766E-7F88-43C4-BFEA-CF773F538AA3}" uniqueName="3" name="Mean" queryTableFieldId="3" dataDxfId="12">
      <calculatedColumnFormula>ROUND(AVERAGE($B$3:$B$101), 2)</calculatedColumnFormula>
    </tableColumn>
    <tableColumn id="4" xr3:uid="{CF3484FD-F3EB-45E6-8475-472BBEDEB542}" uniqueName="4" name="UPL" queryTableFieldId="4" dataDxfId="11">
      <calculatedColumnFormula>ROUND(C3+(2.66*G3),2)</calculatedColumnFormula>
    </tableColumn>
    <tableColumn id="5" xr3:uid="{55E80605-57F2-4B2F-B2A7-7294A8E678EE}" uniqueName="5" name="LPL" queryTableFieldId="5" dataDxfId="10">
      <calculatedColumnFormula>MAX(0,ROUND(C3-(2.66*G3),2))</calculatedColumnFormula>
    </tableColumn>
    <tableColumn id="6" xr3:uid="{868D4181-1EC6-4050-9DFC-C3DD180866E4}" uniqueName="6" name="mR" queryTableFieldId="6" dataDxfId="9">
      <calculatedColumnFormula>ROUND(AVERAGE(B2:B100),1)</calculatedColumnFormula>
    </tableColumn>
    <tableColumn id="7" xr3:uid="{527549D3-93B6-4124-AFFD-84AE823B0E02}" uniqueName="7" name="Ave. mR" queryTableFieldId="7" dataDxfId="8">
      <calculatedColumnFormula>ROUND(AVERAGE($F$4:$F$101),2)</calculatedColumnFormula>
    </tableColumn>
    <tableColumn id="8" xr3:uid="{526BC20B-B7F1-4407-A4A0-2839F0C6CED1}" uniqueName="8" name="URL" queryTableFieldId="8" dataDxfId="7">
      <calculatedColumnFormula>ROUND(3.268*G3,1)</calculatedColumnFormula>
    </tableColumn>
  </tableColumns>
  <tableStyleInfo name="The Virus of Variation"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CC6B900-3CC7-4562-95BF-7EE40F8B6833}" name="impact_of_handwashing_death_to_birth_rates__7" displayName="impact_of_handwashing_death_to_birth_rates__7" ref="A1:H100" tableType="queryTable" totalsRowShown="0">
  <autoFilter ref="A1:H100" xr:uid="{0CC6B900-3CC7-4562-95BF-7EE40F8B6833}"/>
  <tableColumns count="8">
    <tableColumn id="1" xr3:uid="{A9B21B8D-81CB-4C6E-9732-410B77A9D0F5}" uniqueName="1" name="Hospital" queryTableFieldId="1" dataDxfId="6"/>
    <tableColumn id="2" xr3:uid="{222DD84E-F469-43D6-8BA5-B87AD0F4ADE6}" uniqueName="2" name="Stage" queryTableFieldId="2" dataDxfId="5"/>
    <tableColumn id="3" xr3:uid="{EC413655-E637-445A-B2A1-365FBDCFA176}" uniqueName="3" name="Month" queryTableFieldId="3" dataDxfId="4"/>
    <tableColumn id="4" xr3:uid="{FAEB26AC-9F48-49DF-BC7E-411C3A7AE0BF}" uniqueName="4" name="Year" queryTableFieldId="4"/>
    <tableColumn id="5" xr3:uid="{6D36786C-21CF-4D4A-B97F-9ADFC25B50AD}" uniqueName="5" name="MonthYear" queryTableFieldId="5" dataDxfId="3"/>
    <tableColumn id="6" xr3:uid="{577AB568-3626-4B2B-83FF-506DF56CAF62}" uniqueName="6" name="Births" queryTableFieldId="6"/>
    <tableColumn id="7" xr3:uid="{1F304E99-CF71-41A1-8134-057A2B427533}" uniqueName="7" name="Deaths" queryTableFieldId="7"/>
    <tableColumn id="8" xr3:uid="{55BC473D-F3EF-4C46-A0A3-A3F1BB851E3F}" uniqueName="8" name="Rate" queryTableFieldId="8"/>
  </tableColumns>
  <tableStyleInfo name="The Virus of Variation"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mailto:James.Lehner@gmail.com" TargetMode="External"/><Relationship Id="rId2" Type="http://schemas.openxmlformats.org/officeDocument/2006/relationships/hyperlink" Target="https://www.brokenquality.com/book" TargetMode="External"/><Relationship Id="rId1" Type="http://schemas.openxmlformats.org/officeDocument/2006/relationships/hyperlink" Target="https://github.com/jimlehner/virus-of-variation-book" TargetMode="External"/><Relationship Id="rId5" Type="http://schemas.openxmlformats.org/officeDocument/2006/relationships/drawing" Target="../drawings/drawing1.xml"/><Relationship Id="rId4" Type="http://schemas.openxmlformats.org/officeDocument/2006/relationships/hyperlink" Target="mailto:QualityIsBroken@gmail.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4D46-A188-461A-93A3-95949C72A03E}">
  <dimension ref="A1:W44"/>
  <sheetViews>
    <sheetView showGridLines="0" tabSelected="1" workbookViewId="0">
      <selection activeCell="T41" sqref="T41"/>
    </sheetView>
  </sheetViews>
  <sheetFormatPr defaultRowHeight="13.2" x14ac:dyDescent="0.25"/>
  <sheetData>
    <row r="1" spans="1:17" ht="24.6" x14ac:dyDescent="0.55000000000000004">
      <c r="A1" s="13" t="s">
        <v>0</v>
      </c>
      <c r="B1" s="14"/>
      <c r="C1" s="14"/>
      <c r="D1" s="14"/>
      <c r="E1" s="14"/>
      <c r="F1" s="14"/>
      <c r="G1" s="14"/>
      <c r="H1" s="14"/>
      <c r="I1" s="14"/>
      <c r="J1" s="14"/>
      <c r="K1" s="14"/>
      <c r="L1" s="14"/>
      <c r="M1" s="14"/>
      <c r="N1" s="14"/>
      <c r="O1" s="14"/>
      <c r="P1" s="14"/>
      <c r="Q1" s="15"/>
    </row>
    <row r="2" spans="1:17" ht="13.2" customHeight="1" x14ac:dyDescent="0.25">
      <c r="A2" s="16" t="s">
        <v>155</v>
      </c>
      <c r="B2" s="17"/>
      <c r="C2" s="17"/>
      <c r="D2" s="17"/>
      <c r="E2" s="17"/>
      <c r="F2" s="17"/>
      <c r="G2" s="17"/>
      <c r="H2" s="17"/>
      <c r="I2" s="17"/>
      <c r="J2" s="17"/>
      <c r="K2" s="17"/>
      <c r="L2" s="17"/>
      <c r="M2" s="17"/>
      <c r="N2" s="17"/>
      <c r="O2" s="17"/>
      <c r="P2" s="17"/>
      <c r="Q2" s="18"/>
    </row>
    <row r="3" spans="1:17" ht="13.2" customHeight="1" x14ac:dyDescent="0.25">
      <c r="A3" s="19"/>
      <c r="B3" s="20"/>
      <c r="C3" s="20"/>
      <c r="D3" s="20"/>
      <c r="E3" s="20"/>
      <c r="F3" s="20"/>
      <c r="G3" s="20"/>
      <c r="H3" s="20"/>
      <c r="I3" s="20"/>
      <c r="J3" s="20"/>
      <c r="K3" s="20"/>
      <c r="L3" s="20"/>
      <c r="M3" s="20"/>
      <c r="N3" s="20"/>
      <c r="O3" s="20"/>
      <c r="P3" s="20"/>
      <c r="Q3" s="21"/>
    </row>
    <row r="4" spans="1:17" ht="13.2" customHeight="1" x14ac:dyDescent="0.25">
      <c r="A4" s="19"/>
      <c r="B4" s="20"/>
      <c r="C4" s="20"/>
      <c r="D4" s="20"/>
      <c r="E4" s="20"/>
      <c r="F4" s="20"/>
      <c r="G4" s="20"/>
      <c r="H4" s="20"/>
      <c r="I4" s="20"/>
      <c r="J4" s="20"/>
      <c r="K4" s="20"/>
      <c r="L4" s="20"/>
      <c r="M4" s="20"/>
      <c r="N4" s="20"/>
      <c r="O4" s="20"/>
      <c r="P4" s="20"/>
      <c r="Q4" s="21"/>
    </row>
    <row r="5" spans="1:17" ht="13.2" customHeight="1" x14ac:dyDescent="0.25">
      <c r="A5" s="19"/>
      <c r="B5" s="20"/>
      <c r="C5" s="20"/>
      <c r="D5" s="20"/>
      <c r="E5" s="20"/>
      <c r="F5" s="20"/>
      <c r="G5" s="20"/>
      <c r="H5" s="20"/>
      <c r="I5" s="20"/>
      <c r="J5" s="20"/>
      <c r="K5" s="20"/>
      <c r="L5" s="20"/>
      <c r="M5" s="20"/>
      <c r="N5" s="20"/>
      <c r="O5" s="20"/>
      <c r="P5" s="20"/>
      <c r="Q5" s="21"/>
    </row>
    <row r="6" spans="1:17" ht="13.2" customHeight="1" x14ac:dyDescent="0.25">
      <c r="A6" s="19"/>
      <c r="B6" s="20"/>
      <c r="C6" s="20"/>
      <c r="D6" s="20"/>
      <c r="E6" s="20"/>
      <c r="F6" s="20"/>
      <c r="G6" s="20"/>
      <c r="H6" s="20"/>
      <c r="I6" s="20"/>
      <c r="J6" s="20"/>
      <c r="K6" s="20"/>
      <c r="L6" s="20"/>
      <c r="M6" s="20"/>
      <c r="N6" s="20"/>
      <c r="O6" s="20"/>
      <c r="P6" s="20"/>
      <c r="Q6" s="21"/>
    </row>
    <row r="7" spans="1:17" ht="13.2" customHeight="1" x14ac:dyDescent="0.25">
      <c r="A7" s="19"/>
      <c r="B7" s="20"/>
      <c r="C7" s="20"/>
      <c r="D7" s="20"/>
      <c r="E7" s="20"/>
      <c r="F7" s="20"/>
      <c r="G7" s="20"/>
      <c r="H7" s="20"/>
      <c r="I7" s="20"/>
      <c r="J7" s="20"/>
      <c r="K7" s="20"/>
      <c r="L7" s="20"/>
      <c r="M7" s="20"/>
      <c r="N7" s="20"/>
      <c r="O7" s="20"/>
      <c r="P7" s="20"/>
      <c r="Q7" s="21"/>
    </row>
    <row r="8" spans="1:17" ht="13.2" customHeight="1" x14ac:dyDescent="0.25">
      <c r="A8" s="19"/>
      <c r="B8" s="20"/>
      <c r="C8" s="20"/>
      <c r="D8" s="20"/>
      <c r="E8" s="20"/>
      <c r="F8" s="20"/>
      <c r="G8" s="20"/>
      <c r="H8" s="20"/>
      <c r="I8" s="20"/>
      <c r="J8" s="20"/>
      <c r="K8" s="20"/>
      <c r="L8" s="20"/>
      <c r="M8" s="20"/>
      <c r="N8" s="20"/>
      <c r="O8" s="20"/>
      <c r="P8" s="20"/>
      <c r="Q8" s="21"/>
    </row>
    <row r="9" spans="1:17" ht="13.2" customHeight="1" x14ac:dyDescent="0.25">
      <c r="A9" s="19"/>
      <c r="B9" s="20"/>
      <c r="C9" s="20"/>
      <c r="D9" s="20"/>
      <c r="E9" s="20"/>
      <c r="F9" s="20"/>
      <c r="G9" s="20"/>
      <c r="H9" s="20"/>
      <c r="I9" s="20"/>
      <c r="J9" s="20"/>
      <c r="K9" s="20"/>
      <c r="L9" s="20"/>
      <c r="M9" s="20"/>
      <c r="N9" s="20"/>
      <c r="O9" s="20"/>
      <c r="P9" s="20"/>
      <c r="Q9" s="21"/>
    </row>
    <row r="10" spans="1:17" ht="13.2" customHeight="1" x14ac:dyDescent="0.25">
      <c r="A10" s="19"/>
      <c r="B10" s="20"/>
      <c r="C10" s="20"/>
      <c r="D10" s="20"/>
      <c r="E10" s="20"/>
      <c r="F10" s="20"/>
      <c r="G10" s="20"/>
      <c r="H10" s="20"/>
      <c r="I10" s="20"/>
      <c r="J10" s="20"/>
      <c r="K10" s="20"/>
      <c r="L10" s="20"/>
      <c r="M10" s="20"/>
      <c r="N10" s="20"/>
      <c r="O10" s="20"/>
      <c r="P10" s="20"/>
      <c r="Q10" s="21"/>
    </row>
    <row r="11" spans="1:17" ht="13.2" customHeight="1" x14ac:dyDescent="0.25">
      <c r="A11" s="19"/>
      <c r="B11" s="20"/>
      <c r="C11" s="20"/>
      <c r="D11" s="20"/>
      <c r="E11" s="20"/>
      <c r="F11" s="20"/>
      <c r="G11" s="20"/>
      <c r="H11" s="20"/>
      <c r="I11" s="20"/>
      <c r="J11" s="20"/>
      <c r="K11" s="20"/>
      <c r="L11" s="20"/>
      <c r="M11" s="20"/>
      <c r="N11" s="20"/>
      <c r="O11" s="20"/>
      <c r="P11" s="20"/>
      <c r="Q11" s="21"/>
    </row>
    <row r="12" spans="1:17" ht="13.2" customHeight="1" x14ac:dyDescent="0.25">
      <c r="A12" s="19"/>
      <c r="B12" s="20"/>
      <c r="C12" s="20"/>
      <c r="D12" s="20"/>
      <c r="E12" s="20"/>
      <c r="F12" s="20"/>
      <c r="G12" s="20"/>
      <c r="H12" s="20"/>
      <c r="I12" s="20"/>
      <c r="J12" s="20"/>
      <c r="K12" s="20"/>
      <c r="L12" s="20"/>
      <c r="M12" s="20"/>
      <c r="N12" s="20"/>
      <c r="O12" s="20"/>
      <c r="P12" s="20"/>
      <c r="Q12" s="21"/>
    </row>
    <row r="13" spans="1:17" ht="13.2" customHeight="1" x14ac:dyDescent="0.25">
      <c r="A13" s="19"/>
      <c r="B13" s="20"/>
      <c r="C13" s="20"/>
      <c r="D13" s="20"/>
      <c r="E13" s="20"/>
      <c r="F13" s="20"/>
      <c r="G13" s="20"/>
      <c r="H13" s="20"/>
      <c r="I13" s="20"/>
      <c r="J13" s="20"/>
      <c r="K13" s="20"/>
      <c r="L13" s="20"/>
      <c r="M13" s="20"/>
      <c r="N13" s="20"/>
      <c r="O13" s="20"/>
      <c r="P13" s="20"/>
      <c r="Q13" s="21"/>
    </row>
    <row r="14" spans="1:17" ht="13.2" customHeight="1" x14ac:dyDescent="0.25">
      <c r="A14" s="19"/>
      <c r="B14" s="20"/>
      <c r="C14" s="20"/>
      <c r="D14" s="20"/>
      <c r="E14" s="20"/>
      <c r="F14" s="20"/>
      <c r="G14" s="20"/>
      <c r="H14" s="20"/>
      <c r="I14" s="20"/>
      <c r="J14" s="20"/>
      <c r="K14" s="20"/>
      <c r="L14" s="20"/>
      <c r="M14" s="20"/>
      <c r="N14" s="20"/>
      <c r="O14" s="20"/>
      <c r="P14" s="20"/>
      <c r="Q14" s="21"/>
    </row>
    <row r="15" spans="1:17" ht="13.2" customHeight="1" x14ac:dyDescent="0.25">
      <c r="A15" s="19"/>
      <c r="B15" s="20"/>
      <c r="C15" s="20"/>
      <c r="D15" s="20"/>
      <c r="E15" s="20"/>
      <c r="F15" s="20"/>
      <c r="G15" s="20"/>
      <c r="H15" s="20"/>
      <c r="I15" s="20"/>
      <c r="J15" s="20"/>
      <c r="K15" s="20"/>
      <c r="L15" s="20"/>
      <c r="M15" s="20"/>
      <c r="N15" s="20"/>
      <c r="O15" s="20"/>
      <c r="P15" s="20"/>
      <c r="Q15" s="21"/>
    </row>
    <row r="16" spans="1:17" ht="13.2" customHeight="1" x14ac:dyDescent="0.25">
      <c r="A16" s="19"/>
      <c r="B16" s="20"/>
      <c r="C16" s="20"/>
      <c r="D16" s="20"/>
      <c r="E16" s="20"/>
      <c r="F16" s="20"/>
      <c r="G16" s="20"/>
      <c r="H16" s="20"/>
      <c r="I16" s="20"/>
      <c r="J16" s="20"/>
      <c r="K16" s="20"/>
      <c r="L16" s="20"/>
      <c r="M16" s="20"/>
      <c r="N16" s="20"/>
      <c r="O16" s="20"/>
      <c r="P16" s="20"/>
      <c r="Q16" s="21"/>
    </row>
    <row r="17" spans="1:23" ht="13.2" customHeight="1" x14ac:dyDescent="0.25">
      <c r="A17" s="19"/>
      <c r="B17" s="20"/>
      <c r="C17" s="20"/>
      <c r="D17" s="20"/>
      <c r="E17" s="20"/>
      <c r="F17" s="20"/>
      <c r="G17" s="20"/>
      <c r="H17" s="20"/>
      <c r="I17" s="20"/>
      <c r="J17" s="20"/>
      <c r="K17" s="20"/>
      <c r="L17" s="20"/>
      <c r="M17" s="20"/>
      <c r="N17" s="20"/>
      <c r="O17" s="20"/>
      <c r="P17" s="20"/>
      <c r="Q17" s="21"/>
    </row>
    <row r="18" spans="1:23" ht="13.2" customHeight="1" x14ac:dyDescent="0.25">
      <c r="A18" s="19"/>
      <c r="B18" s="20"/>
      <c r="C18" s="20"/>
      <c r="D18" s="20"/>
      <c r="E18" s="20"/>
      <c r="F18" s="20"/>
      <c r="G18" s="20"/>
      <c r="H18" s="20"/>
      <c r="I18" s="20"/>
      <c r="J18" s="20"/>
      <c r="K18" s="20"/>
      <c r="L18" s="20"/>
      <c r="M18" s="20"/>
      <c r="N18" s="20"/>
      <c r="O18" s="20"/>
      <c r="P18" s="20"/>
      <c r="Q18" s="21"/>
    </row>
    <row r="19" spans="1:23" ht="13.2" customHeight="1" x14ac:dyDescent="0.25">
      <c r="A19" s="19"/>
      <c r="B19" s="20"/>
      <c r="C19" s="20"/>
      <c r="D19" s="20"/>
      <c r="E19" s="20"/>
      <c r="F19" s="20"/>
      <c r="G19" s="20"/>
      <c r="H19" s="20"/>
      <c r="I19" s="20"/>
      <c r="J19" s="20"/>
      <c r="K19" s="20"/>
      <c r="L19" s="20"/>
      <c r="M19" s="20"/>
      <c r="N19" s="20"/>
      <c r="O19" s="20"/>
      <c r="P19" s="20"/>
      <c r="Q19" s="21"/>
    </row>
    <row r="20" spans="1:23" ht="13.2" customHeight="1" x14ac:dyDescent="0.25">
      <c r="A20" s="19"/>
      <c r="B20" s="20"/>
      <c r="C20" s="20"/>
      <c r="D20" s="20"/>
      <c r="E20" s="20"/>
      <c r="F20" s="20"/>
      <c r="G20" s="20"/>
      <c r="H20" s="20"/>
      <c r="I20" s="20"/>
      <c r="J20" s="20"/>
      <c r="K20" s="20"/>
      <c r="L20" s="20"/>
      <c r="M20" s="20"/>
      <c r="N20" s="20"/>
      <c r="O20" s="20"/>
      <c r="P20" s="20"/>
      <c r="Q20" s="21"/>
    </row>
    <row r="21" spans="1:23" ht="13.2" customHeight="1" x14ac:dyDescent="0.25">
      <c r="A21" s="19"/>
      <c r="B21" s="20"/>
      <c r="C21" s="20"/>
      <c r="D21" s="20"/>
      <c r="E21" s="20"/>
      <c r="F21" s="20"/>
      <c r="G21" s="20"/>
      <c r="H21" s="20"/>
      <c r="I21" s="20"/>
      <c r="J21" s="20"/>
      <c r="K21" s="20"/>
      <c r="L21" s="20"/>
      <c r="M21" s="20"/>
      <c r="N21" s="20"/>
      <c r="O21" s="20"/>
      <c r="P21" s="20"/>
      <c r="Q21" s="21"/>
    </row>
    <row r="22" spans="1:23" ht="13.2" customHeight="1" x14ac:dyDescent="0.25">
      <c r="A22" s="19"/>
      <c r="B22" s="20"/>
      <c r="C22" s="20"/>
      <c r="D22" s="20"/>
      <c r="E22" s="20"/>
      <c r="F22" s="20"/>
      <c r="G22" s="20"/>
      <c r="H22" s="20"/>
      <c r="I22" s="20"/>
      <c r="J22" s="20"/>
      <c r="K22" s="20"/>
      <c r="L22" s="20"/>
      <c r="M22" s="20"/>
      <c r="N22" s="20"/>
      <c r="O22" s="20"/>
      <c r="P22" s="20"/>
      <c r="Q22" s="21"/>
    </row>
    <row r="23" spans="1:23" ht="13.2" customHeight="1" x14ac:dyDescent="0.25">
      <c r="A23" s="19"/>
      <c r="B23" s="20"/>
      <c r="C23" s="20"/>
      <c r="D23" s="20"/>
      <c r="E23" s="20"/>
      <c r="F23" s="20"/>
      <c r="G23" s="20"/>
      <c r="H23" s="20"/>
      <c r="I23" s="20"/>
      <c r="J23" s="20"/>
      <c r="K23" s="20"/>
      <c r="L23" s="20"/>
      <c r="M23" s="20"/>
      <c r="N23" s="20"/>
      <c r="O23" s="20"/>
      <c r="P23" s="20"/>
      <c r="Q23" s="21"/>
    </row>
    <row r="24" spans="1:23" ht="13.2" customHeight="1" x14ac:dyDescent="0.25">
      <c r="A24" s="19"/>
      <c r="B24" s="20"/>
      <c r="C24" s="20"/>
      <c r="D24" s="20"/>
      <c r="E24" s="20"/>
      <c r="F24" s="20"/>
      <c r="G24" s="20"/>
      <c r="H24" s="20"/>
      <c r="I24" s="20"/>
      <c r="J24" s="20"/>
      <c r="K24" s="20"/>
      <c r="L24" s="20"/>
      <c r="M24" s="20"/>
      <c r="N24" s="20"/>
      <c r="O24" s="20"/>
      <c r="P24" s="20"/>
      <c r="Q24" s="21"/>
    </row>
    <row r="25" spans="1:23" ht="13.2" customHeight="1" x14ac:dyDescent="0.25">
      <c r="A25" s="19"/>
      <c r="B25" s="20"/>
      <c r="C25" s="20"/>
      <c r="D25" s="20"/>
      <c r="E25" s="20"/>
      <c r="F25" s="20"/>
      <c r="G25" s="20"/>
      <c r="H25" s="20"/>
      <c r="I25" s="20"/>
      <c r="J25" s="20"/>
      <c r="K25" s="20"/>
      <c r="L25" s="20"/>
      <c r="M25" s="20"/>
      <c r="N25" s="20"/>
      <c r="O25" s="20"/>
      <c r="P25" s="20"/>
      <c r="Q25" s="21"/>
    </row>
    <row r="26" spans="1:23" ht="13.2" customHeight="1" x14ac:dyDescent="0.25">
      <c r="A26" s="19"/>
      <c r="B26" s="20"/>
      <c r="C26" s="20"/>
      <c r="D26" s="20"/>
      <c r="E26" s="20"/>
      <c r="F26" s="20"/>
      <c r="G26" s="20"/>
      <c r="H26" s="20"/>
      <c r="I26" s="20"/>
      <c r="J26" s="20"/>
      <c r="K26" s="20"/>
      <c r="L26" s="20"/>
      <c r="M26" s="20"/>
      <c r="N26" s="20"/>
      <c r="O26" s="20"/>
      <c r="P26" s="20"/>
      <c r="Q26" s="21"/>
    </row>
    <row r="27" spans="1:23" ht="13.2" customHeight="1" x14ac:dyDescent="0.25">
      <c r="A27" s="19"/>
      <c r="B27" s="20"/>
      <c r="C27" s="20"/>
      <c r="D27" s="20"/>
      <c r="E27" s="20"/>
      <c r="F27" s="20"/>
      <c r="G27" s="20"/>
      <c r="H27" s="20"/>
      <c r="I27" s="20"/>
      <c r="J27" s="20"/>
      <c r="K27" s="20"/>
      <c r="L27" s="20"/>
      <c r="M27" s="20"/>
      <c r="N27" s="20"/>
      <c r="O27" s="20"/>
      <c r="P27" s="20"/>
      <c r="Q27" s="21"/>
      <c r="S27" s="30" t="s">
        <v>148</v>
      </c>
      <c r="T27" s="31"/>
      <c r="U27" s="31"/>
      <c r="V27" s="31"/>
      <c r="W27" s="32"/>
    </row>
    <row r="28" spans="1:23" ht="13.2" customHeight="1" x14ac:dyDescent="0.25">
      <c r="A28" s="19"/>
      <c r="B28" s="20"/>
      <c r="C28" s="20"/>
      <c r="D28" s="20"/>
      <c r="E28" s="20"/>
      <c r="F28" s="20"/>
      <c r="G28" s="20"/>
      <c r="H28" s="20"/>
      <c r="I28" s="20"/>
      <c r="J28" s="20"/>
      <c r="K28" s="20"/>
      <c r="L28" s="20"/>
      <c r="M28" s="20"/>
      <c r="N28" s="20"/>
      <c r="O28" s="20"/>
      <c r="P28" s="20"/>
      <c r="Q28" s="21"/>
      <c r="S28" s="7" t="s">
        <v>150</v>
      </c>
      <c r="T28" s="25"/>
      <c r="U28" s="25"/>
      <c r="V28" s="25"/>
      <c r="W28" s="26"/>
    </row>
    <row r="29" spans="1:23" ht="13.2" customHeight="1" x14ac:dyDescent="0.25">
      <c r="A29" s="19"/>
      <c r="B29" s="20"/>
      <c r="C29" s="20"/>
      <c r="D29" s="20"/>
      <c r="E29" s="20"/>
      <c r="F29" s="20"/>
      <c r="G29" s="20"/>
      <c r="H29" s="20"/>
      <c r="I29" s="20"/>
      <c r="J29" s="20"/>
      <c r="K29" s="20"/>
      <c r="L29" s="20"/>
      <c r="M29" s="20"/>
      <c r="N29" s="20"/>
      <c r="O29" s="20"/>
      <c r="P29" s="20"/>
      <c r="Q29" s="21"/>
      <c r="S29" s="27" t="s">
        <v>151</v>
      </c>
      <c r="T29" s="28"/>
      <c r="U29" s="28"/>
      <c r="V29" s="28"/>
      <c r="W29" s="29"/>
    </row>
    <row r="30" spans="1:23" ht="13.2" customHeight="1" x14ac:dyDescent="0.25">
      <c r="A30" s="19"/>
      <c r="B30" s="20"/>
      <c r="C30" s="20"/>
      <c r="D30" s="20"/>
      <c r="E30" s="20"/>
      <c r="F30" s="20"/>
      <c r="G30" s="20"/>
      <c r="H30" s="20"/>
      <c r="I30" s="20"/>
      <c r="J30" s="20"/>
      <c r="K30" s="20"/>
      <c r="L30" s="20"/>
      <c r="M30" s="20"/>
      <c r="N30" s="20"/>
      <c r="O30" s="20"/>
      <c r="P30" s="20"/>
      <c r="Q30" s="21"/>
      <c r="S30" s="7" t="s">
        <v>149</v>
      </c>
      <c r="T30" s="8"/>
      <c r="U30" s="8"/>
      <c r="V30" s="8"/>
      <c r="W30" s="9"/>
    </row>
    <row r="31" spans="1:23" ht="13.2" customHeight="1" x14ac:dyDescent="0.25">
      <c r="A31" s="19"/>
      <c r="B31" s="20"/>
      <c r="C31" s="20"/>
      <c r="D31" s="20"/>
      <c r="E31" s="20"/>
      <c r="F31" s="20"/>
      <c r="G31" s="20"/>
      <c r="H31" s="20"/>
      <c r="I31" s="20"/>
      <c r="J31" s="20"/>
      <c r="K31" s="20"/>
      <c r="L31" s="20"/>
      <c r="M31" s="20"/>
      <c r="N31" s="20"/>
      <c r="O31" s="20"/>
      <c r="P31" s="20"/>
      <c r="Q31" s="21"/>
      <c r="S31" s="27" t="s">
        <v>152</v>
      </c>
      <c r="T31" s="25"/>
      <c r="U31" s="25"/>
      <c r="V31" s="25"/>
      <c r="W31" s="26"/>
    </row>
    <row r="32" spans="1:23" ht="13.2" customHeight="1" x14ac:dyDescent="0.25">
      <c r="A32" s="19"/>
      <c r="B32" s="20"/>
      <c r="C32" s="20"/>
      <c r="D32" s="20"/>
      <c r="E32" s="20"/>
      <c r="F32" s="20"/>
      <c r="G32" s="20"/>
      <c r="H32" s="20"/>
      <c r="I32" s="20"/>
      <c r="J32" s="20"/>
      <c r="K32" s="20"/>
      <c r="L32" s="20"/>
      <c r="M32" s="20"/>
      <c r="N32" s="20"/>
      <c r="O32" s="20"/>
      <c r="P32" s="20"/>
      <c r="Q32" s="21"/>
      <c r="S32" s="7" t="s">
        <v>153</v>
      </c>
      <c r="T32" s="8"/>
      <c r="U32" s="8"/>
      <c r="V32" s="8"/>
      <c r="W32" s="9"/>
    </row>
    <row r="33" spans="1:23" ht="13.2" customHeight="1" x14ac:dyDescent="0.25">
      <c r="A33" s="19"/>
      <c r="B33" s="20"/>
      <c r="C33" s="20"/>
      <c r="D33" s="20"/>
      <c r="E33" s="20"/>
      <c r="F33" s="20"/>
      <c r="G33" s="20"/>
      <c r="H33" s="20"/>
      <c r="I33" s="20"/>
      <c r="J33" s="20"/>
      <c r="K33" s="20"/>
      <c r="L33" s="20"/>
      <c r="M33" s="20"/>
      <c r="N33" s="20"/>
      <c r="O33" s="20"/>
      <c r="P33" s="20"/>
      <c r="Q33" s="21"/>
      <c r="S33" s="10" t="s">
        <v>154</v>
      </c>
      <c r="T33" s="11"/>
      <c r="U33" s="11"/>
      <c r="V33" s="11"/>
      <c r="W33" s="12"/>
    </row>
    <row r="34" spans="1:23" ht="13.2" customHeight="1" x14ac:dyDescent="0.25">
      <c r="A34" s="19"/>
      <c r="B34" s="20"/>
      <c r="C34" s="20"/>
      <c r="D34" s="20"/>
      <c r="E34" s="20"/>
      <c r="F34" s="20"/>
      <c r="G34" s="20"/>
      <c r="H34" s="20"/>
      <c r="I34" s="20"/>
      <c r="J34" s="20"/>
      <c r="K34" s="20"/>
      <c r="L34" s="20"/>
      <c r="M34" s="20"/>
      <c r="N34" s="20"/>
      <c r="O34" s="20"/>
      <c r="P34" s="20"/>
      <c r="Q34" s="21"/>
      <c r="S34" s="30" t="s">
        <v>158</v>
      </c>
      <c r="T34" s="36"/>
      <c r="U34" s="36"/>
      <c r="V34" s="36"/>
      <c r="W34" s="37"/>
    </row>
    <row r="35" spans="1:23" ht="13.2" customHeight="1" x14ac:dyDescent="0.25">
      <c r="A35" s="19"/>
      <c r="B35" s="20"/>
      <c r="C35" s="20"/>
      <c r="D35" s="20"/>
      <c r="E35" s="20"/>
      <c r="F35" s="20"/>
      <c r="G35" s="20"/>
      <c r="H35" s="20"/>
      <c r="I35" s="20"/>
      <c r="J35" s="20"/>
      <c r="K35" s="20"/>
      <c r="L35" s="20"/>
      <c r="M35" s="20"/>
      <c r="N35" s="20"/>
      <c r="O35" s="20"/>
      <c r="P35" s="20"/>
      <c r="Q35" s="21"/>
      <c r="S35" s="33" t="s">
        <v>122</v>
      </c>
      <c r="T35" s="34"/>
      <c r="U35" s="34"/>
      <c r="V35" s="34"/>
      <c r="W35" s="35"/>
    </row>
    <row r="36" spans="1:23" ht="13.2" customHeight="1" x14ac:dyDescent="0.25">
      <c r="A36" s="19"/>
      <c r="B36" s="20"/>
      <c r="C36" s="20"/>
      <c r="D36" s="20"/>
      <c r="E36" s="20"/>
      <c r="F36" s="20"/>
      <c r="G36" s="20"/>
      <c r="H36" s="20"/>
      <c r="I36" s="20"/>
      <c r="J36" s="20"/>
      <c r="K36" s="20"/>
      <c r="L36" s="20"/>
      <c r="M36" s="20"/>
      <c r="N36" s="20"/>
      <c r="O36" s="20"/>
      <c r="P36" s="20"/>
      <c r="Q36" s="21"/>
    </row>
    <row r="37" spans="1:23" ht="13.2" customHeight="1" x14ac:dyDescent="0.25">
      <c r="A37" s="19"/>
      <c r="B37" s="20"/>
      <c r="C37" s="20"/>
      <c r="D37" s="20"/>
      <c r="E37" s="20"/>
      <c r="F37" s="20"/>
      <c r="G37" s="20"/>
      <c r="H37" s="20"/>
      <c r="I37" s="20"/>
      <c r="J37" s="20"/>
      <c r="K37" s="20"/>
      <c r="L37" s="20"/>
      <c r="M37" s="20"/>
      <c r="N37" s="20"/>
      <c r="O37" s="20"/>
      <c r="P37" s="20"/>
      <c r="Q37" s="21"/>
    </row>
    <row r="38" spans="1:23" ht="13.2" customHeight="1" x14ac:dyDescent="0.25">
      <c r="A38" s="19"/>
      <c r="B38" s="20"/>
      <c r="C38" s="20"/>
      <c r="D38" s="20"/>
      <c r="E38" s="20"/>
      <c r="F38" s="20"/>
      <c r="G38" s="20"/>
      <c r="H38" s="20"/>
      <c r="I38" s="20"/>
      <c r="J38" s="20"/>
      <c r="K38" s="20"/>
      <c r="L38" s="20"/>
      <c r="M38" s="20"/>
      <c r="N38" s="20"/>
      <c r="O38" s="20"/>
      <c r="P38" s="20"/>
      <c r="Q38" s="21"/>
    </row>
    <row r="39" spans="1:23" ht="13.2" customHeight="1" x14ac:dyDescent="0.25">
      <c r="A39" s="19"/>
      <c r="B39" s="20"/>
      <c r="C39" s="20"/>
      <c r="D39" s="20"/>
      <c r="E39" s="20"/>
      <c r="F39" s="20"/>
      <c r="G39" s="20"/>
      <c r="H39" s="20"/>
      <c r="I39" s="20"/>
      <c r="J39" s="20"/>
      <c r="K39" s="20"/>
      <c r="L39" s="20"/>
      <c r="M39" s="20"/>
      <c r="N39" s="20"/>
      <c r="O39" s="20"/>
      <c r="P39" s="20"/>
      <c r="Q39" s="21"/>
    </row>
    <row r="40" spans="1:23" ht="13.2" customHeight="1" x14ac:dyDescent="0.25">
      <c r="A40" s="19"/>
      <c r="B40" s="20"/>
      <c r="C40" s="20"/>
      <c r="D40" s="20"/>
      <c r="E40" s="20"/>
      <c r="F40" s="20"/>
      <c r="G40" s="20"/>
      <c r="H40" s="20"/>
      <c r="I40" s="20"/>
      <c r="J40" s="20"/>
      <c r="K40" s="20"/>
      <c r="L40" s="20"/>
      <c r="M40" s="20"/>
      <c r="N40" s="20"/>
      <c r="O40" s="20"/>
      <c r="P40" s="20"/>
      <c r="Q40" s="21"/>
    </row>
    <row r="41" spans="1:23" ht="13.2" customHeight="1" x14ac:dyDescent="0.25">
      <c r="A41" s="19"/>
      <c r="B41" s="20"/>
      <c r="C41" s="20"/>
      <c r="D41" s="20"/>
      <c r="E41" s="20"/>
      <c r="F41" s="20"/>
      <c r="G41" s="20"/>
      <c r="H41" s="20"/>
      <c r="I41" s="20"/>
      <c r="J41" s="20"/>
      <c r="K41" s="20"/>
      <c r="L41" s="20"/>
      <c r="M41" s="20"/>
      <c r="N41" s="20"/>
      <c r="O41" s="20"/>
      <c r="P41" s="20"/>
      <c r="Q41" s="21"/>
    </row>
    <row r="42" spans="1:23" ht="13.2" customHeight="1" x14ac:dyDescent="0.25">
      <c r="A42" s="19"/>
      <c r="B42" s="20"/>
      <c r="C42" s="20"/>
      <c r="D42" s="20"/>
      <c r="E42" s="20"/>
      <c r="F42" s="20"/>
      <c r="G42" s="20"/>
      <c r="H42" s="20"/>
      <c r="I42" s="20"/>
      <c r="J42" s="20"/>
      <c r="K42" s="20"/>
      <c r="L42" s="20"/>
      <c r="M42" s="20"/>
      <c r="N42" s="20"/>
      <c r="O42" s="20"/>
      <c r="P42" s="20"/>
      <c r="Q42" s="21"/>
    </row>
    <row r="43" spans="1:23" ht="13.2" customHeight="1" x14ac:dyDescent="0.25">
      <c r="A43" s="22"/>
      <c r="B43" s="23"/>
      <c r="C43" s="23"/>
      <c r="D43" s="23"/>
      <c r="E43" s="23"/>
      <c r="F43" s="23"/>
      <c r="G43" s="23"/>
      <c r="H43" s="23"/>
      <c r="I43" s="23"/>
      <c r="J43" s="23"/>
      <c r="K43" s="23"/>
      <c r="L43" s="23"/>
      <c r="M43" s="23"/>
      <c r="N43" s="23"/>
      <c r="O43" s="23"/>
      <c r="P43" s="23"/>
      <c r="Q43" s="24"/>
    </row>
    <row r="44" spans="1:23" ht="13.2" customHeight="1" x14ac:dyDescent="0.25">
      <c r="A44" s="6"/>
      <c r="B44" s="6"/>
      <c r="C44" s="6"/>
      <c r="D44" s="6"/>
      <c r="E44" s="6"/>
      <c r="F44" s="6"/>
      <c r="G44" s="6"/>
      <c r="H44" s="6"/>
      <c r="I44" s="6"/>
      <c r="J44" s="6"/>
      <c r="K44" s="6"/>
      <c r="L44" s="6"/>
      <c r="M44" s="6"/>
      <c r="N44" s="6"/>
      <c r="O44" s="6"/>
      <c r="P44" s="6"/>
      <c r="Q44" s="6"/>
    </row>
  </sheetData>
  <mergeCells count="11">
    <mergeCell ref="S32:W32"/>
    <mergeCell ref="S33:W33"/>
    <mergeCell ref="A1:Q1"/>
    <mergeCell ref="A2:Q43"/>
    <mergeCell ref="S28:W28"/>
    <mergeCell ref="S30:W30"/>
    <mergeCell ref="S29:W29"/>
    <mergeCell ref="S27:W27"/>
    <mergeCell ref="S31:W31"/>
    <mergeCell ref="S35:W35"/>
    <mergeCell ref="S34:W34"/>
  </mergeCells>
  <hyperlinks>
    <hyperlink ref="S30" r:id="rId1" xr:uid="{8990BC72-2B31-49A5-AC8A-D06EEE252434}"/>
    <hyperlink ref="S28" r:id="rId2" xr:uid="{26C9D285-B536-4F82-B843-EDF37E7D8B04}"/>
    <hyperlink ref="S32" r:id="rId3" xr:uid="{72C8EF7E-21B6-404C-8E0C-FA25B332A9E9}"/>
    <hyperlink ref="S33" r:id="rId4" xr:uid="{1407152A-4542-4750-9E75-8EC15DF9544C}"/>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02841-CFF7-43A9-A3A2-F8F7C7F07F47}">
  <dimension ref="A1:AA41"/>
  <sheetViews>
    <sheetView workbookViewId="0">
      <selection activeCell="Z6" sqref="Z6"/>
    </sheetView>
  </sheetViews>
  <sheetFormatPr defaultRowHeight="13.2" x14ac:dyDescent="0.25"/>
  <cols>
    <col min="26" max="26" width="16.5546875" customWidth="1"/>
  </cols>
  <sheetData>
    <row r="1" spans="1:27" ht="24.6" x14ac:dyDescent="0.55000000000000004">
      <c r="A1" s="38" t="s">
        <v>1</v>
      </c>
      <c r="B1" s="38"/>
      <c r="C1" s="38"/>
      <c r="D1" s="38"/>
      <c r="E1" s="38"/>
      <c r="F1" s="38"/>
      <c r="G1" s="38"/>
      <c r="H1" s="38"/>
      <c r="J1" s="39" t="s">
        <v>2</v>
      </c>
      <c r="K1" s="38"/>
      <c r="L1" s="38"/>
      <c r="M1" s="38"/>
      <c r="N1" s="38"/>
      <c r="O1" s="38"/>
      <c r="P1" s="38"/>
      <c r="Q1" s="38"/>
      <c r="R1" s="38"/>
      <c r="S1" s="38"/>
      <c r="T1" s="38"/>
      <c r="U1" s="38"/>
      <c r="V1" s="38"/>
      <c r="W1" s="38"/>
      <c r="X1" s="38"/>
      <c r="Y1" s="38"/>
    </row>
    <row r="2" spans="1:27" ht="13.2" customHeight="1" x14ac:dyDescent="0.25">
      <c r="J2" s="40" t="s">
        <v>124</v>
      </c>
      <c r="K2" s="40"/>
      <c r="L2" s="40"/>
      <c r="M2" s="40"/>
      <c r="N2" s="40"/>
      <c r="O2" s="40"/>
      <c r="P2" s="40"/>
      <c r="Q2" s="40"/>
      <c r="R2" s="40"/>
      <c r="S2" s="40"/>
      <c r="T2" s="40"/>
      <c r="U2" s="40"/>
      <c r="V2" s="40"/>
      <c r="W2" s="40"/>
      <c r="X2" s="40"/>
      <c r="Y2" s="40"/>
      <c r="AA2" s="4"/>
    </row>
    <row r="3" spans="1:27" ht="13.2" customHeight="1" x14ac:dyDescent="0.25">
      <c r="J3" s="40"/>
      <c r="K3" s="40"/>
      <c r="L3" s="40"/>
      <c r="M3" s="40"/>
      <c r="N3" s="40"/>
      <c r="O3" s="40"/>
      <c r="P3" s="40"/>
      <c r="Q3" s="40"/>
      <c r="R3" s="40"/>
      <c r="S3" s="40"/>
      <c r="T3" s="40"/>
      <c r="U3" s="40"/>
      <c r="V3" s="40"/>
      <c r="W3" s="40"/>
      <c r="X3" s="40"/>
      <c r="Y3" s="40"/>
    </row>
    <row r="4" spans="1:27" ht="13.2" customHeight="1" x14ac:dyDescent="0.25">
      <c r="J4" s="40"/>
      <c r="K4" s="40"/>
      <c r="L4" s="40"/>
      <c r="M4" s="40"/>
      <c r="N4" s="40"/>
      <c r="O4" s="40"/>
      <c r="P4" s="40"/>
      <c r="Q4" s="40"/>
      <c r="R4" s="40"/>
      <c r="S4" s="40"/>
      <c r="T4" s="40"/>
      <c r="U4" s="40"/>
      <c r="V4" s="40"/>
      <c r="W4" s="40"/>
      <c r="X4" s="40"/>
      <c r="Y4" s="40"/>
    </row>
    <row r="5" spans="1:27" ht="13.2" customHeight="1" x14ac:dyDescent="0.25">
      <c r="J5" s="40"/>
      <c r="K5" s="40"/>
      <c r="L5" s="40"/>
      <c r="M5" s="40"/>
      <c r="N5" s="40"/>
      <c r="O5" s="40"/>
      <c r="P5" s="40"/>
      <c r="Q5" s="40"/>
      <c r="R5" s="40"/>
      <c r="S5" s="40"/>
      <c r="T5" s="40"/>
      <c r="U5" s="40"/>
      <c r="V5" s="40"/>
      <c r="W5" s="40"/>
      <c r="X5" s="40"/>
      <c r="Y5" s="40"/>
      <c r="Z5" s="5" t="s">
        <v>123</v>
      </c>
    </row>
    <row r="6" spans="1:27" ht="13.2" customHeight="1" x14ac:dyDescent="0.25">
      <c r="J6" s="40"/>
      <c r="K6" s="40"/>
      <c r="L6" s="40"/>
      <c r="M6" s="40"/>
      <c r="N6" s="40"/>
      <c r="O6" s="40"/>
      <c r="P6" s="40"/>
      <c r="Q6" s="40"/>
      <c r="R6" s="40"/>
      <c r="S6" s="40"/>
      <c r="T6" s="40"/>
      <c r="U6" s="40"/>
      <c r="V6" s="40"/>
      <c r="W6" s="40"/>
      <c r="X6" s="40"/>
      <c r="Y6" s="40"/>
      <c r="Z6" t="s">
        <v>122</v>
      </c>
      <c r="AA6" s="4"/>
    </row>
    <row r="7" spans="1:27" ht="13.2" customHeight="1" x14ac:dyDescent="0.25">
      <c r="J7" s="40"/>
      <c r="K7" s="40"/>
      <c r="L7" s="40"/>
      <c r="M7" s="40"/>
      <c r="N7" s="40"/>
      <c r="O7" s="40"/>
      <c r="P7" s="40"/>
      <c r="Q7" s="40"/>
      <c r="R7" s="40"/>
      <c r="S7" s="40"/>
      <c r="T7" s="40"/>
      <c r="U7" s="40"/>
      <c r="V7" s="40"/>
      <c r="W7" s="40"/>
      <c r="X7" s="40"/>
      <c r="Y7" s="40"/>
    </row>
    <row r="8" spans="1:27" ht="13.2" customHeight="1" x14ac:dyDescent="0.25">
      <c r="J8" s="40"/>
      <c r="K8" s="40"/>
      <c r="L8" s="40"/>
      <c r="M8" s="40"/>
      <c r="N8" s="40"/>
      <c r="O8" s="40"/>
      <c r="P8" s="40"/>
      <c r="Q8" s="40"/>
      <c r="R8" s="40"/>
      <c r="S8" s="40"/>
      <c r="T8" s="40"/>
      <c r="U8" s="40"/>
      <c r="V8" s="40"/>
      <c r="W8" s="40"/>
      <c r="X8" s="40"/>
      <c r="Y8" s="40"/>
    </row>
    <row r="9" spans="1:27" ht="13.2" customHeight="1" x14ac:dyDescent="0.25">
      <c r="J9" s="40"/>
      <c r="K9" s="40"/>
      <c r="L9" s="40"/>
      <c r="M9" s="40"/>
      <c r="N9" s="40"/>
      <c r="O9" s="40"/>
      <c r="P9" s="40"/>
      <c r="Q9" s="40"/>
      <c r="R9" s="40"/>
      <c r="S9" s="40"/>
      <c r="T9" s="40"/>
      <c r="U9" s="40"/>
      <c r="V9" s="40"/>
      <c r="W9" s="40"/>
      <c r="X9" s="40"/>
      <c r="Y9" s="40"/>
    </row>
    <row r="10" spans="1:27" ht="13.2" customHeight="1" x14ac:dyDescent="0.25">
      <c r="J10" s="40"/>
      <c r="K10" s="40"/>
      <c r="L10" s="40"/>
      <c r="M10" s="40"/>
      <c r="N10" s="40"/>
      <c r="O10" s="40"/>
      <c r="P10" s="40"/>
      <c r="Q10" s="40"/>
      <c r="R10" s="40"/>
      <c r="S10" s="40"/>
      <c r="T10" s="40"/>
      <c r="U10" s="40"/>
      <c r="V10" s="40"/>
      <c r="W10" s="40"/>
      <c r="X10" s="40"/>
      <c r="Y10" s="40"/>
    </row>
    <row r="11" spans="1:27" ht="13.2" customHeight="1" x14ac:dyDescent="0.25">
      <c r="J11" s="40"/>
      <c r="K11" s="40"/>
      <c r="L11" s="40"/>
      <c r="M11" s="40"/>
      <c r="N11" s="40"/>
      <c r="O11" s="40"/>
      <c r="P11" s="40"/>
      <c r="Q11" s="40"/>
      <c r="R11" s="40"/>
      <c r="S11" s="40"/>
      <c r="T11" s="40"/>
      <c r="U11" s="40"/>
      <c r="V11" s="40"/>
      <c r="W11" s="40"/>
      <c r="X11" s="40"/>
      <c r="Y11" s="40"/>
    </row>
    <row r="12" spans="1:27" ht="13.2" customHeight="1" x14ac:dyDescent="0.25">
      <c r="J12" s="40"/>
      <c r="K12" s="40"/>
      <c r="L12" s="40"/>
      <c r="M12" s="40"/>
      <c r="N12" s="40"/>
      <c r="O12" s="40"/>
      <c r="P12" s="40"/>
      <c r="Q12" s="40"/>
      <c r="R12" s="40"/>
      <c r="S12" s="40"/>
      <c r="T12" s="40"/>
      <c r="U12" s="40"/>
      <c r="V12" s="40"/>
      <c r="W12" s="40"/>
      <c r="X12" s="40"/>
      <c r="Y12" s="40"/>
    </row>
    <row r="13" spans="1:27" ht="13.2" customHeight="1" x14ac:dyDescent="0.25">
      <c r="J13" s="40"/>
      <c r="K13" s="40"/>
      <c r="L13" s="40"/>
      <c r="M13" s="40"/>
      <c r="N13" s="40"/>
      <c r="O13" s="40"/>
      <c r="P13" s="40"/>
      <c r="Q13" s="40"/>
      <c r="R13" s="40"/>
      <c r="S13" s="40"/>
      <c r="T13" s="40"/>
      <c r="U13" s="40"/>
      <c r="V13" s="40"/>
      <c r="W13" s="40"/>
      <c r="X13" s="40"/>
      <c r="Y13" s="40"/>
    </row>
    <row r="14" spans="1:27" ht="13.2" customHeight="1" x14ac:dyDescent="0.25">
      <c r="J14" s="40"/>
      <c r="K14" s="40"/>
      <c r="L14" s="40"/>
      <c r="M14" s="40"/>
      <c r="N14" s="40"/>
      <c r="O14" s="40"/>
      <c r="P14" s="40"/>
      <c r="Q14" s="40"/>
      <c r="R14" s="40"/>
      <c r="S14" s="40"/>
      <c r="T14" s="40"/>
      <c r="U14" s="40"/>
      <c r="V14" s="40"/>
      <c r="W14" s="40"/>
      <c r="X14" s="40"/>
      <c r="Y14" s="40"/>
    </row>
    <row r="15" spans="1:27" ht="13.2" customHeight="1" x14ac:dyDescent="0.25">
      <c r="J15" s="40"/>
      <c r="K15" s="40"/>
      <c r="L15" s="40"/>
      <c r="M15" s="40"/>
      <c r="N15" s="40"/>
      <c r="O15" s="40"/>
      <c r="P15" s="40"/>
      <c r="Q15" s="40"/>
      <c r="R15" s="40"/>
      <c r="S15" s="40"/>
      <c r="T15" s="40"/>
      <c r="U15" s="40"/>
      <c r="V15" s="40"/>
      <c r="W15" s="40"/>
      <c r="X15" s="40"/>
      <c r="Y15" s="40"/>
    </row>
    <row r="16" spans="1:27" ht="13.2" customHeight="1" x14ac:dyDescent="0.25">
      <c r="J16" s="40"/>
      <c r="K16" s="40"/>
      <c r="L16" s="40"/>
      <c r="M16" s="40"/>
      <c r="N16" s="40"/>
      <c r="O16" s="40"/>
      <c r="P16" s="40"/>
      <c r="Q16" s="40"/>
      <c r="R16" s="40"/>
      <c r="S16" s="40"/>
      <c r="T16" s="40"/>
      <c r="U16" s="40"/>
      <c r="V16" s="40"/>
      <c r="W16" s="40"/>
      <c r="X16" s="40"/>
      <c r="Y16" s="40"/>
    </row>
    <row r="17" spans="10:25" ht="13.2" customHeight="1" x14ac:dyDescent="0.25">
      <c r="J17" s="40"/>
      <c r="K17" s="40"/>
      <c r="L17" s="40"/>
      <c r="M17" s="40"/>
      <c r="N17" s="40"/>
      <c r="O17" s="40"/>
      <c r="P17" s="40"/>
      <c r="Q17" s="40"/>
      <c r="R17" s="40"/>
      <c r="S17" s="40"/>
      <c r="T17" s="40"/>
      <c r="U17" s="40"/>
      <c r="V17" s="40"/>
      <c r="W17" s="40"/>
      <c r="X17" s="40"/>
      <c r="Y17" s="40"/>
    </row>
    <row r="18" spans="10:25" ht="13.2" customHeight="1" x14ac:dyDescent="0.25">
      <c r="J18" s="40"/>
      <c r="K18" s="40"/>
      <c r="L18" s="40"/>
      <c r="M18" s="40"/>
      <c r="N18" s="40"/>
      <c r="O18" s="40"/>
      <c r="P18" s="40"/>
      <c r="Q18" s="40"/>
      <c r="R18" s="40"/>
      <c r="S18" s="40"/>
      <c r="T18" s="40"/>
      <c r="U18" s="40"/>
      <c r="V18" s="40"/>
      <c r="W18" s="40"/>
      <c r="X18" s="40"/>
      <c r="Y18" s="40"/>
    </row>
    <row r="19" spans="10:25" ht="13.2" customHeight="1" x14ac:dyDescent="0.25">
      <c r="J19" s="40"/>
      <c r="K19" s="40"/>
      <c r="L19" s="40"/>
      <c r="M19" s="40"/>
      <c r="N19" s="40"/>
      <c r="O19" s="40"/>
      <c r="P19" s="40"/>
      <c r="Q19" s="40"/>
      <c r="R19" s="40"/>
      <c r="S19" s="40"/>
      <c r="T19" s="40"/>
      <c r="U19" s="40"/>
      <c r="V19" s="40"/>
      <c r="W19" s="40"/>
      <c r="X19" s="40"/>
      <c r="Y19" s="40"/>
    </row>
    <row r="20" spans="10:25" ht="13.2" customHeight="1" x14ac:dyDescent="0.25">
      <c r="J20" s="40"/>
      <c r="K20" s="40"/>
      <c r="L20" s="40"/>
      <c r="M20" s="40"/>
      <c r="N20" s="40"/>
      <c r="O20" s="40"/>
      <c r="P20" s="40"/>
      <c r="Q20" s="40"/>
      <c r="R20" s="40"/>
      <c r="S20" s="40"/>
      <c r="T20" s="40"/>
      <c r="U20" s="40"/>
      <c r="V20" s="40"/>
      <c r="W20" s="40"/>
      <c r="X20" s="40"/>
      <c r="Y20" s="40"/>
    </row>
    <row r="21" spans="10:25" ht="13.2" customHeight="1" x14ac:dyDescent="0.25">
      <c r="J21" s="40"/>
      <c r="K21" s="40"/>
      <c r="L21" s="40"/>
      <c r="M21" s="40"/>
      <c r="N21" s="40"/>
      <c r="O21" s="40"/>
      <c r="P21" s="40"/>
      <c r="Q21" s="40"/>
      <c r="R21" s="40"/>
      <c r="S21" s="40"/>
      <c r="T21" s="40"/>
      <c r="U21" s="40"/>
      <c r="V21" s="40"/>
      <c r="W21" s="40"/>
      <c r="X21" s="40"/>
      <c r="Y21" s="40"/>
    </row>
    <row r="22" spans="10:25" ht="13.2" customHeight="1" x14ac:dyDescent="0.25">
      <c r="J22" s="40"/>
      <c r="K22" s="40"/>
      <c r="L22" s="40"/>
      <c r="M22" s="40"/>
      <c r="N22" s="40"/>
      <c r="O22" s="40"/>
      <c r="P22" s="40"/>
      <c r="Q22" s="40"/>
      <c r="R22" s="40"/>
      <c r="S22" s="40"/>
      <c r="T22" s="40"/>
      <c r="U22" s="40"/>
      <c r="V22" s="40"/>
      <c r="W22" s="40"/>
      <c r="X22" s="40"/>
      <c r="Y22" s="40"/>
    </row>
    <row r="23" spans="10:25" ht="13.2" customHeight="1" x14ac:dyDescent="0.25">
      <c r="J23" s="40"/>
      <c r="K23" s="40"/>
      <c r="L23" s="40"/>
      <c r="M23" s="40"/>
      <c r="N23" s="40"/>
      <c r="O23" s="40"/>
      <c r="P23" s="40"/>
      <c r="Q23" s="40"/>
      <c r="R23" s="40"/>
      <c r="S23" s="40"/>
      <c r="T23" s="40"/>
      <c r="U23" s="40"/>
      <c r="V23" s="40"/>
      <c r="W23" s="40"/>
      <c r="X23" s="40"/>
      <c r="Y23" s="40"/>
    </row>
    <row r="24" spans="10:25" ht="13.2" customHeight="1" x14ac:dyDescent="0.25">
      <c r="J24" s="40"/>
      <c r="K24" s="40"/>
      <c r="L24" s="40"/>
      <c r="M24" s="40"/>
      <c r="N24" s="40"/>
      <c r="O24" s="40"/>
      <c r="P24" s="40"/>
      <c r="Q24" s="40"/>
      <c r="R24" s="40"/>
      <c r="S24" s="40"/>
      <c r="T24" s="40"/>
      <c r="U24" s="40"/>
      <c r="V24" s="40"/>
      <c r="W24" s="40"/>
      <c r="X24" s="40"/>
      <c r="Y24" s="40"/>
    </row>
    <row r="25" spans="10:25" ht="13.2" customHeight="1" x14ac:dyDescent="0.25">
      <c r="J25" s="40"/>
      <c r="K25" s="40"/>
      <c r="L25" s="40"/>
      <c r="M25" s="40"/>
      <c r="N25" s="40"/>
      <c r="O25" s="40"/>
      <c r="P25" s="40"/>
      <c r="Q25" s="40"/>
      <c r="R25" s="40"/>
      <c r="S25" s="40"/>
      <c r="T25" s="40"/>
      <c r="U25" s="40"/>
      <c r="V25" s="40"/>
      <c r="W25" s="40"/>
      <c r="X25" s="40"/>
      <c r="Y25" s="40"/>
    </row>
    <row r="26" spans="10:25" ht="13.2" customHeight="1" x14ac:dyDescent="0.25">
      <c r="J26" s="40"/>
      <c r="K26" s="40"/>
      <c r="L26" s="40"/>
      <c r="M26" s="40"/>
      <c r="N26" s="40"/>
      <c r="O26" s="40"/>
      <c r="P26" s="40"/>
      <c r="Q26" s="40"/>
      <c r="R26" s="40"/>
      <c r="S26" s="40"/>
      <c r="T26" s="40"/>
      <c r="U26" s="40"/>
      <c r="V26" s="40"/>
      <c r="W26" s="40"/>
      <c r="X26" s="40"/>
      <c r="Y26" s="40"/>
    </row>
    <row r="27" spans="10:25" ht="13.2" customHeight="1" x14ac:dyDescent="0.25">
      <c r="J27" s="40"/>
      <c r="K27" s="40"/>
      <c r="L27" s="40"/>
      <c r="M27" s="40"/>
      <c r="N27" s="40"/>
      <c r="O27" s="40"/>
      <c r="P27" s="40"/>
      <c r="Q27" s="40"/>
      <c r="R27" s="40"/>
      <c r="S27" s="40"/>
      <c r="T27" s="40"/>
      <c r="U27" s="40"/>
      <c r="V27" s="40"/>
      <c r="W27" s="40"/>
      <c r="X27" s="40"/>
      <c r="Y27" s="40"/>
    </row>
    <row r="28" spans="10:25" ht="13.2" customHeight="1" x14ac:dyDescent="0.25">
      <c r="J28" s="40"/>
      <c r="K28" s="40"/>
      <c r="L28" s="40"/>
      <c r="M28" s="40"/>
      <c r="N28" s="40"/>
      <c r="O28" s="40"/>
      <c r="P28" s="40"/>
      <c r="Q28" s="40"/>
      <c r="R28" s="40"/>
      <c r="S28" s="40"/>
      <c r="T28" s="40"/>
      <c r="U28" s="40"/>
      <c r="V28" s="40"/>
      <c r="W28" s="40"/>
      <c r="X28" s="40"/>
      <c r="Y28" s="40"/>
    </row>
    <row r="29" spans="10:25" ht="13.2" customHeight="1" x14ac:dyDescent="0.25">
      <c r="J29" s="40"/>
      <c r="K29" s="40"/>
      <c r="L29" s="40"/>
      <c r="M29" s="40"/>
      <c r="N29" s="40"/>
      <c r="O29" s="40"/>
      <c r="P29" s="40"/>
      <c r="Q29" s="40"/>
      <c r="R29" s="40"/>
      <c r="S29" s="40"/>
      <c r="T29" s="40"/>
      <c r="U29" s="40"/>
      <c r="V29" s="40"/>
      <c r="W29" s="40"/>
      <c r="X29" s="40"/>
      <c r="Y29" s="40"/>
    </row>
    <row r="30" spans="10:25" ht="13.2" customHeight="1" x14ac:dyDescent="0.25">
      <c r="J30" s="40"/>
      <c r="K30" s="40"/>
      <c r="L30" s="40"/>
      <c r="M30" s="40"/>
      <c r="N30" s="40"/>
      <c r="O30" s="40"/>
      <c r="P30" s="40"/>
      <c r="Q30" s="40"/>
      <c r="R30" s="40"/>
      <c r="S30" s="40"/>
      <c r="T30" s="40"/>
      <c r="U30" s="40"/>
      <c r="V30" s="40"/>
      <c r="W30" s="40"/>
      <c r="X30" s="40"/>
      <c r="Y30" s="40"/>
    </row>
    <row r="31" spans="10:25" ht="13.2" customHeight="1" x14ac:dyDescent="0.25">
      <c r="J31" s="40"/>
      <c r="K31" s="40"/>
      <c r="L31" s="40"/>
      <c r="M31" s="40"/>
      <c r="N31" s="40"/>
      <c r="O31" s="40"/>
      <c r="P31" s="40"/>
      <c r="Q31" s="40"/>
      <c r="R31" s="40"/>
      <c r="S31" s="40"/>
      <c r="T31" s="40"/>
      <c r="U31" s="40"/>
      <c r="V31" s="40"/>
      <c r="W31" s="40"/>
      <c r="X31" s="40"/>
      <c r="Y31" s="40"/>
    </row>
    <row r="32" spans="10:25" ht="13.2" customHeight="1" x14ac:dyDescent="0.25">
      <c r="J32" s="40"/>
      <c r="K32" s="40"/>
      <c r="L32" s="40"/>
      <c r="M32" s="40"/>
      <c r="N32" s="40"/>
      <c r="O32" s="40"/>
      <c r="P32" s="40"/>
      <c r="Q32" s="40"/>
      <c r="R32" s="40"/>
      <c r="S32" s="40"/>
      <c r="T32" s="40"/>
      <c r="U32" s="40"/>
      <c r="V32" s="40"/>
      <c r="W32" s="40"/>
      <c r="X32" s="40"/>
      <c r="Y32" s="40"/>
    </row>
    <row r="33" spans="10:25" ht="13.2" customHeight="1" x14ac:dyDescent="0.25">
      <c r="J33" s="40"/>
      <c r="K33" s="40"/>
      <c r="L33" s="40"/>
      <c r="M33" s="40"/>
      <c r="N33" s="40"/>
      <c r="O33" s="40"/>
      <c r="P33" s="40"/>
      <c r="Q33" s="40"/>
      <c r="R33" s="40"/>
      <c r="S33" s="40"/>
      <c r="T33" s="40"/>
      <c r="U33" s="40"/>
      <c r="V33" s="40"/>
      <c r="W33" s="40"/>
      <c r="X33" s="40"/>
      <c r="Y33" s="40"/>
    </row>
    <row r="34" spans="10:25" ht="13.2" customHeight="1" x14ac:dyDescent="0.25">
      <c r="J34" s="40"/>
      <c r="K34" s="40"/>
      <c r="L34" s="40"/>
      <c r="M34" s="40"/>
      <c r="N34" s="40"/>
      <c r="O34" s="40"/>
      <c r="P34" s="40"/>
      <c r="Q34" s="40"/>
      <c r="R34" s="40"/>
      <c r="S34" s="40"/>
      <c r="T34" s="40"/>
      <c r="U34" s="40"/>
      <c r="V34" s="40"/>
      <c r="W34" s="40"/>
      <c r="X34" s="40"/>
      <c r="Y34" s="40"/>
    </row>
    <row r="35" spans="10:25" ht="13.2" customHeight="1" x14ac:dyDescent="0.25">
      <c r="J35" s="40"/>
      <c r="K35" s="40"/>
      <c r="L35" s="40"/>
      <c r="M35" s="40"/>
      <c r="N35" s="40"/>
      <c r="O35" s="40"/>
      <c r="P35" s="40"/>
      <c r="Q35" s="40"/>
      <c r="R35" s="40"/>
      <c r="S35" s="40"/>
      <c r="T35" s="40"/>
      <c r="U35" s="40"/>
      <c r="V35" s="40"/>
      <c r="W35" s="40"/>
      <c r="X35" s="40"/>
      <c r="Y35" s="40"/>
    </row>
    <row r="36" spans="10:25" ht="13.2" customHeight="1" x14ac:dyDescent="0.25">
      <c r="J36" s="40"/>
      <c r="K36" s="40"/>
      <c r="L36" s="40"/>
      <c r="M36" s="40"/>
      <c r="N36" s="40"/>
      <c r="O36" s="40"/>
      <c r="P36" s="40"/>
      <c r="Q36" s="40"/>
      <c r="R36" s="40"/>
      <c r="S36" s="40"/>
      <c r="T36" s="40"/>
      <c r="U36" s="40"/>
      <c r="V36" s="40"/>
      <c r="W36" s="40"/>
      <c r="X36" s="40"/>
      <c r="Y36" s="40"/>
    </row>
    <row r="37" spans="10:25" ht="13.2" customHeight="1" x14ac:dyDescent="0.25">
      <c r="J37" s="40"/>
      <c r="K37" s="40"/>
      <c r="L37" s="40"/>
      <c r="M37" s="40"/>
      <c r="N37" s="40"/>
      <c r="O37" s="40"/>
      <c r="P37" s="40"/>
      <c r="Q37" s="40"/>
      <c r="R37" s="40"/>
      <c r="S37" s="40"/>
      <c r="T37" s="40"/>
      <c r="U37" s="40"/>
      <c r="V37" s="40"/>
      <c r="W37" s="40"/>
      <c r="X37" s="40"/>
      <c r="Y37" s="40"/>
    </row>
    <row r="38" spans="10:25" ht="13.2" customHeight="1" x14ac:dyDescent="0.25">
      <c r="J38" s="40"/>
      <c r="K38" s="40"/>
      <c r="L38" s="40"/>
      <c r="M38" s="40"/>
      <c r="N38" s="40"/>
      <c r="O38" s="40"/>
      <c r="P38" s="40"/>
      <c r="Q38" s="40"/>
      <c r="R38" s="40"/>
      <c r="S38" s="40"/>
      <c r="T38" s="40"/>
      <c r="U38" s="40"/>
      <c r="V38" s="40"/>
      <c r="W38" s="40"/>
      <c r="X38" s="40"/>
      <c r="Y38" s="40"/>
    </row>
    <row r="39" spans="10:25" ht="13.2" customHeight="1" x14ac:dyDescent="0.25">
      <c r="J39" s="40"/>
      <c r="K39" s="40"/>
      <c r="L39" s="40"/>
      <c r="M39" s="40"/>
      <c r="N39" s="40"/>
      <c r="O39" s="40"/>
      <c r="P39" s="40"/>
      <c r="Q39" s="40"/>
      <c r="R39" s="40"/>
      <c r="S39" s="40"/>
      <c r="T39" s="40"/>
      <c r="U39" s="40"/>
      <c r="V39" s="40"/>
      <c r="W39" s="40"/>
      <c r="X39" s="40"/>
      <c r="Y39" s="40"/>
    </row>
    <row r="40" spans="10:25" ht="13.2" customHeight="1" x14ac:dyDescent="0.25">
      <c r="J40" s="40"/>
      <c r="K40" s="40"/>
      <c r="L40" s="40"/>
      <c r="M40" s="40"/>
      <c r="N40" s="40"/>
      <c r="O40" s="40"/>
      <c r="P40" s="40"/>
      <c r="Q40" s="40"/>
      <c r="R40" s="40"/>
      <c r="S40" s="40"/>
      <c r="T40" s="40"/>
      <c r="U40" s="40"/>
      <c r="V40" s="40"/>
      <c r="W40" s="40"/>
      <c r="X40" s="40"/>
      <c r="Y40" s="40"/>
    </row>
    <row r="41" spans="10:25" ht="13.2" customHeight="1" x14ac:dyDescent="0.25">
      <c r="J41" s="2"/>
      <c r="K41" s="2"/>
      <c r="L41" s="2"/>
      <c r="M41" s="2"/>
      <c r="N41" s="2"/>
      <c r="O41" s="2"/>
      <c r="P41" s="2"/>
      <c r="Q41" s="2"/>
      <c r="R41" s="2"/>
      <c r="S41" s="2"/>
      <c r="T41" s="2"/>
      <c r="U41" s="2"/>
      <c r="V41" s="2"/>
      <c r="W41" s="2"/>
      <c r="X41" s="2"/>
      <c r="Y41" s="2"/>
    </row>
  </sheetData>
  <mergeCells count="3">
    <mergeCell ref="A1:H1"/>
    <mergeCell ref="J1:Y1"/>
    <mergeCell ref="J2:Y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8A826-FF99-4ECA-96CC-C7665C3C18A1}">
  <dimension ref="A1:X101"/>
  <sheetViews>
    <sheetView topLeftCell="A66" workbookViewId="0">
      <selection activeCell="J28" sqref="J28"/>
    </sheetView>
  </sheetViews>
  <sheetFormatPr defaultRowHeight="13.2" x14ac:dyDescent="0.25"/>
  <cols>
    <col min="1" max="1" width="12.6640625" bestFit="1" customWidth="1"/>
    <col min="2" max="2" width="7.21875" bestFit="1" customWidth="1"/>
    <col min="3" max="3" width="8" customWidth="1"/>
    <col min="4" max="4" width="6.88671875" customWidth="1"/>
    <col min="5" max="5" width="6.6640625" bestFit="1" customWidth="1"/>
    <col min="6" max="6" width="6.109375" bestFit="1" customWidth="1"/>
    <col min="7" max="7" width="10.5546875" bestFit="1" customWidth="1"/>
    <col min="8" max="8" width="7" bestFit="1" customWidth="1"/>
  </cols>
  <sheetData>
    <row r="1" spans="1:24" ht="24.6" x14ac:dyDescent="0.55000000000000004">
      <c r="A1" s="38" t="s">
        <v>11</v>
      </c>
      <c r="B1" s="38"/>
      <c r="C1" s="38"/>
      <c r="D1" s="38"/>
      <c r="E1" s="38"/>
      <c r="F1" s="38"/>
      <c r="G1" s="38"/>
      <c r="H1" s="38"/>
      <c r="J1" s="41" t="s">
        <v>2</v>
      </c>
      <c r="K1" s="42"/>
      <c r="L1" s="42"/>
      <c r="M1" s="42"/>
      <c r="N1" s="42"/>
      <c r="O1" s="42"/>
      <c r="P1" s="42"/>
      <c r="Q1" s="42"/>
      <c r="R1" s="42"/>
      <c r="S1" s="42"/>
      <c r="T1" s="42"/>
      <c r="U1" s="42"/>
      <c r="V1" s="42"/>
      <c r="W1" s="42"/>
      <c r="X1" s="42"/>
    </row>
    <row r="2" spans="1:24" ht="13.2" customHeight="1" x14ac:dyDescent="0.25">
      <c r="A2" s="1" t="s">
        <v>3</v>
      </c>
      <c r="B2" s="1" t="s">
        <v>4</v>
      </c>
      <c r="C2" s="1" t="s">
        <v>5</v>
      </c>
      <c r="D2" s="1" t="s">
        <v>6</v>
      </c>
      <c r="E2" s="1" t="s">
        <v>7</v>
      </c>
      <c r="F2" s="1" t="s">
        <v>8</v>
      </c>
      <c r="G2" s="1" t="s">
        <v>9</v>
      </c>
      <c r="H2" s="1" t="s">
        <v>10</v>
      </c>
      <c r="J2" s="40" t="s">
        <v>125</v>
      </c>
      <c r="K2" s="40"/>
      <c r="L2" s="40"/>
      <c r="M2" s="40"/>
      <c r="N2" s="40"/>
      <c r="O2" s="40"/>
      <c r="P2" s="40"/>
      <c r="Q2" s="40"/>
      <c r="R2" s="40"/>
      <c r="S2" s="40"/>
      <c r="T2" s="40"/>
      <c r="U2" s="40"/>
      <c r="V2" s="40"/>
      <c r="W2" s="40"/>
      <c r="X2" s="40"/>
    </row>
    <row r="3" spans="1:24" ht="13.2" customHeight="1" x14ac:dyDescent="0.25">
      <c r="A3" t="s">
        <v>12</v>
      </c>
      <c r="B3">
        <v>14.6</v>
      </c>
      <c r="F3" s="3"/>
      <c r="J3" s="40"/>
      <c r="K3" s="40"/>
      <c r="L3" s="40"/>
      <c r="M3" s="40"/>
      <c r="N3" s="40"/>
      <c r="O3" s="40"/>
      <c r="P3" s="40"/>
      <c r="Q3" s="40"/>
      <c r="R3" s="40"/>
      <c r="S3" s="40"/>
      <c r="T3" s="40"/>
      <c r="U3" s="40"/>
      <c r="V3" s="40"/>
      <c r="W3" s="40"/>
      <c r="X3" s="40"/>
    </row>
    <row r="4" spans="1:24" ht="13.2" customHeight="1" x14ac:dyDescent="0.25">
      <c r="A4" t="s">
        <v>13</v>
      </c>
      <c r="B4">
        <v>7.5</v>
      </c>
      <c r="J4" s="40"/>
      <c r="K4" s="40"/>
      <c r="L4" s="40"/>
      <c r="M4" s="40"/>
      <c r="N4" s="40"/>
      <c r="O4" s="40"/>
      <c r="P4" s="40"/>
      <c r="Q4" s="40"/>
      <c r="R4" s="40"/>
      <c r="S4" s="40"/>
      <c r="T4" s="40"/>
      <c r="U4" s="40"/>
      <c r="V4" s="40"/>
      <c r="W4" s="40"/>
      <c r="X4" s="40"/>
    </row>
    <row r="5" spans="1:24" ht="13.2" customHeight="1" x14ac:dyDescent="0.25">
      <c r="A5" t="s">
        <v>14</v>
      </c>
      <c r="B5">
        <v>4.3</v>
      </c>
      <c r="J5" s="40"/>
      <c r="K5" s="40"/>
      <c r="L5" s="40"/>
      <c r="M5" s="40"/>
      <c r="N5" s="40"/>
      <c r="O5" s="40"/>
      <c r="P5" s="40"/>
      <c r="Q5" s="40"/>
      <c r="R5" s="40"/>
      <c r="S5" s="40"/>
      <c r="T5" s="40"/>
      <c r="U5" s="40"/>
      <c r="V5" s="40"/>
      <c r="W5" s="40"/>
      <c r="X5" s="40"/>
    </row>
    <row r="6" spans="1:24" ht="13.2" customHeight="1" x14ac:dyDescent="0.25">
      <c r="A6" t="s">
        <v>15</v>
      </c>
      <c r="B6">
        <v>1.6</v>
      </c>
      <c r="J6" s="40"/>
      <c r="K6" s="40"/>
      <c r="L6" s="40"/>
      <c r="M6" s="40"/>
      <c r="N6" s="40"/>
      <c r="O6" s="40"/>
      <c r="P6" s="40"/>
      <c r="Q6" s="40"/>
      <c r="R6" s="40"/>
      <c r="S6" s="40"/>
      <c r="T6" s="40"/>
      <c r="U6" s="40"/>
      <c r="V6" s="40"/>
      <c r="W6" s="40"/>
      <c r="X6" s="40"/>
    </row>
    <row r="7" spans="1:24" ht="13.2" customHeight="1" x14ac:dyDescent="0.25">
      <c r="A7" t="s">
        <v>16</v>
      </c>
      <c r="B7">
        <v>0.8</v>
      </c>
      <c r="J7" s="40"/>
      <c r="K7" s="40"/>
      <c r="L7" s="40"/>
      <c r="M7" s="40"/>
      <c r="N7" s="40"/>
      <c r="O7" s="40"/>
      <c r="P7" s="40"/>
      <c r="Q7" s="40"/>
      <c r="R7" s="40"/>
      <c r="S7" s="40"/>
      <c r="T7" s="40"/>
      <c r="U7" s="40"/>
      <c r="V7" s="40"/>
      <c r="W7" s="40"/>
      <c r="X7" s="40"/>
    </row>
    <row r="8" spans="1:24" ht="13.2" customHeight="1" x14ac:dyDescent="0.25">
      <c r="A8" t="s">
        <v>17</v>
      </c>
      <c r="B8">
        <v>5</v>
      </c>
      <c r="J8" s="40"/>
      <c r="K8" s="40"/>
      <c r="L8" s="40"/>
      <c r="M8" s="40"/>
      <c r="N8" s="40"/>
      <c r="O8" s="40"/>
      <c r="P8" s="40"/>
      <c r="Q8" s="40"/>
      <c r="R8" s="40"/>
      <c r="S8" s="40"/>
      <c r="T8" s="40"/>
      <c r="U8" s="40"/>
      <c r="V8" s="40"/>
      <c r="W8" s="40"/>
      <c r="X8" s="40"/>
    </row>
    <row r="9" spans="1:24" ht="13.2" customHeight="1" x14ac:dyDescent="0.25">
      <c r="A9" t="s">
        <v>18</v>
      </c>
      <c r="B9">
        <v>8.4</v>
      </c>
      <c r="J9" s="40"/>
      <c r="K9" s="40"/>
      <c r="L9" s="40"/>
      <c r="M9" s="40"/>
      <c r="N9" s="40"/>
      <c r="O9" s="40"/>
      <c r="P9" s="40"/>
      <c r="Q9" s="40"/>
      <c r="R9" s="40"/>
      <c r="S9" s="40"/>
      <c r="T9" s="40"/>
      <c r="U9" s="40"/>
      <c r="V9" s="40"/>
      <c r="W9" s="40"/>
      <c r="X9" s="40"/>
    </row>
    <row r="10" spans="1:24" ht="13.2" customHeight="1" x14ac:dyDescent="0.25">
      <c r="A10" t="s">
        <v>19</v>
      </c>
      <c r="B10">
        <v>1.4</v>
      </c>
      <c r="J10" s="40"/>
      <c r="K10" s="40"/>
      <c r="L10" s="40"/>
      <c r="M10" s="40"/>
      <c r="N10" s="40"/>
      <c r="O10" s="40"/>
      <c r="P10" s="40"/>
      <c r="Q10" s="40"/>
      <c r="R10" s="40"/>
      <c r="S10" s="40"/>
      <c r="T10" s="40"/>
      <c r="U10" s="40"/>
      <c r="V10" s="40"/>
      <c r="W10" s="40"/>
      <c r="X10" s="40"/>
    </row>
    <row r="11" spans="1:24" ht="13.2" customHeight="1" x14ac:dyDescent="0.25">
      <c r="A11" t="s">
        <v>20</v>
      </c>
      <c r="B11">
        <v>1.9</v>
      </c>
      <c r="J11" s="40"/>
      <c r="K11" s="40"/>
      <c r="L11" s="40"/>
      <c r="M11" s="40"/>
      <c r="N11" s="40"/>
      <c r="O11" s="40"/>
      <c r="P11" s="40"/>
      <c r="Q11" s="40"/>
      <c r="R11" s="40"/>
      <c r="S11" s="40"/>
      <c r="T11" s="40"/>
      <c r="U11" s="40"/>
      <c r="V11" s="40"/>
      <c r="W11" s="40"/>
      <c r="X11" s="40"/>
    </row>
    <row r="12" spans="1:24" ht="13.2" customHeight="1" x14ac:dyDescent="0.25">
      <c r="A12" t="s">
        <v>21</v>
      </c>
      <c r="B12">
        <v>11</v>
      </c>
      <c r="J12" s="40"/>
      <c r="K12" s="40"/>
      <c r="L12" s="40"/>
      <c r="M12" s="40"/>
      <c r="N12" s="40"/>
      <c r="O12" s="40"/>
      <c r="P12" s="40"/>
      <c r="Q12" s="40"/>
      <c r="R12" s="40"/>
      <c r="S12" s="40"/>
      <c r="T12" s="40"/>
      <c r="U12" s="40"/>
      <c r="V12" s="40"/>
      <c r="W12" s="40"/>
      <c r="X12" s="40"/>
    </row>
    <row r="13" spans="1:24" ht="13.2" customHeight="1" x14ac:dyDescent="0.25">
      <c r="A13" t="s">
        <v>22</v>
      </c>
      <c r="B13">
        <v>22.6</v>
      </c>
      <c r="J13" s="40"/>
      <c r="K13" s="40"/>
      <c r="L13" s="40"/>
      <c r="M13" s="40"/>
      <c r="N13" s="40"/>
      <c r="O13" s="40"/>
      <c r="P13" s="40"/>
      <c r="Q13" s="40"/>
      <c r="R13" s="40"/>
      <c r="S13" s="40"/>
      <c r="T13" s="40"/>
      <c r="U13" s="40"/>
      <c r="V13" s="40"/>
      <c r="W13" s="40"/>
      <c r="X13" s="40"/>
    </row>
    <row r="14" spans="1:24" ht="13.2" customHeight="1" x14ac:dyDescent="0.25">
      <c r="A14" t="s">
        <v>23</v>
      </c>
      <c r="F14" s="3"/>
      <c r="J14" s="40"/>
      <c r="K14" s="40"/>
      <c r="L14" s="40"/>
      <c r="M14" s="40"/>
      <c r="N14" s="40"/>
      <c r="O14" s="40"/>
      <c r="P14" s="40"/>
      <c r="Q14" s="40"/>
      <c r="R14" s="40"/>
      <c r="S14" s="40"/>
      <c r="T14" s="40"/>
      <c r="U14" s="40"/>
      <c r="V14" s="40"/>
      <c r="W14" s="40"/>
      <c r="X14" s="40"/>
    </row>
    <row r="15" spans="1:24" ht="13.2" customHeight="1" x14ac:dyDescent="0.25">
      <c r="A15" t="s">
        <v>24</v>
      </c>
      <c r="B15">
        <v>20.8</v>
      </c>
      <c r="F15" s="3"/>
      <c r="J15" s="40"/>
      <c r="K15" s="40"/>
      <c r="L15" s="40"/>
      <c r="M15" s="40"/>
      <c r="N15" s="40"/>
      <c r="O15" s="40"/>
      <c r="P15" s="40"/>
      <c r="Q15" s="40"/>
      <c r="R15" s="40"/>
      <c r="S15" s="40"/>
      <c r="T15" s="40"/>
      <c r="U15" s="40"/>
      <c r="V15" s="40"/>
      <c r="W15" s="40"/>
      <c r="X15" s="40"/>
    </row>
    <row r="16" spans="1:24" ht="13.2" customHeight="1" x14ac:dyDescent="0.25">
      <c r="A16" t="s">
        <v>25</v>
      </c>
      <c r="B16">
        <v>12.2</v>
      </c>
      <c r="J16" s="40"/>
      <c r="K16" s="40"/>
      <c r="L16" s="40"/>
      <c r="M16" s="40"/>
      <c r="N16" s="40"/>
      <c r="O16" s="40"/>
      <c r="P16" s="40"/>
      <c r="Q16" s="40"/>
      <c r="R16" s="40"/>
      <c r="S16" s="40"/>
      <c r="T16" s="40"/>
      <c r="U16" s="40"/>
      <c r="V16" s="40"/>
      <c r="W16" s="40"/>
      <c r="X16" s="40"/>
    </row>
    <row r="17" spans="1:24" ht="13.2" customHeight="1" x14ac:dyDescent="0.25">
      <c r="A17" t="s">
        <v>26</v>
      </c>
      <c r="B17">
        <v>10.199999999999999</v>
      </c>
      <c r="J17" s="40"/>
      <c r="K17" s="40"/>
      <c r="L17" s="40"/>
      <c r="M17" s="40"/>
      <c r="N17" s="40"/>
      <c r="O17" s="40"/>
      <c r="P17" s="40"/>
      <c r="Q17" s="40"/>
      <c r="R17" s="40"/>
      <c r="S17" s="40"/>
      <c r="T17" s="40"/>
      <c r="U17" s="40"/>
      <c r="V17" s="40"/>
      <c r="W17" s="40"/>
      <c r="X17" s="40"/>
    </row>
    <row r="18" spans="1:24" ht="13.2" customHeight="1" x14ac:dyDescent="0.25">
      <c r="A18" t="s">
        <v>27</v>
      </c>
      <c r="B18">
        <v>10.7</v>
      </c>
      <c r="J18" s="40"/>
      <c r="K18" s="40"/>
      <c r="L18" s="40"/>
      <c r="M18" s="40"/>
      <c r="N18" s="40"/>
      <c r="O18" s="40"/>
      <c r="P18" s="40"/>
      <c r="Q18" s="40"/>
      <c r="R18" s="40"/>
      <c r="S18" s="40"/>
      <c r="T18" s="40"/>
      <c r="U18" s="40"/>
      <c r="V18" s="40"/>
      <c r="W18" s="40"/>
      <c r="X18" s="40"/>
    </row>
    <row r="19" spans="1:24" ht="13.2" customHeight="1" x14ac:dyDescent="0.25">
      <c r="A19" t="s">
        <v>28</v>
      </c>
      <c r="B19">
        <v>3.2</v>
      </c>
      <c r="J19" s="40"/>
      <c r="K19" s="40"/>
      <c r="L19" s="40"/>
      <c r="M19" s="40"/>
      <c r="N19" s="40"/>
      <c r="O19" s="40"/>
      <c r="P19" s="40"/>
      <c r="Q19" s="40"/>
      <c r="R19" s="40"/>
      <c r="S19" s="40"/>
      <c r="T19" s="40"/>
      <c r="U19" s="40"/>
      <c r="V19" s="40"/>
      <c r="W19" s="40"/>
      <c r="X19" s="40"/>
    </row>
    <row r="20" spans="1:24" ht="13.2" customHeight="1" x14ac:dyDescent="0.25">
      <c r="A20" t="s">
        <v>29</v>
      </c>
      <c r="B20">
        <v>6.6</v>
      </c>
      <c r="J20" s="40"/>
      <c r="K20" s="40"/>
      <c r="L20" s="40"/>
      <c r="M20" s="40"/>
      <c r="N20" s="40"/>
      <c r="O20" s="40"/>
      <c r="P20" s="40"/>
      <c r="Q20" s="40"/>
      <c r="R20" s="40"/>
      <c r="S20" s="40"/>
      <c r="T20" s="40"/>
      <c r="U20" s="40"/>
      <c r="V20" s="40"/>
      <c r="W20" s="40"/>
      <c r="X20" s="40"/>
    </row>
    <row r="21" spans="1:24" ht="13.2" customHeight="1" x14ac:dyDescent="0.25">
      <c r="A21" t="s">
        <v>30</v>
      </c>
      <c r="B21">
        <v>20.8</v>
      </c>
      <c r="J21" s="40"/>
      <c r="K21" s="40"/>
      <c r="L21" s="40"/>
      <c r="M21" s="40"/>
      <c r="N21" s="40"/>
      <c r="O21" s="40"/>
      <c r="P21" s="40"/>
      <c r="Q21" s="40"/>
      <c r="R21" s="40"/>
      <c r="S21" s="40"/>
      <c r="T21" s="40"/>
      <c r="U21" s="40"/>
      <c r="V21" s="40"/>
      <c r="W21" s="40"/>
      <c r="X21" s="40"/>
    </row>
    <row r="22" spans="1:24" ht="13.2" customHeight="1" x14ac:dyDescent="0.25">
      <c r="A22" t="s">
        <v>31</v>
      </c>
      <c r="B22">
        <v>25.5</v>
      </c>
      <c r="J22" s="40"/>
      <c r="K22" s="40"/>
      <c r="L22" s="40"/>
      <c r="M22" s="40"/>
      <c r="N22" s="40"/>
      <c r="O22" s="40"/>
      <c r="P22" s="40"/>
      <c r="Q22" s="40"/>
      <c r="R22" s="40"/>
      <c r="S22" s="40"/>
      <c r="T22" s="40"/>
      <c r="U22" s="40"/>
      <c r="V22" s="40"/>
      <c r="W22" s="40"/>
      <c r="X22" s="40"/>
    </row>
    <row r="23" spans="1:24" ht="13.2" customHeight="1" x14ac:dyDescent="0.25">
      <c r="A23" t="s">
        <v>32</v>
      </c>
      <c r="B23">
        <v>18.399999999999999</v>
      </c>
      <c r="J23" s="40"/>
      <c r="K23" s="40"/>
      <c r="L23" s="40"/>
      <c r="M23" s="40"/>
      <c r="N23" s="40"/>
      <c r="O23" s="40"/>
      <c r="P23" s="40"/>
      <c r="Q23" s="40"/>
      <c r="R23" s="40"/>
      <c r="S23" s="40"/>
      <c r="T23" s="40"/>
      <c r="U23" s="40"/>
      <c r="V23" s="40"/>
      <c r="W23" s="40"/>
      <c r="X23" s="40"/>
    </row>
    <row r="24" spans="1:24" ht="13.2" customHeight="1" x14ac:dyDescent="0.25">
      <c r="A24" t="s">
        <v>33</v>
      </c>
      <c r="B24">
        <v>29.3</v>
      </c>
      <c r="J24" s="40"/>
      <c r="K24" s="40"/>
      <c r="L24" s="40"/>
      <c r="M24" s="40"/>
      <c r="N24" s="40"/>
      <c r="O24" s="40"/>
      <c r="P24" s="40"/>
      <c r="Q24" s="40"/>
      <c r="R24" s="40"/>
      <c r="S24" s="40"/>
      <c r="T24" s="40"/>
      <c r="U24" s="40"/>
      <c r="V24" s="40"/>
      <c r="W24" s="40"/>
      <c r="X24" s="40"/>
    </row>
    <row r="25" spans="1:24" ht="13.2" customHeight="1" x14ac:dyDescent="0.25">
      <c r="A25" t="s">
        <v>34</v>
      </c>
      <c r="B25">
        <v>23</v>
      </c>
      <c r="J25" s="40"/>
      <c r="K25" s="40"/>
      <c r="L25" s="40"/>
      <c r="M25" s="40"/>
      <c r="N25" s="40"/>
      <c r="O25" s="40"/>
      <c r="P25" s="40"/>
      <c r="Q25" s="40"/>
      <c r="R25" s="40"/>
      <c r="S25" s="40"/>
      <c r="T25" s="40"/>
      <c r="U25" s="40"/>
      <c r="V25" s="40"/>
      <c r="W25" s="40"/>
      <c r="X25" s="40"/>
    </row>
    <row r="26" spans="1:24" ht="13.2" customHeight="1" x14ac:dyDescent="0.25">
      <c r="A26" t="s">
        <v>35</v>
      </c>
      <c r="B26">
        <v>31.4</v>
      </c>
      <c r="J26" s="40"/>
      <c r="K26" s="40"/>
      <c r="L26" s="40"/>
      <c r="M26" s="40"/>
      <c r="N26" s="40"/>
      <c r="O26" s="40"/>
      <c r="P26" s="40"/>
      <c r="Q26" s="40"/>
      <c r="R26" s="40"/>
      <c r="S26" s="40"/>
      <c r="T26" s="40"/>
      <c r="U26" s="40"/>
      <c r="V26" s="40"/>
      <c r="W26" s="40"/>
      <c r="X26" s="40"/>
    </row>
    <row r="27" spans="1:24" ht="13.2" customHeight="1" x14ac:dyDescent="0.25">
      <c r="A27" t="s">
        <v>36</v>
      </c>
      <c r="B27">
        <v>19.100000000000001</v>
      </c>
      <c r="J27" s="40"/>
      <c r="K27" s="40"/>
      <c r="L27" s="40"/>
      <c r="M27" s="40"/>
      <c r="N27" s="40"/>
      <c r="O27" s="40"/>
      <c r="P27" s="40"/>
      <c r="Q27" s="40"/>
      <c r="R27" s="40"/>
      <c r="S27" s="40"/>
      <c r="T27" s="40"/>
      <c r="U27" s="40"/>
      <c r="V27" s="40"/>
      <c r="W27" s="40"/>
      <c r="X27" s="40"/>
    </row>
    <row r="28" spans="1:24" ht="13.2" customHeight="1" x14ac:dyDescent="0.25">
      <c r="A28" t="s">
        <v>37</v>
      </c>
      <c r="B28">
        <v>16</v>
      </c>
      <c r="J28" s="2"/>
      <c r="K28" s="2"/>
      <c r="L28" s="2"/>
      <c r="M28" s="2"/>
      <c r="N28" s="2"/>
      <c r="O28" s="2"/>
      <c r="P28" s="2"/>
      <c r="Q28" s="2"/>
      <c r="R28" s="2"/>
      <c r="S28" s="2"/>
      <c r="T28" s="2"/>
      <c r="U28" s="2"/>
      <c r="V28" s="2"/>
      <c r="W28" s="2"/>
      <c r="X28" s="2"/>
    </row>
    <row r="29" spans="1:24" ht="13.2" customHeight="1" x14ac:dyDescent="0.25">
      <c r="A29" t="s">
        <v>38</v>
      </c>
      <c r="B29">
        <v>12.4</v>
      </c>
      <c r="J29" s="2"/>
      <c r="K29" s="2"/>
      <c r="L29" s="2"/>
      <c r="M29" s="2"/>
      <c r="N29" s="2"/>
      <c r="O29" s="2"/>
      <c r="P29" s="2"/>
      <c r="Q29" s="2"/>
      <c r="R29" s="2"/>
      <c r="S29" s="2"/>
      <c r="T29" s="2"/>
      <c r="U29" s="2"/>
      <c r="V29" s="2"/>
      <c r="W29" s="2"/>
      <c r="X29" s="2"/>
    </row>
    <row r="30" spans="1:24" ht="13.2" customHeight="1" x14ac:dyDescent="0.25">
      <c r="A30" t="s">
        <v>39</v>
      </c>
      <c r="B30">
        <v>11.9</v>
      </c>
      <c r="J30" s="2"/>
      <c r="K30" s="2"/>
      <c r="L30" s="2"/>
      <c r="M30" s="2"/>
      <c r="N30" s="2"/>
      <c r="O30" s="2"/>
      <c r="P30" s="2"/>
      <c r="Q30" s="2"/>
      <c r="R30" s="2"/>
      <c r="S30" s="2"/>
      <c r="T30" s="2"/>
      <c r="U30" s="2"/>
      <c r="V30" s="2"/>
      <c r="W30" s="2"/>
      <c r="X30" s="2"/>
    </row>
    <row r="31" spans="1:24" ht="13.2" customHeight="1" x14ac:dyDescent="0.25">
      <c r="A31" t="s">
        <v>40</v>
      </c>
      <c r="B31">
        <v>6.1</v>
      </c>
      <c r="J31" s="2"/>
      <c r="K31" s="2"/>
      <c r="L31" s="2"/>
      <c r="M31" s="2"/>
      <c r="N31" s="2"/>
      <c r="O31" s="2"/>
      <c r="P31" s="2"/>
      <c r="Q31" s="2"/>
      <c r="R31" s="2"/>
      <c r="S31" s="2"/>
      <c r="T31" s="2"/>
      <c r="U31" s="2"/>
      <c r="V31" s="2"/>
      <c r="W31" s="2"/>
      <c r="X31" s="2"/>
    </row>
    <row r="32" spans="1:24" ht="13.2" customHeight="1" x14ac:dyDescent="0.25">
      <c r="A32" t="s">
        <v>41</v>
      </c>
      <c r="B32">
        <v>4.0999999999999996</v>
      </c>
      <c r="J32" s="2"/>
      <c r="K32" s="2"/>
      <c r="L32" s="2"/>
      <c r="M32" s="2"/>
      <c r="N32" s="2"/>
      <c r="O32" s="2"/>
      <c r="P32" s="2"/>
      <c r="Q32" s="2"/>
      <c r="R32" s="2"/>
      <c r="S32" s="2"/>
      <c r="T32" s="2"/>
      <c r="U32" s="2"/>
      <c r="V32" s="2"/>
      <c r="W32" s="2"/>
      <c r="X32" s="2"/>
    </row>
    <row r="33" spans="1:24" ht="13.2" customHeight="1" x14ac:dyDescent="0.25">
      <c r="A33" t="s">
        <v>42</v>
      </c>
      <c r="B33">
        <v>0.5</v>
      </c>
      <c r="J33" s="2"/>
      <c r="K33" s="2"/>
      <c r="L33" s="2"/>
      <c r="M33" s="2"/>
      <c r="N33" s="2"/>
      <c r="O33" s="2"/>
      <c r="P33" s="2"/>
      <c r="Q33" s="2"/>
      <c r="R33" s="2"/>
      <c r="S33" s="2"/>
      <c r="T33" s="2"/>
      <c r="U33" s="2"/>
      <c r="V33" s="2"/>
      <c r="W33" s="2"/>
      <c r="X33" s="2"/>
    </row>
    <row r="34" spans="1:24" x14ac:dyDescent="0.25">
      <c r="A34" t="s">
        <v>43</v>
      </c>
      <c r="B34">
        <v>1.6</v>
      </c>
    </row>
    <row r="35" spans="1:24" x14ac:dyDescent="0.25">
      <c r="A35" t="s">
        <v>44</v>
      </c>
      <c r="B35">
        <v>2.2999999999999998</v>
      </c>
    </row>
    <row r="36" spans="1:24" x14ac:dyDescent="0.25">
      <c r="A36" t="s">
        <v>45</v>
      </c>
      <c r="B36">
        <v>17.600000000000001</v>
      </c>
    </row>
    <row r="37" spans="1:24" x14ac:dyDescent="0.25">
      <c r="A37" t="s">
        <v>46</v>
      </c>
      <c r="B37">
        <v>7.1</v>
      </c>
    </row>
    <row r="38" spans="1:24" x14ac:dyDescent="0.25">
      <c r="A38" t="s">
        <v>47</v>
      </c>
      <c r="B38">
        <v>8.1</v>
      </c>
    </row>
    <row r="39" spans="1:24" x14ac:dyDescent="0.25">
      <c r="A39" t="s">
        <v>48</v>
      </c>
      <c r="B39">
        <v>15.2</v>
      </c>
    </row>
    <row r="40" spans="1:24" x14ac:dyDescent="0.25">
      <c r="A40" t="s">
        <v>49</v>
      </c>
      <c r="B40">
        <v>11.3</v>
      </c>
    </row>
    <row r="41" spans="1:24" x14ac:dyDescent="0.25">
      <c r="A41" t="s">
        <v>50</v>
      </c>
      <c r="B41">
        <v>17</v>
      </c>
    </row>
    <row r="42" spans="1:24" x14ac:dyDescent="0.25">
      <c r="A42" t="s">
        <v>51</v>
      </c>
      <c r="B42">
        <v>17.3</v>
      </c>
    </row>
    <row r="43" spans="1:24" x14ac:dyDescent="0.25">
      <c r="A43" t="s">
        <v>52</v>
      </c>
      <c r="B43">
        <v>5.8</v>
      </c>
    </row>
    <row r="44" spans="1:24" x14ac:dyDescent="0.25">
      <c r="A44" t="s">
        <v>53</v>
      </c>
      <c r="B44">
        <v>2.7</v>
      </c>
    </row>
    <row r="45" spans="1:24" x14ac:dyDescent="0.25">
      <c r="A45" t="s">
        <v>54</v>
      </c>
      <c r="B45">
        <v>4.4000000000000004</v>
      </c>
    </row>
    <row r="46" spans="1:24" x14ac:dyDescent="0.25">
      <c r="A46" t="s">
        <v>55</v>
      </c>
      <c r="B46">
        <v>6.3</v>
      </c>
    </row>
    <row r="47" spans="1:24" x14ac:dyDescent="0.25">
      <c r="A47" t="s">
        <v>56</v>
      </c>
      <c r="B47">
        <v>1.2</v>
      </c>
    </row>
    <row r="48" spans="1:24" x14ac:dyDescent="0.25">
      <c r="A48" t="s">
        <v>57</v>
      </c>
      <c r="B48">
        <v>3.2</v>
      </c>
    </row>
    <row r="49" spans="1:2" x14ac:dyDescent="0.25">
      <c r="A49" t="s">
        <v>58</v>
      </c>
      <c r="B49">
        <v>11</v>
      </c>
    </row>
    <row r="50" spans="1:2" x14ac:dyDescent="0.25">
      <c r="A50" t="s">
        <v>59</v>
      </c>
      <c r="B50">
        <v>10.5</v>
      </c>
    </row>
    <row r="51" spans="1:2" x14ac:dyDescent="0.25">
      <c r="A51" t="s">
        <v>60</v>
      </c>
      <c r="B51">
        <v>7.6</v>
      </c>
    </row>
    <row r="52" spans="1:2" x14ac:dyDescent="0.25">
      <c r="A52" t="s">
        <v>61</v>
      </c>
      <c r="B52">
        <v>4.7</v>
      </c>
    </row>
    <row r="53" spans="1:2" x14ac:dyDescent="0.25">
      <c r="A53" t="s">
        <v>62</v>
      </c>
      <c r="B53">
        <v>4.5</v>
      </c>
    </row>
    <row r="54" spans="1:2" x14ac:dyDescent="0.25">
      <c r="A54" t="s">
        <v>63</v>
      </c>
      <c r="B54">
        <v>4.2</v>
      </c>
    </row>
    <row r="55" spans="1:2" x14ac:dyDescent="0.25">
      <c r="A55" t="s">
        <v>64</v>
      </c>
      <c r="B55">
        <v>4.4000000000000004</v>
      </c>
    </row>
    <row r="56" spans="1:2" x14ac:dyDescent="0.25">
      <c r="A56" t="s">
        <v>65</v>
      </c>
      <c r="B56">
        <v>7.1</v>
      </c>
    </row>
    <row r="57" spans="1:2" x14ac:dyDescent="0.25">
      <c r="A57" t="s">
        <v>66</v>
      </c>
      <c r="B57">
        <v>6.1</v>
      </c>
    </row>
    <row r="58" spans="1:2" x14ac:dyDescent="0.25">
      <c r="A58" t="s">
        <v>67</v>
      </c>
      <c r="B58">
        <v>3.6</v>
      </c>
    </row>
    <row r="59" spans="1:2" x14ac:dyDescent="0.25">
      <c r="A59" t="s">
        <v>68</v>
      </c>
      <c r="B59">
        <v>10.5</v>
      </c>
    </row>
    <row r="60" spans="1:2" x14ac:dyDescent="0.25">
      <c r="A60" t="s">
        <v>69</v>
      </c>
      <c r="B60">
        <v>14.8</v>
      </c>
    </row>
    <row r="61" spans="1:2" x14ac:dyDescent="0.25">
      <c r="A61" t="s">
        <v>70</v>
      </c>
      <c r="B61">
        <v>10.9</v>
      </c>
    </row>
    <row r="62" spans="1:2" x14ac:dyDescent="0.25">
      <c r="A62" t="s">
        <v>71</v>
      </c>
      <c r="B62">
        <v>10.5</v>
      </c>
    </row>
    <row r="63" spans="1:2" x14ac:dyDescent="0.25">
      <c r="A63" t="s">
        <v>72</v>
      </c>
      <c r="B63">
        <v>13.4</v>
      </c>
    </row>
    <row r="64" spans="1:2" x14ac:dyDescent="0.25">
      <c r="A64" t="s">
        <v>73</v>
      </c>
      <c r="B64">
        <v>18.100000000000001</v>
      </c>
    </row>
    <row r="65" spans="1:2" x14ac:dyDescent="0.25">
      <c r="A65" t="s">
        <v>74</v>
      </c>
      <c r="B65">
        <v>15.4</v>
      </c>
    </row>
    <row r="66" spans="1:2" x14ac:dyDescent="0.25">
      <c r="A66" t="s">
        <v>75</v>
      </c>
      <c r="B66">
        <v>19</v>
      </c>
    </row>
    <row r="67" spans="1:2" x14ac:dyDescent="0.25">
      <c r="A67" t="s">
        <v>76</v>
      </c>
      <c r="B67">
        <v>13.4</v>
      </c>
    </row>
    <row r="68" spans="1:2" x14ac:dyDescent="0.25">
      <c r="A68" t="s">
        <v>77</v>
      </c>
      <c r="B68">
        <v>10.199999999999999</v>
      </c>
    </row>
    <row r="69" spans="1:2" x14ac:dyDescent="0.25">
      <c r="A69" t="s">
        <v>78</v>
      </c>
      <c r="B69">
        <v>13.1</v>
      </c>
    </row>
    <row r="70" spans="1:2" x14ac:dyDescent="0.25">
      <c r="A70" t="s">
        <v>79</v>
      </c>
      <c r="B70">
        <v>18.100000000000001</v>
      </c>
    </row>
    <row r="71" spans="1:2" x14ac:dyDescent="0.25">
      <c r="A71" t="s">
        <v>80</v>
      </c>
      <c r="B71">
        <v>14.4</v>
      </c>
    </row>
    <row r="72" spans="1:2" x14ac:dyDescent="0.25">
      <c r="A72" t="s">
        <v>81</v>
      </c>
      <c r="B72">
        <v>15</v>
      </c>
    </row>
    <row r="73" spans="1:2" x14ac:dyDescent="0.25">
      <c r="A73" t="s">
        <v>82</v>
      </c>
      <c r="B73">
        <v>10.8</v>
      </c>
    </row>
    <row r="74" spans="1:2" x14ac:dyDescent="0.25">
      <c r="A74" t="s">
        <v>83</v>
      </c>
      <c r="B74">
        <v>5.4</v>
      </c>
    </row>
    <row r="75" spans="1:2" x14ac:dyDescent="0.25">
      <c r="A75" t="s">
        <v>84</v>
      </c>
      <c r="B75">
        <v>3.2</v>
      </c>
    </row>
    <row r="76" spans="1:2" x14ac:dyDescent="0.25">
      <c r="A76" t="s">
        <v>85</v>
      </c>
      <c r="B76">
        <v>1.9</v>
      </c>
    </row>
    <row r="77" spans="1:2" x14ac:dyDescent="0.25">
      <c r="A77" t="s">
        <v>86</v>
      </c>
      <c r="B77">
        <v>3.6</v>
      </c>
    </row>
    <row r="78" spans="1:2" x14ac:dyDescent="0.25">
      <c r="A78" t="s">
        <v>87</v>
      </c>
      <c r="B78">
        <v>18.3</v>
      </c>
    </row>
    <row r="79" spans="1:2" x14ac:dyDescent="0.25">
      <c r="A79" t="s">
        <v>88</v>
      </c>
      <c r="B79">
        <v>12.2</v>
      </c>
    </row>
    <row r="80" spans="1:2" x14ac:dyDescent="0.25">
      <c r="A80" t="s">
        <v>89</v>
      </c>
      <c r="B80">
        <v>2.2000000000000002</v>
      </c>
    </row>
    <row r="81" spans="1:2" x14ac:dyDescent="0.25">
      <c r="A81" t="s">
        <v>90</v>
      </c>
      <c r="B81">
        <v>1.2</v>
      </c>
    </row>
    <row r="82" spans="1:2" x14ac:dyDescent="0.25">
      <c r="A82" t="s">
        <v>91</v>
      </c>
      <c r="B82">
        <v>1.9</v>
      </c>
    </row>
    <row r="83" spans="1:2" x14ac:dyDescent="0.25">
      <c r="A83" t="s">
        <v>92</v>
      </c>
      <c r="B83">
        <v>4.5999999999999996</v>
      </c>
    </row>
    <row r="84" spans="1:2" x14ac:dyDescent="0.25">
      <c r="A84" t="s">
        <v>93</v>
      </c>
      <c r="B84">
        <v>4</v>
      </c>
    </row>
    <row r="85" spans="1:2" x14ac:dyDescent="0.25">
      <c r="A85" t="s">
        <v>94</v>
      </c>
      <c r="B85">
        <v>4.5</v>
      </c>
    </row>
    <row r="86" spans="1:2" x14ac:dyDescent="0.25">
      <c r="A86" t="s">
        <v>95</v>
      </c>
      <c r="B86">
        <v>2.9</v>
      </c>
    </row>
    <row r="87" spans="1:2" x14ac:dyDescent="0.25">
      <c r="A87" t="s">
        <v>96</v>
      </c>
      <c r="B87">
        <v>3.5</v>
      </c>
    </row>
    <row r="88" spans="1:2" x14ac:dyDescent="0.25">
      <c r="A88" t="s">
        <v>97</v>
      </c>
      <c r="B88">
        <v>0.7</v>
      </c>
    </row>
    <row r="89" spans="1:2" x14ac:dyDescent="0.25">
      <c r="A89" t="s">
        <v>98</v>
      </c>
      <c r="B89">
        <v>0</v>
      </c>
    </row>
    <row r="90" spans="1:2" x14ac:dyDescent="0.25">
      <c r="A90" t="s">
        <v>99</v>
      </c>
      <c r="B90">
        <v>0.7</v>
      </c>
    </row>
    <row r="91" spans="1:2" x14ac:dyDescent="0.25">
      <c r="A91" t="s">
        <v>100</v>
      </c>
      <c r="B91">
        <v>1</v>
      </c>
    </row>
    <row r="92" spans="1:2" x14ac:dyDescent="0.25">
      <c r="A92" t="s">
        <v>101</v>
      </c>
      <c r="B92">
        <v>1.1000000000000001</v>
      </c>
    </row>
    <row r="93" spans="1:2" x14ac:dyDescent="0.25">
      <c r="A93" t="s">
        <v>102</v>
      </c>
      <c r="B93">
        <v>0.4</v>
      </c>
    </row>
    <row r="94" spans="1:2" x14ac:dyDescent="0.25">
      <c r="A94" t="s">
        <v>103</v>
      </c>
      <c r="B94">
        <v>0</v>
      </c>
    </row>
    <row r="95" spans="1:2" x14ac:dyDescent="0.25">
      <c r="A95" t="s">
        <v>104</v>
      </c>
      <c r="B95">
        <v>1</v>
      </c>
    </row>
    <row r="96" spans="1:2" x14ac:dyDescent="0.25">
      <c r="A96" t="s">
        <v>105</v>
      </c>
      <c r="B96">
        <v>2.2999999999999998</v>
      </c>
    </row>
    <row r="97" spans="1:2" x14ac:dyDescent="0.25">
      <c r="A97" t="s">
        <v>106</v>
      </c>
      <c r="B97">
        <v>2.9</v>
      </c>
    </row>
    <row r="98" spans="1:2" x14ac:dyDescent="0.25">
      <c r="A98" t="s">
        <v>107</v>
      </c>
      <c r="B98">
        <v>1.3</v>
      </c>
    </row>
    <row r="99" spans="1:2" x14ac:dyDescent="0.25">
      <c r="A99" t="s">
        <v>108</v>
      </c>
      <c r="B99">
        <v>2.2000000000000002</v>
      </c>
    </row>
    <row r="100" spans="1:2" x14ac:dyDescent="0.25">
      <c r="A100" t="s">
        <v>109</v>
      </c>
      <c r="B100">
        <v>3.1</v>
      </c>
    </row>
    <row r="101" spans="1:2" x14ac:dyDescent="0.25">
      <c r="A101" t="s">
        <v>110</v>
      </c>
      <c r="B101">
        <v>4.9000000000000004</v>
      </c>
    </row>
  </sheetData>
  <mergeCells count="3">
    <mergeCell ref="J1:X1"/>
    <mergeCell ref="J2:X27"/>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A9A19-482B-4A93-ABDE-72ED46B4390F}">
  <dimension ref="A1:X101"/>
  <sheetViews>
    <sheetView workbookViewId="0">
      <selection activeCell="J20" sqref="J20"/>
    </sheetView>
  </sheetViews>
  <sheetFormatPr defaultRowHeight="13.2" x14ac:dyDescent="0.25"/>
  <cols>
    <col min="1" max="1" width="12.6640625" bestFit="1" customWidth="1"/>
    <col min="2" max="2" width="7.21875" bestFit="1" customWidth="1"/>
    <col min="4" max="4" width="6.88671875" bestFit="1" customWidth="1"/>
    <col min="5" max="5" width="6.6640625" bestFit="1" customWidth="1"/>
    <col min="6" max="6" width="6.109375" bestFit="1" customWidth="1"/>
    <col min="7" max="7" width="10.5546875" bestFit="1" customWidth="1"/>
    <col min="8" max="8" width="7" bestFit="1" customWidth="1"/>
  </cols>
  <sheetData>
    <row r="1" spans="1:24" ht="24.6" x14ac:dyDescent="0.55000000000000004">
      <c r="A1" s="38" t="s">
        <v>111</v>
      </c>
      <c r="B1" s="38"/>
      <c r="C1" s="38"/>
      <c r="D1" s="38"/>
      <c r="E1" s="38"/>
      <c r="F1" s="38"/>
      <c r="G1" s="38"/>
      <c r="H1" s="38"/>
      <c r="J1" s="41" t="s">
        <v>2</v>
      </c>
      <c r="K1" s="42"/>
      <c r="L1" s="42"/>
      <c r="M1" s="42"/>
      <c r="N1" s="42"/>
      <c r="O1" s="42"/>
      <c r="P1" s="42"/>
      <c r="Q1" s="42"/>
      <c r="R1" s="42"/>
      <c r="S1" s="42"/>
      <c r="T1" s="42"/>
      <c r="U1" s="42"/>
      <c r="V1" s="42"/>
      <c r="W1" s="42"/>
      <c r="X1" s="42"/>
    </row>
    <row r="2" spans="1:24" ht="13.2" customHeight="1" x14ac:dyDescent="0.25">
      <c r="A2" s="1" t="s">
        <v>3</v>
      </c>
      <c r="B2" s="1" t="s">
        <v>4</v>
      </c>
      <c r="C2" s="1" t="s">
        <v>5</v>
      </c>
      <c r="D2" s="1" t="s">
        <v>6</v>
      </c>
      <c r="E2" s="1" t="s">
        <v>7</v>
      </c>
      <c r="F2" s="1" t="s">
        <v>8</v>
      </c>
      <c r="G2" s="1" t="s">
        <v>9</v>
      </c>
      <c r="H2" s="1" t="s">
        <v>10</v>
      </c>
      <c r="J2" s="40" t="s">
        <v>156</v>
      </c>
      <c r="K2" s="40"/>
      <c r="L2" s="40"/>
      <c r="M2" s="40"/>
      <c r="N2" s="40"/>
      <c r="O2" s="40"/>
      <c r="P2" s="40"/>
      <c r="Q2" s="40"/>
      <c r="R2" s="40"/>
      <c r="S2" s="40"/>
      <c r="T2" s="40"/>
      <c r="U2" s="40"/>
      <c r="V2" s="40"/>
      <c r="W2" s="40"/>
      <c r="X2" s="40"/>
    </row>
    <row r="3" spans="1:24" ht="13.2" customHeight="1" x14ac:dyDescent="0.25">
      <c r="A3" t="s">
        <v>12</v>
      </c>
      <c r="B3">
        <v>14.6</v>
      </c>
      <c r="F3" s="3"/>
      <c r="J3" s="40"/>
      <c r="K3" s="40"/>
      <c r="L3" s="40"/>
      <c r="M3" s="40"/>
      <c r="N3" s="40"/>
      <c r="O3" s="40"/>
      <c r="P3" s="40"/>
      <c r="Q3" s="40"/>
      <c r="R3" s="40"/>
      <c r="S3" s="40"/>
      <c r="T3" s="40"/>
      <c r="U3" s="40"/>
      <c r="V3" s="40"/>
      <c r="W3" s="40"/>
      <c r="X3" s="40"/>
    </row>
    <row r="4" spans="1:24" ht="13.2" customHeight="1" x14ac:dyDescent="0.25">
      <c r="A4" t="s">
        <v>13</v>
      </c>
      <c r="B4">
        <v>7.5</v>
      </c>
      <c r="F4">
        <f>ROUND(ABS(B3-B4),2)</f>
        <v>7.1</v>
      </c>
      <c r="J4" s="40"/>
      <c r="K4" s="40"/>
      <c r="L4" s="40"/>
      <c r="M4" s="40"/>
      <c r="N4" s="40"/>
      <c r="O4" s="40"/>
      <c r="P4" s="40"/>
      <c r="Q4" s="40"/>
      <c r="R4" s="40"/>
      <c r="S4" s="40"/>
      <c r="T4" s="40"/>
      <c r="U4" s="40"/>
      <c r="V4" s="40"/>
      <c r="W4" s="40"/>
      <c r="X4" s="40"/>
    </row>
    <row r="5" spans="1:24" ht="13.2" customHeight="1" x14ac:dyDescent="0.25">
      <c r="A5" t="s">
        <v>14</v>
      </c>
      <c r="B5">
        <v>4.3</v>
      </c>
      <c r="F5">
        <f t="shared" ref="F5:F68" si="0">ROUND(ABS(B4-B5),2)</f>
        <v>3.2</v>
      </c>
      <c r="J5" s="40"/>
      <c r="K5" s="40"/>
      <c r="L5" s="40"/>
      <c r="M5" s="40"/>
      <c r="N5" s="40"/>
      <c r="O5" s="40"/>
      <c r="P5" s="40"/>
      <c r="Q5" s="40"/>
      <c r="R5" s="40"/>
      <c r="S5" s="40"/>
      <c r="T5" s="40"/>
      <c r="U5" s="40"/>
      <c r="V5" s="40"/>
      <c r="W5" s="40"/>
      <c r="X5" s="40"/>
    </row>
    <row r="6" spans="1:24" ht="13.2" customHeight="1" x14ac:dyDescent="0.25">
      <c r="A6" t="s">
        <v>15</v>
      </c>
      <c r="B6">
        <v>1.6</v>
      </c>
      <c r="F6">
        <f t="shared" si="0"/>
        <v>2.7</v>
      </c>
      <c r="J6" s="40"/>
      <c r="K6" s="40"/>
      <c r="L6" s="40"/>
      <c r="M6" s="40"/>
      <c r="N6" s="40"/>
      <c r="O6" s="40"/>
      <c r="P6" s="40"/>
      <c r="Q6" s="40"/>
      <c r="R6" s="40"/>
      <c r="S6" s="40"/>
      <c r="T6" s="40"/>
      <c r="U6" s="40"/>
      <c r="V6" s="40"/>
      <c r="W6" s="40"/>
      <c r="X6" s="40"/>
    </row>
    <row r="7" spans="1:24" ht="13.2" customHeight="1" x14ac:dyDescent="0.25">
      <c r="A7" t="s">
        <v>16</v>
      </c>
      <c r="B7">
        <v>0.8</v>
      </c>
      <c r="F7">
        <f t="shared" si="0"/>
        <v>0.8</v>
      </c>
      <c r="J7" s="40"/>
      <c r="K7" s="40"/>
      <c r="L7" s="40"/>
      <c r="M7" s="40"/>
      <c r="N7" s="40"/>
      <c r="O7" s="40"/>
      <c r="P7" s="40"/>
      <c r="Q7" s="40"/>
      <c r="R7" s="40"/>
      <c r="S7" s="40"/>
      <c r="T7" s="40"/>
      <c r="U7" s="40"/>
      <c r="V7" s="40"/>
      <c r="W7" s="40"/>
      <c r="X7" s="40"/>
    </row>
    <row r="8" spans="1:24" ht="13.2" customHeight="1" x14ac:dyDescent="0.25">
      <c r="A8" t="s">
        <v>17</v>
      </c>
      <c r="B8">
        <v>5</v>
      </c>
      <c r="F8">
        <f t="shared" si="0"/>
        <v>4.2</v>
      </c>
      <c r="J8" s="40"/>
      <c r="K8" s="40"/>
      <c r="L8" s="40"/>
      <c r="M8" s="40"/>
      <c r="N8" s="40"/>
      <c r="O8" s="40"/>
      <c r="P8" s="40"/>
      <c r="Q8" s="40"/>
      <c r="R8" s="40"/>
      <c r="S8" s="40"/>
      <c r="T8" s="40"/>
      <c r="U8" s="40"/>
      <c r="V8" s="40"/>
      <c r="W8" s="40"/>
      <c r="X8" s="40"/>
    </row>
    <row r="9" spans="1:24" ht="13.2" customHeight="1" x14ac:dyDescent="0.25">
      <c r="A9" t="s">
        <v>18</v>
      </c>
      <c r="B9">
        <v>8.4</v>
      </c>
      <c r="F9">
        <f t="shared" si="0"/>
        <v>3.4</v>
      </c>
      <c r="J9" s="40"/>
      <c r="K9" s="40"/>
      <c r="L9" s="40"/>
      <c r="M9" s="40"/>
      <c r="N9" s="40"/>
      <c r="O9" s="40"/>
      <c r="P9" s="40"/>
      <c r="Q9" s="40"/>
      <c r="R9" s="40"/>
      <c r="S9" s="40"/>
      <c r="T9" s="40"/>
      <c r="U9" s="40"/>
      <c r="V9" s="40"/>
      <c r="W9" s="40"/>
      <c r="X9" s="40"/>
    </row>
    <row r="10" spans="1:24" ht="13.2" customHeight="1" x14ac:dyDescent="0.25">
      <c r="A10" t="s">
        <v>19</v>
      </c>
      <c r="B10">
        <v>1.4</v>
      </c>
      <c r="F10">
        <f t="shared" si="0"/>
        <v>7</v>
      </c>
      <c r="J10" s="40"/>
      <c r="K10" s="40"/>
      <c r="L10" s="40"/>
      <c r="M10" s="40"/>
      <c r="N10" s="40"/>
      <c r="O10" s="40"/>
      <c r="P10" s="40"/>
      <c r="Q10" s="40"/>
      <c r="R10" s="40"/>
      <c r="S10" s="40"/>
      <c r="T10" s="40"/>
      <c r="U10" s="40"/>
      <c r="V10" s="40"/>
      <c r="W10" s="40"/>
      <c r="X10" s="40"/>
    </row>
    <row r="11" spans="1:24" ht="13.2" customHeight="1" x14ac:dyDescent="0.25">
      <c r="A11" t="s">
        <v>20</v>
      </c>
      <c r="B11">
        <v>1.9</v>
      </c>
      <c r="F11">
        <f t="shared" si="0"/>
        <v>0.5</v>
      </c>
      <c r="J11" s="40"/>
      <c r="K11" s="40"/>
      <c r="L11" s="40"/>
      <c r="M11" s="40"/>
      <c r="N11" s="40"/>
      <c r="O11" s="40"/>
      <c r="P11" s="40"/>
      <c r="Q11" s="40"/>
      <c r="R11" s="40"/>
      <c r="S11" s="40"/>
      <c r="T11" s="40"/>
      <c r="U11" s="40"/>
      <c r="V11" s="40"/>
      <c r="W11" s="40"/>
      <c r="X11" s="40"/>
    </row>
    <row r="12" spans="1:24" ht="13.2" customHeight="1" x14ac:dyDescent="0.25">
      <c r="A12" t="s">
        <v>21</v>
      </c>
      <c r="B12">
        <v>11</v>
      </c>
      <c r="F12">
        <f t="shared" si="0"/>
        <v>9.1</v>
      </c>
      <c r="J12" s="40"/>
      <c r="K12" s="40"/>
      <c r="L12" s="40"/>
      <c r="M12" s="40"/>
      <c r="N12" s="40"/>
      <c r="O12" s="40"/>
      <c r="P12" s="40"/>
      <c r="Q12" s="40"/>
      <c r="R12" s="40"/>
      <c r="S12" s="40"/>
      <c r="T12" s="40"/>
      <c r="U12" s="40"/>
      <c r="V12" s="40"/>
      <c r="W12" s="40"/>
      <c r="X12" s="40"/>
    </row>
    <row r="13" spans="1:24" ht="13.2" customHeight="1" x14ac:dyDescent="0.25">
      <c r="A13" t="s">
        <v>22</v>
      </c>
      <c r="B13">
        <v>22.6</v>
      </c>
      <c r="F13">
        <f t="shared" si="0"/>
        <v>11.6</v>
      </c>
      <c r="J13" s="40"/>
      <c r="K13" s="40"/>
      <c r="L13" s="40"/>
      <c r="M13" s="40"/>
      <c r="N13" s="40"/>
      <c r="O13" s="40"/>
      <c r="P13" s="40"/>
      <c r="Q13" s="40"/>
      <c r="R13" s="40"/>
      <c r="S13" s="40"/>
      <c r="T13" s="40"/>
      <c r="U13" s="40"/>
      <c r="V13" s="40"/>
      <c r="W13" s="40"/>
      <c r="X13" s="40"/>
    </row>
    <row r="14" spans="1:24" ht="13.2" customHeight="1" x14ac:dyDescent="0.25">
      <c r="A14" t="s">
        <v>23</v>
      </c>
      <c r="F14" s="3"/>
      <c r="J14" s="40"/>
      <c r="K14" s="40"/>
      <c r="L14" s="40"/>
      <c r="M14" s="40"/>
      <c r="N14" s="40"/>
      <c r="O14" s="40"/>
      <c r="P14" s="40"/>
      <c r="Q14" s="40"/>
      <c r="R14" s="40"/>
      <c r="S14" s="40"/>
      <c r="T14" s="40"/>
      <c r="U14" s="40"/>
      <c r="V14" s="40"/>
      <c r="W14" s="40"/>
      <c r="X14" s="40"/>
    </row>
    <row r="15" spans="1:24" ht="13.2" customHeight="1" x14ac:dyDescent="0.25">
      <c r="A15" t="s">
        <v>24</v>
      </c>
      <c r="B15">
        <v>20.8</v>
      </c>
      <c r="F15" s="3"/>
      <c r="J15" s="40"/>
      <c r="K15" s="40"/>
      <c r="L15" s="40"/>
      <c r="M15" s="40"/>
      <c r="N15" s="40"/>
      <c r="O15" s="40"/>
      <c r="P15" s="40"/>
      <c r="Q15" s="40"/>
      <c r="R15" s="40"/>
      <c r="S15" s="40"/>
      <c r="T15" s="40"/>
      <c r="U15" s="40"/>
      <c r="V15" s="40"/>
      <c r="W15" s="40"/>
      <c r="X15" s="40"/>
    </row>
    <row r="16" spans="1:24" ht="13.2" customHeight="1" x14ac:dyDescent="0.25">
      <c r="A16" t="s">
        <v>25</v>
      </c>
      <c r="B16">
        <v>12.2</v>
      </c>
      <c r="F16">
        <f t="shared" si="0"/>
        <v>8.6</v>
      </c>
      <c r="J16" s="40"/>
      <c r="K16" s="40"/>
      <c r="L16" s="40"/>
      <c r="M16" s="40"/>
      <c r="N16" s="40"/>
      <c r="O16" s="40"/>
      <c r="P16" s="40"/>
      <c r="Q16" s="40"/>
      <c r="R16" s="40"/>
      <c r="S16" s="40"/>
      <c r="T16" s="40"/>
      <c r="U16" s="40"/>
      <c r="V16" s="40"/>
      <c r="W16" s="40"/>
      <c r="X16" s="40"/>
    </row>
    <row r="17" spans="1:24" ht="13.2" customHeight="1" x14ac:dyDescent="0.25">
      <c r="A17" t="s">
        <v>26</v>
      </c>
      <c r="B17">
        <v>10.199999999999999</v>
      </c>
      <c r="F17">
        <f t="shared" si="0"/>
        <v>2</v>
      </c>
      <c r="J17" s="40"/>
      <c r="K17" s="40"/>
      <c r="L17" s="40"/>
      <c r="M17" s="40"/>
      <c r="N17" s="40"/>
      <c r="O17" s="40"/>
      <c r="P17" s="40"/>
      <c r="Q17" s="40"/>
      <c r="R17" s="40"/>
      <c r="S17" s="40"/>
      <c r="T17" s="40"/>
      <c r="U17" s="40"/>
      <c r="V17" s="40"/>
      <c r="W17" s="40"/>
      <c r="X17" s="40"/>
    </row>
    <row r="18" spans="1:24" ht="13.2" customHeight="1" x14ac:dyDescent="0.25">
      <c r="A18" t="s">
        <v>27</v>
      </c>
      <c r="B18">
        <v>10.7</v>
      </c>
      <c r="F18">
        <f t="shared" si="0"/>
        <v>0.5</v>
      </c>
      <c r="J18" s="40"/>
      <c r="K18" s="40"/>
      <c r="L18" s="40"/>
      <c r="M18" s="40"/>
      <c r="N18" s="40"/>
      <c r="O18" s="40"/>
      <c r="P18" s="40"/>
      <c r="Q18" s="40"/>
      <c r="R18" s="40"/>
      <c r="S18" s="40"/>
      <c r="T18" s="40"/>
      <c r="U18" s="40"/>
      <c r="V18" s="40"/>
      <c r="W18" s="40"/>
      <c r="X18" s="40"/>
    </row>
    <row r="19" spans="1:24" ht="13.2" customHeight="1" x14ac:dyDescent="0.25">
      <c r="A19" t="s">
        <v>28</v>
      </c>
      <c r="B19">
        <v>3.2</v>
      </c>
      <c r="F19">
        <f t="shared" si="0"/>
        <v>7.5</v>
      </c>
      <c r="J19" s="40"/>
      <c r="K19" s="40"/>
      <c r="L19" s="40"/>
      <c r="M19" s="40"/>
      <c r="N19" s="40"/>
      <c r="O19" s="40"/>
      <c r="P19" s="40"/>
      <c r="Q19" s="40"/>
      <c r="R19" s="40"/>
      <c r="S19" s="40"/>
      <c r="T19" s="40"/>
      <c r="U19" s="40"/>
      <c r="V19" s="40"/>
      <c r="W19" s="40"/>
      <c r="X19" s="40"/>
    </row>
    <row r="20" spans="1:24" ht="13.2" customHeight="1" x14ac:dyDescent="0.25">
      <c r="A20" t="s">
        <v>29</v>
      </c>
      <c r="B20">
        <v>6.6</v>
      </c>
      <c r="F20">
        <f t="shared" si="0"/>
        <v>3.4</v>
      </c>
      <c r="J20" s="2"/>
      <c r="K20" s="2"/>
      <c r="L20" s="2"/>
      <c r="M20" s="2"/>
      <c r="N20" s="2"/>
      <c r="O20" s="2"/>
      <c r="P20" s="2"/>
      <c r="Q20" s="2"/>
      <c r="R20" s="2"/>
      <c r="S20" s="2"/>
      <c r="T20" s="2"/>
      <c r="U20" s="2"/>
      <c r="V20" s="2"/>
      <c r="W20" s="2"/>
      <c r="X20" s="2"/>
    </row>
    <row r="21" spans="1:24" ht="13.2" customHeight="1" x14ac:dyDescent="0.25">
      <c r="A21" t="s">
        <v>30</v>
      </c>
      <c r="B21">
        <v>20.8</v>
      </c>
      <c r="F21">
        <f t="shared" si="0"/>
        <v>14.2</v>
      </c>
      <c r="J21" s="2"/>
      <c r="K21" s="2"/>
      <c r="L21" s="2"/>
      <c r="M21" s="2"/>
      <c r="N21" s="2"/>
      <c r="O21" s="2"/>
      <c r="P21" s="2"/>
      <c r="Q21" s="2"/>
      <c r="R21" s="2"/>
      <c r="S21" s="2"/>
      <c r="T21" s="2"/>
      <c r="U21" s="2"/>
      <c r="V21" s="2"/>
      <c r="W21" s="2"/>
      <c r="X21" s="2"/>
    </row>
    <row r="22" spans="1:24" ht="13.2" customHeight="1" x14ac:dyDescent="0.25">
      <c r="A22" t="s">
        <v>31</v>
      </c>
      <c r="B22">
        <v>25.5</v>
      </c>
      <c r="F22">
        <f t="shared" si="0"/>
        <v>4.7</v>
      </c>
      <c r="J22" s="2"/>
      <c r="K22" s="2"/>
      <c r="L22" s="2"/>
      <c r="M22" s="2"/>
      <c r="N22" s="2"/>
      <c r="O22" s="2"/>
      <c r="P22" s="2"/>
      <c r="Q22" s="2"/>
      <c r="R22" s="2"/>
      <c r="S22" s="2"/>
      <c r="T22" s="2"/>
      <c r="U22" s="2"/>
      <c r="V22" s="2"/>
      <c r="W22" s="2"/>
      <c r="X22" s="2"/>
    </row>
    <row r="23" spans="1:24" ht="13.2" customHeight="1" x14ac:dyDescent="0.25">
      <c r="A23" t="s">
        <v>32</v>
      </c>
      <c r="B23">
        <v>18.399999999999999</v>
      </c>
      <c r="F23">
        <f t="shared" si="0"/>
        <v>7.1</v>
      </c>
      <c r="J23" s="2"/>
      <c r="K23" s="2"/>
      <c r="L23" s="2"/>
      <c r="M23" s="2"/>
      <c r="N23" s="2"/>
      <c r="O23" s="2"/>
      <c r="P23" s="2"/>
      <c r="Q23" s="2"/>
      <c r="R23" s="2"/>
      <c r="S23" s="2"/>
      <c r="T23" s="2"/>
      <c r="U23" s="2"/>
      <c r="V23" s="2"/>
      <c r="W23" s="2"/>
      <c r="X23" s="2"/>
    </row>
    <row r="24" spans="1:24" ht="13.2" customHeight="1" x14ac:dyDescent="0.25">
      <c r="A24" t="s">
        <v>33</v>
      </c>
      <c r="B24">
        <v>29.3</v>
      </c>
      <c r="F24">
        <f t="shared" si="0"/>
        <v>10.9</v>
      </c>
      <c r="J24" s="2"/>
      <c r="K24" s="2"/>
      <c r="L24" s="2"/>
      <c r="M24" s="2"/>
      <c r="N24" s="2"/>
      <c r="O24" s="2"/>
      <c r="P24" s="2"/>
      <c r="Q24" s="2"/>
      <c r="R24" s="2"/>
      <c r="S24" s="2"/>
      <c r="T24" s="2"/>
      <c r="U24" s="2"/>
      <c r="V24" s="2"/>
      <c r="W24" s="2"/>
      <c r="X24" s="2"/>
    </row>
    <row r="25" spans="1:24" ht="13.2" customHeight="1" x14ac:dyDescent="0.25">
      <c r="A25" t="s">
        <v>34</v>
      </c>
      <c r="B25">
        <v>23</v>
      </c>
      <c r="F25">
        <f t="shared" si="0"/>
        <v>6.3</v>
      </c>
      <c r="J25" s="2"/>
      <c r="K25" s="2"/>
      <c r="L25" s="2"/>
      <c r="M25" s="2"/>
      <c r="N25" s="2"/>
      <c r="O25" s="2"/>
      <c r="P25" s="2"/>
      <c r="Q25" s="2"/>
      <c r="R25" s="2"/>
      <c r="S25" s="2"/>
      <c r="T25" s="2"/>
      <c r="U25" s="2"/>
      <c r="V25" s="2"/>
      <c r="W25" s="2"/>
      <c r="X25" s="2"/>
    </row>
    <row r="26" spans="1:24" ht="13.2" customHeight="1" x14ac:dyDescent="0.25">
      <c r="A26" t="s">
        <v>35</v>
      </c>
      <c r="B26">
        <v>31.4</v>
      </c>
      <c r="F26">
        <f t="shared" si="0"/>
        <v>8.4</v>
      </c>
      <c r="J26" s="2"/>
      <c r="K26" s="2"/>
      <c r="L26" s="2"/>
      <c r="M26" s="2"/>
      <c r="N26" s="2"/>
      <c r="O26" s="2"/>
      <c r="P26" s="2"/>
      <c r="Q26" s="2"/>
      <c r="R26" s="2"/>
      <c r="S26" s="2"/>
      <c r="T26" s="2"/>
      <c r="U26" s="2"/>
      <c r="V26" s="2"/>
      <c r="W26" s="2"/>
      <c r="X26" s="2"/>
    </row>
    <row r="27" spans="1:24" ht="13.2" customHeight="1" x14ac:dyDescent="0.25">
      <c r="A27" t="s">
        <v>36</v>
      </c>
      <c r="B27">
        <v>19.100000000000001</v>
      </c>
      <c r="F27">
        <f t="shared" si="0"/>
        <v>12.3</v>
      </c>
      <c r="J27" s="2"/>
      <c r="K27" s="2"/>
      <c r="L27" s="2"/>
      <c r="M27" s="2"/>
      <c r="N27" s="2"/>
      <c r="O27" s="2"/>
      <c r="P27" s="2"/>
      <c r="Q27" s="2"/>
      <c r="R27" s="2"/>
      <c r="S27" s="2"/>
      <c r="T27" s="2"/>
      <c r="U27" s="2"/>
      <c r="V27" s="2"/>
      <c r="W27" s="2"/>
      <c r="X27" s="2"/>
    </row>
    <row r="28" spans="1:24" x14ac:dyDescent="0.25">
      <c r="A28" t="s">
        <v>37</v>
      </c>
      <c r="B28">
        <v>16</v>
      </c>
      <c r="F28">
        <f t="shared" si="0"/>
        <v>3.1</v>
      </c>
    </row>
    <row r="29" spans="1:24" x14ac:dyDescent="0.25">
      <c r="A29" t="s">
        <v>38</v>
      </c>
      <c r="B29">
        <v>12.4</v>
      </c>
      <c r="F29">
        <f t="shared" si="0"/>
        <v>3.6</v>
      </c>
    </row>
    <row r="30" spans="1:24" x14ac:dyDescent="0.25">
      <c r="A30" t="s">
        <v>39</v>
      </c>
      <c r="B30">
        <v>11.9</v>
      </c>
      <c r="F30">
        <f t="shared" si="0"/>
        <v>0.5</v>
      </c>
    </row>
    <row r="31" spans="1:24" x14ac:dyDescent="0.25">
      <c r="A31" t="s">
        <v>40</v>
      </c>
      <c r="B31">
        <v>6.1</v>
      </c>
      <c r="F31">
        <f t="shared" si="0"/>
        <v>5.8</v>
      </c>
    </row>
    <row r="32" spans="1:24" x14ac:dyDescent="0.25">
      <c r="A32" t="s">
        <v>41</v>
      </c>
      <c r="B32">
        <v>4.0999999999999996</v>
      </c>
      <c r="F32">
        <f t="shared" si="0"/>
        <v>2</v>
      </c>
    </row>
    <row r="33" spans="1:6" x14ac:dyDescent="0.25">
      <c r="A33" t="s">
        <v>42</v>
      </c>
      <c r="B33">
        <v>0.5</v>
      </c>
      <c r="F33">
        <f t="shared" si="0"/>
        <v>3.6</v>
      </c>
    </row>
    <row r="34" spans="1:6" x14ac:dyDescent="0.25">
      <c r="A34" t="s">
        <v>43</v>
      </c>
      <c r="B34">
        <v>1.6</v>
      </c>
      <c r="F34">
        <f t="shared" si="0"/>
        <v>1.1000000000000001</v>
      </c>
    </row>
    <row r="35" spans="1:6" x14ac:dyDescent="0.25">
      <c r="A35" t="s">
        <v>44</v>
      </c>
      <c r="B35">
        <v>2.2999999999999998</v>
      </c>
      <c r="F35">
        <f t="shared" si="0"/>
        <v>0.7</v>
      </c>
    </row>
    <row r="36" spans="1:6" x14ac:dyDescent="0.25">
      <c r="A36" t="s">
        <v>45</v>
      </c>
      <c r="B36">
        <v>17.600000000000001</v>
      </c>
      <c r="F36">
        <f t="shared" si="0"/>
        <v>15.3</v>
      </c>
    </row>
    <row r="37" spans="1:6" x14ac:dyDescent="0.25">
      <c r="A37" t="s">
        <v>46</v>
      </c>
      <c r="B37">
        <v>7.1</v>
      </c>
      <c r="F37">
        <f t="shared" si="0"/>
        <v>10.5</v>
      </c>
    </row>
    <row r="38" spans="1:6" x14ac:dyDescent="0.25">
      <c r="A38" t="s">
        <v>47</v>
      </c>
      <c r="B38">
        <v>8.1</v>
      </c>
      <c r="F38">
        <f t="shared" si="0"/>
        <v>1</v>
      </c>
    </row>
    <row r="39" spans="1:6" x14ac:dyDescent="0.25">
      <c r="A39" t="s">
        <v>48</v>
      </c>
      <c r="B39">
        <v>15.2</v>
      </c>
      <c r="F39">
        <f t="shared" si="0"/>
        <v>7.1</v>
      </c>
    </row>
    <row r="40" spans="1:6" x14ac:dyDescent="0.25">
      <c r="A40" t="s">
        <v>49</v>
      </c>
      <c r="B40">
        <v>11.3</v>
      </c>
      <c r="F40">
        <f t="shared" si="0"/>
        <v>3.9</v>
      </c>
    </row>
    <row r="41" spans="1:6" x14ac:dyDescent="0.25">
      <c r="A41" t="s">
        <v>50</v>
      </c>
      <c r="B41">
        <v>17</v>
      </c>
      <c r="F41">
        <f t="shared" si="0"/>
        <v>5.7</v>
      </c>
    </row>
    <row r="42" spans="1:6" x14ac:dyDescent="0.25">
      <c r="A42" t="s">
        <v>51</v>
      </c>
      <c r="B42">
        <v>17.3</v>
      </c>
      <c r="F42">
        <f t="shared" si="0"/>
        <v>0.3</v>
      </c>
    </row>
    <row r="43" spans="1:6" x14ac:dyDescent="0.25">
      <c r="A43" t="s">
        <v>52</v>
      </c>
      <c r="B43">
        <v>5.8</v>
      </c>
      <c r="F43">
        <f t="shared" si="0"/>
        <v>11.5</v>
      </c>
    </row>
    <row r="44" spans="1:6" x14ac:dyDescent="0.25">
      <c r="A44" t="s">
        <v>53</v>
      </c>
      <c r="B44">
        <v>2.7</v>
      </c>
      <c r="F44">
        <f t="shared" si="0"/>
        <v>3.1</v>
      </c>
    </row>
    <row r="45" spans="1:6" x14ac:dyDescent="0.25">
      <c r="A45" t="s">
        <v>54</v>
      </c>
      <c r="B45">
        <v>4.4000000000000004</v>
      </c>
      <c r="F45">
        <f t="shared" si="0"/>
        <v>1.7</v>
      </c>
    </row>
    <row r="46" spans="1:6" x14ac:dyDescent="0.25">
      <c r="A46" t="s">
        <v>55</v>
      </c>
      <c r="B46">
        <v>6.3</v>
      </c>
      <c r="F46">
        <f t="shared" si="0"/>
        <v>1.9</v>
      </c>
    </row>
    <row r="47" spans="1:6" x14ac:dyDescent="0.25">
      <c r="A47" t="s">
        <v>56</v>
      </c>
      <c r="B47">
        <v>1.2</v>
      </c>
      <c r="F47">
        <f t="shared" si="0"/>
        <v>5.0999999999999996</v>
      </c>
    </row>
    <row r="48" spans="1:6" x14ac:dyDescent="0.25">
      <c r="A48" t="s">
        <v>57</v>
      </c>
      <c r="B48">
        <v>3.2</v>
      </c>
      <c r="F48">
        <f t="shared" si="0"/>
        <v>2</v>
      </c>
    </row>
    <row r="49" spans="1:6" x14ac:dyDescent="0.25">
      <c r="A49" t="s">
        <v>58</v>
      </c>
      <c r="B49">
        <v>11</v>
      </c>
      <c r="F49">
        <f t="shared" si="0"/>
        <v>7.8</v>
      </c>
    </row>
    <row r="50" spans="1:6" x14ac:dyDescent="0.25">
      <c r="A50" t="s">
        <v>59</v>
      </c>
      <c r="B50">
        <v>10.5</v>
      </c>
      <c r="F50">
        <f t="shared" si="0"/>
        <v>0.5</v>
      </c>
    </row>
    <row r="51" spans="1:6" x14ac:dyDescent="0.25">
      <c r="A51" t="s">
        <v>60</v>
      </c>
      <c r="B51">
        <v>7.6</v>
      </c>
      <c r="F51">
        <f t="shared" si="0"/>
        <v>2.9</v>
      </c>
    </row>
    <row r="52" spans="1:6" x14ac:dyDescent="0.25">
      <c r="A52" t="s">
        <v>61</v>
      </c>
      <c r="B52">
        <v>4.7</v>
      </c>
      <c r="F52">
        <f t="shared" si="0"/>
        <v>2.9</v>
      </c>
    </row>
    <row r="53" spans="1:6" x14ac:dyDescent="0.25">
      <c r="A53" t="s">
        <v>62</v>
      </c>
      <c r="B53">
        <v>4.5</v>
      </c>
      <c r="F53">
        <f t="shared" si="0"/>
        <v>0.2</v>
      </c>
    </row>
    <row r="54" spans="1:6" x14ac:dyDescent="0.25">
      <c r="A54" t="s">
        <v>63</v>
      </c>
      <c r="B54">
        <v>4.2</v>
      </c>
      <c r="F54">
        <f t="shared" si="0"/>
        <v>0.3</v>
      </c>
    </row>
    <row r="55" spans="1:6" x14ac:dyDescent="0.25">
      <c r="A55" t="s">
        <v>64</v>
      </c>
      <c r="B55">
        <v>4.4000000000000004</v>
      </c>
      <c r="F55">
        <f t="shared" si="0"/>
        <v>0.2</v>
      </c>
    </row>
    <row r="56" spans="1:6" x14ac:dyDescent="0.25">
      <c r="A56" t="s">
        <v>65</v>
      </c>
      <c r="B56">
        <v>7.1</v>
      </c>
      <c r="F56">
        <f t="shared" si="0"/>
        <v>2.7</v>
      </c>
    </row>
    <row r="57" spans="1:6" x14ac:dyDescent="0.25">
      <c r="A57" t="s">
        <v>66</v>
      </c>
      <c r="B57">
        <v>6.1</v>
      </c>
      <c r="F57">
        <f t="shared" si="0"/>
        <v>1</v>
      </c>
    </row>
    <row r="58" spans="1:6" x14ac:dyDescent="0.25">
      <c r="A58" t="s">
        <v>67</v>
      </c>
      <c r="B58">
        <v>3.6</v>
      </c>
      <c r="F58">
        <f t="shared" si="0"/>
        <v>2.5</v>
      </c>
    </row>
    <row r="59" spans="1:6" x14ac:dyDescent="0.25">
      <c r="A59" t="s">
        <v>68</v>
      </c>
      <c r="B59">
        <v>10.5</v>
      </c>
      <c r="F59">
        <f t="shared" si="0"/>
        <v>6.9</v>
      </c>
    </row>
    <row r="60" spans="1:6" x14ac:dyDescent="0.25">
      <c r="A60" t="s">
        <v>69</v>
      </c>
      <c r="B60">
        <v>14.8</v>
      </c>
      <c r="F60">
        <f t="shared" si="0"/>
        <v>4.3</v>
      </c>
    </row>
    <row r="61" spans="1:6" x14ac:dyDescent="0.25">
      <c r="A61" t="s">
        <v>70</v>
      </c>
      <c r="B61">
        <v>10.9</v>
      </c>
      <c r="F61">
        <f t="shared" si="0"/>
        <v>3.9</v>
      </c>
    </row>
    <row r="62" spans="1:6" x14ac:dyDescent="0.25">
      <c r="A62" t="s">
        <v>71</v>
      </c>
      <c r="B62">
        <v>10.5</v>
      </c>
      <c r="F62">
        <f t="shared" si="0"/>
        <v>0.4</v>
      </c>
    </row>
    <row r="63" spans="1:6" x14ac:dyDescent="0.25">
      <c r="A63" t="s">
        <v>72</v>
      </c>
      <c r="B63">
        <v>13.4</v>
      </c>
      <c r="F63">
        <f t="shared" si="0"/>
        <v>2.9</v>
      </c>
    </row>
    <row r="64" spans="1:6" x14ac:dyDescent="0.25">
      <c r="A64" t="s">
        <v>73</v>
      </c>
      <c r="B64">
        <v>18.100000000000001</v>
      </c>
      <c r="F64">
        <f t="shared" si="0"/>
        <v>4.7</v>
      </c>
    </row>
    <row r="65" spans="1:6" x14ac:dyDescent="0.25">
      <c r="A65" t="s">
        <v>74</v>
      </c>
      <c r="B65">
        <v>15.4</v>
      </c>
      <c r="F65">
        <f t="shared" si="0"/>
        <v>2.7</v>
      </c>
    </row>
    <row r="66" spans="1:6" x14ac:dyDescent="0.25">
      <c r="A66" t="s">
        <v>75</v>
      </c>
      <c r="B66">
        <v>19</v>
      </c>
      <c r="F66">
        <f t="shared" si="0"/>
        <v>3.6</v>
      </c>
    </row>
    <row r="67" spans="1:6" x14ac:dyDescent="0.25">
      <c r="A67" t="s">
        <v>76</v>
      </c>
      <c r="B67">
        <v>13.4</v>
      </c>
      <c r="F67">
        <f t="shared" si="0"/>
        <v>5.6</v>
      </c>
    </row>
    <row r="68" spans="1:6" x14ac:dyDescent="0.25">
      <c r="A68" t="s">
        <v>77</v>
      </c>
      <c r="B68">
        <v>10.199999999999999</v>
      </c>
      <c r="F68">
        <f t="shared" si="0"/>
        <v>3.2</v>
      </c>
    </row>
    <row r="69" spans="1:6" x14ac:dyDescent="0.25">
      <c r="A69" t="s">
        <v>78</v>
      </c>
      <c r="B69">
        <v>13.1</v>
      </c>
      <c r="F69">
        <f t="shared" ref="F69:F101" si="1">ROUND(ABS(B68-B69),2)</f>
        <v>2.9</v>
      </c>
    </row>
    <row r="70" spans="1:6" x14ac:dyDescent="0.25">
      <c r="A70" t="s">
        <v>79</v>
      </c>
      <c r="B70">
        <v>18.100000000000001</v>
      </c>
      <c r="F70">
        <f t="shared" si="1"/>
        <v>5</v>
      </c>
    </row>
    <row r="71" spans="1:6" x14ac:dyDescent="0.25">
      <c r="A71" t="s">
        <v>80</v>
      </c>
      <c r="B71">
        <v>14.4</v>
      </c>
      <c r="F71">
        <f t="shared" si="1"/>
        <v>3.7</v>
      </c>
    </row>
    <row r="72" spans="1:6" x14ac:dyDescent="0.25">
      <c r="A72" t="s">
        <v>81</v>
      </c>
      <c r="B72">
        <v>15</v>
      </c>
      <c r="F72">
        <f t="shared" si="1"/>
        <v>0.6</v>
      </c>
    </row>
    <row r="73" spans="1:6" x14ac:dyDescent="0.25">
      <c r="A73" t="s">
        <v>82</v>
      </c>
      <c r="B73">
        <v>10.8</v>
      </c>
      <c r="F73">
        <f t="shared" si="1"/>
        <v>4.2</v>
      </c>
    </row>
    <row r="74" spans="1:6" x14ac:dyDescent="0.25">
      <c r="A74" t="s">
        <v>83</v>
      </c>
      <c r="B74">
        <v>5.4</v>
      </c>
      <c r="F74">
        <f t="shared" si="1"/>
        <v>5.4</v>
      </c>
    </row>
    <row r="75" spans="1:6" x14ac:dyDescent="0.25">
      <c r="A75" t="s">
        <v>84</v>
      </c>
      <c r="B75">
        <v>3.2</v>
      </c>
      <c r="F75">
        <f t="shared" si="1"/>
        <v>2.2000000000000002</v>
      </c>
    </row>
    <row r="76" spans="1:6" x14ac:dyDescent="0.25">
      <c r="A76" t="s">
        <v>85</v>
      </c>
      <c r="B76">
        <v>1.9</v>
      </c>
      <c r="F76">
        <f t="shared" si="1"/>
        <v>1.3</v>
      </c>
    </row>
    <row r="77" spans="1:6" x14ac:dyDescent="0.25">
      <c r="A77" t="s">
        <v>86</v>
      </c>
      <c r="B77">
        <v>3.6</v>
      </c>
      <c r="F77">
        <f t="shared" si="1"/>
        <v>1.7</v>
      </c>
    </row>
    <row r="78" spans="1:6" x14ac:dyDescent="0.25">
      <c r="A78" t="s">
        <v>87</v>
      </c>
      <c r="B78">
        <v>18.3</v>
      </c>
      <c r="F78">
        <f t="shared" si="1"/>
        <v>14.7</v>
      </c>
    </row>
    <row r="79" spans="1:6" x14ac:dyDescent="0.25">
      <c r="A79" t="s">
        <v>88</v>
      </c>
      <c r="B79">
        <v>12.2</v>
      </c>
      <c r="F79">
        <f t="shared" si="1"/>
        <v>6.1</v>
      </c>
    </row>
    <row r="80" spans="1:6" x14ac:dyDescent="0.25">
      <c r="A80" t="s">
        <v>89</v>
      </c>
      <c r="B80">
        <v>2.2000000000000002</v>
      </c>
      <c r="F80">
        <f t="shared" si="1"/>
        <v>10</v>
      </c>
    </row>
    <row r="81" spans="1:6" x14ac:dyDescent="0.25">
      <c r="A81" t="s">
        <v>90</v>
      </c>
      <c r="B81">
        <v>1.2</v>
      </c>
      <c r="F81">
        <f t="shared" si="1"/>
        <v>1</v>
      </c>
    </row>
    <row r="82" spans="1:6" x14ac:dyDescent="0.25">
      <c r="A82" t="s">
        <v>91</v>
      </c>
      <c r="B82">
        <v>1.9</v>
      </c>
      <c r="F82">
        <f t="shared" si="1"/>
        <v>0.7</v>
      </c>
    </row>
    <row r="83" spans="1:6" x14ac:dyDescent="0.25">
      <c r="A83" t="s">
        <v>92</v>
      </c>
      <c r="B83">
        <v>4.5999999999999996</v>
      </c>
      <c r="F83">
        <f t="shared" si="1"/>
        <v>2.7</v>
      </c>
    </row>
    <row r="84" spans="1:6" x14ac:dyDescent="0.25">
      <c r="A84" t="s">
        <v>93</v>
      </c>
      <c r="B84">
        <v>4</v>
      </c>
      <c r="F84">
        <f t="shared" si="1"/>
        <v>0.6</v>
      </c>
    </row>
    <row r="85" spans="1:6" x14ac:dyDescent="0.25">
      <c r="A85" t="s">
        <v>94</v>
      </c>
      <c r="B85">
        <v>4.5</v>
      </c>
      <c r="F85">
        <f t="shared" si="1"/>
        <v>0.5</v>
      </c>
    </row>
    <row r="86" spans="1:6" x14ac:dyDescent="0.25">
      <c r="A86" t="s">
        <v>95</v>
      </c>
      <c r="B86">
        <v>2.9</v>
      </c>
      <c r="F86">
        <f t="shared" si="1"/>
        <v>1.6</v>
      </c>
    </row>
    <row r="87" spans="1:6" x14ac:dyDescent="0.25">
      <c r="A87" t="s">
        <v>96</v>
      </c>
      <c r="B87">
        <v>3.5</v>
      </c>
      <c r="F87">
        <f t="shared" si="1"/>
        <v>0.6</v>
      </c>
    </row>
    <row r="88" spans="1:6" x14ac:dyDescent="0.25">
      <c r="A88" t="s">
        <v>97</v>
      </c>
      <c r="B88">
        <v>0.7</v>
      </c>
      <c r="F88">
        <f t="shared" si="1"/>
        <v>2.8</v>
      </c>
    </row>
    <row r="89" spans="1:6" x14ac:dyDescent="0.25">
      <c r="A89" t="s">
        <v>98</v>
      </c>
      <c r="B89">
        <v>0</v>
      </c>
      <c r="F89">
        <f t="shared" si="1"/>
        <v>0.7</v>
      </c>
    </row>
    <row r="90" spans="1:6" x14ac:dyDescent="0.25">
      <c r="A90" t="s">
        <v>99</v>
      </c>
      <c r="B90">
        <v>0.7</v>
      </c>
      <c r="F90">
        <f t="shared" si="1"/>
        <v>0.7</v>
      </c>
    </row>
    <row r="91" spans="1:6" x14ac:dyDescent="0.25">
      <c r="A91" t="s">
        <v>100</v>
      </c>
      <c r="B91">
        <v>1</v>
      </c>
      <c r="F91">
        <f t="shared" si="1"/>
        <v>0.3</v>
      </c>
    </row>
    <row r="92" spans="1:6" x14ac:dyDescent="0.25">
      <c r="A92" t="s">
        <v>101</v>
      </c>
      <c r="B92">
        <v>1.1000000000000001</v>
      </c>
      <c r="F92">
        <f t="shared" si="1"/>
        <v>0.1</v>
      </c>
    </row>
    <row r="93" spans="1:6" x14ac:dyDescent="0.25">
      <c r="A93" t="s">
        <v>102</v>
      </c>
      <c r="B93">
        <v>0.4</v>
      </c>
      <c r="F93">
        <f t="shared" si="1"/>
        <v>0.7</v>
      </c>
    </row>
    <row r="94" spans="1:6" x14ac:dyDescent="0.25">
      <c r="A94" t="s">
        <v>103</v>
      </c>
      <c r="B94">
        <v>0</v>
      </c>
      <c r="F94">
        <f t="shared" si="1"/>
        <v>0.4</v>
      </c>
    </row>
    <row r="95" spans="1:6" x14ac:dyDescent="0.25">
      <c r="A95" t="s">
        <v>104</v>
      </c>
      <c r="B95">
        <v>1</v>
      </c>
      <c r="F95">
        <f t="shared" si="1"/>
        <v>1</v>
      </c>
    </row>
    <row r="96" spans="1:6" x14ac:dyDescent="0.25">
      <c r="A96" t="s">
        <v>105</v>
      </c>
      <c r="B96">
        <v>2.2999999999999998</v>
      </c>
      <c r="F96">
        <f t="shared" si="1"/>
        <v>1.3</v>
      </c>
    </row>
    <row r="97" spans="1:6" x14ac:dyDescent="0.25">
      <c r="A97" t="s">
        <v>106</v>
      </c>
      <c r="B97">
        <v>2.9</v>
      </c>
      <c r="F97">
        <f t="shared" si="1"/>
        <v>0.6</v>
      </c>
    </row>
    <row r="98" spans="1:6" x14ac:dyDescent="0.25">
      <c r="A98" t="s">
        <v>107</v>
      </c>
      <c r="B98">
        <v>1.3</v>
      </c>
      <c r="F98">
        <f t="shared" si="1"/>
        <v>1.6</v>
      </c>
    </row>
    <row r="99" spans="1:6" x14ac:dyDescent="0.25">
      <c r="A99" t="s">
        <v>108</v>
      </c>
      <c r="B99">
        <v>2.2000000000000002</v>
      </c>
      <c r="F99">
        <f t="shared" si="1"/>
        <v>0.9</v>
      </c>
    </row>
    <row r="100" spans="1:6" x14ac:dyDescent="0.25">
      <c r="A100" t="s">
        <v>109</v>
      </c>
      <c r="B100">
        <v>3.1</v>
      </c>
      <c r="F100">
        <f t="shared" si="1"/>
        <v>0.9</v>
      </c>
    </row>
    <row r="101" spans="1:6" x14ac:dyDescent="0.25">
      <c r="A101" t="s">
        <v>110</v>
      </c>
      <c r="B101">
        <v>4.9000000000000004</v>
      </c>
      <c r="F101">
        <f t="shared" si="1"/>
        <v>1.8</v>
      </c>
    </row>
  </sheetData>
  <mergeCells count="3">
    <mergeCell ref="A1:H1"/>
    <mergeCell ref="J1:X1"/>
    <mergeCell ref="J2:X19"/>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58AEE-7AB0-4164-8DE0-69D5823D48C2}">
  <dimension ref="A1:X101"/>
  <sheetViews>
    <sheetView workbookViewId="0">
      <selection activeCell="J20" sqref="J20"/>
    </sheetView>
  </sheetViews>
  <sheetFormatPr defaultRowHeight="13.2" x14ac:dyDescent="0.25"/>
  <cols>
    <col min="1" max="1" width="12.6640625" bestFit="1" customWidth="1"/>
    <col min="2" max="2" width="7.21875" bestFit="1" customWidth="1"/>
    <col min="4" max="4" width="6.88671875" bestFit="1" customWidth="1"/>
    <col min="5" max="5" width="6.6640625" bestFit="1" customWidth="1"/>
    <col min="6" max="6" width="6.109375" bestFit="1" customWidth="1"/>
    <col min="7" max="7" width="10.5546875" bestFit="1" customWidth="1"/>
    <col min="8" max="8" width="7" bestFit="1" customWidth="1"/>
  </cols>
  <sheetData>
    <row r="1" spans="1:24" ht="24.6" x14ac:dyDescent="0.55000000000000004">
      <c r="A1" s="43" t="s">
        <v>112</v>
      </c>
      <c r="B1" s="43"/>
      <c r="C1" s="43"/>
      <c r="D1" s="43"/>
      <c r="E1" s="43"/>
      <c r="F1" s="43"/>
      <c r="G1" s="43"/>
      <c r="H1" s="43"/>
      <c r="J1" s="41" t="s">
        <v>2</v>
      </c>
      <c r="K1" s="42"/>
      <c r="L1" s="42"/>
      <c r="M1" s="42"/>
      <c r="N1" s="42"/>
      <c r="O1" s="42"/>
      <c r="P1" s="42"/>
      <c r="Q1" s="42"/>
      <c r="R1" s="42"/>
      <c r="S1" s="42"/>
      <c r="T1" s="42"/>
      <c r="U1" s="42"/>
      <c r="V1" s="42"/>
      <c r="W1" s="42"/>
      <c r="X1" s="42"/>
    </row>
    <row r="2" spans="1:24" ht="13.2" customHeight="1" x14ac:dyDescent="0.25">
      <c r="A2" s="1" t="s">
        <v>3</v>
      </c>
      <c r="B2" s="1" t="s">
        <v>4</v>
      </c>
      <c r="C2" s="1" t="s">
        <v>5</v>
      </c>
      <c r="D2" s="1" t="s">
        <v>6</v>
      </c>
      <c r="E2" s="1" t="s">
        <v>7</v>
      </c>
      <c r="F2" s="1" t="s">
        <v>8</v>
      </c>
      <c r="G2" s="1" t="s">
        <v>9</v>
      </c>
      <c r="H2" s="1" t="s">
        <v>10</v>
      </c>
      <c r="J2" s="40" t="s">
        <v>157</v>
      </c>
      <c r="K2" s="40"/>
      <c r="L2" s="40"/>
      <c r="M2" s="40"/>
      <c r="N2" s="40"/>
      <c r="O2" s="40"/>
      <c r="P2" s="40"/>
      <c r="Q2" s="40"/>
      <c r="R2" s="40"/>
      <c r="S2" s="40"/>
      <c r="T2" s="40"/>
      <c r="U2" s="40"/>
      <c r="V2" s="40"/>
      <c r="W2" s="40"/>
      <c r="X2" s="40"/>
    </row>
    <row r="3" spans="1:24" ht="13.2" customHeight="1" x14ac:dyDescent="0.25">
      <c r="A3" t="s">
        <v>12</v>
      </c>
      <c r="B3">
        <v>14.6</v>
      </c>
      <c r="F3" s="3"/>
      <c r="G3">
        <f t="shared" ref="G3:G34" si="0">ROUND(AVERAGE($F$4:$F$101),2)</f>
        <v>3.79</v>
      </c>
      <c r="J3" s="40"/>
      <c r="K3" s="40"/>
      <c r="L3" s="40"/>
      <c r="M3" s="40"/>
      <c r="N3" s="40"/>
      <c r="O3" s="40"/>
      <c r="P3" s="40"/>
      <c r="Q3" s="40"/>
      <c r="R3" s="40"/>
      <c r="S3" s="40"/>
      <c r="T3" s="40"/>
      <c r="U3" s="40"/>
      <c r="V3" s="40"/>
      <c r="W3" s="40"/>
      <c r="X3" s="40"/>
    </row>
    <row r="4" spans="1:24" ht="13.2" customHeight="1" x14ac:dyDescent="0.25">
      <c r="A4" t="s">
        <v>13</v>
      </c>
      <c r="B4">
        <v>7.5</v>
      </c>
      <c r="F4">
        <f>ROUND(ABS(B3-B4),2)</f>
        <v>7.1</v>
      </c>
      <c r="G4">
        <f t="shared" si="0"/>
        <v>3.79</v>
      </c>
      <c r="J4" s="40"/>
      <c r="K4" s="40"/>
      <c r="L4" s="40"/>
      <c r="M4" s="40"/>
      <c r="N4" s="40"/>
      <c r="O4" s="40"/>
      <c r="P4" s="40"/>
      <c r="Q4" s="40"/>
      <c r="R4" s="40"/>
      <c r="S4" s="40"/>
      <c r="T4" s="40"/>
      <c r="U4" s="40"/>
      <c r="V4" s="40"/>
      <c r="W4" s="40"/>
      <c r="X4" s="40"/>
    </row>
    <row r="5" spans="1:24" ht="13.2" customHeight="1" x14ac:dyDescent="0.25">
      <c r="A5" t="s">
        <v>14</v>
      </c>
      <c r="B5">
        <v>4.3</v>
      </c>
      <c r="F5">
        <f t="shared" ref="F5:F68" si="1">ROUND(ABS(B4-B5),2)</f>
        <v>3.2</v>
      </c>
      <c r="G5">
        <f t="shared" si="0"/>
        <v>3.79</v>
      </c>
      <c r="J5" s="40"/>
      <c r="K5" s="40"/>
      <c r="L5" s="40"/>
      <c r="M5" s="40"/>
      <c r="N5" s="40"/>
      <c r="O5" s="40"/>
      <c r="P5" s="40"/>
      <c r="Q5" s="40"/>
      <c r="R5" s="40"/>
      <c r="S5" s="40"/>
      <c r="T5" s="40"/>
      <c r="U5" s="40"/>
      <c r="V5" s="40"/>
      <c r="W5" s="40"/>
      <c r="X5" s="40"/>
    </row>
    <row r="6" spans="1:24" ht="13.2" customHeight="1" x14ac:dyDescent="0.25">
      <c r="A6" t="s">
        <v>15</v>
      </c>
      <c r="B6">
        <v>1.6</v>
      </c>
      <c r="F6">
        <f t="shared" si="1"/>
        <v>2.7</v>
      </c>
      <c r="G6">
        <f t="shared" si="0"/>
        <v>3.79</v>
      </c>
      <c r="J6" s="40"/>
      <c r="K6" s="40"/>
      <c r="L6" s="40"/>
      <c r="M6" s="40"/>
      <c r="N6" s="40"/>
      <c r="O6" s="40"/>
      <c r="P6" s="40"/>
      <c r="Q6" s="40"/>
      <c r="R6" s="40"/>
      <c r="S6" s="40"/>
      <c r="T6" s="40"/>
      <c r="U6" s="40"/>
      <c r="V6" s="40"/>
      <c r="W6" s="40"/>
      <c r="X6" s="40"/>
    </row>
    <row r="7" spans="1:24" ht="13.2" customHeight="1" x14ac:dyDescent="0.25">
      <c r="A7" t="s">
        <v>16</v>
      </c>
      <c r="B7">
        <v>0.8</v>
      </c>
      <c r="F7">
        <f t="shared" si="1"/>
        <v>0.8</v>
      </c>
      <c r="G7">
        <f t="shared" si="0"/>
        <v>3.79</v>
      </c>
      <c r="J7" s="40"/>
      <c r="K7" s="40"/>
      <c r="L7" s="40"/>
      <c r="M7" s="40"/>
      <c r="N7" s="40"/>
      <c r="O7" s="40"/>
      <c r="P7" s="40"/>
      <c r="Q7" s="40"/>
      <c r="R7" s="40"/>
      <c r="S7" s="40"/>
      <c r="T7" s="40"/>
      <c r="U7" s="40"/>
      <c r="V7" s="40"/>
      <c r="W7" s="40"/>
      <c r="X7" s="40"/>
    </row>
    <row r="8" spans="1:24" ht="13.2" customHeight="1" x14ac:dyDescent="0.25">
      <c r="A8" t="s">
        <v>17</v>
      </c>
      <c r="B8">
        <v>5</v>
      </c>
      <c r="F8">
        <f t="shared" si="1"/>
        <v>4.2</v>
      </c>
      <c r="G8">
        <f t="shared" si="0"/>
        <v>3.79</v>
      </c>
      <c r="J8" s="40"/>
      <c r="K8" s="40"/>
      <c r="L8" s="40"/>
      <c r="M8" s="40"/>
      <c r="N8" s="40"/>
      <c r="O8" s="40"/>
      <c r="P8" s="40"/>
      <c r="Q8" s="40"/>
      <c r="R8" s="40"/>
      <c r="S8" s="40"/>
      <c r="T8" s="40"/>
      <c r="U8" s="40"/>
      <c r="V8" s="40"/>
      <c r="W8" s="40"/>
      <c r="X8" s="40"/>
    </row>
    <row r="9" spans="1:24" ht="13.2" customHeight="1" x14ac:dyDescent="0.25">
      <c r="A9" t="s">
        <v>18</v>
      </c>
      <c r="B9">
        <v>8.4</v>
      </c>
      <c r="F9">
        <f t="shared" si="1"/>
        <v>3.4</v>
      </c>
      <c r="G9">
        <f t="shared" si="0"/>
        <v>3.79</v>
      </c>
      <c r="J9" s="40"/>
      <c r="K9" s="40"/>
      <c r="L9" s="40"/>
      <c r="M9" s="40"/>
      <c r="N9" s="40"/>
      <c r="O9" s="40"/>
      <c r="P9" s="40"/>
      <c r="Q9" s="40"/>
      <c r="R9" s="40"/>
      <c r="S9" s="40"/>
      <c r="T9" s="40"/>
      <c r="U9" s="40"/>
      <c r="V9" s="40"/>
      <c r="W9" s="40"/>
      <c r="X9" s="40"/>
    </row>
    <row r="10" spans="1:24" ht="13.2" customHeight="1" x14ac:dyDescent="0.25">
      <c r="A10" t="s">
        <v>19</v>
      </c>
      <c r="B10">
        <v>1.4</v>
      </c>
      <c r="F10">
        <f t="shared" si="1"/>
        <v>7</v>
      </c>
      <c r="G10">
        <f t="shared" si="0"/>
        <v>3.79</v>
      </c>
      <c r="J10" s="40"/>
      <c r="K10" s="40"/>
      <c r="L10" s="40"/>
      <c r="M10" s="40"/>
      <c r="N10" s="40"/>
      <c r="O10" s="40"/>
      <c r="P10" s="40"/>
      <c r="Q10" s="40"/>
      <c r="R10" s="40"/>
      <c r="S10" s="40"/>
      <c r="T10" s="40"/>
      <c r="U10" s="40"/>
      <c r="V10" s="40"/>
      <c r="W10" s="40"/>
      <c r="X10" s="40"/>
    </row>
    <row r="11" spans="1:24" ht="13.2" customHeight="1" x14ac:dyDescent="0.25">
      <c r="A11" t="s">
        <v>20</v>
      </c>
      <c r="B11">
        <v>1.9</v>
      </c>
      <c r="F11">
        <f t="shared" si="1"/>
        <v>0.5</v>
      </c>
      <c r="G11">
        <f t="shared" si="0"/>
        <v>3.79</v>
      </c>
      <c r="J11" s="40"/>
      <c r="K11" s="40"/>
      <c r="L11" s="40"/>
      <c r="M11" s="40"/>
      <c r="N11" s="40"/>
      <c r="O11" s="40"/>
      <c r="P11" s="40"/>
      <c r="Q11" s="40"/>
      <c r="R11" s="40"/>
      <c r="S11" s="40"/>
      <c r="T11" s="40"/>
      <c r="U11" s="40"/>
      <c r="V11" s="40"/>
      <c r="W11" s="40"/>
      <c r="X11" s="40"/>
    </row>
    <row r="12" spans="1:24" ht="13.2" customHeight="1" x14ac:dyDescent="0.25">
      <c r="A12" t="s">
        <v>21</v>
      </c>
      <c r="B12">
        <v>11</v>
      </c>
      <c r="F12">
        <f t="shared" si="1"/>
        <v>9.1</v>
      </c>
      <c r="G12">
        <f t="shared" si="0"/>
        <v>3.79</v>
      </c>
      <c r="J12" s="40"/>
      <c r="K12" s="40"/>
      <c r="L12" s="40"/>
      <c r="M12" s="40"/>
      <c r="N12" s="40"/>
      <c r="O12" s="40"/>
      <c r="P12" s="40"/>
      <c r="Q12" s="40"/>
      <c r="R12" s="40"/>
      <c r="S12" s="40"/>
      <c r="T12" s="40"/>
      <c r="U12" s="40"/>
      <c r="V12" s="40"/>
      <c r="W12" s="40"/>
      <c r="X12" s="40"/>
    </row>
    <row r="13" spans="1:24" ht="13.2" customHeight="1" x14ac:dyDescent="0.25">
      <c r="A13" t="s">
        <v>22</v>
      </c>
      <c r="B13">
        <v>22.6</v>
      </c>
      <c r="F13">
        <f t="shared" si="1"/>
        <v>11.6</v>
      </c>
      <c r="G13">
        <f t="shared" si="0"/>
        <v>3.79</v>
      </c>
      <c r="J13" s="40"/>
      <c r="K13" s="40"/>
      <c r="L13" s="40"/>
      <c r="M13" s="40"/>
      <c r="N13" s="40"/>
      <c r="O13" s="40"/>
      <c r="P13" s="40"/>
      <c r="Q13" s="40"/>
      <c r="R13" s="40"/>
      <c r="S13" s="40"/>
      <c r="T13" s="40"/>
      <c r="U13" s="40"/>
      <c r="V13" s="40"/>
      <c r="W13" s="40"/>
      <c r="X13" s="40"/>
    </row>
    <row r="14" spans="1:24" ht="13.2" customHeight="1" x14ac:dyDescent="0.25">
      <c r="A14" t="s">
        <v>23</v>
      </c>
      <c r="F14" s="3"/>
      <c r="G14">
        <f t="shared" si="0"/>
        <v>3.79</v>
      </c>
      <c r="J14" s="40"/>
      <c r="K14" s="40"/>
      <c r="L14" s="40"/>
      <c r="M14" s="40"/>
      <c r="N14" s="40"/>
      <c r="O14" s="40"/>
      <c r="P14" s="40"/>
      <c r="Q14" s="40"/>
      <c r="R14" s="40"/>
      <c r="S14" s="40"/>
      <c r="T14" s="40"/>
      <c r="U14" s="40"/>
      <c r="V14" s="40"/>
      <c r="W14" s="40"/>
      <c r="X14" s="40"/>
    </row>
    <row r="15" spans="1:24" ht="13.2" customHeight="1" x14ac:dyDescent="0.25">
      <c r="A15" t="s">
        <v>24</v>
      </c>
      <c r="B15">
        <v>20.8</v>
      </c>
      <c r="F15" s="3"/>
      <c r="G15">
        <f t="shared" si="0"/>
        <v>3.79</v>
      </c>
      <c r="J15" s="40"/>
      <c r="K15" s="40"/>
      <c r="L15" s="40"/>
      <c r="M15" s="40"/>
      <c r="N15" s="40"/>
      <c r="O15" s="40"/>
      <c r="P15" s="40"/>
      <c r="Q15" s="40"/>
      <c r="R15" s="40"/>
      <c r="S15" s="40"/>
      <c r="T15" s="40"/>
      <c r="U15" s="40"/>
      <c r="V15" s="40"/>
      <c r="W15" s="40"/>
      <c r="X15" s="40"/>
    </row>
    <row r="16" spans="1:24" ht="13.2" customHeight="1" x14ac:dyDescent="0.25">
      <c r="A16" t="s">
        <v>25</v>
      </c>
      <c r="B16">
        <v>12.2</v>
      </c>
      <c r="F16">
        <f t="shared" si="1"/>
        <v>8.6</v>
      </c>
      <c r="G16">
        <f t="shared" si="0"/>
        <v>3.79</v>
      </c>
      <c r="J16" s="40"/>
      <c r="K16" s="40"/>
      <c r="L16" s="40"/>
      <c r="M16" s="40"/>
      <c r="N16" s="40"/>
      <c r="O16" s="40"/>
      <c r="P16" s="40"/>
      <c r="Q16" s="40"/>
      <c r="R16" s="40"/>
      <c r="S16" s="40"/>
      <c r="T16" s="40"/>
      <c r="U16" s="40"/>
      <c r="V16" s="40"/>
      <c r="W16" s="40"/>
      <c r="X16" s="40"/>
    </row>
    <row r="17" spans="1:24" ht="13.2" customHeight="1" x14ac:dyDescent="0.25">
      <c r="A17" t="s">
        <v>26</v>
      </c>
      <c r="B17">
        <v>10.199999999999999</v>
      </c>
      <c r="F17">
        <f t="shared" si="1"/>
        <v>2</v>
      </c>
      <c r="G17">
        <f t="shared" si="0"/>
        <v>3.79</v>
      </c>
      <c r="J17" s="40"/>
      <c r="K17" s="40"/>
      <c r="L17" s="40"/>
      <c r="M17" s="40"/>
      <c r="N17" s="40"/>
      <c r="O17" s="40"/>
      <c r="P17" s="40"/>
      <c r="Q17" s="40"/>
      <c r="R17" s="40"/>
      <c r="S17" s="40"/>
      <c r="T17" s="40"/>
      <c r="U17" s="40"/>
      <c r="V17" s="40"/>
      <c r="W17" s="40"/>
      <c r="X17" s="40"/>
    </row>
    <row r="18" spans="1:24" ht="13.2" customHeight="1" x14ac:dyDescent="0.25">
      <c r="A18" t="s">
        <v>27</v>
      </c>
      <c r="B18">
        <v>10.7</v>
      </c>
      <c r="F18">
        <f t="shared" si="1"/>
        <v>0.5</v>
      </c>
      <c r="G18">
        <f t="shared" si="0"/>
        <v>3.79</v>
      </c>
      <c r="J18" s="40"/>
      <c r="K18" s="40"/>
      <c r="L18" s="40"/>
      <c r="M18" s="40"/>
      <c r="N18" s="40"/>
      <c r="O18" s="40"/>
      <c r="P18" s="40"/>
      <c r="Q18" s="40"/>
      <c r="R18" s="40"/>
      <c r="S18" s="40"/>
      <c r="T18" s="40"/>
      <c r="U18" s="40"/>
      <c r="V18" s="40"/>
      <c r="W18" s="40"/>
      <c r="X18" s="40"/>
    </row>
    <row r="19" spans="1:24" ht="13.2" customHeight="1" x14ac:dyDescent="0.25">
      <c r="A19" t="s">
        <v>28</v>
      </c>
      <c r="B19">
        <v>3.2</v>
      </c>
      <c r="F19">
        <f t="shared" si="1"/>
        <v>7.5</v>
      </c>
      <c r="G19">
        <f t="shared" si="0"/>
        <v>3.79</v>
      </c>
      <c r="J19" s="40"/>
      <c r="K19" s="40"/>
      <c r="L19" s="40"/>
      <c r="M19" s="40"/>
      <c r="N19" s="40"/>
      <c r="O19" s="40"/>
      <c r="P19" s="40"/>
      <c r="Q19" s="40"/>
      <c r="R19" s="40"/>
      <c r="S19" s="40"/>
      <c r="T19" s="40"/>
      <c r="U19" s="40"/>
      <c r="V19" s="40"/>
      <c r="W19" s="40"/>
      <c r="X19" s="40"/>
    </row>
    <row r="20" spans="1:24" ht="13.2" customHeight="1" x14ac:dyDescent="0.25">
      <c r="A20" t="s">
        <v>29</v>
      </c>
      <c r="B20">
        <v>6.6</v>
      </c>
      <c r="F20">
        <f t="shared" si="1"/>
        <v>3.4</v>
      </c>
      <c r="G20">
        <f t="shared" si="0"/>
        <v>3.79</v>
      </c>
      <c r="J20" s="2"/>
      <c r="K20" s="2"/>
      <c r="L20" s="2"/>
      <c r="M20" s="2"/>
      <c r="N20" s="2"/>
      <c r="O20" s="2"/>
      <c r="P20" s="2"/>
      <c r="Q20" s="2"/>
      <c r="R20" s="2"/>
      <c r="S20" s="2"/>
      <c r="T20" s="2"/>
      <c r="U20" s="2"/>
      <c r="V20" s="2"/>
      <c r="W20" s="2"/>
      <c r="X20" s="2"/>
    </row>
    <row r="21" spans="1:24" ht="13.2" customHeight="1" x14ac:dyDescent="0.25">
      <c r="A21" t="s">
        <v>30</v>
      </c>
      <c r="B21">
        <v>20.8</v>
      </c>
      <c r="F21">
        <f t="shared" si="1"/>
        <v>14.2</v>
      </c>
      <c r="G21">
        <f t="shared" si="0"/>
        <v>3.79</v>
      </c>
      <c r="J21" s="2"/>
      <c r="K21" s="2"/>
      <c r="L21" s="2"/>
      <c r="M21" s="2"/>
      <c r="N21" s="2"/>
      <c r="O21" s="2"/>
      <c r="P21" s="2"/>
      <c r="Q21" s="2"/>
      <c r="R21" s="2"/>
      <c r="S21" s="2"/>
      <c r="T21" s="2"/>
      <c r="U21" s="2"/>
      <c r="V21" s="2"/>
      <c r="W21" s="2"/>
      <c r="X21" s="2"/>
    </row>
    <row r="22" spans="1:24" ht="13.2" customHeight="1" x14ac:dyDescent="0.25">
      <c r="A22" t="s">
        <v>31</v>
      </c>
      <c r="B22">
        <v>25.5</v>
      </c>
      <c r="F22">
        <f t="shared" si="1"/>
        <v>4.7</v>
      </c>
      <c r="G22">
        <f t="shared" si="0"/>
        <v>3.79</v>
      </c>
      <c r="J22" s="2"/>
      <c r="K22" s="2"/>
      <c r="L22" s="2"/>
      <c r="M22" s="2"/>
      <c r="N22" s="2"/>
      <c r="O22" s="2"/>
      <c r="P22" s="2"/>
      <c r="Q22" s="2"/>
      <c r="R22" s="2"/>
      <c r="S22" s="2"/>
      <c r="T22" s="2"/>
      <c r="U22" s="2"/>
      <c r="V22" s="2"/>
      <c r="W22" s="2"/>
      <c r="X22" s="2"/>
    </row>
    <row r="23" spans="1:24" ht="13.2" customHeight="1" x14ac:dyDescent="0.25">
      <c r="A23" t="s">
        <v>32</v>
      </c>
      <c r="B23">
        <v>18.399999999999999</v>
      </c>
      <c r="F23">
        <f t="shared" si="1"/>
        <v>7.1</v>
      </c>
      <c r="G23">
        <f t="shared" si="0"/>
        <v>3.79</v>
      </c>
      <c r="J23" s="2"/>
      <c r="K23" s="2"/>
      <c r="L23" s="2"/>
      <c r="M23" s="2"/>
      <c r="N23" s="2"/>
      <c r="O23" s="2"/>
      <c r="P23" s="2"/>
      <c r="Q23" s="2"/>
      <c r="R23" s="2"/>
      <c r="S23" s="2"/>
      <c r="T23" s="2"/>
      <c r="U23" s="2"/>
      <c r="V23" s="2"/>
      <c r="W23" s="2"/>
      <c r="X23" s="2"/>
    </row>
    <row r="24" spans="1:24" ht="13.2" customHeight="1" x14ac:dyDescent="0.25">
      <c r="A24" t="s">
        <v>33</v>
      </c>
      <c r="B24">
        <v>29.3</v>
      </c>
      <c r="F24">
        <f t="shared" si="1"/>
        <v>10.9</v>
      </c>
      <c r="G24">
        <f t="shared" si="0"/>
        <v>3.79</v>
      </c>
      <c r="J24" s="2"/>
      <c r="K24" s="2"/>
      <c r="L24" s="2"/>
      <c r="M24" s="2"/>
      <c r="N24" s="2"/>
      <c r="O24" s="2"/>
      <c r="P24" s="2"/>
      <c r="Q24" s="2"/>
      <c r="R24" s="2"/>
      <c r="S24" s="2"/>
      <c r="T24" s="2"/>
      <c r="U24" s="2"/>
      <c r="V24" s="2"/>
      <c r="W24" s="2"/>
      <c r="X24" s="2"/>
    </row>
    <row r="25" spans="1:24" ht="13.2" customHeight="1" x14ac:dyDescent="0.25">
      <c r="A25" t="s">
        <v>34</v>
      </c>
      <c r="B25">
        <v>23</v>
      </c>
      <c r="F25">
        <f t="shared" si="1"/>
        <v>6.3</v>
      </c>
      <c r="G25">
        <f t="shared" si="0"/>
        <v>3.79</v>
      </c>
      <c r="J25" s="2"/>
      <c r="K25" s="2"/>
      <c r="L25" s="2"/>
      <c r="M25" s="2"/>
      <c r="N25" s="2"/>
      <c r="O25" s="2"/>
      <c r="P25" s="2"/>
      <c r="Q25" s="2"/>
      <c r="R25" s="2"/>
      <c r="S25" s="2"/>
      <c r="T25" s="2"/>
      <c r="U25" s="2"/>
      <c r="V25" s="2"/>
      <c r="W25" s="2"/>
      <c r="X25" s="2"/>
    </row>
    <row r="26" spans="1:24" ht="13.2" customHeight="1" x14ac:dyDescent="0.25">
      <c r="A26" t="s">
        <v>35</v>
      </c>
      <c r="B26">
        <v>31.4</v>
      </c>
      <c r="F26">
        <f t="shared" si="1"/>
        <v>8.4</v>
      </c>
      <c r="G26">
        <f t="shared" si="0"/>
        <v>3.79</v>
      </c>
      <c r="J26" s="2"/>
      <c r="K26" s="2"/>
      <c r="L26" s="2"/>
      <c r="M26" s="2"/>
      <c r="N26" s="2"/>
      <c r="O26" s="2"/>
      <c r="P26" s="2"/>
      <c r="Q26" s="2"/>
      <c r="R26" s="2"/>
      <c r="S26" s="2"/>
      <c r="T26" s="2"/>
      <c r="U26" s="2"/>
      <c r="V26" s="2"/>
      <c r="W26" s="2"/>
      <c r="X26" s="2"/>
    </row>
    <row r="27" spans="1:24" ht="13.2" customHeight="1" x14ac:dyDescent="0.25">
      <c r="A27" t="s">
        <v>36</v>
      </c>
      <c r="B27">
        <v>19.100000000000001</v>
      </c>
      <c r="F27">
        <f t="shared" si="1"/>
        <v>12.3</v>
      </c>
      <c r="G27">
        <f t="shared" si="0"/>
        <v>3.79</v>
      </c>
      <c r="J27" s="2"/>
      <c r="K27" s="2"/>
      <c r="L27" s="2"/>
      <c r="M27" s="2"/>
      <c r="N27" s="2"/>
      <c r="O27" s="2"/>
      <c r="P27" s="2"/>
      <c r="Q27" s="2"/>
      <c r="R27" s="2"/>
      <c r="S27" s="2"/>
      <c r="T27" s="2"/>
      <c r="U27" s="2"/>
      <c r="V27" s="2"/>
      <c r="W27" s="2"/>
      <c r="X27" s="2"/>
    </row>
    <row r="28" spans="1:24" x14ac:dyDescent="0.25">
      <c r="A28" t="s">
        <v>37</v>
      </c>
      <c r="B28">
        <v>16</v>
      </c>
      <c r="F28">
        <f t="shared" si="1"/>
        <v>3.1</v>
      </c>
      <c r="G28">
        <f t="shared" si="0"/>
        <v>3.79</v>
      </c>
    </row>
    <row r="29" spans="1:24" x14ac:dyDescent="0.25">
      <c r="A29" t="s">
        <v>38</v>
      </c>
      <c r="B29">
        <v>12.4</v>
      </c>
      <c r="F29">
        <f t="shared" si="1"/>
        <v>3.6</v>
      </c>
      <c r="G29">
        <f t="shared" si="0"/>
        <v>3.79</v>
      </c>
    </row>
    <row r="30" spans="1:24" x14ac:dyDescent="0.25">
      <c r="A30" t="s">
        <v>39</v>
      </c>
      <c r="B30">
        <v>11.9</v>
      </c>
      <c r="F30">
        <f t="shared" si="1"/>
        <v>0.5</v>
      </c>
      <c r="G30">
        <f t="shared" si="0"/>
        <v>3.79</v>
      </c>
    </row>
    <row r="31" spans="1:24" x14ac:dyDescent="0.25">
      <c r="A31" t="s">
        <v>40</v>
      </c>
      <c r="B31">
        <v>6.1</v>
      </c>
      <c r="F31">
        <f t="shared" si="1"/>
        <v>5.8</v>
      </c>
      <c r="G31">
        <f t="shared" si="0"/>
        <v>3.79</v>
      </c>
    </row>
    <row r="32" spans="1:24" x14ac:dyDescent="0.25">
      <c r="A32" t="s">
        <v>41</v>
      </c>
      <c r="B32">
        <v>4.0999999999999996</v>
      </c>
      <c r="F32">
        <f t="shared" si="1"/>
        <v>2</v>
      </c>
      <c r="G32">
        <f t="shared" si="0"/>
        <v>3.79</v>
      </c>
    </row>
    <row r="33" spans="1:7" x14ac:dyDescent="0.25">
      <c r="A33" t="s">
        <v>42</v>
      </c>
      <c r="B33">
        <v>0.5</v>
      </c>
      <c r="F33">
        <f t="shared" si="1"/>
        <v>3.6</v>
      </c>
      <c r="G33">
        <f t="shared" si="0"/>
        <v>3.79</v>
      </c>
    </row>
    <row r="34" spans="1:7" x14ac:dyDescent="0.25">
      <c r="A34" t="s">
        <v>43</v>
      </c>
      <c r="B34">
        <v>1.6</v>
      </c>
      <c r="F34">
        <f t="shared" si="1"/>
        <v>1.1000000000000001</v>
      </c>
      <c r="G34">
        <f t="shared" si="0"/>
        <v>3.79</v>
      </c>
    </row>
    <row r="35" spans="1:7" x14ac:dyDescent="0.25">
      <c r="A35" t="s">
        <v>44</v>
      </c>
      <c r="B35">
        <v>2.2999999999999998</v>
      </c>
      <c r="F35">
        <f t="shared" si="1"/>
        <v>0.7</v>
      </c>
      <c r="G35">
        <f t="shared" ref="G35:G66" si="2">ROUND(AVERAGE($F$4:$F$101),2)</f>
        <v>3.79</v>
      </c>
    </row>
    <row r="36" spans="1:7" x14ac:dyDescent="0.25">
      <c r="A36" t="s">
        <v>45</v>
      </c>
      <c r="B36">
        <v>17.600000000000001</v>
      </c>
      <c r="F36">
        <f t="shared" si="1"/>
        <v>15.3</v>
      </c>
      <c r="G36">
        <f t="shared" si="2"/>
        <v>3.79</v>
      </c>
    </row>
    <row r="37" spans="1:7" x14ac:dyDescent="0.25">
      <c r="A37" t="s">
        <v>46</v>
      </c>
      <c r="B37">
        <v>7.1</v>
      </c>
      <c r="F37">
        <f t="shared" si="1"/>
        <v>10.5</v>
      </c>
      <c r="G37">
        <f t="shared" si="2"/>
        <v>3.79</v>
      </c>
    </row>
    <row r="38" spans="1:7" x14ac:dyDescent="0.25">
      <c r="A38" t="s">
        <v>47</v>
      </c>
      <c r="B38">
        <v>8.1</v>
      </c>
      <c r="F38">
        <f t="shared" si="1"/>
        <v>1</v>
      </c>
      <c r="G38">
        <f t="shared" si="2"/>
        <v>3.79</v>
      </c>
    </row>
    <row r="39" spans="1:7" x14ac:dyDescent="0.25">
      <c r="A39" t="s">
        <v>48</v>
      </c>
      <c r="B39">
        <v>15.2</v>
      </c>
      <c r="F39">
        <f t="shared" si="1"/>
        <v>7.1</v>
      </c>
      <c r="G39">
        <f t="shared" si="2"/>
        <v>3.79</v>
      </c>
    </row>
    <row r="40" spans="1:7" x14ac:dyDescent="0.25">
      <c r="A40" t="s">
        <v>49</v>
      </c>
      <c r="B40">
        <v>11.3</v>
      </c>
      <c r="F40">
        <f t="shared" si="1"/>
        <v>3.9</v>
      </c>
      <c r="G40">
        <f t="shared" si="2"/>
        <v>3.79</v>
      </c>
    </row>
    <row r="41" spans="1:7" x14ac:dyDescent="0.25">
      <c r="A41" t="s">
        <v>50</v>
      </c>
      <c r="B41">
        <v>17</v>
      </c>
      <c r="F41">
        <f t="shared" si="1"/>
        <v>5.7</v>
      </c>
      <c r="G41">
        <f t="shared" si="2"/>
        <v>3.79</v>
      </c>
    </row>
    <row r="42" spans="1:7" x14ac:dyDescent="0.25">
      <c r="A42" t="s">
        <v>51</v>
      </c>
      <c r="B42">
        <v>17.3</v>
      </c>
      <c r="F42">
        <f t="shared" si="1"/>
        <v>0.3</v>
      </c>
      <c r="G42">
        <f t="shared" si="2"/>
        <v>3.79</v>
      </c>
    </row>
    <row r="43" spans="1:7" x14ac:dyDescent="0.25">
      <c r="A43" t="s">
        <v>52</v>
      </c>
      <c r="B43">
        <v>5.8</v>
      </c>
      <c r="F43">
        <f t="shared" si="1"/>
        <v>11.5</v>
      </c>
      <c r="G43">
        <f t="shared" si="2"/>
        <v>3.79</v>
      </c>
    </row>
    <row r="44" spans="1:7" x14ac:dyDescent="0.25">
      <c r="A44" t="s">
        <v>53</v>
      </c>
      <c r="B44">
        <v>2.7</v>
      </c>
      <c r="F44">
        <f t="shared" si="1"/>
        <v>3.1</v>
      </c>
      <c r="G44">
        <f t="shared" si="2"/>
        <v>3.79</v>
      </c>
    </row>
    <row r="45" spans="1:7" x14ac:dyDescent="0.25">
      <c r="A45" t="s">
        <v>54</v>
      </c>
      <c r="B45">
        <v>4.4000000000000004</v>
      </c>
      <c r="F45">
        <f t="shared" si="1"/>
        <v>1.7</v>
      </c>
      <c r="G45">
        <f t="shared" si="2"/>
        <v>3.79</v>
      </c>
    </row>
    <row r="46" spans="1:7" x14ac:dyDescent="0.25">
      <c r="A46" t="s">
        <v>55</v>
      </c>
      <c r="B46">
        <v>6.3</v>
      </c>
      <c r="F46">
        <f t="shared" si="1"/>
        <v>1.9</v>
      </c>
      <c r="G46">
        <f t="shared" si="2"/>
        <v>3.79</v>
      </c>
    </row>
    <row r="47" spans="1:7" x14ac:dyDescent="0.25">
      <c r="A47" t="s">
        <v>56</v>
      </c>
      <c r="B47">
        <v>1.2</v>
      </c>
      <c r="F47">
        <f t="shared" si="1"/>
        <v>5.0999999999999996</v>
      </c>
      <c r="G47">
        <f t="shared" si="2"/>
        <v>3.79</v>
      </c>
    </row>
    <row r="48" spans="1:7" x14ac:dyDescent="0.25">
      <c r="A48" t="s">
        <v>57</v>
      </c>
      <c r="B48">
        <v>3.2</v>
      </c>
      <c r="F48">
        <f t="shared" si="1"/>
        <v>2</v>
      </c>
      <c r="G48">
        <f t="shared" si="2"/>
        <v>3.79</v>
      </c>
    </row>
    <row r="49" spans="1:7" x14ac:dyDescent="0.25">
      <c r="A49" t="s">
        <v>58</v>
      </c>
      <c r="B49">
        <v>11</v>
      </c>
      <c r="F49">
        <f t="shared" si="1"/>
        <v>7.8</v>
      </c>
      <c r="G49">
        <f t="shared" si="2"/>
        <v>3.79</v>
      </c>
    </row>
    <row r="50" spans="1:7" x14ac:dyDescent="0.25">
      <c r="A50" t="s">
        <v>59</v>
      </c>
      <c r="B50">
        <v>10.5</v>
      </c>
      <c r="F50">
        <f t="shared" si="1"/>
        <v>0.5</v>
      </c>
      <c r="G50">
        <f t="shared" si="2"/>
        <v>3.79</v>
      </c>
    </row>
    <row r="51" spans="1:7" x14ac:dyDescent="0.25">
      <c r="A51" t="s">
        <v>60</v>
      </c>
      <c r="B51">
        <v>7.6</v>
      </c>
      <c r="F51">
        <f t="shared" si="1"/>
        <v>2.9</v>
      </c>
      <c r="G51">
        <f t="shared" si="2"/>
        <v>3.79</v>
      </c>
    </row>
    <row r="52" spans="1:7" x14ac:dyDescent="0.25">
      <c r="A52" t="s">
        <v>61</v>
      </c>
      <c r="B52">
        <v>4.7</v>
      </c>
      <c r="F52">
        <f t="shared" si="1"/>
        <v>2.9</v>
      </c>
      <c r="G52">
        <f t="shared" si="2"/>
        <v>3.79</v>
      </c>
    </row>
    <row r="53" spans="1:7" x14ac:dyDescent="0.25">
      <c r="A53" t="s">
        <v>62</v>
      </c>
      <c r="B53">
        <v>4.5</v>
      </c>
      <c r="F53">
        <f t="shared" si="1"/>
        <v>0.2</v>
      </c>
      <c r="G53">
        <f t="shared" si="2"/>
        <v>3.79</v>
      </c>
    </row>
    <row r="54" spans="1:7" x14ac:dyDescent="0.25">
      <c r="A54" t="s">
        <v>63</v>
      </c>
      <c r="B54">
        <v>4.2</v>
      </c>
      <c r="F54">
        <f t="shared" si="1"/>
        <v>0.3</v>
      </c>
      <c r="G54">
        <f t="shared" si="2"/>
        <v>3.79</v>
      </c>
    </row>
    <row r="55" spans="1:7" x14ac:dyDescent="0.25">
      <c r="A55" t="s">
        <v>64</v>
      </c>
      <c r="B55">
        <v>4.4000000000000004</v>
      </c>
      <c r="F55">
        <f t="shared" si="1"/>
        <v>0.2</v>
      </c>
      <c r="G55">
        <f t="shared" si="2"/>
        <v>3.79</v>
      </c>
    </row>
    <row r="56" spans="1:7" x14ac:dyDescent="0.25">
      <c r="A56" t="s">
        <v>65</v>
      </c>
      <c r="B56">
        <v>7.1</v>
      </c>
      <c r="F56">
        <f t="shared" si="1"/>
        <v>2.7</v>
      </c>
      <c r="G56">
        <f t="shared" si="2"/>
        <v>3.79</v>
      </c>
    </row>
    <row r="57" spans="1:7" x14ac:dyDescent="0.25">
      <c r="A57" t="s">
        <v>66</v>
      </c>
      <c r="B57">
        <v>6.1</v>
      </c>
      <c r="F57">
        <f t="shared" si="1"/>
        <v>1</v>
      </c>
      <c r="G57">
        <f t="shared" si="2"/>
        <v>3.79</v>
      </c>
    </row>
    <row r="58" spans="1:7" x14ac:dyDescent="0.25">
      <c r="A58" t="s">
        <v>67</v>
      </c>
      <c r="B58">
        <v>3.6</v>
      </c>
      <c r="F58">
        <f t="shared" si="1"/>
        <v>2.5</v>
      </c>
      <c r="G58">
        <f t="shared" si="2"/>
        <v>3.79</v>
      </c>
    </row>
    <row r="59" spans="1:7" x14ac:dyDescent="0.25">
      <c r="A59" t="s">
        <v>68</v>
      </c>
      <c r="B59">
        <v>10.5</v>
      </c>
      <c r="F59">
        <f t="shared" si="1"/>
        <v>6.9</v>
      </c>
      <c r="G59">
        <f t="shared" si="2"/>
        <v>3.79</v>
      </c>
    </row>
    <row r="60" spans="1:7" x14ac:dyDescent="0.25">
      <c r="A60" t="s">
        <v>69</v>
      </c>
      <c r="B60">
        <v>14.8</v>
      </c>
      <c r="F60">
        <f t="shared" si="1"/>
        <v>4.3</v>
      </c>
      <c r="G60">
        <f t="shared" si="2"/>
        <v>3.79</v>
      </c>
    </row>
    <row r="61" spans="1:7" x14ac:dyDescent="0.25">
      <c r="A61" t="s">
        <v>70</v>
      </c>
      <c r="B61">
        <v>10.9</v>
      </c>
      <c r="F61">
        <f t="shared" si="1"/>
        <v>3.9</v>
      </c>
      <c r="G61">
        <f t="shared" si="2"/>
        <v>3.79</v>
      </c>
    </row>
    <row r="62" spans="1:7" x14ac:dyDescent="0.25">
      <c r="A62" t="s">
        <v>71</v>
      </c>
      <c r="B62">
        <v>10.5</v>
      </c>
      <c r="F62">
        <f t="shared" si="1"/>
        <v>0.4</v>
      </c>
      <c r="G62">
        <f t="shared" si="2"/>
        <v>3.79</v>
      </c>
    </row>
    <row r="63" spans="1:7" x14ac:dyDescent="0.25">
      <c r="A63" t="s">
        <v>72</v>
      </c>
      <c r="B63">
        <v>13.4</v>
      </c>
      <c r="F63">
        <f t="shared" si="1"/>
        <v>2.9</v>
      </c>
      <c r="G63">
        <f t="shared" si="2"/>
        <v>3.79</v>
      </c>
    </row>
    <row r="64" spans="1:7" x14ac:dyDescent="0.25">
      <c r="A64" t="s">
        <v>73</v>
      </c>
      <c r="B64">
        <v>18.100000000000001</v>
      </c>
      <c r="F64">
        <f t="shared" si="1"/>
        <v>4.7</v>
      </c>
      <c r="G64">
        <f t="shared" si="2"/>
        <v>3.79</v>
      </c>
    </row>
    <row r="65" spans="1:7" x14ac:dyDescent="0.25">
      <c r="A65" t="s">
        <v>74</v>
      </c>
      <c r="B65">
        <v>15.4</v>
      </c>
      <c r="F65">
        <f t="shared" si="1"/>
        <v>2.7</v>
      </c>
      <c r="G65">
        <f t="shared" si="2"/>
        <v>3.79</v>
      </c>
    </row>
    <row r="66" spans="1:7" x14ac:dyDescent="0.25">
      <c r="A66" t="s">
        <v>75</v>
      </c>
      <c r="B66">
        <v>19</v>
      </c>
      <c r="F66">
        <f t="shared" si="1"/>
        <v>3.6</v>
      </c>
      <c r="G66">
        <f t="shared" si="2"/>
        <v>3.79</v>
      </c>
    </row>
    <row r="67" spans="1:7" x14ac:dyDescent="0.25">
      <c r="A67" t="s">
        <v>76</v>
      </c>
      <c r="B67">
        <v>13.4</v>
      </c>
      <c r="F67">
        <f t="shared" si="1"/>
        <v>5.6</v>
      </c>
      <c r="G67">
        <f t="shared" ref="G67:G101" si="3">ROUND(AVERAGE($F$4:$F$101),2)</f>
        <v>3.79</v>
      </c>
    </row>
    <row r="68" spans="1:7" x14ac:dyDescent="0.25">
      <c r="A68" t="s">
        <v>77</v>
      </c>
      <c r="B68">
        <v>10.199999999999999</v>
      </c>
      <c r="F68">
        <f t="shared" si="1"/>
        <v>3.2</v>
      </c>
      <c r="G68">
        <f t="shared" si="3"/>
        <v>3.79</v>
      </c>
    </row>
    <row r="69" spans="1:7" x14ac:dyDescent="0.25">
      <c r="A69" t="s">
        <v>78</v>
      </c>
      <c r="B69">
        <v>13.1</v>
      </c>
      <c r="F69">
        <f t="shared" ref="F69:F101" si="4">ROUND(ABS(B68-B69),2)</f>
        <v>2.9</v>
      </c>
      <c r="G69">
        <f t="shared" si="3"/>
        <v>3.79</v>
      </c>
    </row>
    <row r="70" spans="1:7" x14ac:dyDescent="0.25">
      <c r="A70" t="s">
        <v>79</v>
      </c>
      <c r="B70">
        <v>18.100000000000001</v>
      </c>
      <c r="F70">
        <f t="shared" si="4"/>
        <v>5</v>
      </c>
      <c r="G70">
        <f t="shared" si="3"/>
        <v>3.79</v>
      </c>
    </row>
    <row r="71" spans="1:7" x14ac:dyDescent="0.25">
      <c r="A71" t="s">
        <v>80</v>
      </c>
      <c r="B71">
        <v>14.4</v>
      </c>
      <c r="F71">
        <f t="shared" si="4"/>
        <v>3.7</v>
      </c>
      <c r="G71">
        <f t="shared" si="3"/>
        <v>3.79</v>
      </c>
    </row>
    <row r="72" spans="1:7" x14ac:dyDescent="0.25">
      <c r="A72" t="s">
        <v>81</v>
      </c>
      <c r="B72">
        <v>15</v>
      </c>
      <c r="F72">
        <f t="shared" si="4"/>
        <v>0.6</v>
      </c>
      <c r="G72">
        <f t="shared" si="3"/>
        <v>3.79</v>
      </c>
    </row>
    <row r="73" spans="1:7" x14ac:dyDescent="0.25">
      <c r="A73" t="s">
        <v>82</v>
      </c>
      <c r="B73">
        <v>10.8</v>
      </c>
      <c r="F73">
        <f t="shared" si="4"/>
        <v>4.2</v>
      </c>
      <c r="G73">
        <f t="shared" si="3"/>
        <v>3.79</v>
      </c>
    </row>
    <row r="74" spans="1:7" x14ac:dyDescent="0.25">
      <c r="A74" t="s">
        <v>83</v>
      </c>
      <c r="B74">
        <v>5.4</v>
      </c>
      <c r="F74">
        <f t="shared" si="4"/>
        <v>5.4</v>
      </c>
      <c r="G74">
        <f t="shared" si="3"/>
        <v>3.79</v>
      </c>
    </row>
    <row r="75" spans="1:7" x14ac:dyDescent="0.25">
      <c r="A75" t="s">
        <v>84</v>
      </c>
      <c r="B75">
        <v>3.2</v>
      </c>
      <c r="F75">
        <f t="shared" si="4"/>
        <v>2.2000000000000002</v>
      </c>
      <c r="G75">
        <f t="shared" si="3"/>
        <v>3.79</v>
      </c>
    </row>
    <row r="76" spans="1:7" x14ac:dyDescent="0.25">
      <c r="A76" t="s">
        <v>85</v>
      </c>
      <c r="B76">
        <v>1.9</v>
      </c>
      <c r="F76">
        <f t="shared" si="4"/>
        <v>1.3</v>
      </c>
      <c r="G76">
        <f t="shared" si="3"/>
        <v>3.79</v>
      </c>
    </row>
    <row r="77" spans="1:7" x14ac:dyDescent="0.25">
      <c r="A77" t="s">
        <v>86</v>
      </c>
      <c r="B77">
        <v>3.6</v>
      </c>
      <c r="F77">
        <f t="shared" si="4"/>
        <v>1.7</v>
      </c>
      <c r="G77">
        <f t="shared" si="3"/>
        <v>3.79</v>
      </c>
    </row>
    <row r="78" spans="1:7" x14ac:dyDescent="0.25">
      <c r="A78" t="s">
        <v>87</v>
      </c>
      <c r="B78">
        <v>18.3</v>
      </c>
      <c r="F78">
        <f t="shared" si="4"/>
        <v>14.7</v>
      </c>
      <c r="G78">
        <f t="shared" si="3"/>
        <v>3.79</v>
      </c>
    </row>
    <row r="79" spans="1:7" x14ac:dyDescent="0.25">
      <c r="A79" t="s">
        <v>88</v>
      </c>
      <c r="B79">
        <v>12.2</v>
      </c>
      <c r="F79">
        <f t="shared" si="4"/>
        <v>6.1</v>
      </c>
      <c r="G79">
        <f t="shared" si="3"/>
        <v>3.79</v>
      </c>
    </row>
    <row r="80" spans="1:7" x14ac:dyDescent="0.25">
      <c r="A80" t="s">
        <v>89</v>
      </c>
      <c r="B80">
        <v>2.2000000000000002</v>
      </c>
      <c r="F80">
        <f t="shared" si="4"/>
        <v>10</v>
      </c>
      <c r="G80">
        <f t="shared" si="3"/>
        <v>3.79</v>
      </c>
    </row>
    <row r="81" spans="1:7" x14ac:dyDescent="0.25">
      <c r="A81" t="s">
        <v>90</v>
      </c>
      <c r="B81">
        <v>1.2</v>
      </c>
      <c r="F81">
        <f t="shared" si="4"/>
        <v>1</v>
      </c>
      <c r="G81">
        <f t="shared" si="3"/>
        <v>3.79</v>
      </c>
    </row>
    <row r="82" spans="1:7" x14ac:dyDescent="0.25">
      <c r="A82" t="s">
        <v>91</v>
      </c>
      <c r="B82">
        <v>1.9</v>
      </c>
      <c r="F82">
        <f t="shared" si="4"/>
        <v>0.7</v>
      </c>
      <c r="G82">
        <f t="shared" si="3"/>
        <v>3.79</v>
      </c>
    </row>
    <row r="83" spans="1:7" x14ac:dyDescent="0.25">
      <c r="A83" t="s">
        <v>92</v>
      </c>
      <c r="B83">
        <v>4.5999999999999996</v>
      </c>
      <c r="F83">
        <f t="shared" si="4"/>
        <v>2.7</v>
      </c>
      <c r="G83">
        <f t="shared" si="3"/>
        <v>3.79</v>
      </c>
    </row>
    <row r="84" spans="1:7" x14ac:dyDescent="0.25">
      <c r="A84" t="s">
        <v>93</v>
      </c>
      <c r="B84">
        <v>4</v>
      </c>
      <c r="F84">
        <f t="shared" si="4"/>
        <v>0.6</v>
      </c>
      <c r="G84">
        <f t="shared" si="3"/>
        <v>3.79</v>
      </c>
    </row>
    <row r="85" spans="1:7" x14ac:dyDescent="0.25">
      <c r="A85" t="s">
        <v>94</v>
      </c>
      <c r="B85">
        <v>4.5</v>
      </c>
      <c r="F85">
        <f t="shared" si="4"/>
        <v>0.5</v>
      </c>
      <c r="G85">
        <f t="shared" si="3"/>
        <v>3.79</v>
      </c>
    </row>
    <row r="86" spans="1:7" x14ac:dyDescent="0.25">
      <c r="A86" t="s">
        <v>95</v>
      </c>
      <c r="B86">
        <v>2.9</v>
      </c>
      <c r="F86">
        <f t="shared" si="4"/>
        <v>1.6</v>
      </c>
      <c r="G86">
        <f t="shared" si="3"/>
        <v>3.79</v>
      </c>
    </row>
    <row r="87" spans="1:7" x14ac:dyDescent="0.25">
      <c r="A87" t="s">
        <v>96</v>
      </c>
      <c r="B87">
        <v>3.5</v>
      </c>
      <c r="F87">
        <f t="shared" si="4"/>
        <v>0.6</v>
      </c>
      <c r="G87">
        <f t="shared" si="3"/>
        <v>3.79</v>
      </c>
    </row>
    <row r="88" spans="1:7" x14ac:dyDescent="0.25">
      <c r="A88" t="s">
        <v>97</v>
      </c>
      <c r="B88">
        <v>0.7</v>
      </c>
      <c r="F88">
        <f t="shared" si="4"/>
        <v>2.8</v>
      </c>
      <c r="G88">
        <f t="shared" si="3"/>
        <v>3.79</v>
      </c>
    </row>
    <row r="89" spans="1:7" x14ac:dyDescent="0.25">
      <c r="A89" t="s">
        <v>98</v>
      </c>
      <c r="B89">
        <v>0</v>
      </c>
      <c r="F89">
        <f t="shared" si="4"/>
        <v>0.7</v>
      </c>
      <c r="G89">
        <f t="shared" si="3"/>
        <v>3.79</v>
      </c>
    </row>
    <row r="90" spans="1:7" x14ac:dyDescent="0.25">
      <c r="A90" t="s">
        <v>99</v>
      </c>
      <c r="B90">
        <v>0.7</v>
      </c>
      <c r="F90">
        <f t="shared" si="4"/>
        <v>0.7</v>
      </c>
      <c r="G90">
        <f t="shared" si="3"/>
        <v>3.79</v>
      </c>
    </row>
    <row r="91" spans="1:7" x14ac:dyDescent="0.25">
      <c r="A91" t="s">
        <v>100</v>
      </c>
      <c r="B91">
        <v>1</v>
      </c>
      <c r="F91">
        <f t="shared" si="4"/>
        <v>0.3</v>
      </c>
      <c r="G91">
        <f t="shared" si="3"/>
        <v>3.79</v>
      </c>
    </row>
    <row r="92" spans="1:7" x14ac:dyDescent="0.25">
      <c r="A92" t="s">
        <v>101</v>
      </c>
      <c r="B92">
        <v>1.1000000000000001</v>
      </c>
      <c r="F92">
        <f t="shared" si="4"/>
        <v>0.1</v>
      </c>
      <c r="G92">
        <f t="shared" si="3"/>
        <v>3.79</v>
      </c>
    </row>
    <row r="93" spans="1:7" x14ac:dyDescent="0.25">
      <c r="A93" t="s">
        <v>102</v>
      </c>
      <c r="B93">
        <v>0.4</v>
      </c>
      <c r="F93">
        <f t="shared" si="4"/>
        <v>0.7</v>
      </c>
      <c r="G93">
        <f t="shared" si="3"/>
        <v>3.79</v>
      </c>
    </row>
    <row r="94" spans="1:7" x14ac:dyDescent="0.25">
      <c r="A94" t="s">
        <v>103</v>
      </c>
      <c r="B94">
        <v>0</v>
      </c>
      <c r="F94">
        <f t="shared" si="4"/>
        <v>0.4</v>
      </c>
      <c r="G94">
        <f t="shared" si="3"/>
        <v>3.79</v>
      </c>
    </row>
    <row r="95" spans="1:7" x14ac:dyDescent="0.25">
      <c r="A95" t="s">
        <v>104</v>
      </c>
      <c r="B95">
        <v>1</v>
      </c>
      <c r="F95">
        <f t="shared" si="4"/>
        <v>1</v>
      </c>
      <c r="G95">
        <f t="shared" si="3"/>
        <v>3.79</v>
      </c>
    </row>
    <row r="96" spans="1:7" x14ac:dyDescent="0.25">
      <c r="A96" t="s">
        <v>105</v>
      </c>
      <c r="B96">
        <v>2.2999999999999998</v>
      </c>
      <c r="F96">
        <f t="shared" si="4"/>
        <v>1.3</v>
      </c>
      <c r="G96">
        <f t="shared" si="3"/>
        <v>3.79</v>
      </c>
    </row>
    <row r="97" spans="1:7" x14ac:dyDescent="0.25">
      <c r="A97" t="s">
        <v>106</v>
      </c>
      <c r="B97">
        <v>2.9</v>
      </c>
      <c r="F97">
        <f t="shared" si="4"/>
        <v>0.6</v>
      </c>
      <c r="G97">
        <f t="shared" si="3"/>
        <v>3.79</v>
      </c>
    </row>
    <row r="98" spans="1:7" x14ac:dyDescent="0.25">
      <c r="A98" t="s">
        <v>107</v>
      </c>
      <c r="B98">
        <v>1.3</v>
      </c>
      <c r="F98">
        <f t="shared" si="4"/>
        <v>1.6</v>
      </c>
      <c r="G98">
        <f t="shared" si="3"/>
        <v>3.79</v>
      </c>
    </row>
    <row r="99" spans="1:7" x14ac:dyDescent="0.25">
      <c r="A99" t="s">
        <v>108</v>
      </c>
      <c r="B99">
        <v>2.2000000000000002</v>
      </c>
      <c r="F99">
        <f t="shared" si="4"/>
        <v>0.9</v>
      </c>
      <c r="G99">
        <f t="shared" si="3"/>
        <v>3.79</v>
      </c>
    </row>
    <row r="100" spans="1:7" x14ac:dyDescent="0.25">
      <c r="A100" t="s">
        <v>109</v>
      </c>
      <c r="B100">
        <v>3.1</v>
      </c>
      <c r="F100">
        <f t="shared" si="4"/>
        <v>0.9</v>
      </c>
      <c r="G100">
        <f t="shared" si="3"/>
        <v>3.79</v>
      </c>
    </row>
    <row r="101" spans="1:7" x14ac:dyDescent="0.25">
      <c r="A101" t="s">
        <v>110</v>
      </c>
      <c r="B101">
        <v>4.9000000000000004</v>
      </c>
      <c r="F101">
        <f t="shared" si="4"/>
        <v>1.8</v>
      </c>
      <c r="G101">
        <f t="shared" si="3"/>
        <v>3.79</v>
      </c>
    </row>
  </sheetData>
  <mergeCells count="3">
    <mergeCell ref="A1:H1"/>
    <mergeCell ref="J1:X1"/>
    <mergeCell ref="J2:X19"/>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0FC4B-8E77-477D-9AE7-BC176E5F9643}">
  <dimension ref="A1:X101"/>
  <sheetViews>
    <sheetView topLeftCell="A21" workbookViewId="0">
      <selection activeCell="AC24" sqref="AC24"/>
    </sheetView>
  </sheetViews>
  <sheetFormatPr defaultRowHeight="13.2" x14ac:dyDescent="0.25"/>
  <cols>
    <col min="1" max="1" width="12.6640625" bestFit="1" customWidth="1"/>
    <col min="2" max="2" width="7.21875" bestFit="1" customWidth="1"/>
    <col min="4" max="4" width="6.88671875" bestFit="1" customWidth="1"/>
    <col min="5" max="5" width="6.6640625" bestFit="1" customWidth="1"/>
    <col min="6" max="6" width="6.109375" bestFit="1" customWidth="1"/>
    <col min="7" max="7" width="10.5546875" bestFit="1" customWidth="1"/>
    <col min="8" max="8" width="7" bestFit="1" customWidth="1"/>
  </cols>
  <sheetData>
    <row r="1" spans="1:24" ht="24.6" x14ac:dyDescent="0.55000000000000004">
      <c r="A1" s="43" t="s">
        <v>113</v>
      </c>
      <c r="B1" s="43"/>
      <c r="C1" s="43"/>
      <c r="D1" s="43"/>
      <c r="E1" s="43"/>
      <c r="F1" s="43"/>
      <c r="G1" s="43"/>
      <c r="H1" s="43"/>
      <c r="J1" s="41" t="s">
        <v>2</v>
      </c>
      <c r="K1" s="42"/>
      <c r="L1" s="42"/>
      <c r="M1" s="42"/>
      <c r="N1" s="42"/>
      <c r="O1" s="42"/>
      <c r="P1" s="42"/>
      <c r="Q1" s="42"/>
      <c r="R1" s="42"/>
      <c r="S1" s="42"/>
      <c r="T1" s="42"/>
      <c r="U1" s="42"/>
      <c r="V1" s="42"/>
      <c r="W1" s="42"/>
      <c r="X1" s="42"/>
    </row>
    <row r="2" spans="1:24" ht="13.2" customHeight="1" x14ac:dyDescent="0.25">
      <c r="A2" s="1" t="s">
        <v>3</v>
      </c>
      <c r="B2" s="1" t="s">
        <v>4</v>
      </c>
      <c r="C2" s="1" t="s">
        <v>5</v>
      </c>
      <c r="D2" s="1" t="s">
        <v>6</v>
      </c>
      <c r="E2" s="1" t="s">
        <v>7</v>
      </c>
      <c r="F2" s="1" t="s">
        <v>8</v>
      </c>
      <c r="G2" s="1" t="s">
        <v>9</v>
      </c>
      <c r="H2" s="1" t="s">
        <v>10</v>
      </c>
      <c r="J2" s="40" t="s">
        <v>126</v>
      </c>
      <c r="K2" s="40"/>
      <c r="L2" s="40"/>
      <c r="M2" s="40"/>
      <c r="N2" s="40"/>
      <c r="O2" s="40"/>
      <c r="P2" s="40"/>
      <c r="Q2" s="40"/>
      <c r="R2" s="40"/>
      <c r="S2" s="40"/>
      <c r="T2" s="40"/>
      <c r="U2" s="40"/>
      <c r="V2" s="40"/>
      <c r="W2" s="40"/>
      <c r="X2" s="40"/>
    </row>
    <row r="3" spans="1:24" ht="13.2" customHeight="1" x14ac:dyDescent="0.25">
      <c r="A3" t="s">
        <v>12</v>
      </c>
      <c r="B3">
        <v>14.6</v>
      </c>
      <c r="C3">
        <f t="shared" ref="C3:C34" si="0">ROUND(AVERAGE($B$3:$B$101), 2)</f>
        <v>8.6199999999999992</v>
      </c>
      <c r="F3" s="3"/>
      <c r="G3">
        <f t="shared" ref="G3:G34" si="1">ROUND(AVERAGE($F$4:$F$101),2)</f>
        <v>3.79</v>
      </c>
      <c r="J3" s="40"/>
      <c r="K3" s="40"/>
      <c r="L3" s="40"/>
      <c r="M3" s="40"/>
      <c r="N3" s="40"/>
      <c r="O3" s="40"/>
      <c r="P3" s="40"/>
      <c r="Q3" s="40"/>
      <c r="R3" s="40"/>
      <c r="S3" s="40"/>
      <c r="T3" s="40"/>
      <c r="U3" s="40"/>
      <c r="V3" s="40"/>
      <c r="W3" s="40"/>
      <c r="X3" s="40"/>
    </row>
    <row r="4" spans="1:24" ht="13.2" customHeight="1" x14ac:dyDescent="0.25">
      <c r="A4" t="s">
        <v>13</v>
      </c>
      <c r="B4">
        <v>7.5</v>
      </c>
      <c r="C4">
        <f t="shared" si="0"/>
        <v>8.6199999999999992</v>
      </c>
      <c r="F4">
        <f>ROUND(ABS(B3-B4),1)</f>
        <v>7.1</v>
      </c>
      <c r="G4">
        <f t="shared" si="1"/>
        <v>3.79</v>
      </c>
      <c r="J4" s="40"/>
      <c r="K4" s="40"/>
      <c r="L4" s="40"/>
      <c r="M4" s="40"/>
      <c r="N4" s="40"/>
      <c r="O4" s="40"/>
      <c r="P4" s="40"/>
      <c r="Q4" s="40"/>
      <c r="R4" s="40"/>
      <c r="S4" s="40"/>
      <c r="T4" s="40"/>
      <c r="U4" s="40"/>
      <c r="V4" s="40"/>
      <c r="W4" s="40"/>
      <c r="X4" s="40"/>
    </row>
    <row r="5" spans="1:24" ht="13.2" customHeight="1" x14ac:dyDescent="0.25">
      <c r="A5" t="s">
        <v>14</v>
      </c>
      <c r="B5">
        <v>4.3</v>
      </c>
      <c r="C5">
        <f t="shared" si="0"/>
        <v>8.6199999999999992</v>
      </c>
      <c r="F5">
        <f t="shared" ref="F5:F68" si="2">ROUND(ABS(B4-B5),1)</f>
        <v>3.2</v>
      </c>
      <c r="G5">
        <f t="shared" si="1"/>
        <v>3.79</v>
      </c>
      <c r="J5" s="40"/>
      <c r="K5" s="40"/>
      <c r="L5" s="40"/>
      <c r="M5" s="40"/>
      <c r="N5" s="40"/>
      <c r="O5" s="40"/>
      <c r="P5" s="40"/>
      <c r="Q5" s="40"/>
      <c r="R5" s="40"/>
      <c r="S5" s="40"/>
      <c r="T5" s="40"/>
      <c r="U5" s="40"/>
      <c r="V5" s="40"/>
      <c r="W5" s="40"/>
      <c r="X5" s="40"/>
    </row>
    <row r="6" spans="1:24" ht="13.2" customHeight="1" x14ac:dyDescent="0.25">
      <c r="A6" t="s">
        <v>15</v>
      </c>
      <c r="B6">
        <v>1.6</v>
      </c>
      <c r="C6">
        <f t="shared" si="0"/>
        <v>8.6199999999999992</v>
      </c>
      <c r="F6">
        <f t="shared" si="2"/>
        <v>2.7</v>
      </c>
      <c r="G6">
        <f t="shared" si="1"/>
        <v>3.79</v>
      </c>
      <c r="J6" s="40"/>
      <c r="K6" s="40"/>
      <c r="L6" s="40"/>
      <c r="M6" s="40"/>
      <c r="N6" s="40"/>
      <c r="O6" s="40"/>
      <c r="P6" s="40"/>
      <c r="Q6" s="40"/>
      <c r="R6" s="40"/>
      <c r="S6" s="40"/>
      <c r="T6" s="40"/>
      <c r="U6" s="40"/>
      <c r="V6" s="40"/>
      <c r="W6" s="40"/>
      <c r="X6" s="40"/>
    </row>
    <row r="7" spans="1:24" ht="13.2" customHeight="1" x14ac:dyDescent="0.25">
      <c r="A7" t="s">
        <v>16</v>
      </c>
      <c r="B7">
        <v>0.8</v>
      </c>
      <c r="C7">
        <f t="shared" si="0"/>
        <v>8.6199999999999992</v>
      </c>
      <c r="F7">
        <f t="shared" si="2"/>
        <v>0.8</v>
      </c>
      <c r="G7">
        <f t="shared" si="1"/>
        <v>3.79</v>
      </c>
      <c r="J7" s="40"/>
      <c r="K7" s="40"/>
      <c r="L7" s="40"/>
      <c r="M7" s="40"/>
      <c r="N7" s="40"/>
      <c r="O7" s="40"/>
      <c r="P7" s="40"/>
      <c r="Q7" s="40"/>
      <c r="R7" s="40"/>
      <c r="S7" s="40"/>
      <c r="T7" s="40"/>
      <c r="U7" s="40"/>
      <c r="V7" s="40"/>
      <c r="W7" s="40"/>
      <c r="X7" s="40"/>
    </row>
    <row r="8" spans="1:24" ht="13.2" customHeight="1" x14ac:dyDescent="0.25">
      <c r="A8" t="s">
        <v>17</v>
      </c>
      <c r="B8">
        <v>5</v>
      </c>
      <c r="C8">
        <f t="shared" si="0"/>
        <v>8.6199999999999992</v>
      </c>
      <c r="F8">
        <f t="shared" si="2"/>
        <v>4.2</v>
      </c>
      <c r="G8">
        <f t="shared" si="1"/>
        <v>3.79</v>
      </c>
      <c r="J8" s="40"/>
      <c r="K8" s="40"/>
      <c r="L8" s="40"/>
      <c r="M8" s="40"/>
      <c r="N8" s="40"/>
      <c r="O8" s="40"/>
      <c r="P8" s="40"/>
      <c r="Q8" s="40"/>
      <c r="R8" s="40"/>
      <c r="S8" s="40"/>
      <c r="T8" s="40"/>
      <c r="U8" s="40"/>
      <c r="V8" s="40"/>
      <c r="W8" s="40"/>
      <c r="X8" s="40"/>
    </row>
    <row r="9" spans="1:24" ht="13.2" customHeight="1" x14ac:dyDescent="0.25">
      <c r="A9" t="s">
        <v>18</v>
      </c>
      <c r="B9">
        <v>8.4</v>
      </c>
      <c r="C9">
        <f t="shared" si="0"/>
        <v>8.6199999999999992</v>
      </c>
      <c r="F9">
        <f t="shared" si="2"/>
        <v>3.4</v>
      </c>
      <c r="G9">
        <f t="shared" si="1"/>
        <v>3.79</v>
      </c>
      <c r="J9" s="40"/>
      <c r="K9" s="40"/>
      <c r="L9" s="40"/>
      <c r="M9" s="40"/>
      <c r="N9" s="40"/>
      <c r="O9" s="40"/>
      <c r="P9" s="40"/>
      <c r="Q9" s="40"/>
      <c r="R9" s="40"/>
      <c r="S9" s="40"/>
      <c r="T9" s="40"/>
      <c r="U9" s="40"/>
      <c r="V9" s="40"/>
      <c r="W9" s="40"/>
      <c r="X9" s="40"/>
    </row>
    <row r="10" spans="1:24" ht="13.2" customHeight="1" x14ac:dyDescent="0.25">
      <c r="A10" t="s">
        <v>19</v>
      </c>
      <c r="B10">
        <v>1.4</v>
      </c>
      <c r="C10">
        <f t="shared" si="0"/>
        <v>8.6199999999999992</v>
      </c>
      <c r="F10">
        <f t="shared" si="2"/>
        <v>7</v>
      </c>
      <c r="G10">
        <f t="shared" si="1"/>
        <v>3.79</v>
      </c>
      <c r="J10" s="40"/>
      <c r="K10" s="40"/>
      <c r="L10" s="40"/>
      <c r="M10" s="40"/>
      <c r="N10" s="40"/>
      <c r="O10" s="40"/>
      <c r="P10" s="40"/>
      <c r="Q10" s="40"/>
      <c r="R10" s="40"/>
      <c r="S10" s="40"/>
      <c r="T10" s="40"/>
      <c r="U10" s="40"/>
      <c r="V10" s="40"/>
      <c r="W10" s="40"/>
      <c r="X10" s="40"/>
    </row>
    <row r="11" spans="1:24" ht="13.2" customHeight="1" x14ac:dyDescent="0.25">
      <c r="A11" t="s">
        <v>20</v>
      </c>
      <c r="B11">
        <v>1.9</v>
      </c>
      <c r="C11">
        <f t="shared" si="0"/>
        <v>8.6199999999999992</v>
      </c>
      <c r="F11">
        <f t="shared" si="2"/>
        <v>0.5</v>
      </c>
      <c r="G11">
        <f t="shared" si="1"/>
        <v>3.79</v>
      </c>
      <c r="J11" s="40"/>
      <c r="K11" s="40"/>
      <c r="L11" s="40"/>
      <c r="M11" s="40"/>
      <c r="N11" s="40"/>
      <c r="O11" s="40"/>
      <c r="P11" s="40"/>
      <c r="Q11" s="40"/>
      <c r="R11" s="40"/>
      <c r="S11" s="40"/>
      <c r="T11" s="40"/>
      <c r="U11" s="40"/>
      <c r="V11" s="40"/>
      <c r="W11" s="40"/>
      <c r="X11" s="40"/>
    </row>
    <row r="12" spans="1:24" ht="13.2" customHeight="1" x14ac:dyDescent="0.25">
      <c r="A12" t="s">
        <v>21</v>
      </c>
      <c r="B12">
        <v>11</v>
      </c>
      <c r="C12">
        <f t="shared" si="0"/>
        <v>8.6199999999999992</v>
      </c>
      <c r="F12">
        <f t="shared" si="2"/>
        <v>9.1</v>
      </c>
      <c r="G12">
        <f t="shared" si="1"/>
        <v>3.79</v>
      </c>
      <c r="J12" s="40"/>
      <c r="K12" s="40"/>
      <c r="L12" s="40"/>
      <c r="M12" s="40"/>
      <c r="N12" s="40"/>
      <c r="O12" s="40"/>
      <c r="P12" s="40"/>
      <c r="Q12" s="40"/>
      <c r="R12" s="40"/>
      <c r="S12" s="40"/>
      <c r="T12" s="40"/>
      <c r="U12" s="40"/>
      <c r="V12" s="40"/>
      <c r="W12" s="40"/>
      <c r="X12" s="40"/>
    </row>
    <row r="13" spans="1:24" ht="13.2" customHeight="1" x14ac:dyDescent="0.25">
      <c r="A13" t="s">
        <v>22</v>
      </c>
      <c r="B13">
        <v>22.6</v>
      </c>
      <c r="C13">
        <f t="shared" si="0"/>
        <v>8.6199999999999992</v>
      </c>
      <c r="F13">
        <f t="shared" si="2"/>
        <v>11.6</v>
      </c>
      <c r="G13">
        <f t="shared" si="1"/>
        <v>3.79</v>
      </c>
      <c r="J13" s="40"/>
      <c r="K13" s="40"/>
      <c r="L13" s="40"/>
      <c r="M13" s="40"/>
      <c r="N13" s="40"/>
      <c r="O13" s="40"/>
      <c r="P13" s="40"/>
      <c r="Q13" s="40"/>
      <c r="R13" s="40"/>
      <c r="S13" s="40"/>
      <c r="T13" s="40"/>
      <c r="U13" s="40"/>
      <c r="V13" s="40"/>
      <c r="W13" s="40"/>
      <c r="X13" s="40"/>
    </row>
    <row r="14" spans="1:24" ht="13.2" customHeight="1" x14ac:dyDescent="0.25">
      <c r="A14" t="s">
        <v>23</v>
      </c>
      <c r="C14">
        <f t="shared" si="0"/>
        <v>8.6199999999999992</v>
      </c>
      <c r="F14" s="3"/>
      <c r="G14">
        <f t="shared" si="1"/>
        <v>3.79</v>
      </c>
      <c r="J14" s="40"/>
      <c r="K14" s="40"/>
      <c r="L14" s="40"/>
      <c r="M14" s="40"/>
      <c r="N14" s="40"/>
      <c r="O14" s="40"/>
      <c r="P14" s="40"/>
      <c r="Q14" s="40"/>
      <c r="R14" s="40"/>
      <c r="S14" s="40"/>
      <c r="T14" s="40"/>
      <c r="U14" s="40"/>
      <c r="V14" s="40"/>
      <c r="W14" s="40"/>
      <c r="X14" s="40"/>
    </row>
    <row r="15" spans="1:24" ht="13.2" customHeight="1" x14ac:dyDescent="0.25">
      <c r="A15" t="s">
        <v>24</v>
      </c>
      <c r="B15">
        <v>20.8</v>
      </c>
      <c r="C15">
        <f t="shared" si="0"/>
        <v>8.6199999999999992</v>
      </c>
      <c r="F15" s="3"/>
      <c r="G15">
        <f t="shared" si="1"/>
        <v>3.79</v>
      </c>
      <c r="J15" s="40"/>
      <c r="K15" s="40"/>
      <c r="L15" s="40"/>
      <c r="M15" s="40"/>
      <c r="N15" s="40"/>
      <c r="O15" s="40"/>
      <c r="P15" s="40"/>
      <c r="Q15" s="40"/>
      <c r="R15" s="40"/>
      <c r="S15" s="40"/>
      <c r="T15" s="40"/>
      <c r="U15" s="40"/>
      <c r="V15" s="40"/>
      <c r="W15" s="40"/>
      <c r="X15" s="40"/>
    </row>
    <row r="16" spans="1:24" ht="13.2" customHeight="1" x14ac:dyDescent="0.25">
      <c r="A16" t="s">
        <v>25</v>
      </c>
      <c r="B16">
        <v>12.2</v>
      </c>
      <c r="C16">
        <f t="shared" si="0"/>
        <v>8.6199999999999992</v>
      </c>
      <c r="F16">
        <f t="shared" si="2"/>
        <v>8.6</v>
      </c>
      <c r="G16">
        <f t="shared" si="1"/>
        <v>3.79</v>
      </c>
      <c r="J16" s="40"/>
      <c r="K16" s="40"/>
      <c r="L16" s="40"/>
      <c r="M16" s="40"/>
      <c r="N16" s="40"/>
      <c r="O16" s="40"/>
      <c r="P16" s="40"/>
      <c r="Q16" s="40"/>
      <c r="R16" s="40"/>
      <c r="S16" s="40"/>
      <c r="T16" s="40"/>
      <c r="U16" s="40"/>
      <c r="V16" s="40"/>
      <c r="W16" s="40"/>
      <c r="X16" s="40"/>
    </row>
    <row r="17" spans="1:24" ht="13.2" customHeight="1" x14ac:dyDescent="0.25">
      <c r="A17" t="s">
        <v>26</v>
      </c>
      <c r="B17">
        <v>10.199999999999999</v>
      </c>
      <c r="C17">
        <f t="shared" si="0"/>
        <v>8.6199999999999992</v>
      </c>
      <c r="F17">
        <f t="shared" si="2"/>
        <v>2</v>
      </c>
      <c r="G17">
        <f t="shared" si="1"/>
        <v>3.79</v>
      </c>
      <c r="J17" s="40"/>
      <c r="K17" s="40"/>
      <c r="L17" s="40"/>
      <c r="M17" s="40"/>
      <c r="N17" s="40"/>
      <c r="O17" s="40"/>
      <c r="P17" s="40"/>
      <c r="Q17" s="40"/>
      <c r="R17" s="40"/>
      <c r="S17" s="40"/>
      <c r="T17" s="40"/>
      <c r="U17" s="40"/>
      <c r="V17" s="40"/>
      <c r="W17" s="40"/>
      <c r="X17" s="40"/>
    </row>
    <row r="18" spans="1:24" ht="13.2" customHeight="1" x14ac:dyDescent="0.25">
      <c r="A18" t="s">
        <v>27</v>
      </c>
      <c r="B18">
        <v>10.7</v>
      </c>
      <c r="C18">
        <f t="shared" si="0"/>
        <v>8.6199999999999992</v>
      </c>
      <c r="F18">
        <f t="shared" si="2"/>
        <v>0.5</v>
      </c>
      <c r="G18">
        <f t="shared" si="1"/>
        <v>3.79</v>
      </c>
      <c r="J18" s="40"/>
      <c r="K18" s="40"/>
      <c r="L18" s="40"/>
      <c r="M18" s="40"/>
      <c r="N18" s="40"/>
      <c r="O18" s="40"/>
      <c r="P18" s="40"/>
      <c r="Q18" s="40"/>
      <c r="R18" s="40"/>
      <c r="S18" s="40"/>
      <c r="T18" s="40"/>
      <c r="U18" s="40"/>
      <c r="V18" s="40"/>
      <c r="W18" s="40"/>
      <c r="X18" s="40"/>
    </row>
    <row r="19" spans="1:24" ht="13.2" customHeight="1" x14ac:dyDescent="0.25">
      <c r="A19" t="s">
        <v>28</v>
      </c>
      <c r="B19">
        <v>3.2</v>
      </c>
      <c r="C19">
        <f t="shared" si="0"/>
        <v>8.6199999999999992</v>
      </c>
      <c r="F19">
        <f t="shared" si="2"/>
        <v>7.5</v>
      </c>
      <c r="G19">
        <f t="shared" si="1"/>
        <v>3.79</v>
      </c>
      <c r="J19" s="40"/>
      <c r="K19" s="40"/>
      <c r="L19" s="40"/>
      <c r="M19" s="40"/>
      <c r="N19" s="40"/>
      <c r="O19" s="40"/>
      <c r="P19" s="40"/>
      <c r="Q19" s="40"/>
      <c r="R19" s="40"/>
      <c r="S19" s="40"/>
      <c r="T19" s="40"/>
      <c r="U19" s="40"/>
      <c r="V19" s="40"/>
      <c r="W19" s="40"/>
      <c r="X19" s="40"/>
    </row>
    <row r="20" spans="1:24" ht="13.2" customHeight="1" x14ac:dyDescent="0.25">
      <c r="A20" t="s">
        <v>29</v>
      </c>
      <c r="B20">
        <v>6.6</v>
      </c>
      <c r="C20">
        <f t="shared" si="0"/>
        <v>8.6199999999999992</v>
      </c>
      <c r="F20">
        <f t="shared" si="2"/>
        <v>3.4</v>
      </c>
      <c r="G20">
        <f t="shared" si="1"/>
        <v>3.79</v>
      </c>
      <c r="J20" s="40"/>
      <c r="K20" s="40"/>
      <c r="L20" s="40"/>
      <c r="M20" s="40"/>
      <c r="N20" s="40"/>
      <c r="O20" s="40"/>
      <c r="P20" s="40"/>
      <c r="Q20" s="40"/>
      <c r="R20" s="40"/>
      <c r="S20" s="40"/>
      <c r="T20" s="40"/>
      <c r="U20" s="40"/>
      <c r="V20" s="40"/>
      <c r="W20" s="40"/>
      <c r="X20" s="40"/>
    </row>
    <row r="21" spans="1:24" ht="13.2" customHeight="1" x14ac:dyDescent="0.25">
      <c r="A21" t="s">
        <v>30</v>
      </c>
      <c r="B21">
        <v>20.8</v>
      </c>
      <c r="C21">
        <f t="shared" si="0"/>
        <v>8.6199999999999992</v>
      </c>
      <c r="F21">
        <f t="shared" si="2"/>
        <v>14.2</v>
      </c>
      <c r="G21">
        <f t="shared" si="1"/>
        <v>3.79</v>
      </c>
      <c r="J21" s="40"/>
      <c r="K21" s="40"/>
      <c r="L21" s="40"/>
      <c r="M21" s="40"/>
      <c r="N21" s="40"/>
      <c r="O21" s="40"/>
      <c r="P21" s="40"/>
      <c r="Q21" s="40"/>
      <c r="R21" s="40"/>
      <c r="S21" s="40"/>
      <c r="T21" s="40"/>
      <c r="U21" s="40"/>
      <c r="V21" s="40"/>
      <c r="W21" s="40"/>
      <c r="X21" s="40"/>
    </row>
    <row r="22" spans="1:24" ht="13.2" customHeight="1" x14ac:dyDescent="0.25">
      <c r="A22" t="s">
        <v>31</v>
      </c>
      <c r="B22">
        <v>25.5</v>
      </c>
      <c r="C22">
        <f t="shared" si="0"/>
        <v>8.6199999999999992</v>
      </c>
      <c r="F22">
        <f t="shared" si="2"/>
        <v>4.7</v>
      </c>
      <c r="G22">
        <f t="shared" si="1"/>
        <v>3.79</v>
      </c>
      <c r="J22" s="40"/>
      <c r="K22" s="40"/>
      <c r="L22" s="40"/>
      <c r="M22" s="40"/>
      <c r="N22" s="40"/>
      <c r="O22" s="40"/>
      <c r="P22" s="40"/>
      <c r="Q22" s="40"/>
      <c r="R22" s="40"/>
      <c r="S22" s="40"/>
      <c r="T22" s="40"/>
      <c r="U22" s="40"/>
      <c r="V22" s="40"/>
      <c r="W22" s="40"/>
      <c r="X22" s="40"/>
    </row>
    <row r="23" spans="1:24" ht="13.2" customHeight="1" x14ac:dyDescent="0.25">
      <c r="A23" t="s">
        <v>32</v>
      </c>
      <c r="B23">
        <v>18.399999999999999</v>
      </c>
      <c r="C23">
        <f t="shared" si="0"/>
        <v>8.6199999999999992</v>
      </c>
      <c r="F23">
        <f t="shared" si="2"/>
        <v>7.1</v>
      </c>
      <c r="G23">
        <f t="shared" si="1"/>
        <v>3.79</v>
      </c>
      <c r="J23" s="40"/>
      <c r="K23" s="40"/>
      <c r="L23" s="40"/>
      <c r="M23" s="40"/>
      <c r="N23" s="40"/>
      <c r="O23" s="40"/>
      <c r="P23" s="40"/>
      <c r="Q23" s="40"/>
      <c r="R23" s="40"/>
      <c r="S23" s="40"/>
      <c r="T23" s="40"/>
      <c r="U23" s="40"/>
      <c r="V23" s="40"/>
      <c r="W23" s="40"/>
      <c r="X23" s="40"/>
    </row>
    <row r="24" spans="1:24" ht="13.2" customHeight="1" x14ac:dyDescent="0.25">
      <c r="A24" t="s">
        <v>33</v>
      </c>
      <c r="B24">
        <v>29.3</v>
      </c>
      <c r="C24">
        <f t="shared" si="0"/>
        <v>8.6199999999999992</v>
      </c>
      <c r="F24">
        <f t="shared" si="2"/>
        <v>10.9</v>
      </c>
      <c r="G24">
        <f t="shared" si="1"/>
        <v>3.79</v>
      </c>
      <c r="J24" s="40"/>
      <c r="K24" s="40"/>
      <c r="L24" s="40"/>
      <c r="M24" s="40"/>
      <c r="N24" s="40"/>
      <c r="O24" s="40"/>
      <c r="P24" s="40"/>
      <c r="Q24" s="40"/>
      <c r="R24" s="40"/>
      <c r="S24" s="40"/>
      <c r="T24" s="40"/>
      <c r="U24" s="40"/>
      <c r="V24" s="40"/>
      <c r="W24" s="40"/>
      <c r="X24" s="40"/>
    </row>
    <row r="25" spans="1:24" ht="13.2" customHeight="1" x14ac:dyDescent="0.25">
      <c r="A25" t="s">
        <v>34</v>
      </c>
      <c r="B25">
        <v>23</v>
      </c>
      <c r="C25">
        <f t="shared" si="0"/>
        <v>8.6199999999999992</v>
      </c>
      <c r="F25">
        <f t="shared" si="2"/>
        <v>6.3</v>
      </c>
      <c r="G25">
        <f t="shared" si="1"/>
        <v>3.79</v>
      </c>
      <c r="J25" s="40"/>
      <c r="K25" s="40"/>
      <c r="L25" s="40"/>
      <c r="M25" s="40"/>
      <c r="N25" s="40"/>
      <c r="O25" s="40"/>
      <c r="P25" s="40"/>
      <c r="Q25" s="40"/>
      <c r="R25" s="40"/>
      <c r="S25" s="40"/>
      <c r="T25" s="40"/>
      <c r="U25" s="40"/>
      <c r="V25" s="40"/>
      <c r="W25" s="40"/>
      <c r="X25" s="40"/>
    </row>
    <row r="26" spans="1:24" ht="13.2" customHeight="1" x14ac:dyDescent="0.25">
      <c r="A26" t="s">
        <v>35</v>
      </c>
      <c r="B26">
        <v>31.4</v>
      </c>
      <c r="C26">
        <f t="shared" si="0"/>
        <v>8.6199999999999992</v>
      </c>
      <c r="F26">
        <f t="shared" si="2"/>
        <v>8.4</v>
      </c>
      <c r="G26">
        <f t="shared" si="1"/>
        <v>3.79</v>
      </c>
      <c r="J26" s="40"/>
      <c r="K26" s="40"/>
      <c r="L26" s="40"/>
      <c r="M26" s="40"/>
      <c r="N26" s="40"/>
      <c r="O26" s="40"/>
      <c r="P26" s="40"/>
      <c r="Q26" s="40"/>
      <c r="R26" s="40"/>
      <c r="S26" s="40"/>
      <c r="T26" s="40"/>
      <c r="U26" s="40"/>
      <c r="V26" s="40"/>
      <c r="W26" s="40"/>
      <c r="X26" s="40"/>
    </row>
    <row r="27" spans="1:24" ht="13.2" customHeight="1" x14ac:dyDescent="0.25">
      <c r="A27" t="s">
        <v>36</v>
      </c>
      <c r="B27">
        <v>19.100000000000001</v>
      </c>
      <c r="C27">
        <f t="shared" si="0"/>
        <v>8.6199999999999992</v>
      </c>
      <c r="F27">
        <f t="shared" si="2"/>
        <v>12.3</v>
      </c>
      <c r="G27">
        <f t="shared" si="1"/>
        <v>3.79</v>
      </c>
      <c r="J27" s="40"/>
      <c r="K27" s="40"/>
      <c r="L27" s="40"/>
      <c r="M27" s="40"/>
      <c r="N27" s="40"/>
      <c r="O27" s="40"/>
      <c r="P27" s="40"/>
      <c r="Q27" s="40"/>
      <c r="R27" s="40"/>
      <c r="S27" s="40"/>
      <c r="T27" s="40"/>
      <c r="U27" s="40"/>
      <c r="V27" s="40"/>
      <c r="W27" s="40"/>
      <c r="X27" s="40"/>
    </row>
    <row r="28" spans="1:24" ht="13.2" customHeight="1" x14ac:dyDescent="0.25">
      <c r="A28" t="s">
        <v>37</v>
      </c>
      <c r="B28">
        <v>16</v>
      </c>
      <c r="C28">
        <f t="shared" si="0"/>
        <v>8.6199999999999992</v>
      </c>
      <c r="F28">
        <f t="shared" si="2"/>
        <v>3.1</v>
      </c>
      <c r="G28">
        <f t="shared" si="1"/>
        <v>3.79</v>
      </c>
      <c r="J28" s="40"/>
      <c r="K28" s="40"/>
      <c r="L28" s="40"/>
      <c r="M28" s="40"/>
      <c r="N28" s="40"/>
      <c r="O28" s="40"/>
      <c r="P28" s="40"/>
      <c r="Q28" s="40"/>
      <c r="R28" s="40"/>
      <c r="S28" s="40"/>
      <c r="T28" s="40"/>
      <c r="U28" s="40"/>
      <c r="V28" s="40"/>
      <c r="W28" s="40"/>
      <c r="X28" s="40"/>
    </row>
    <row r="29" spans="1:24" ht="13.2" customHeight="1" x14ac:dyDescent="0.25">
      <c r="A29" t="s">
        <v>38</v>
      </c>
      <c r="B29">
        <v>12.4</v>
      </c>
      <c r="C29">
        <f t="shared" si="0"/>
        <v>8.6199999999999992</v>
      </c>
      <c r="F29">
        <f t="shared" si="2"/>
        <v>3.6</v>
      </c>
      <c r="G29">
        <f t="shared" si="1"/>
        <v>3.79</v>
      </c>
      <c r="J29" s="40"/>
      <c r="K29" s="40"/>
      <c r="L29" s="40"/>
      <c r="M29" s="40"/>
      <c r="N29" s="40"/>
      <c r="O29" s="40"/>
      <c r="P29" s="40"/>
      <c r="Q29" s="40"/>
      <c r="R29" s="40"/>
      <c r="S29" s="40"/>
      <c r="T29" s="40"/>
      <c r="U29" s="40"/>
      <c r="V29" s="40"/>
      <c r="W29" s="40"/>
      <c r="X29" s="40"/>
    </row>
    <row r="30" spans="1:24" ht="13.2" customHeight="1" x14ac:dyDescent="0.25">
      <c r="A30" t="s">
        <v>39</v>
      </c>
      <c r="B30">
        <v>11.9</v>
      </c>
      <c r="C30">
        <f t="shared" si="0"/>
        <v>8.6199999999999992</v>
      </c>
      <c r="F30">
        <f t="shared" si="2"/>
        <v>0.5</v>
      </c>
      <c r="G30">
        <f t="shared" si="1"/>
        <v>3.79</v>
      </c>
      <c r="J30" s="40"/>
      <c r="K30" s="40"/>
      <c r="L30" s="40"/>
      <c r="M30" s="40"/>
      <c r="N30" s="40"/>
      <c r="O30" s="40"/>
      <c r="P30" s="40"/>
      <c r="Q30" s="40"/>
      <c r="R30" s="40"/>
      <c r="S30" s="40"/>
      <c r="T30" s="40"/>
      <c r="U30" s="40"/>
      <c r="V30" s="40"/>
      <c r="W30" s="40"/>
      <c r="X30" s="40"/>
    </row>
    <row r="31" spans="1:24" ht="13.2" customHeight="1" x14ac:dyDescent="0.25">
      <c r="A31" t="s">
        <v>40</v>
      </c>
      <c r="B31">
        <v>6.1</v>
      </c>
      <c r="C31">
        <f t="shared" si="0"/>
        <v>8.6199999999999992</v>
      </c>
      <c r="F31">
        <f t="shared" si="2"/>
        <v>5.8</v>
      </c>
      <c r="G31">
        <f t="shared" si="1"/>
        <v>3.79</v>
      </c>
      <c r="J31" s="40"/>
      <c r="K31" s="40"/>
      <c r="L31" s="40"/>
      <c r="M31" s="40"/>
      <c r="N31" s="40"/>
      <c r="O31" s="40"/>
      <c r="P31" s="40"/>
      <c r="Q31" s="40"/>
      <c r="R31" s="40"/>
      <c r="S31" s="40"/>
      <c r="T31" s="40"/>
      <c r="U31" s="40"/>
      <c r="V31" s="40"/>
      <c r="W31" s="40"/>
      <c r="X31" s="40"/>
    </row>
    <row r="32" spans="1:24" ht="13.2" customHeight="1" x14ac:dyDescent="0.25">
      <c r="A32" t="s">
        <v>41</v>
      </c>
      <c r="B32">
        <v>4.0999999999999996</v>
      </c>
      <c r="C32">
        <f t="shared" si="0"/>
        <v>8.6199999999999992</v>
      </c>
      <c r="F32">
        <f t="shared" si="2"/>
        <v>2</v>
      </c>
      <c r="G32">
        <f t="shared" si="1"/>
        <v>3.79</v>
      </c>
      <c r="J32" s="40"/>
      <c r="K32" s="40"/>
      <c r="L32" s="40"/>
      <c r="M32" s="40"/>
      <c r="N32" s="40"/>
      <c r="O32" s="40"/>
      <c r="P32" s="40"/>
      <c r="Q32" s="40"/>
      <c r="R32" s="40"/>
      <c r="S32" s="40"/>
      <c r="T32" s="40"/>
      <c r="U32" s="40"/>
      <c r="V32" s="40"/>
      <c r="W32" s="40"/>
      <c r="X32" s="40"/>
    </row>
    <row r="33" spans="1:24" ht="13.2" customHeight="1" x14ac:dyDescent="0.25">
      <c r="A33" t="s">
        <v>42</v>
      </c>
      <c r="B33">
        <v>0.5</v>
      </c>
      <c r="C33">
        <f t="shared" si="0"/>
        <v>8.6199999999999992</v>
      </c>
      <c r="F33">
        <f t="shared" si="2"/>
        <v>3.6</v>
      </c>
      <c r="G33">
        <f t="shared" si="1"/>
        <v>3.79</v>
      </c>
      <c r="J33" s="40"/>
      <c r="K33" s="40"/>
      <c r="L33" s="40"/>
      <c r="M33" s="40"/>
      <c r="N33" s="40"/>
      <c r="O33" s="40"/>
      <c r="P33" s="40"/>
      <c r="Q33" s="40"/>
      <c r="R33" s="40"/>
      <c r="S33" s="40"/>
      <c r="T33" s="40"/>
      <c r="U33" s="40"/>
      <c r="V33" s="40"/>
      <c r="W33" s="40"/>
      <c r="X33" s="40"/>
    </row>
    <row r="34" spans="1:24" ht="13.2" customHeight="1" x14ac:dyDescent="0.25">
      <c r="A34" t="s">
        <v>43</v>
      </c>
      <c r="B34">
        <v>1.6</v>
      </c>
      <c r="C34">
        <f t="shared" si="0"/>
        <v>8.6199999999999992</v>
      </c>
      <c r="F34">
        <f t="shared" si="2"/>
        <v>1.1000000000000001</v>
      </c>
      <c r="G34">
        <f t="shared" si="1"/>
        <v>3.79</v>
      </c>
      <c r="J34" s="40"/>
      <c r="K34" s="40"/>
      <c r="L34" s="40"/>
      <c r="M34" s="40"/>
      <c r="N34" s="40"/>
      <c r="O34" s="40"/>
      <c r="P34" s="40"/>
      <c r="Q34" s="40"/>
      <c r="R34" s="40"/>
      <c r="S34" s="40"/>
      <c r="T34" s="40"/>
      <c r="U34" s="40"/>
      <c r="V34" s="40"/>
      <c r="W34" s="40"/>
      <c r="X34" s="40"/>
    </row>
    <row r="35" spans="1:24" ht="13.2" customHeight="1" x14ac:dyDescent="0.25">
      <c r="A35" t="s">
        <v>44</v>
      </c>
      <c r="B35">
        <v>2.2999999999999998</v>
      </c>
      <c r="C35">
        <f t="shared" ref="C35:C66" si="3">ROUND(AVERAGE($B$3:$B$101), 2)</f>
        <v>8.6199999999999992</v>
      </c>
      <c r="F35">
        <f t="shared" si="2"/>
        <v>0.7</v>
      </c>
      <c r="G35">
        <f t="shared" ref="G35:G66" si="4">ROUND(AVERAGE($F$4:$F$101),2)</f>
        <v>3.79</v>
      </c>
      <c r="J35" s="40"/>
      <c r="K35" s="40"/>
      <c r="L35" s="40"/>
      <c r="M35" s="40"/>
      <c r="N35" s="40"/>
      <c r="O35" s="40"/>
      <c r="P35" s="40"/>
      <c r="Q35" s="40"/>
      <c r="R35" s="40"/>
      <c r="S35" s="40"/>
      <c r="T35" s="40"/>
      <c r="U35" s="40"/>
      <c r="V35" s="40"/>
      <c r="W35" s="40"/>
      <c r="X35" s="40"/>
    </row>
    <row r="36" spans="1:24" ht="13.2" customHeight="1" x14ac:dyDescent="0.25">
      <c r="A36" t="s">
        <v>45</v>
      </c>
      <c r="B36">
        <v>17.600000000000001</v>
      </c>
      <c r="C36">
        <f t="shared" si="3"/>
        <v>8.6199999999999992</v>
      </c>
      <c r="F36">
        <f t="shared" si="2"/>
        <v>15.3</v>
      </c>
      <c r="G36">
        <f t="shared" si="4"/>
        <v>3.79</v>
      </c>
      <c r="J36" s="40"/>
      <c r="K36" s="40"/>
      <c r="L36" s="40"/>
      <c r="M36" s="40"/>
      <c r="N36" s="40"/>
      <c r="O36" s="40"/>
      <c r="P36" s="40"/>
      <c r="Q36" s="40"/>
      <c r="R36" s="40"/>
      <c r="S36" s="40"/>
      <c r="T36" s="40"/>
      <c r="U36" s="40"/>
      <c r="V36" s="40"/>
      <c r="W36" s="40"/>
      <c r="X36" s="40"/>
    </row>
    <row r="37" spans="1:24" ht="13.2" customHeight="1" x14ac:dyDescent="0.25">
      <c r="A37" t="s">
        <v>46</v>
      </c>
      <c r="B37">
        <v>7.1</v>
      </c>
      <c r="C37">
        <f t="shared" si="3"/>
        <v>8.6199999999999992</v>
      </c>
      <c r="F37">
        <f t="shared" si="2"/>
        <v>10.5</v>
      </c>
      <c r="G37">
        <f t="shared" si="4"/>
        <v>3.79</v>
      </c>
      <c r="J37" s="40"/>
      <c r="K37" s="40"/>
      <c r="L37" s="40"/>
      <c r="M37" s="40"/>
      <c r="N37" s="40"/>
      <c r="O37" s="40"/>
      <c r="P37" s="40"/>
      <c r="Q37" s="40"/>
      <c r="R37" s="40"/>
      <c r="S37" s="40"/>
      <c r="T37" s="40"/>
      <c r="U37" s="40"/>
      <c r="V37" s="40"/>
      <c r="W37" s="40"/>
      <c r="X37" s="40"/>
    </row>
    <row r="38" spans="1:24" ht="13.2" customHeight="1" x14ac:dyDescent="0.25">
      <c r="A38" t="s">
        <v>47</v>
      </c>
      <c r="B38">
        <v>8.1</v>
      </c>
      <c r="C38">
        <f t="shared" si="3"/>
        <v>8.6199999999999992</v>
      </c>
      <c r="F38">
        <f t="shared" si="2"/>
        <v>1</v>
      </c>
      <c r="G38">
        <f t="shared" si="4"/>
        <v>3.79</v>
      </c>
      <c r="J38" s="40"/>
      <c r="K38" s="40"/>
      <c r="L38" s="40"/>
      <c r="M38" s="40"/>
      <c r="N38" s="40"/>
      <c r="O38" s="40"/>
      <c r="P38" s="40"/>
      <c r="Q38" s="40"/>
      <c r="R38" s="40"/>
      <c r="S38" s="40"/>
      <c r="T38" s="40"/>
      <c r="U38" s="40"/>
      <c r="V38" s="40"/>
      <c r="W38" s="40"/>
      <c r="X38" s="40"/>
    </row>
    <row r="39" spans="1:24" ht="13.2" customHeight="1" x14ac:dyDescent="0.25">
      <c r="A39" t="s">
        <v>48</v>
      </c>
      <c r="B39">
        <v>15.2</v>
      </c>
      <c r="C39">
        <f t="shared" si="3"/>
        <v>8.6199999999999992</v>
      </c>
      <c r="F39">
        <f t="shared" si="2"/>
        <v>7.1</v>
      </c>
      <c r="G39">
        <f t="shared" si="4"/>
        <v>3.79</v>
      </c>
      <c r="J39" s="40"/>
      <c r="K39" s="40"/>
      <c r="L39" s="40"/>
      <c r="M39" s="40"/>
      <c r="N39" s="40"/>
      <c r="O39" s="40"/>
      <c r="P39" s="40"/>
      <c r="Q39" s="40"/>
      <c r="R39" s="40"/>
      <c r="S39" s="40"/>
      <c r="T39" s="40"/>
      <c r="U39" s="40"/>
      <c r="V39" s="40"/>
      <c r="W39" s="40"/>
      <c r="X39" s="40"/>
    </row>
    <row r="40" spans="1:24" ht="13.2" customHeight="1" x14ac:dyDescent="0.25">
      <c r="A40" t="s">
        <v>49</v>
      </c>
      <c r="B40">
        <v>11.3</v>
      </c>
      <c r="C40">
        <f t="shared" si="3"/>
        <v>8.6199999999999992</v>
      </c>
      <c r="F40">
        <f t="shared" si="2"/>
        <v>3.9</v>
      </c>
      <c r="G40">
        <f t="shared" si="4"/>
        <v>3.79</v>
      </c>
      <c r="J40" s="40"/>
      <c r="K40" s="40"/>
      <c r="L40" s="40"/>
      <c r="M40" s="40"/>
      <c r="N40" s="40"/>
      <c r="O40" s="40"/>
      <c r="P40" s="40"/>
      <c r="Q40" s="40"/>
      <c r="R40" s="40"/>
      <c r="S40" s="40"/>
      <c r="T40" s="40"/>
      <c r="U40" s="40"/>
      <c r="V40" s="40"/>
      <c r="W40" s="40"/>
      <c r="X40" s="40"/>
    </row>
    <row r="41" spans="1:24" ht="13.2" customHeight="1" x14ac:dyDescent="0.25">
      <c r="A41" t="s">
        <v>50</v>
      </c>
      <c r="B41">
        <v>17</v>
      </c>
      <c r="C41">
        <f t="shared" si="3"/>
        <v>8.6199999999999992</v>
      </c>
      <c r="F41">
        <f t="shared" si="2"/>
        <v>5.7</v>
      </c>
      <c r="G41">
        <f t="shared" si="4"/>
        <v>3.79</v>
      </c>
      <c r="J41" s="40"/>
      <c r="K41" s="40"/>
      <c r="L41" s="40"/>
      <c r="M41" s="40"/>
      <c r="N41" s="40"/>
      <c r="O41" s="40"/>
      <c r="P41" s="40"/>
      <c r="Q41" s="40"/>
      <c r="R41" s="40"/>
      <c r="S41" s="40"/>
      <c r="T41" s="40"/>
      <c r="U41" s="40"/>
      <c r="V41" s="40"/>
      <c r="W41" s="40"/>
      <c r="X41" s="40"/>
    </row>
    <row r="42" spans="1:24" x14ac:dyDescent="0.25">
      <c r="A42" t="s">
        <v>51</v>
      </c>
      <c r="B42">
        <v>17.3</v>
      </c>
      <c r="C42">
        <f t="shared" si="3"/>
        <v>8.6199999999999992</v>
      </c>
      <c r="F42">
        <f t="shared" si="2"/>
        <v>0.3</v>
      </c>
      <c r="G42">
        <f t="shared" si="4"/>
        <v>3.79</v>
      </c>
      <c r="J42" s="40"/>
      <c r="K42" s="40"/>
      <c r="L42" s="40"/>
      <c r="M42" s="40"/>
      <c r="N42" s="40"/>
      <c r="O42" s="40"/>
      <c r="P42" s="40"/>
      <c r="Q42" s="40"/>
      <c r="R42" s="40"/>
      <c r="S42" s="40"/>
      <c r="T42" s="40"/>
      <c r="U42" s="40"/>
      <c r="V42" s="40"/>
      <c r="W42" s="40"/>
      <c r="X42" s="40"/>
    </row>
    <row r="43" spans="1:24" x14ac:dyDescent="0.25">
      <c r="A43" t="s">
        <v>52</v>
      </c>
      <c r="B43">
        <v>5.8</v>
      </c>
      <c r="C43">
        <f t="shared" si="3"/>
        <v>8.6199999999999992</v>
      </c>
      <c r="F43">
        <f t="shared" si="2"/>
        <v>11.5</v>
      </c>
      <c r="G43">
        <f t="shared" si="4"/>
        <v>3.79</v>
      </c>
    </row>
    <row r="44" spans="1:24" x14ac:dyDescent="0.25">
      <c r="A44" t="s">
        <v>53</v>
      </c>
      <c r="B44">
        <v>2.7</v>
      </c>
      <c r="C44">
        <f t="shared" si="3"/>
        <v>8.6199999999999992</v>
      </c>
      <c r="F44">
        <f t="shared" si="2"/>
        <v>3.1</v>
      </c>
      <c r="G44">
        <f t="shared" si="4"/>
        <v>3.79</v>
      </c>
    </row>
    <row r="45" spans="1:24" x14ac:dyDescent="0.25">
      <c r="A45" t="s">
        <v>54</v>
      </c>
      <c r="B45">
        <v>4.4000000000000004</v>
      </c>
      <c r="C45">
        <f t="shared" si="3"/>
        <v>8.6199999999999992</v>
      </c>
      <c r="F45">
        <f t="shared" si="2"/>
        <v>1.7</v>
      </c>
      <c r="G45">
        <f t="shared" si="4"/>
        <v>3.79</v>
      </c>
    </row>
    <row r="46" spans="1:24" x14ac:dyDescent="0.25">
      <c r="A46" t="s">
        <v>55</v>
      </c>
      <c r="B46">
        <v>6.3</v>
      </c>
      <c r="C46">
        <f t="shared" si="3"/>
        <v>8.6199999999999992</v>
      </c>
      <c r="F46">
        <f t="shared" si="2"/>
        <v>1.9</v>
      </c>
      <c r="G46">
        <f t="shared" si="4"/>
        <v>3.79</v>
      </c>
    </row>
    <row r="47" spans="1:24" x14ac:dyDescent="0.25">
      <c r="A47" t="s">
        <v>56</v>
      </c>
      <c r="B47">
        <v>1.2</v>
      </c>
      <c r="C47">
        <f t="shared" si="3"/>
        <v>8.6199999999999992</v>
      </c>
      <c r="F47">
        <f t="shared" si="2"/>
        <v>5.0999999999999996</v>
      </c>
      <c r="G47">
        <f t="shared" si="4"/>
        <v>3.79</v>
      </c>
    </row>
    <row r="48" spans="1:24" x14ac:dyDescent="0.25">
      <c r="A48" t="s">
        <v>57</v>
      </c>
      <c r="B48">
        <v>3.2</v>
      </c>
      <c r="C48">
        <f t="shared" si="3"/>
        <v>8.6199999999999992</v>
      </c>
      <c r="F48">
        <f t="shared" si="2"/>
        <v>2</v>
      </c>
      <c r="G48">
        <f t="shared" si="4"/>
        <v>3.79</v>
      </c>
    </row>
    <row r="49" spans="1:7" x14ac:dyDescent="0.25">
      <c r="A49" t="s">
        <v>58</v>
      </c>
      <c r="B49">
        <v>11</v>
      </c>
      <c r="C49">
        <f t="shared" si="3"/>
        <v>8.6199999999999992</v>
      </c>
      <c r="F49">
        <f t="shared" si="2"/>
        <v>7.8</v>
      </c>
      <c r="G49">
        <f t="shared" si="4"/>
        <v>3.79</v>
      </c>
    </row>
    <row r="50" spans="1:7" x14ac:dyDescent="0.25">
      <c r="A50" t="s">
        <v>59</v>
      </c>
      <c r="B50">
        <v>10.5</v>
      </c>
      <c r="C50">
        <f t="shared" si="3"/>
        <v>8.6199999999999992</v>
      </c>
      <c r="F50">
        <f t="shared" si="2"/>
        <v>0.5</v>
      </c>
      <c r="G50">
        <f t="shared" si="4"/>
        <v>3.79</v>
      </c>
    </row>
    <row r="51" spans="1:7" x14ac:dyDescent="0.25">
      <c r="A51" t="s">
        <v>60</v>
      </c>
      <c r="B51">
        <v>7.6</v>
      </c>
      <c r="C51">
        <f t="shared" si="3"/>
        <v>8.6199999999999992</v>
      </c>
      <c r="F51">
        <f t="shared" si="2"/>
        <v>2.9</v>
      </c>
      <c r="G51">
        <f t="shared" si="4"/>
        <v>3.79</v>
      </c>
    </row>
    <row r="52" spans="1:7" x14ac:dyDescent="0.25">
      <c r="A52" t="s">
        <v>61</v>
      </c>
      <c r="B52">
        <v>4.7</v>
      </c>
      <c r="C52">
        <f t="shared" si="3"/>
        <v>8.6199999999999992</v>
      </c>
      <c r="F52">
        <f t="shared" si="2"/>
        <v>2.9</v>
      </c>
      <c r="G52">
        <f t="shared" si="4"/>
        <v>3.79</v>
      </c>
    </row>
    <row r="53" spans="1:7" x14ac:dyDescent="0.25">
      <c r="A53" t="s">
        <v>62</v>
      </c>
      <c r="B53">
        <v>4.5</v>
      </c>
      <c r="C53">
        <f t="shared" si="3"/>
        <v>8.6199999999999992</v>
      </c>
      <c r="F53">
        <f t="shared" si="2"/>
        <v>0.2</v>
      </c>
      <c r="G53">
        <f t="shared" si="4"/>
        <v>3.79</v>
      </c>
    </row>
    <row r="54" spans="1:7" x14ac:dyDescent="0.25">
      <c r="A54" t="s">
        <v>63</v>
      </c>
      <c r="B54">
        <v>4.2</v>
      </c>
      <c r="C54">
        <f t="shared" si="3"/>
        <v>8.6199999999999992</v>
      </c>
      <c r="F54">
        <f t="shared" si="2"/>
        <v>0.3</v>
      </c>
      <c r="G54">
        <f t="shared" si="4"/>
        <v>3.79</v>
      </c>
    </row>
    <row r="55" spans="1:7" x14ac:dyDescent="0.25">
      <c r="A55" t="s">
        <v>64</v>
      </c>
      <c r="B55">
        <v>4.4000000000000004</v>
      </c>
      <c r="C55">
        <f t="shared" si="3"/>
        <v>8.6199999999999992</v>
      </c>
      <c r="F55">
        <f t="shared" si="2"/>
        <v>0.2</v>
      </c>
      <c r="G55">
        <f t="shared" si="4"/>
        <v>3.79</v>
      </c>
    </row>
    <row r="56" spans="1:7" x14ac:dyDescent="0.25">
      <c r="A56" t="s">
        <v>65</v>
      </c>
      <c r="B56">
        <v>7.1</v>
      </c>
      <c r="C56">
        <f t="shared" si="3"/>
        <v>8.6199999999999992</v>
      </c>
      <c r="F56">
        <f t="shared" si="2"/>
        <v>2.7</v>
      </c>
      <c r="G56">
        <f t="shared" si="4"/>
        <v>3.79</v>
      </c>
    </row>
    <row r="57" spans="1:7" x14ac:dyDescent="0.25">
      <c r="A57" t="s">
        <v>66</v>
      </c>
      <c r="B57">
        <v>6.1</v>
      </c>
      <c r="C57">
        <f t="shared" si="3"/>
        <v>8.6199999999999992</v>
      </c>
      <c r="F57">
        <f t="shared" si="2"/>
        <v>1</v>
      </c>
      <c r="G57">
        <f t="shared" si="4"/>
        <v>3.79</v>
      </c>
    </row>
    <row r="58" spans="1:7" x14ac:dyDescent="0.25">
      <c r="A58" t="s">
        <v>67</v>
      </c>
      <c r="B58">
        <v>3.6</v>
      </c>
      <c r="C58">
        <f t="shared" si="3"/>
        <v>8.6199999999999992</v>
      </c>
      <c r="F58">
        <f t="shared" si="2"/>
        <v>2.5</v>
      </c>
      <c r="G58">
        <f t="shared" si="4"/>
        <v>3.79</v>
      </c>
    </row>
    <row r="59" spans="1:7" x14ac:dyDescent="0.25">
      <c r="A59" t="s">
        <v>68</v>
      </c>
      <c r="B59">
        <v>10.5</v>
      </c>
      <c r="C59">
        <f t="shared" si="3"/>
        <v>8.6199999999999992</v>
      </c>
      <c r="F59">
        <f t="shared" si="2"/>
        <v>6.9</v>
      </c>
      <c r="G59">
        <f t="shared" si="4"/>
        <v>3.79</v>
      </c>
    </row>
    <row r="60" spans="1:7" x14ac:dyDescent="0.25">
      <c r="A60" t="s">
        <v>69</v>
      </c>
      <c r="B60">
        <v>14.8</v>
      </c>
      <c r="C60">
        <f t="shared" si="3"/>
        <v>8.6199999999999992</v>
      </c>
      <c r="F60">
        <f t="shared" si="2"/>
        <v>4.3</v>
      </c>
      <c r="G60">
        <f t="shared" si="4"/>
        <v>3.79</v>
      </c>
    </row>
    <row r="61" spans="1:7" x14ac:dyDescent="0.25">
      <c r="A61" t="s">
        <v>70</v>
      </c>
      <c r="B61">
        <v>10.9</v>
      </c>
      <c r="C61">
        <f t="shared" si="3"/>
        <v>8.6199999999999992</v>
      </c>
      <c r="F61">
        <f t="shared" si="2"/>
        <v>3.9</v>
      </c>
      <c r="G61">
        <f t="shared" si="4"/>
        <v>3.79</v>
      </c>
    </row>
    <row r="62" spans="1:7" x14ac:dyDescent="0.25">
      <c r="A62" t="s">
        <v>71</v>
      </c>
      <c r="B62">
        <v>10.5</v>
      </c>
      <c r="C62">
        <f t="shared" si="3"/>
        <v>8.6199999999999992</v>
      </c>
      <c r="F62">
        <f t="shared" si="2"/>
        <v>0.4</v>
      </c>
      <c r="G62">
        <f t="shared" si="4"/>
        <v>3.79</v>
      </c>
    </row>
    <row r="63" spans="1:7" x14ac:dyDescent="0.25">
      <c r="A63" t="s">
        <v>72</v>
      </c>
      <c r="B63">
        <v>13.4</v>
      </c>
      <c r="C63">
        <f t="shared" si="3"/>
        <v>8.6199999999999992</v>
      </c>
      <c r="F63">
        <f t="shared" si="2"/>
        <v>2.9</v>
      </c>
      <c r="G63">
        <f t="shared" si="4"/>
        <v>3.79</v>
      </c>
    </row>
    <row r="64" spans="1:7" x14ac:dyDescent="0.25">
      <c r="A64" t="s">
        <v>73</v>
      </c>
      <c r="B64">
        <v>18.100000000000001</v>
      </c>
      <c r="C64">
        <f t="shared" si="3"/>
        <v>8.6199999999999992</v>
      </c>
      <c r="F64">
        <f t="shared" si="2"/>
        <v>4.7</v>
      </c>
      <c r="G64">
        <f t="shared" si="4"/>
        <v>3.79</v>
      </c>
    </row>
    <row r="65" spans="1:7" x14ac:dyDescent="0.25">
      <c r="A65" t="s">
        <v>74</v>
      </c>
      <c r="B65">
        <v>15.4</v>
      </c>
      <c r="C65">
        <f t="shared" si="3"/>
        <v>8.6199999999999992</v>
      </c>
      <c r="F65">
        <f t="shared" si="2"/>
        <v>2.7</v>
      </c>
      <c r="G65">
        <f t="shared" si="4"/>
        <v>3.79</v>
      </c>
    </row>
    <row r="66" spans="1:7" x14ac:dyDescent="0.25">
      <c r="A66" t="s">
        <v>75</v>
      </c>
      <c r="B66">
        <v>19</v>
      </c>
      <c r="C66">
        <f t="shared" si="3"/>
        <v>8.6199999999999992</v>
      </c>
      <c r="F66">
        <f t="shared" si="2"/>
        <v>3.6</v>
      </c>
      <c r="G66">
        <f t="shared" si="4"/>
        <v>3.79</v>
      </c>
    </row>
    <row r="67" spans="1:7" x14ac:dyDescent="0.25">
      <c r="A67" t="s">
        <v>76</v>
      </c>
      <c r="B67">
        <v>13.4</v>
      </c>
      <c r="C67">
        <f t="shared" ref="C67:C101" si="5">ROUND(AVERAGE($B$3:$B$101), 2)</f>
        <v>8.6199999999999992</v>
      </c>
      <c r="F67">
        <f t="shared" si="2"/>
        <v>5.6</v>
      </c>
      <c r="G67">
        <f t="shared" ref="G67:G101" si="6">ROUND(AVERAGE($F$4:$F$101),2)</f>
        <v>3.79</v>
      </c>
    </row>
    <row r="68" spans="1:7" x14ac:dyDescent="0.25">
      <c r="A68" t="s">
        <v>77</v>
      </c>
      <c r="B68">
        <v>10.199999999999999</v>
      </c>
      <c r="C68">
        <f t="shared" si="5"/>
        <v>8.6199999999999992</v>
      </c>
      <c r="F68">
        <f t="shared" si="2"/>
        <v>3.2</v>
      </c>
      <c r="G68">
        <f t="shared" si="6"/>
        <v>3.79</v>
      </c>
    </row>
    <row r="69" spans="1:7" x14ac:dyDescent="0.25">
      <c r="A69" t="s">
        <v>78</v>
      </c>
      <c r="B69">
        <v>13.1</v>
      </c>
      <c r="C69">
        <f t="shared" si="5"/>
        <v>8.6199999999999992</v>
      </c>
      <c r="F69">
        <f t="shared" ref="F69:F101" si="7">ROUND(ABS(B68-B69),1)</f>
        <v>2.9</v>
      </c>
      <c r="G69">
        <f t="shared" si="6"/>
        <v>3.79</v>
      </c>
    </row>
    <row r="70" spans="1:7" x14ac:dyDescent="0.25">
      <c r="A70" t="s">
        <v>79</v>
      </c>
      <c r="B70">
        <v>18.100000000000001</v>
      </c>
      <c r="C70">
        <f t="shared" si="5"/>
        <v>8.6199999999999992</v>
      </c>
      <c r="F70">
        <f t="shared" si="7"/>
        <v>5</v>
      </c>
      <c r="G70">
        <f t="shared" si="6"/>
        <v>3.79</v>
      </c>
    </row>
    <row r="71" spans="1:7" x14ac:dyDescent="0.25">
      <c r="A71" t="s">
        <v>80</v>
      </c>
      <c r="B71">
        <v>14.4</v>
      </c>
      <c r="C71">
        <f t="shared" si="5"/>
        <v>8.6199999999999992</v>
      </c>
      <c r="F71">
        <f t="shared" si="7"/>
        <v>3.7</v>
      </c>
      <c r="G71">
        <f t="shared" si="6"/>
        <v>3.79</v>
      </c>
    </row>
    <row r="72" spans="1:7" x14ac:dyDescent="0.25">
      <c r="A72" t="s">
        <v>81</v>
      </c>
      <c r="B72">
        <v>15</v>
      </c>
      <c r="C72">
        <f t="shared" si="5"/>
        <v>8.6199999999999992</v>
      </c>
      <c r="F72">
        <f t="shared" si="7"/>
        <v>0.6</v>
      </c>
      <c r="G72">
        <f t="shared" si="6"/>
        <v>3.79</v>
      </c>
    </row>
    <row r="73" spans="1:7" x14ac:dyDescent="0.25">
      <c r="A73" t="s">
        <v>82</v>
      </c>
      <c r="B73">
        <v>10.8</v>
      </c>
      <c r="C73">
        <f t="shared" si="5"/>
        <v>8.6199999999999992</v>
      </c>
      <c r="F73">
        <f t="shared" si="7"/>
        <v>4.2</v>
      </c>
      <c r="G73">
        <f t="shared" si="6"/>
        <v>3.79</v>
      </c>
    </row>
    <row r="74" spans="1:7" x14ac:dyDescent="0.25">
      <c r="A74" t="s">
        <v>83</v>
      </c>
      <c r="B74">
        <v>5.4</v>
      </c>
      <c r="C74">
        <f t="shared" si="5"/>
        <v>8.6199999999999992</v>
      </c>
      <c r="F74">
        <f t="shared" si="7"/>
        <v>5.4</v>
      </c>
      <c r="G74">
        <f t="shared" si="6"/>
        <v>3.79</v>
      </c>
    </row>
    <row r="75" spans="1:7" x14ac:dyDescent="0.25">
      <c r="A75" t="s">
        <v>84</v>
      </c>
      <c r="B75">
        <v>3.2</v>
      </c>
      <c r="C75">
        <f t="shared" si="5"/>
        <v>8.6199999999999992</v>
      </c>
      <c r="F75">
        <f t="shared" si="7"/>
        <v>2.2000000000000002</v>
      </c>
      <c r="G75">
        <f t="shared" si="6"/>
        <v>3.79</v>
      </c>
    </row>
    <row r="76" spans="1:7" x14ac:dyDescent="0.25">
      <c r="A76" t="s">
        <v>85</v>
      </c>
      <c r="B76">
        <v>1.9</v>
      </c>
      <c r="C76">
        <f t="shared" si="5"/>
        <v>8.6199999999999992</v>
      </c>
      <c r="F76">
        <f t="shared" si="7"/>
        <v>1.3</v>
      </c>
      <c r="G76">
        <f t="shared" si="6"/>
        <v>3.79</v>
      </c>
    </row>
    <row r="77" spans="1:7" x14ac:dyDescent="0.25">
      <c r="A77" t="s">
        <v>86</v>
      </c>
      <c r="B77">
        <v>3.6</v>
      </c>
      <c r="C77">
        <f t="shared" si="5"/>
        <v>8.6199999999999992</v>
      </c>
      <c r="F77">
        <f t="shared" si="7"/>
        <v>1.7</v>
      </c>
      <c r="G77">
        <f t="shared" si="6"/>
        <v>3.79</v>
      </c>
    </row>
    <row r="78" spans="1:7" x14ac:dyDescent="0.25">
      <c r="A78" t="s">
        <v>87</v>
      </c>
      <c r="B78">
        <v>18.3</v>
      </c>
      <c r="C78">
        <f t="shared" si="5"/>
        <v>8.6199999999999992</v>
      </c>
      <c r="F78">
        <f t="shared" si="7"/>
        <v>14.7</v>
      </c>
      <c r="G78">
        <f t="shared" si="6"/>
        <v>3.79</v>
      </c>
    </row>
    <row r="79" spans="1:7" x14ac:dyDescent="0.25">
      <c r="A79" t="s">
        <v>88</v>
      </c>
      <c r="B79">
        <v>12.2</v>
      </c>
      <c r="C79">
        <f t="shared" si="5"/>
        <v>8.6199999999999992</v>
      </c>
      <c r="F79">
        <f t="shared" si="7"/>
        <v>6.1</v>
      </c>
      <c r="G79">
        <f t="shared" si="6"/>
        <v>3.79</v>
      </c>
    </row>
    <row r="80" spans="1:7" x14ac:dyDescent="0.25">
      <c r="A80" t="s">
        <v>89</v>
      </c>
      <c r="B80">
        <v>2.2000000000000002</v>
      </c>
      <c r="C80">
        <f t="shared" si="5"/>
        <v>8.6199999999999992</v>
      </c>
      <c r="F80">
        <f t="shared" si="7"/>
        <v>10</v>
      </c>
      <c r="G80">
        <f t="shared" si="6"/>
        <v>3.79</v>
      </c>
    </row>
    <row r="81" spans="1:7" x14ac:dyDescent="0.25">
      <c r="A81" t="s">
        <v>90</v>
      </c>
      <c r="B81">
        <v>1.2</v>
      </c>
      <c r="C81">
        <f t="shared" si="5"/>
        <v>8.6199999999999992</v>
      </c>
      <c r="F81">
        <f t="shared" si="7"/>
        <v>1</v>
      </c>
      <c r="G81">
        <f t="shared" si="6"/>
        <v>3.79</v>
      </c>
    </row>
    <row r="82" spans="1:7" x14ac:dyDescent="0.25">
      <c r="A82" t="s">
        <v>91</v>
      </c>
      <c r="B82">
        <v>1.9</v>
      </c>
      <c r="C82">
        <f t="shared" si="5"/>
        <v>8.6199999999999992</v>
      </c>
      <c r="F82">
        <f t="shared" si="7"/>
        <v>0.7</v>
      </c>
      <c r="G82">
        <f t="shared" si="6"/>
        <v>3.79</v>
      </c>
    </row>
    <row r="83" spans="1:7" x14ac:dyDescent="0.25">
      <c r="A83" t="s">
        <v>92</v>
      </c>
      <c r="B83">
        <v>4.5999999999999996</v>
      </c>
      <c r="C83">
        <f t="shared" si="5"/>
        <v>8.6199999999999992</v>
      </c>
      <c r="F83">
        <f t="shared" si="7"/>
        <v>2.7</v>
      </c>
      <c r="G83">
        <f t="shared" si="6"/>
        <v>3.79</v>
      </c>
    </row>
    <row r="84" spans="1:7" x14ac:dyDescent="0.25">
      <c r="A84" t="s">
        <v>93</v>
      </c>
      <c r="B84">
        <v>4</v>
      </c>
      <c r="C84">
        <f t="shared" si="5"/>
        <v>8.6199999999999992</v>
      </c>
      <c r="F84">
        <f t="shared" si="7"/>
        <v>0.6</v>
      </c>
      <c r="G84">
        <f t="shared" si="6"/>
        <v>3.79</v>
      </c>
    </row>
    <row r="85" spans="1:7" x14ac:dyDescent="0.25">
      <c r="A85" t="s">
        <v>94</v>
      </c>
      <c r="B85">
        <v>4.5</v>
      </c>
      <c r="C85">
        <f t="shared" si="5"/>
        <v>8.6199999999999992</v>
      </c>
      <c r="F85">
        <f t="shared" si="7"/>
        <v>0.5</v>
      </c>
      <c r="G85">
        <f t="shared" si="6"/>
        <v>3.79</v>
      </c>
    </row>
    <row r="86" spans="1:7" x14ac:dyDescent="0.25">
      <c r="A86" t="s">
        <v>95</v>
      </c>
      <c r="B86">
        <v>2.9</v>
      </c>
      <c r="C86">
        <f t="shared" si="5"/>
        <v>8.6199999999999992</v>
      </c>
      <c r="F86">
        <f t="shared" si="7"/>
        <v>1.6</v>
      </c>
      <c r="G86">
        <f t="shared" si="6"/>
        <v>3.79</v>
      </c>
    </row>
    <row r="87" spans="1:7" x14ac:dyDescent="0.25">
      <c r="A87" t="s">
        <v>96</v>
      </c>
      <c r="B87">
        <v>3.5</v>
      </c>
      <c r="C87">
        <f t="shared" si="5"/>
        <v>8.6199999999999992</v>
      </c>
      <c r="F87">
        <f t="shared" si="7"/>
        <v>0.6</v>
      </c>
      <c r="G87">
        <f t="shared" si="6"/>
        <v>3.79</v>
      </c>
    </row>
    <row r="88" spans="1:7" x14ac:dyDescent="0.25">
      <c r="A88" t="s">
        <v>97</v>
      </c>
      <c r="B88">
        <v>0.7</v>
      </c>
      <c r="C88">
        <f t="shared" si="5"/>
        <v>8.6199999999999992</v>
      </c>
      <c r="F88">
        <f t="shared" si="7"/>
        <v>2.8</v>
      </c>
      <c r="G88">
        <f t="shared" si="6"/>
        <v>3.79</v>
      </c>
    </row>
    <row r="89" spans="1:7" x14ac:dyDescent="0.25">
      <c r="A89" t="s">
        <v>98</v>
      </c>
      <c r="B89">
        <v>0</v>
      </c>
      <c r="C89">
        <f t="shared" si="5"/>
        <v>8.6199999999999992</v>
      </c>
      <c r="F89">
        <f t="shared" si="7"/>
        <v>0.7</v>
      </c>
      <c r="G89">
        <f t="shared" si="6"/>
        <v>3.79</v>
      </c>
    </row>
    <row r="90" spans="1:7" x14ac:dyDescent="0.25">
      <c r="A90" t="s">
        <v>99</v>
      </c>
      <c r="B90">
        <v>0.7</v>
      </c>
      <c r="C90">
        <f t="shared" si="5"/>
        <v>8.6199999999999992</v>
      </c>
      <c r="F90">
        <f t="shared" si="7"/>
        <v>0.7</v>
      </c>
      <c r="G90">
        <f t="shared" si="6"/>
        <v>3.79</v>
      </c>
    </row>
    <row r="91" spans="1:7" x14ac:dyDescent="0.25">
      <c r="A91" t="s">
        <v>100</v>
      </c>
      <c r="B91">
        <v>1</v>
      </c>
      <c r="C91">
        <f t="shared" si="5"/>
        <v>8.6199999999999992</v>
      </c>
      <c r="F91">
        <f t="shared" si="7"/>
        <v>0.3</v>
      </c>
      <c r="G91">
        <f t="shared" si="6"/>
        <v>3.79</v>
      </c>
    </row>
    <row r="92" spans="1:7" x14ac:dyDescent="0.25">
      <c r="A92" t="s">
        <v>101</v>
      </c>
      <c r="B92">
        <v>1.1000000000000001</v>
      </c>
      <c r="C92">
        <f t="shared" si="5"/>
        <v>8.6199999999999992</v>
      </c>
      <c r="F92">
        <f t="shared" si="7"/>
        <v>0.1</v>
      </c>
      <c r="G92">
        <f t="shared" si="6"/>
        <v>3.79</v>
      </c>
    </row>
    <row r="93" spans="1:7" x14ac:dyDescent="0.25">
      <c r="A93" t="s">
        <v>102</v>
      </c>
      <c r="B93">
        <v>0.4</v>
      </c>
      <c r="C93">
        <f t="shared" si="5"/>
        <v>8.6199999999999992</v>
      </c>
      <c r="F93">
        <f t="shared" si="7"/>
        <v>0.7</v>
      </c>
      <c r="G93">
        <f t="shared" si="6"/>
        <v>3.79</v>
      </c>
    </row>
    <row r="94" spans="1:7" x14ac:dyDescent="0.25">
      <c r="A94" t="s">
        <v>103</v>
      </c>
      <c r="B94">
        <v>0</v>
      </c>
      <c r="C94">
        <f t="shared" si="5"/>
        <v>8.6199999999999992</v>
      </c>
      <c r="F94">
        <f t="shared" si="7"/>
        <v>0.4</v>
      </c>
      <c r="G94">
        <f t="shared" si="6"/>
        <v>3.79</v>
      </c>
    </row>
    <row r="95" spans="1:7" x14ac:dyDescent="0.25">
      <c r="A95" t="s">
        <v>104</v>
      </c>
      <c r="B95">
        <v>1</v>
      </c>
      <c r="C95">
        <f t="shared" si="5"/>
        <v>8.6199999999999992</v>
      </c>
      <c r="F95">
        <f t="shared" si="7"/>
        <v>1</v>
      </c>
      <c r="G95">
        <f t="shared" si="6"/>
        <v>3.79</v>
      </c>
    </row>
    <row r="96" spans="1:7" x14ac:dyDescent="0.25">
      <c r="A96" t="s">
        <v>105</v>
      </c>
      <c r="B96">
        <v>2.2999999999999998</v>
      </c>
      <c r="C96">
        <f t="shared" si="5"/>
        <v>8.6199999999999992</v>
      </c>
      <c r="F96">
        <f t="shared" si="7"/>
        <v>1.3</v>
      </c>
      <c r="G96">
        <f t="shared" si="6"/>
        <v>3.79</v>
      </c>
    </row>
    <row r="97" spans="1:7" x14ac:dyDescent="0.25">
      <c r="A97" t="s">
        <v>106</v>
      </c>
      <c r="B97">
        <v>2.9</v>
      </c>
      <c r="C97">
        <f t="shared" si="5"/>
        <v>8.6199999999999992</v>
      </c>
      <c r="F97">
        <f t="shared" si="7"/>
        <v>0.6</v>
      </c>
      <c r="G97">
        <f t="shared" si="6"/>
        <v>3.79</v>
      </c>
    </row>
    <row r="98" spans="1:7" x14ac:dyDescent="0.25">
      <c r="A98" t="s">
        <v>107</v>
      </c>
      <c r="B98">
        <v>1.3</v>
      </c>
      <c r="C98">
        <f t="shared" si="5"/>
        <v>8.6199999999999992</v>
      </c>
      <c r="F98">
        <f t="shared" si="7"/>
        <v>1.6</v>
      </c>
      <c r="G98">
        <f t="shared" si="6"/>
        <v>3.79</v>
      </c>
    </row>
    <row r="99" spans="1:7" x14ac:dyDescent="0.25">
      <c r="A99" t="s">
        <v>108</v>
      </c>
      <c r="B99">
        <v>2.2000000000000002</v>
      </c>
      <c r="C99">
        <f t="shared" si="5"/>
        <v>8.6199999999999992</v>
      </c>
      <c r="F99">
        <f t="shared" si="7"/>
        <v>0.9</v>
      </c>
      <c r="G99">
        <f t="shared" si="6"/>
        <v>3.79</v>
      </c>
    </row>
    <row r="100" spans="1:7" x14ac:dyDescent="0.25">
      <c r="A100" t="s">
        <v>109</v>
      </c>
      <c r="B100">
        <v>3.1</v>
      </c>
      <c r="C100">
        <f t="shared" si="5"/>
        <v>8.6199999999999992</v>
      </c>
      <c r="F100">
        <f t="shared" si="7"/>
        <v>0.9</v>
      </c>
      <c r="G100">
        <f t="shared" si="6"/>
        <v>3.79</v>
      </c>
    </row>
    <row r="101" spans="1:7" x14ac:dyDescent="0.25">
      <c r="A101" t="s">
        <v>110</v>
      </c>
      <c r="B101">
        <v>4.9000000000000004</v>
      </c>
      <c r="C101">
        <f t="shared" si="5"/>
        <v>8.6199999999999992</v>
      </c>
      <c r="F101">
        <f t="shared" si="7"/>
        <v>1.8</v>
      </c>
      <c r="G101">
        <f t="shared" si="6"/>
        <v>3.79</v>
      </c>
    </row>
  </sheetData>
  <mergeCells count="3">
    <mergeCell ref="A1:H1"/>
    <mergeCell ref="J1:X1"/>
    <mergeCell ref="J2:X4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D300-B8B5-4A3B-95F6-8D49257BFBA4}">
  <dimension ref="A1:X101"/>
  <sheetViews>
    <sheetView workbookViewId="0">
      <selection activeCell="J29" sqref="J29"/>
    </sheetView>
  </sheetViews>
  <sheetFormatPr defaultRowHeight="13.2" x14ac:dyDescent="0.25"/>
  <cols>
    <col min="1" max="1" width="12.6640625" bestFit="1" customWidth="1"/>
    <col min="2" max="2" width="7.21875" bestFit="1" customWidth="1"/>
    <col min="4" max="4" width="6.88671875" bestFit="1" customWidth="1"/>
    <col min="5" max="5" width="6.6640625" bestFit="1" customWidth="1"/>
    <col min="6" max="6" width="6.109375" bestFit="1" customWidth="1"/>
    <col min="7" max="7" width="10.5546875" bestFit="1" customWidth="1"/>
    <col min="8" max="8" width="7" bestFit="1" customWidth="1"/>
  </cols>
  <sheetData>
    <row r="1" spans="1:24" ht="24.6" x14ac:dyDescent="0.55000000000000004">
      <c r="A1" s="43" t="s">
        <v>114</v>
      </c>
      <c r="B1" s="43"/>
      <c r="C1" s="43"/>
      <c r="D1" s="43"/>
      <c r="E1" s="43"/>
      <c r="F1" s="43"/>
      <c r="G1" s="43"/>
      <c r="H1" s="43"/>
      <c r="J1" s="38" t="s">
        <v>2</v>
      </c>
      <c r="K1" s="38"/>
      <c r="L1" s="38"/>
      <c r="M1" s="38"/>
      <c r="N1" s="38"/>
      <c r="O1" s="38"/>
      <c r="P1" s="38"/>
      <c r="Q1" s="38"/>
      <c r="R1" s="38"/>
      <c r="S1" s="38"/>
      <c r="T1" s="38"/>
      <c r="U1" s="38"/>
      <c r="V1" s="38"/>
      <c r="W1" s="38"/>
      <c r="X1" s="38"/>
    </row>
    <row r="2" spans="1:24" ht="13.2" customHeight="1" x14ac:dyDescent="0.25">
      <c r="A2" s="1" t="s">
        <v>3</v>
      </c>
      <c r="B2" s="1" t="s">
        <v>4</v>
      </c>
      <c r="C2" s="1" t="s">
        <v>5</v>
      </c>
      <c r="D2" s="1" t="s">
        <v>6</v>
      </c>
      <c r="E2" s="1" t="s">
        <v>7</v>
      </c>
      <c r="F2" s="1" t="s">
        <v>8</v>
      </c>
      <c r="G2" s="1" t="s">
        <v>9</v>
      </c>
      <c r="H2" s="1" t="s">
        <v>10</v>
      </c>
      <c r="J2" s="40" t="s">
        <v>130</v>
      </c>
      <c r="K2" s="40"/>
      <c r="L2" s="40"/>
      <c r="M2" s="40"/>
      <c r="N2" s="40"/>
      <c r="O2" s="40"/>
      <c r="P2" s="40"/>
      <c r="Q2" s="40"/>
      <c r="R2" s="40"/>
      <c r="S2" s="40"/>
      <c r="T2" s="40"/>
      <c r="U2" s="40"/>
      <c r="V2" s="40"/>
      <c r="W2" s="40"/>
      <c r="X2" s="40"/>
    </row>
    <row r="3" spans="1:24" ht="13.2" customHeight="1" x14ac:dyDescent="0.25">
      <c r="A3" t="s">
        <v>12</v>
      </c>
      <c r="B3">
        <v>14.6</v>
      </c>
      <c r="C3">
        <f t="shared" ref="C3:C34" si="0">ROUND(AVERAGE($B$3:$B$101), 2)</f>
        <v>8.6199999999999992</v>
      </c>
      <c r="D3">
        <f t="shared" ref="D3:D34" si="1">ROUND(C3+(2.66*G3),2)</f>
        <v>18.7</v>
      </c>
      <c r="E3">
        <f t="shared" ref="E3:E34" si="2">MAX(0,ROUND(C3-(2.66*G3),2))</f>
        <v>0</v>
      </c>
      <c r="G3">
        <f t="shared" ref="G3:G34" si="3">ROUND(AVERAGE($F$4:$F$101),2)</f>
        <v>3.79</v>
      </c>
      <c r="H3">
        <f>ROUND(3.268*G3,2)</f>
        <v>12.39</v>
      </c>
      <c r="J3" s="40"/>
      <c r="K3" s="40"/>
      <c r="L3" s="40"/>
      <c r="M3" s="40"/>
      <c r="N3" s="40"/>
      <c r="O3" s="40"/>
      <c r="P3" s="40"/>
      <c r="Q3" s="40"/>
      <c r="R3" s="40"/>
      <c r="S3" s="40"/>
      <c r="T3" s="40"/>
      <c r="U3" s="40"/>
      <c r="V3" s="40"/>
      <c r="W3" s="40"/>
      <c r="X3" s="40"/>
    </row>
    <row r="4" spans="1:24" ht="13.2" customHeight="1" x14ac:dyDescent="0.25">
      <c r="A4" t="s">
        <v>13</v>
      </c>
      <c r="B4">
        <v>7.5</v>
      </c>
      <c r="C4">
        <f t="shared" si="0"/>
        <v>8.6199999999999992</v>
      </c>
      <c r="D4">
        <f t="shared" si="1"/>
        <v>18.7</v>
      </c>
      <c r="E4">
        <f t="shared" si="2"/>
        <v>0</v>
      </c>
      <c r="F4">
        <f>ROUND(ABS(B3-B4),1)</f>
        <v>7.1</v>
      </c>
      <c r="G4">
        <f t="shared" si="3"/>
        <v>3.79</v>
      </c>
      <c r="H4">
        <f t="shared" ref="H4:H13" si="4">ROUND(3.268*G4,2)</f>
        <v>12.39</v>
      </c>
      <c r="J4" s="40"/>
      <c r="K4" s="40"/>
      <c r="L4" s="40"/>
      <c r="M4" s="40"/>
      <c r="N4" s="40"/>
      <c r="O4" s="40"/>
      <c r="P4" s="40"/>
      <c r="Q4" s="40"/>
      <c r="R4" s="40"/>
      <c r="S4" s="40"/>
      <c r="T4" s="40"/>
      <c r="U4" s="40"/>
      <c r="V4" s="40"/>
      <c r="W4" s="40"/>
      <c r="X4" s="40"/>
    </row>
    <row r="5" spans="1:24" ht="13.2" customHeight="1" x14ac:dyDescent="0.25">
      <c r="A5" t="s">
        <v>14</v>
      </c>
      <c r="B5">
        <v>4.3</v>
      </c>
      <c r="C5">
        <f t="shared" si="0"/>
        <v>8.6199999999999992</v>
      </c>
      <c r="D5">
        <f t="shared" si="1"/>
        <v>18.7</v>
      </c>
      <c r="E5">
        <f t="shared" si="2"/>
        <v>0</v>
      </c>
      <c r="F5">
        <f t="shared" ref="F5:F68" si="5">ROUND(ABS(B4-B5),1)</f>
        <v>3.2</v>
      </c>
      <c r="G5">
        <f t="shared" si="3"/>
        <v>3.79</v>
      </c>
      <c r="H5">
        <f t="shared" si="4"/>
        <v>12.39</v>
      </c>
      <c r="J5" s="40"/>
      <c r="K5" s="40"/>
      <c r="L5" s="40"/>
      <c r="M5" s="40"/>
      <c r="N5" s="40"/>
      <c r="O5" s="40"/>
      <c r="P5" s="40"/>
      <c r="Q5" s="40"/>
      <c r="R5" s="40"/>
      <c r="S5" s="40"/>
      <c r="T5" s="40"/>
      <c r="U5" s="40"/>
      <c r="V5" s="40"/>
      <c r="W5" s="40"/>
      <c r="X5" s="40"/>
    </row>
    <row r="6" spans="1:24" ht="13.2" customHeight="1" x14ac:dyDescent="0.25">
      <c r="A6" t="s">
        <v>15</v>
      </c>
      <c r="B6">
        <v>1.6</v>
      </c>
      <c r="C6">
        <f t="shared" si="0"/>
        <v>8.6199999999999992</v>
      </c>
      <c r="D6">
        <f t="shared" si="1"/>
        <v>18.7</v>
      </c>
      <c r="E6">
        <f t="shared" si="2"/>
        <v>0</v>
      </c>
      <c r="F6">
        <f t="shared" si="5"/>
        <v>2.7</v>
      </c>
      <c r="G6">
        <f t="shared" si="3"/>
        <v>3.79</v>
      </c>
      <c r="H6">
        <f t="shared" si="4"/>
        <v>12.39</v>
      </c>
      <c r="J6" s="40"/>
      <c r="K6" s="40"/>
      <c r="L6" s="40"/>
      <c r="M6" s="40"/>
      <c r="N6" s="40"/>
      <c r="O6" s="40"/>
      <c r="P6" s="40"/>
      <c r="Q6" s="40"/>
      <c r="R6" s="40"/>
      <c r="S6" s="40"/>
      <c r="T6" s="40"/>
      <c r="U6" s="40"/>
      <c r="V6" s="40"/>
      <c r="W6" s="40"/>
      <c r="X6" s="40"/>
    </row>
    <row r="7" spans="1:24" ht="13.2" customHeight="1" x14ac:dyDescent="0.25">
      <c r="A7" t="s">
        <v>16</v>
      </c>
      <c r="B7">
        <v>0.8</v>
      </c>
      <c r="C7">
        <f t="shared" si="0"/>
        <v>8.6199999999999992</v>
      </c>
      <c r="D7">
        <f t="shared" si="1"/>
        <v>18.7</v>
      </c>
      <c r="E7">
        <f t="shared" si="2"/>
        <v>0</v>
      </c>
      <c r="F7">
        <f t="shared" si="5"/>
        <v>0.8</v>
      </c>
      <c r="G7">
        <f t="shared" si="3"/>
        <v>3.79</v>
      </c>
      <c r="H7">
        <f t="shared" si="4"/>
        <v>12.39</v>
      </c>
      <c r="J7" s="40"/>
      <c r="K7" s="40"/>
      <c r="L7" s="40"/>
      <c r="M7" s="40"/>
      <c r="N7" s="40"/>
      <c r="O7" s="40"/>
      <c r="P7" s="40"/>
      <c r="Q7" s="40"/>
      <c r="R7" s="40"/>
      <c r="S7" s="40"/>
      <c r="T7" s="40"/>
      <c r="U7" s="40"/>
      <c r="V7" s="40"/>
      <c r="W7" s="40"/>
      <c r="X7" s="40"/>
    </row>
    <row r="8" spans="1:24" ht="13.2" customHeight="1" x14ac:dyDescent="0.25">
      <c r="A8" t="s">
        <v>17</v>
      </c>
      <c r="B8">
        <v>5</v>
      </c>
      <c r="C8">
        <f t="shared" si="0"/>
        <v>8.6199999999999992</v>
      </c>
      <c r="D8">
        <f t="shared" si="1"/>
        <v>18.7</v>
      </c>
      <c r="E8">
        <f t="shared" si="2"/>
        <v>0</v>
      </c>
      <c r="F8">
        <f t="shared" si="5"/>
        <v>4.2</v>
      </c>
      <c r="G8">
        <f t="shared" si="3"/>
        <v>3.79</v>
      </c>
      <c r="H8">
        <f t="shared" si="4"/>
        <v>12.39</v>
      </c>
      <c r="J8" s="40"/>
      <c r="K8" s="40"/>
      <c r="L8" s="40"/>
      <c r="M8" s="40"/>
      <c r="N8" s="40"/>
      <c r="O8" s="40"/>
      <c r="P8" s="40"/>
      <c r="Q8" s="40"/>
      <c r="R8" s="40"/>
      <c r="S8" s="40"/>
      <c r="T8" s="40"/>
      <c r="U8" s="40"/>
      <c r="V8" s="40"/>
      <c r="W8" s="40"/>
      <c r="X8" s="40"/>
    </row>
    <row r="9" spans="1:24" ht="13.2" customHeight="1" x14ac:dyDescent="0.25">
      <c r="A9" t="s">
        <v>18</v>
      </c>
      <c r="B9">
        <v>8.4</v>
      </c>
      <c r="C9">
        <f t="shared" si="0"/>
        <v>8.6199999999999992</v>
      </c>
      <c r="D9">
        <f t="shared" si="1"/>
        <v>18.7</v>
      </c>
      <c r="E9">
        <f t="shared" si="2"/>
        <v>0</v>
      </c>
      <c r="F9">
        <f t="shared" si="5"/>
        <v>3.4</v>
      </c>
      <c r="G9">
        <f t="shared" si="3"/>
        <v>3.79</v>
      </c>
      <c r="H9">
        <f t="shared" si="4"/>
        <v>12.39</v>
      </c>
      <c r="J9" s="40"/>
      <c r="K9" s="40"/>
      <c r="L9" s="40"/>
      <c r="M9" s="40"/>
      <c r="N9" s="40"/>
      <c r="O9" s="40"/>
      <c r="P9" s="40"/>
      <c r="Q9" s="40"/>
      <c r="R9" s="40"/>
      <c r="S9" s="40"/>
      <c r="T9" s="40"/>
      <c r="U9" s="40"/>
      <c r="V9" s="40"/>
      <c r="W9" s="40"/>
      <c r="X9" s="40"/>
    </row>
    <row r="10" spans="1:24" ht="13.2" customHeight="1" x14ac:dyDescent="0.25">
      <c r="A10" t="s">
        <v>19</v>
      </c>
      <c r="B10">
        <v>1.4</v>
      </c>
      <c r="C10">
        <f t="shared" si="0"/>
        <v>8.6199999999999992</v>
      </c>
      <c r="D10">
        <f t="shared" si="1"/>
        <v>18.7</v>
      </c>
      <c r="E10">
        <f t="shared" si="2"/>
        <v>0</v>
      </c>
      <c r="F10">
        <f t="shared" si="5"/>
        <v>7</v>
      </c>
      <c r="G10">
        <f t="shared" si="3"/>
        <v>3.79</v>
      </c>
      <c r="H10">
        <f t="shared" si="4"/>
        <v>12.39</v>
      </c>
      <c r="J10" s="40"/>
      <c r="K10" s="40"/>
      <c r="L10" s="40"/>
      <c r="M10" s="40"/>
      <c r="N10" s="40"/>
      <c r="O10" s="40"/>
      <c r="P10" s="40"/>
      <c r="Q10" s="40"/>
      <c r="R10" s="40"/>
      <c r="S10" s="40"/>
      <c r="T10" s="40"/>
      <c r="U10" s="40"/>
      <c r="V10" s="40"/>
      <c r="W10" s="40"/>
      <c r="X10" s="40"/>
    </row>
    <row r="11" spans="1:24" ht="13.2" customHeight="1" x14ac:dyDescent="0.25">
      <c r="A11" t="s">
        <v>20</v>
      </c>
      <c r="B11">
        <v>1.9</v>
      </c>
      <c r="C11">
        <f t="shared" si="0"/>
        <v>8.6199999999999992</v>
      </c>
      <c r="D11">
        <f t="shared" si="1"/>
        <v>18.7</v>
      </c>
      <c r="E11">
        <f t="shared" si="2"/>
        <v>0</v>
      </c>
      <c r="F11">
        <f t="shared" si="5"/>
        <v>0.5</v>
      </c>
      <c r="G11">
        <f t="shared" si="3"/>
        <v>3.79</v>
      </c>
      <c r="H11">
        <f t="shared" si="4"/>
        <v>12.39</v>
      </c>
      <c r="J11" s="40"/>
      <c r="K11" s="40"/>
      <c r="L11" s="40"/>
      <c r="M11" s="40"/>
      <c r="N11" s="40"/>
      <c r="O11" s="40"/>
      <c r="P11" s="40"/>
      <c r="Q11" s="40"/>
      <c r="R11" s="40"/>
      <c r="S11" s="40"/>
      <c r="T11" s="40"/>
      <c r="U11" s="40"/>
      <c r="V11" s="40"/>
      <c r="W11" s="40"/>
      <c r="X11" s="40"/>
    </row>
    <row r="12" spans="1:24" ht="13.2" customHeight="1" x14ac:dyDescent="0.25">
      <c r="A12" t="s">
        <v>21</v>
      </c>
      <c r="B12">
        <v>11</v>
      </c>
      <c r="C12">
        <f t="shared" si="0"/>
        <v>8.6199999999999992</v>
      </c>
      <c r="D12">
        <f t="shared" si="1"/>
        <v>18.7</v>
      </c>
      <c r="E12">
        <f t="shared" si="2"/>
        <v>0</v>
      </c>
      <c r="F12">
        <f t="shared" si="5"/>
        <v>9.1</v>
      </c>
      <c r="G12">
        <f t="shared" si="3"/>
        <v>3.79</v>
      </c>
      <c r="H12">
        <f t="shared" si="4"/>
        <v>12.39</v>
      </c>
      <c r="J12" s="40"/>
      <c r="K12" s="40"/>
      <c r="L12" s="40"/>
      <c r="M12" s="40"/>
      <c r="N12" s="40"/>
      <c r="O12" s="40"/>
      <c r="P12" s="40"/>
      <c r="Q12" s="40"/>
      <c r="R12" s="40"/>
      <c r="S12" s="40"/>
      <c r="T12" s="40"/>
      <c r="U12" s="40"/>
      <c r="V12" s="40"/>
      <c r="W12" s="40"/>
      <c r="X12" s="40"/>
    </row>
    <row r="13" spans="1:24" ht="13.2" customHeight="1" x14ac:dyDescent="0.25">
      <c r="A13" t="s">
        <v>22</v>
      </c>
      <c r="B13">
        <v>22.6</v>
      </c>
      <c r="C13">
        <f t="shared" si="0"/>
        <v>8.6199999999999992</v>
      </c>
      <c r="D13">
        <f t="shared" si="1"/>
        <v>18.7</v>
      </c>
      <c r="E13">
        <f t="shared" si="2"/>
        <v>0</v>
      </c>
      <c r="F13">
        <f t="shared" si="5"/>
        <v>11.6</v>
      </c>
      <c r="G13">
        <f t="shared" si="3"/>
        <v>3.79</v>
      </c>
      <c r="H13">
        <f t="shared" si="4"/>
        <v>12.39</v>
      </c>
      <c r="J13" s="40"/>
      <c r="K13" s="40"/>
      <c r="L13" s="40"/>
      <c r="M13" s="40"/>
      <c r="N13" s="40"/>
      <c r="O13" s="40"/>
      <c r="P13" s="40"/>
      <c r="Q13" s="40"/>
      <c r="R13" s="40"/>
      <c r="S13" s="40"/>
      <c r="T13" s="40"/>
      <c r="U13" s="40"/>
      <c r="V13" s="40"/>
      <c r="W13" s="40"/>
      <c r="X13" s="40"/>
    </row>
    <row r="14" spans="1:24" ht="13.2" customHeight="1" x14ac:dyDescent="0.25">
      <c r="A14" t="s">
        <v>23</v>
      </c>
      <c r="J14" s="40"/>
      <c r="K14" s="40"/>
      <c r="L14" s="40"/>
      <c r="M14" s="40"/>
      <c r="N14" s="40"/>
      <c r="O14" s="40"/>
      <c r="P14" s="40"/>
      <c r="Q14" s="40"/>
      <c r="R14" s="40"/>
      <c r="S14" s="40"/>
      <c r="T14" s="40"/>
      <c r="U14" s="40"/>
      <c r="V14" s="40"/>
      <c r="W14" s="40"/>
      <c r="X14" s="40"/>
    </row>
    <row r="15" spans="1:24" ht="13.2" customHeight="1" x14ac:dyDescent="0.25">
      <c r="A15" t="s">
        <v>24</v>
      </c>
      <c r="B15">
        <v>20.8</v>
      </c>
      <c r="J15" s="40"/>
      <c r="K15" s="40"/>
      <c r="L15" s="40"/>
      <c r="M15" s="40"/>
      <c r="N15" s="40"/>
      <c r="O15" s="40"/>
      <c r="P15" s="40"/>
      <c r="Q15" s="40"/>
      <c r="R15" s="40"/>
      <c r="S15" s="40"/>
      <c r="T15" s="40"/>
      <c r="U15" s="40"/>
      <c r="V15" s="40"/>
      <c r="W15" s="40"/>
      <c r="X15" s="40"/>
    </row>
    <row r="16" spans="1:24" ht="13.2" customHeight="1" x14ac:dyDescent="0.25">
      <c r="A16" t="s">
        <v>25</v>
      </c>
      <c r="B16">
        <v>12.2</v>
      </c>
      <c r="C16">
        <f t="shared" si="0"/>
        <v>8.6199999999999992</v>
      </c>
      <c r="D16">
        <f t="shared" si="1"/>
        <v>18.7</v>
      </c>
      <c r="E16">
        <f t="shared" si="2"/>
        <v>0</v>
      </c>
      <c r="F16">
        <f t="shared" si="5"/>
        <v>8.6</v>
      </c>
      <c r="G16">
        <f t="shared" si="3"/>
        <v>3.79</v>
      </c>
      <c r="H16">
        <f>ROUND(3.268*G16,2)</f>
        <v>12.39</v>
      </c>
      <c r="J16" s="40"/>
      <c r="K16" s="40"/>
      <c r="L16" s="40"/>
      <c r="M16" s="40"/>
      <c r="N16" s="40"/>
      <c r="O16" s="40"/>
      <c r="P16" s="40"/>
      <c r="Q16" s="40"/>
      <c r="R16" s="40"/>
      <c r="S16" s="40"/>
      <c r="T16" s="40"/>
      <c r="U16" s="40"/>
      <c r="V16" s="40"/>
      <c r="W16" s="40"/>
      <c r="X16" s="40"/>
    </row>
    <row r="17" spans="1:24" ht="13.2" customHeight="1" x14ac:dyDescent="0.25">
      <c r="A17" t="s">
        <v>26</v>
      </c>
      <c r="B17">
        <v>10.199999999999999</v>
      </c>
      <c r="C17">
        <f t="shared" si="0"/>
        <v>8.6199999999999992</v>
      </c>
      <c r="D17">
        <f t="shared" si="1"/>
        <v>18.7</v>
      </c>
      <c r="E17">
        <f t="shared" si="2"/>
        <v>0</v>
      </c>
      <c r="F17">
        <f t="shared" si="5"/>
        <v>2</v>
      </c>
      <c r="G17">
        <f t="shared" si="3"/>
        <v>3.79</v>
      </c>
      <c r="H17">
        <f t="shared" ref="H17:H80" si="6">ROUND(3.268*G17,2)</f>
        <v>12.39</v>
      </c>
      <c r="J17" s="40"/>
      <c r="K17" s="40"/>
      <c r="L17" s="40"/>
      <c r="M17" s="40"/>
      <c r="N17" s="40"/>
      <c r="O17" s="40"/>
      <c r="P17" s="40"/>
      <c r="Q17" s="40"/>
      <c r="R17" s="40"/>
      <c r="S17" s="40"/>
      <c r="T17" s="40"/>
      <c r="U17" s="40"/>
      <c r="V17" s="40"/>
      <c r="W17" s="40"/>
      <c r="X17" s="40"/>
    </row>
    <row r="18" spans="1:24" ht="13.2" customHeight="1" x14ac:dyDescent="0.25">
      <c r="A18" t="s">
        <v>27</v>
      </c>
      <c r="B18">
        <v>10.7</v>
      </c>
      <c r="C18">
        <f t="shared" si="0"/>
        <v>8.6199999999999992</v>
      </c>
      <c r="D18">
        <f t="shared" si="1"/>
        <v>18.7</v>
      </c>
      <c r="E18">
        <f t="shared" si="2"/>
        <v>0</v>
      </c>
      <c r="F18">
        <f t="shared" si="5"/>
        <v>0.5</v>
      </c>
      <c r="G18">
        <f t="shared" si="3"/>
        <v>3.79</v>
      </c>
      <c r="H18">
        <f t="shared" si="6"/>
        <v>12.39</v>
      </c>
      <c r="J18" s="40"/>
      <c r="K18" s="40"/>
      <c r="L18" s="40"/>
      <c r="M18" s="40"/>
      <c r="N18" s="40"/>
      <c r="O18" s="40"/>
      <c r="P18" s="40"/>
      <c r="Q18" s="40"/>
      <c r="R18" s="40"/>
      <c r="S18" s="40"/>
      <c r="T18" s="40"/>
      <c r="U18" s="40"/>
      <c r="V18" s="40"/>
      <c r="W18" s="40"/>
      <c r="X18" s="40"/>
    </row>
    <row r="19" spans="1:24" ht="13.2" customHeight="1" x14ac:dyDescent="0.25">
      <c r="A19" t="s">
        <v>28</v>
      </c>
      <c r="B19">
        <v>3.2</v>
      </c>
      <c r="C19">
        <f t="shared" si="0"/>
        <v>8.6199999999999992</v>
      </c>
      <c r="D19">
        <f t="shared" si="1"/>
        <v>18.7</v>
      </c>
      <c r="E19">
        <f t="shared" si="2"/>
        <v>0</v>
      </c>
      <c r="F19">
        <f t="shared" si="5"/>
        <v>7.5</v>
      </c>
      <c r="G19">
        <f t="shared" si="3"/>
        <v>3.79</v>
      </c>
      <c r="H19">
        <f t="shared" si="6"/>
        <v>12.39</v>
      </c>
      <c r="J19" s="40"/>
      <c r="K19" s="40"/>
      <c r="L19" s="40"/>
      <c r="M19" s="40"/>
      <c r="N19" s="40"/>
      <c r="O19" s="40"/>
      <c r="P19" s="40"/>
      <c r="Q19" s="40"/>
      <c r="R19" s="40"/>
      <c r="S19" s="40"/>
      <c r="T19" s="40"/>
      <c r="U19" s="40"/>
      <c r="V19" s="40"/>
      <c r="W19" s="40"/>
      <c r="X19" s="40"/>
    </row>
    <row r="20" spans="1:24" ht="13.2" customHeight="1" x14ac:dyDescent="0.25">
      <c r="A20" t="s">
        <v>29</v>
      </c>
      <c r="B20">
        <v>6.6</v>
      </c>
      <c r="C20">
        <f t="shared" si="0"/>
        <v>8.6199999999999992</v>
      </c>
      <c r="D20">
        <f t="shared" si="1"/>
        <v>18.7</v>
      </c>
      <c r="E20">
        <f t="shared" si="2"/>
        <v>0</v>
      </c>
      <c r="F20">
        <f t="shared" si="5"/>
        <v>3.4</v>
      </c>
      <c r="G20">
        <f t="shared" si="3"/>
        <v>3.79</v>
      </c>
      <c r="H20">
        <f t="shared" si="6"/>
        <v>12.39</v>
      </c>
      <c r="J20" s="40"/>
      <c r="K20" s="40"/>
      <c r="L20" s="40"/>
      <c r="M20" s="40"/>
      <c r="N20" s="40"/>
      <c r="O20" s="40"/>
      <c r="P20" s="40"/>
      <c r="Q20" s="40"/>
      <c r="R20" s="40"/>
      <c r="S20" s="40"/>
      <c r="T20" s="40"/>
      <c r="U20" s="40"/>
      <c r="V20" s="40"/>
      <c r="W20" s="40"/>
      <c r="X20" s="40"/>
    </row>
    <row r="21" spans="1:24" ht="13.2" customHeight="1" x14ac:dyDescent="0.25">
      <c r="A21" t="s">
        <v>30</v>
      </c>
      <c r="B21">
        <v>20.8</v>
      </c>
      <c r="C21">
        <f t="shared" si="0"/>
        <v>8.6199999999999992</v>
      </c>
      <c r="D21">
        <f t="shared" si="1"/>
        <v>18.7</v>
      </c>
      <c r="E21">
        <f t="shared" si="2"/>
        <v>0</v>
      </c>
      <c r="F21">
        <f t="shared" si="5"/>
        <v>14.2</v>
      </c>
      <c r="G21">
        <f t="shared" si="3"/>
        <v>3.79</v>
      </c>
      <c r="H21">
        <f t="shared" si="6"/>
        <v>12.39</v>
      </c>
      <c r="J21" s="40"/>
      <c r="K21" s="40"/>
      <c r="L21" s="40"/>
      <c r="M21" s="40"/>
      <c r="N21" s="40"/>
      <c r="O21" s="40"/>
      <c r="P21" s="40"/>
      <c r="Q21" s="40"/>
      <c r="R21" s="40"/>
      <c r="S21" s="40"/>
      <c r="T21" s="40"/>
      <c r="U21" s="40"/>
      <c r="V21" s="40"/>
      <c r="W21" s="40"/>
      <c r="X21" s="40"/>
    </row>
    <row r="22" spans="1:24" ht="13.2" customHeight="1" x14ac:dyDescent="0.25">
      <c r="A22" t="s">
        <v>31</v>
      </c>
      <c r="B22">
        <v>25.5</v>
      </c>
      <c r="C22">
        <f t="shared" si="0"/>
        <v>8.6199999999999992</v>
      </c>
      <c r="D22">
        <f t="shared" si="1"/>
        <v>18.7</v>
      </c>
      <c r="E22">
        <f t="shared" si="2"/>
        <v>0</v>
      </c>
      <c r="F22">
        <f t="shared" si="5"/>
        <v>4.7</v>
      </c>
      <c r="G22">
        <f t="shared" si="3"/>
        <v>3.79</v>
      </c>
      <c r="H22">
        <f t="shared" si="6"/>
        <v>12.39</v>
      </c>
      <c r="J22" s="40"/>
      <c r="K22" s="40"/>
      <c r="L22" s="40"/>
      <c r="M22" s="40"/>
      <c r="N22" s="40"/>
      <c r="O22" s="40"/>
      <c r="P22" s="40"/>
      <c r="Q22" s="40"/>
      <c r="R22" s="40"/>
      <c r="S22" s="40"/>
      <c r="T22" s="40"/>
      <c r="U22" s="40"/>
      <c r="V22" s="40"/>
      <c r="W22" s="40"/>
      <c r="X22" s="40"/>
    </row>
    <row r="23" spans="1:24" ht="13.2" customHeight="1" x14ac:dyDescent="0.25">
      <c r="A23" t="s">
        <v>32</v>
      </c>
      <c r="B23">
        <v>18.399999999999999</v>
      </c>
      <c r="C23">
        <f t="shared" si="0"/>
        <v>8.6199999999999992</v>
      </c>
      <c r="D23">
        <f t="shared" si="1"/>
        <v>18.7</v>
      </c>
      <c r="E23">
        <f t="shared" si="2"/>
        <v>0</v>
      </c>
      <c r="F23">
        <f t="shared" si="5"/>
        <v>7.1</v>
      </c>
      <c r="G23">
        <f t="shared" si="3"/>
        <v>3.79</v>
      </c>
      <c r="H23">
        <f t="shared" si="6"/>
        <v>12.39</v>
      </c>
      <c r="J23" s="40"/>
      <c r="K23" s="40"/>
      <c r="L23" s="40"/>
      <c r="M23" s="40"/>
      <c r="N23" s="40"/>
      <c r="O23" s="40"/>
      <c r="P23" s="40"/>
      <c r="Q23" s="40"/>
      <c r="R23" s="40"/>
      <c r="S23" s="40"/>
      <c r="T23" s="40"/>
      <c r="U23" s="40"/>
      <c r="V23" s="40"/>
      <c r="W23" s="40"/>
      <c r="X23" s="40"/>
    </row>
    <row r="24" spans="1:24" ht="13.2" customHeight="1" x14ac:dyDescent="0.25">
      <c r="A24" t="s">
        <v>33</v>
      </c>
      <c r="B24">
        <v>29.3</v>
      </c>
      <c r="C24">
        <f t="shared" si="0"/>
        <v>8.6199999999999992</v>
      </c>
      <c r="D24">
        <f t="shared" si="1"/>
        <v>18.7</v>
      </c>
      <c r="E24">
        <f t="shared" si="2"/>
        <v>0</v>
      </c>
      <c r="F24">
        <f t="shared" si="5"/>
        <v>10.9</v>
      </c>
      <c r="G24">
        <f t="shared" si="3"/>
        <v>3.79</v>
      </c>
      <c r="H24">
        <f t="shared" si="6"/>
        <v>12.39</v>
      </c>
      <c r="J24" s="40"/>
      <c r="K24" s="40"/>
      <c r="L24" s="40"/>
      <c r="M24" s="40"/>
      <c r="N24" s="40"/>
      <c r="O24" s="40"/>
      <c r="P24" s="40"/>
      <c r="Q24" s="40"/>
      <c r="R24" s="40"/>
      <c r="S24" s="40"/>
      <c r="T24" s="40"/>
      <c r="U24" s="40"/>
      <c r="V24" s="40"/>
      <c r="W24" s="40"/>
      <c r="X24" s="40"/>
    </row>
    <row r="25" spans="1:24" ht="13.2" customHeight="1" x14ac:dyDescent="0.25">
      <c r="A25" t="s">
        <v>34</v>
      </c>
      <c r="B25">
        <v>23</v>
      </c>
      <c r="C25">
        <f t="shared" si="0"/>
        <v>8.6199999999999992</v>
      </c>
      <c r="D25">
        <f t="shared" si="1"/>
        <v>18.7</v>
      </c>
      <c r="E25">
        <f t="shared" si="2"/>
        <v>0</v>
      </c>
      <c r="F25">
        <f t="shared" si="5"/>
        <v>6.3</v>
      </c>
      <c r="G25">
        <f t="shared" si="3"/>
        <v>3.79</v>
      </c>
      <c r="H25">
        <f t="shared" si="6"/>
        <v>12.39</v>
      </c>
      <c r="J25" s="40"/>
      <c r="K25" s="40"/>
      <c r="L25" s="40"/>
      <c r="M25" s="40"/>
      <c r="N25" s="40"/>
      <c r="O25" s="40"/>
      <c r="P25" s="40"/>
      <c r="Q25" s="40"/>
      <c r="R25" s="40"/>
      <c r="S25" s="40"/>
      <c r="T25" s="40"/>
      <c r="U25" s="40"/>
      <c r="V25" s="40"/>
      <c r="W25" s="40"/>
      <c r="X25" s="40"/>
    </row>
    <row r="26" spans="1:24" ht="13.2" customHeight="1" x14ac:dyDescent="0.25">
      <c r="A26" t="s">
        <v>35</v>
      </c>
      <c r="B26">
        <v>31.4</v>
      </c>
      <c r="C26">
        <f t="shared" si="0"/>
        <v>8.6199999999999992</v>
      </c>
      <c r="D26">
        <f t="shared" si="1"/>
        <v>18.7</v>
      </c>
      <c r="E26">
        <f t="shared" si="2"/>
        <v>0</v>
      </c>
      <c r="F26">
        <f t="shared" si="5"/>
        <v>8.4</v>
      </c>
      <c r="G26">
        <f t="shared" si="3"/>
        <v>3.79</v>
      </c>
      <c r="H26">
        <f t="shared" si="6"/>
        <v>12.39</v>
      </c>
      <c r="J26" s="40"/>
      <c r="K26" s="40"/>
      <c r="L26" s="40"/>
      <c r="M26" s="40"/>
      <c r="N26" s="40"/>
      <c r="O26" s="40"/>
      <c r="P26" s="40"/>
      <c r="Q26" s="40"/>
      <c r="R26" s="40"/>
      <c r="S26" s="40"/>
      <c r="T26" s="40"/>
      <c r="U26" s="40"/>
      <c r="V26" s="40"/>
      <c r="W26" s="40"/>
      <c r="X26" s="40"/>
    </row>
    <row r="27" spans="1:24" x14ac:dyDescent="0.25">
      <c r="A27" t="s">
        <v>36</v>
      </c>
      <c r="B27">
        <v>19.100000000000001</v>
      </c>
      <c r="C27">
        <f t="shared" si="0"/>
        <v>8.6199999999999992</v>
      </c>
      <c r="D27">
        <f t="shared" si="1"/>
        <v>18.7</v>
      </c>
      <c r="E27">
        <f t="shared" si="2"/>
        <v>0</v>
      </c>
      <c r="F27">
        <f t="shared" si="5"/>
        <v>12.3</v>
      </c>
      <c r="G27">
        <f t="shared" si="3"/>
        <v>3.79</v>
      </c>
      <c r="H27">
        <f t="shared" si="6"/>
        <v>12.39</v>
      </c>
      <c r="J27" s="40"/>
      <c r="K27" s="40"/>
      <c r="L27" s="40"/>
      <c r="M27" s="40"/>
      <c r="N27" s="40"/>
      <c r="O27" s="40"/>
      <c r="P27" s="40"/>
      <c r="Q27" s="40"/>
      <c r="R27" s="40"/>
      <c r="S27" s="40"/>
      <c r="T27" s="40"/>
      <c r="U27" s="40"/>
      <c r="V27" s="40"/>
      <c r="W27" s="40"/>
      <c r="X27" s="40"/>
    </row>
    <row r="28" spans="1:24" x14ac:dyDescent="0.25">
      <c r="A28" t="s">
        <v>37</v>
      </c>
      <c r="B28">
        <v>16</v>
      </c>
      <c r="C28">
        <f t="shared" si="0"/>
        <v>8.6199999999999992</v>
      </c>
      <c r="D28">
        <f t="shared" si="1"/>
        <v>18.7</v>
      </c>
      <c r="E28">
        <f t="shared" si="2"/>
        <v>0</v>
      </c>
      <c r="F28">
        <f t="shared" si="5"/>
        <v>3.1</v>
      </c>
      <c r="G28">
        <f t="shared" si="3"/>
        <v>3.79</v>
      </c>
      <c r="H28">
        <f t="shared" si="6"/>
        <v>12.39</v>
      </c>
      <c r="J28" s="40"/>
      <c r="K28" s="40"/>
      <c r="L28" s="40"/>
      <c r="M28" s="40"/>
      <c r="N28" s="40"/>
      <c r="O28" s="40"/>
      <c r="P28" s="40"/>
      <c r="Q28" s="40"/>
      <c r="R28" s="40"/>
      <c r="S28" s="40"/>
      <c r="T28" s="40"/>
      <c r="U28" s="40"/>
      <c r="V28" s="40"/>
      <c r="W28" s="40"/>
      <c r="X28" s="40"/>
    </row>
    <row r="29" spans="1:24" x14ac:dyDescent="0.25">
      <c r="A29" t="s">
        <v>38</v>
      </c>
      <c r="B29">
        <v>12.4</v>
      </c>
      <c r="C29">
        <f t="shared" si="0"/>
        <v>8.6199999999999992</v>
      </c>
      <c r="D29">
        <f t="shared" si="1"/>
        <v>18.7</v>
      </c>
      <c r="E29">
        <f t="shared" si="2"/>
        <v>0</v>
      </c>
      <c r="F29">
        <f t="shared" si="5"/>
        <v>3.6</v>
      </c>
      <c r="G29">
        <f t="shared" si="3"/>
        <v>3.79</v>
      </c>
      <c r="H29">
        <f t="shared" si="6"/>
        <v>12.39</v>
      </c>
    </row>
    <row r="30" spans="1:24" x14ac:dyDescent="0.25">
      <c r="A30" t="s">
        <v>39</v>
      </c>
      <c r="B30">
        <v>11.9</v>
      </c>
      <c r="C30">
        <f t="shared" si="0"/>
        <v>8.6199999999999992</v>
      </c>
      <c r="D30">
        <f t="shared" si="1"/>
        <v>18.7</v>
      </c>
      <c r="E30">
        <f t="shared" si="2"/>
        <v>0</v>
      </c>
      <c r="F30">
        <f t="shared" si="5"/>
        <v>0.5</v>
      </c>
      <c r="G30">
        <f t="shared" si="3"/>
        <v>3.79</v>
      </c>
      <c r="H30">
        <f t="shared" si="6"/>
        <v>12.39</v>
      </c>
      <c r="J30" s="44" t="s">
        <v>127</v>
      </c>
      <c r="K30" s="44"/>
      <c r="L30" s="44"/>
      <c r="M30" s="44"/>
      <c r="N30" s="44"/>
      <c r="O30" s="44"/>
      <c r="P30" s="44"/>
      <c r="Q30" s="44"/>
      <c r="R30" s="44"/>
      <c r="S30" s="44"/>
      <c r="T30" s="44"/>
      <c r="U30" s="44"/>
      <c r="V30" s="44"/>
      <c r="W30" s="44"/>
      <c r="X30" s="44"/>
    </row>
    <row r="31" spans="1:24" x14ac:dyDescent="0.25">
      <c r="A31" t="s">
        <v>40</v>
      </c>
      <c r="B31">
        <v>6.1</v>
      </c>
      <c r="C31">
        <f t="shared" si="0"/>
        <v>8.6199999999999992</v>
      </c>
      <c r="D31">
        <f t="shared" si="1"/>
        <v>18.7</v>
      </c>
      <c r="E31">
        <f t="shared" si="2"/>
        <v>0</v>
      </c>
      <c r="F31">
        <f t="shared" si="5"/>
        <v>5.8</v>
      </c>
      <c r="G31">
        <f t="shared" si="3"/>
        <v>3.79</v>
      </c>
      <c r="H31">
        <f t="shared" si="6"/>
        <v>12.39</v>
      </c>
      <c r="J31" s="44"/>
      <c r="K31" s="44"/>
      <c r="L31" s="44"/>
      <c r="M31" s="44"/>
      <c r="N31" s="44"/>
      <c r="O31" s="44"/>
      <c r="P31" s="44"/>
      <c r="Q31" s="44"/>
      <c r="R31" s="44"/>
      <c r="S31" s="44"/>
      <c r="T31" s="44"/>
      <c r="U31" s="44"/>
      <c r="V31" s="44"/>
      <c r="W31" s="44"/>
      <c r="X31" s="44"/>
    </row>
    <row r="32" spans="1:24" x14ac:dyDescent="0.25">
      <c r="A32" t="s">
        <v>41</v>
      </c>
      <c r="B32">
        <v>4.0999999999999996</v>
      </c>
      <c r="C32">
        <f t="shared" si="0"/>
        <v>8.6199999999999992</v>
      </c>
      <c r="D32">
        <f t="shared" si="1"/>
        <v>18.7</v>
      </c>
      <c r="E32">
        <f t="shared" si="2"/>
        <v>0</v>
      </c>
      <c r="F32">
        <f t="shared" si="5"/>
        <v>2</v>
      </c>
      <c r="G32">
        <f t="shared" si="3"/>
        <v>3.79</v>
      </c>
      <c r="H32">
        <f t="shared" si="6"/>
        <v>12.39</v>
      </c>
      <c r="J32" s="44"/>
      <c r="K32" s="44"/>
      <c r="L32" s="44"/>
      <c r="M32" s="44"/>
      <c r="N32" s="44"/>
      <c r="O32" s="44"/>
      <c r="P32" s="44"/>
      <c r="Q32" s="44"/>
      <c r="R32" s="44"/>
      <c r="S32" s="44"/>
      <c r="T32" s="44"/>
      <c r="U32" s="44"/>
      <c r="V32" s="44"/>
      <c r="W32" s="44"/>
      <c r="X32" s="44"/>
    </row>
    <row r="33" spans="1:24" x14ac:dyDescent="0.25">
      <c r="A33" t="s">
        <v>42</v>
      </c>
      <c r="B33">
        <v>0.5</v>
      </c>
      <c r="C33">
        <f t="shared" si="0"/>
        <v>8.6199999999999992</v>
      </c>
      <c r="D33">
        <f t="shared" si="1"/>
        <v>18.7</v>
      </c>
      <c r="E33">
        <f t="shared" si="2"/>
        <v>0</v>
      </c>
      <c r="F33">
        <f t="shared" si="5"/>
        <v>3.6</v>
      </c>
      <c r="G33">
        <f t="shared" si="3"/>
        <v>3.79</v>
      </c>
      <c r="H33">
        <f t="shared" si="6"/>
        <v>12.39</v>
      </c>
      <c r="J33" s="44"/>
      <c r="K33" s="44"/>
      <c r="L33" s="44"/>
      <c r="M33" s="44"/>
      <c r="N33" s="44"/>
      <c r="O33" s="44"/>
      <c r="P33" s="44"/>
      <c r="Q33" s="44"/>
      <c r="R33" s="44"/>
      <c r="S33" s="44"/>
      <c r="T33" s="44"/>
      <c r="U33" s="44"/>
      <c r="V33" s="44"/>
      <c r="W33" s="44"/>
      <c r="X33" s="44"/>
    </row>
    <row r="34" spans="1:24" x14ac:dyDescent="0.25">
      <c r="A34" t="s">
        <v>43</v>
      </c>
      <c r="B34">
        <v>1.6</v>
      </c>
      <c r="C34">
        <f t="shared" si="0"/>
        <v>8.6199999999999992</v>
      </c>
      <c r="D34">
        <f t="shared" si="1"/>
        <v>18.7</v>
      </c>
      <c r="E34">
        <f t="shared" si="2"/>
        <v>0</v>
      </c>
      <c r="F34">
        <f t="shared" si="5"/>
        <v>1.1000000000000001</v>
      </c>
      <c r="G34">
        <f t="shared" si="3"/>
        <v>3.79</v>
      </c>
      <c r="H34">
        <f t="shared" si="6"/>
        <v>12.39</v>
      </c>
      <c r="J34" s="44"/>
      <c r="K34" s="44"/>
      <c r="L34" s="44"/>
      <c r="M34" s="44"/>
      <c r="N34" s="44"/>
      <c r="O34" s="44"/>
      <c r="P34" s="44"/>
      <c r="Q34" s="44"/>
      <c r="R34" s="44"/>
      <c r="S34" s="44"/>
      <c r="T34" s="44"/>
      <c r="U34" s="44"/>
      <c r="V34" s="44"/>
      <c r="W34" s="44"/>
      <c r="X34" s="44"/>
    </row>
    <row r="35" spans="1:24" x14ac:dyDescent="0.25">
      <c r="A35" t="s">
        <v>44</v>
      </c>
      <c r="B35">
        <v>2.2999999999999998</v>
      </c>
      <c r="C35">
        <f t="shared" ref="C35:C66" si="7">ROUND(AVERAGE($B$3:$B$101), 2)</f>
        <v>8.6199999999999992</v>
      </c>
      <c r="D35">
        <f t="shared" ref="D35:D66" si="8">ROUND(C35+(2.66*G35),2)</f>
        <v>18.7</v>
      </c>
      <c r="E35">
        <f t="shared" ref="E35:E66" si="9">MAX(0,ROUND(C35-(2.66*G35),2))</f>
        <v>0</v>
      </c>
      <c r="F35">
        <f t="shared" si="5"/>
        <v>0.7</v>
      </c>
      <c r="G35">
        <f t="shared" ref="G35:G66" si="10">ROUND(AVERAGE($F$4:$F$101),2)</f>
        <v>3.79</v>
      </c>
      <c r="H35">
        <f t="shared" si="6"/>
        <v>12.39</v>
      </c>
      <c r="J35" s="44"/>
      <c r="K35" s="44"/>
      <c r="L35" s="44"/>
      <c r="M35" s="44"/>
      <c r="N35" s="44"/>
      <c r="O35" s="44"/>
      <c r="P35" s="44"/>
      <c r="Q35" s="44"/>
      <c r="R35" s="44"/>
      <c r="S35" s="44"/>
      <c r="T35" s="44"/>
      <c r="U35" s="44"/>
      <c r="V35" s="44"/>
      <c r="W35" s="44"/>
      <c r="X35" s="44"/>
    </row>
    <row r="36" spans="1:24" x14ac:dyDescent="0.25">
      <c r="A36" t="s">
        <v>45</v>
      </c>
      <c r="B36">
        <v>17.600000000000001</v>
      </c>
      <c r="C36">
        <f t="shared" si="7"/>
        <v>8.6199999999999992</v>
      </c>
      <c r="D36">
        <f t="shared" si="8"/>
        <v>18.7</v>
      </c>
      <c r="E36">
        <f t="shared" si="9"/>
        <v>0</v>
      </c>
      <c r="F36">
        <f t="shared" si="5"/>
        <v>15.3</v>
      </c>
      <c r="G36">
        <f t="shared" si="10"/>
        <v>3.79</v>
      </c>
      <c r="H36">
        <f t="shared" si="6"/>
        <v>12.39</v>
      </c>
      <c r="J36" s="44"/>
      <c r="K36" s="44"/>
      <c r="L36" s="44"/>
      <c r="M36" s="44"/>
      <c r="N36" s="44"/>
      <c r="O36" s="44"/>
      <c r="P36" s="44"/>
      <c r="Q36" s="44"/>
      <c r="R36" s="44"/>
      <c r="S36" s="44"/>
      <c r="T36" s="44"/>
      <c r="U36" s="44"/>
      <c r="V36" s="44"/>
      <c r="W36" s="44"/>
      <c r="X36" s="44"/>
    </row>
    <row r="37" spans="1:24" x14ac:dyDescent="0.25">
      <c r="A37" t="s">
        <v>46</v>
      </c>
      <c r="B37">
        <v>7.1</v>
      </c>
      <c r="C37">
        <f t="shared" si="7"/>
        <v>8.6199999999999992</v>
      </c>
      <c r="D37">
        <f t="shared" si="8"/>
        <v>18.7</v>
      </c>
      <c r="E37">
        <f t="shared" si="9"/>
        <v>0</v>
      </c>
      <c r="F37">
        <f t="shared" si="5"/>
        <v>10.5</v>
      </c>
      <c r="G37">
        <f t="shared" si="10"/>
        <v>3.79</v>
      </c>
      <c r="H37">
        <f t="shared" si="6"/>
        <v>12.39</v>
      </c>
      <c r="J37" s="44"/>
      <c r="K37" s="44"/>
      <c r="L37" s="44"/>
      <c r="M37" s="44"/>
      <c r="N37" s="44"/>
      <c r="O37" s="44"/>
      <c r="P37" s="44"/>
      <c r="Q37" s="44"/>
      <c r="R37" s="44"/>
      <c r="S37" s="44"/>
      <c r="T37" s="44"/>
      <c r="U37" s="44"/>
      <c r="V37" s="44"/>
      <c r="W37" s="44"/>
      <c r="X37" s="44"/>
    </row>
    <row r="38" spans="1:24" x14ac:dyDescent="0.25">
      <c r="A38" t="s">
        <v>47</v>
      </c>
      <c r="B38">
        <v>8.1</v>
      </c>
      <c r="C38">
        <f t="shared" si="7"/>
        <v>8.6199999999999992</v>
      </c>
      <c r="D38">
        <f t="shared" si="8"/>
        <v>18.7</v>
      </c>
      <c r="E38">
        <f t="shared" si="9"/>
        <v>0</v>
      </c>
      <c r="F38">
        <f t="shared" si="5"/>
        <v>1</v>
      </c>
      <c r="G38">
        <f t="shared" si="10"/>
        <v>3.79</v>
      </c>
      <c r="H38">
        <f t="shared" si="6"/>
        <v>12.39</v>
      </c>
      <c r="J38" s="44"/>
      <c r="K38" s="44"/>
      <c r="L38" s="44"/>
      <c r="M38" s="44"/>
      <c r="N38" s="44"/>
      <c r="O38" s="44"/>
      <c r="P38" s="44"/>
      <c r="Q38" s="44"/>
      <c r="R38" s="44"/>
      <c r="S38" s="44"/>
      <c r="T38" s="44"/>
      <c r="U38" s="44"/>
      <c r="V38" s="44"/>
      <c r="W38" s="44"/>
      <c r="X38" s="44"/>
    </row>
    <row r="39" spans="1:24" x14ac:dyDescent="0.25">
      <c r="A39" t="s">
        <v>48</v>
      </c>
      <c r="B39">
        <v>15.2</v>
      </c>
      <c r="C39">
        <f t="shared" si="7"/>
        <v>8.6199999999999992</v>
      </c>
      <c r="D39">
        <f t="shared" si="8"/>
        <v>18.7</v>
      </c>
      <c r="E39">
        <f t="shared" si="9"/>
        <v>0</v>
      </c>
      <c r="F39">
        <f t="shared" si="5"/>
        <v>7.1</v>
      </c>
      <c r="G39">
        <f t="shared" si="10"/>
        <v>3.79</v>
      </c>
      <c r="H39">
        <f t="shared" si="6"/>
        <v>12.39</v>
      </c>
      <c r="J39" s="44"/>
      <c r="K39" s="44"/>
      <c r="L39" s="44"/>
      <c r="M39" s="44"/>
      <c r="N39" s="44"/>
      <c r="O39" s="44"/>
      <c r="P39" s="44"/>
      <c r="Q39" s="44"/>
      <c r="R39" s="44"/>
      <c r="S39" s="44"/>
      <c r="T39" s="44"/>
      <c r="U39" s="44"/>
      <c r="V39" s="44"/>
      <c r="W39" s="44"/>
      <c r="X39" s="44"/>
    </row>
    <row r="40" spans="1:24" x14ac:dyDescent="0.25">
      <c r="A40" t="s">
        <v>49</v>
      </c>
      <c r="B40">
        <v>11.3</v>
      </c>
      <c r="C40">
        <f t="shared" si="7"/>
        <v>8.6199999999999992</v>
      </c>
      <c r="D40">
        <f t="shared" si="8"/>
        <v>18.7</v>
      </c>
      <c r="E40">
        <f t="shared" si="9"/>
        <v>0</v>
      </c>
      <c r="F40">
        <f t="shared" si="5"/>
        <v>3.9</v>
      </c>
      <c r="G40">
        <f t="shared" si="10"/>
        <v>3.79</v>
      </c>
      <c r="H40">
        <f t="shared" si="6"/>
        <v>12.39</v>
      </c>
      <c r="J40" s="44"/>
      <c r="K40" s="44"/>
      <c r="L40" s="44"/>
      <c r="M40" s="44"/>
      <c r="N40" s="44"/>
      <c r="O40" s="44"/>
      <c r="P40" s="44"/>
      <c r="Q40" s="44"/>
      <c r="R40" s="44"/>
      <c r="S40" s="44"/>
      <c r="T40" s="44"/>
      <c r="U40" s="44"/>
      <c r="V40" s="44"/>
      <c r="W40" s="44"/>
      <c r="X40" s="44"/>
    </row>
    <row r="41" spans="1:24" x14ac:dyDescent="0.25">
      <c r="A41" t="s">
        <v>50</v>
      </c>
      <c r="B41">
        <v>17</v>
      </c>
      <c r="C41">
        <f t="shared" si="7"/>
        <v>8.6199999999999992</v>
      </c>
      <c r="D41">
        <f t="shared" si="8"/>
        <v>18.7</v>
      </c>
      <c r="E41">
        <f t="shared" si="9"/>
        <v>0</v>
      </c>
      <c r="F41">
        <f t="shared" si="5"/>
        <v>5.7</v>
      </c>
      <c r="G41">
        <f t="shared" si="10"/>
        <v>3.79</v>
      </c>
      <c r="H41">
        <f t="shared" si="6"/>
        <v>12.39</v>
      </c>
      <c r="J41" s="44"/>
      <c r="K41" s="44"/>
      <c r="L41" s="44"/>
      <c r="M41" s="44"/>
      <c r="N41" s="44"/>
      <c r="O41" s="44"/>
      <c r="P41" s="44"/>
      <c r="Q41" s="44"/>
      <c r="R41" s="44"/>
      <c r="S41" s="44"/>
      <c r="T41" s="44"/>
      <c r="U41" s="44"/>
      <c r="V41" s="44"/>
      <c r="W41" s="44"/>
      <c r="X41" s="44"/>
    </row>
    <row r="42" spans="1:24" x14ac:dyDescent="0.25">
      <c r="A42" t="s">
        <v>51</v>
      </c>
      <c r="B42">
        <v>17.3</v>
      </c>
      <c r="C42">
        <f t="shared" si="7"/>
        <v>8.6199999999999992</v>
      </c>
      <c r="D42">
        <f t="shared" si="8"/>
        <v>18.7</v>
      </c>
      <c r="E42">
        <f t="shared" si="9"/>
        <v>0</v>
      </c>
      <c r="F42">
        <f t="shared" si="5"/>
        <v>0.3</v>
      </c>
      <c r="G42">
        <f t="shared" si="10"/>
        <v>3.79</v>
      </c>
      <c r="H42">
        <f t="shared" si="6"/>
        <v>12.39</v>
      </c>
      <c r="J42" s="44" t="s">
        <v>128</v>
      </c>
      <c r="K42" s="45"/>
      <c r="L42" s="45"/>
      <c r="M42" s="45"/>
      <c r="N42" s="45"/>
      <c r="O42" s="45"/>
      <c r="P42" s="45"/>
      <c r="Q42" s="45"/>
      <c r="R42" s="45"/>
      <c r="S42" s="45"/>
      <c r="T42" s="45"/>
      <c r="U42" s="45"/>
      <c r="V42" s="45"/>
      <c r="W42" s="45"/>
      <c r="X42" s="45"/>
    </row>
    <row r="43" spans="1:24" x14ac:dyDescent="0.25">
      <c r="A43" t="s">
        <v>52</v>
      </c>
      <c r="B43">
        <v>5.8</v>
      </c>
      <c r="C43">
        <f t="shared" si="7"/>
        <v>8.6199999999999992</v>
      </c>
      <c r="D43">
        <f t="shared" si="8"/>
        <v>18.7</v>
      </c>
      <c r="E43">
        <f t="shared" si="9"/>
        <v>0</v>
      </c>
      <c r="F43">
        <f t="shared" si="5"/>
        <v>11.5</v>
      </c>
      <c r="G43">
        <f t="shared" si="10"/>
        <v>3.79</v>
      </c>
      <c r="H43">
        <f t="shared" si="6"/>
        <v>12.39</v>
      </c>
      <c r="J43" s="45"/>
      <c r="K43" s="45"/>
      <c r="L43" s="45"/>
      <c r="M43" s="45"/>
      <c r="N43" s="45"/>
      <c r="O43" s="45"/>
      <c r="P43" s="45"/>
      <c r="Q43" s="45"/>
      <c r="R43" s="45"/>
      <c r="S43" s="45"/>
      <c r="T43" s="45"/>
      <c r="U43" s="45"/>
      <c r="V43" s="45"/>
      <c r="W43" s="45"/>
      <c r="X43" s="45"/>
    </row>
    <row r="44" spans="1:24" x14ac:dyDescent="0.25">
      <c r="A44" t="s">
        <v>53</v>
      </c>
      <c r="B44">
        <v>2.7</v>
      </c>
      <c r="C44">
        <f t="shared" si="7"/>
        <v>8.6199999999999992</v>
      </c>
      <c r="D44">
        <f t="shared" si="8"/>
        <v>18.7</v>
      </c>
      <c r="E44">
        <f t="shared" si="9"/>
        <v>0</v>
      </c>
      <c r="F44">
        <f t="shared" si="5"/>
        <v>3.1</v>
      </c>
      <c r="G44">
        <f t="shared" si="10"/>
        <v>3.79</v>
      </c>
      <c r="H44">
        <f t="shared" si="6"/>
        <v>12.39</v>
      </c>
      <c r="J44" s="45"/>
      <c r="K44" s="45"/>
      <c r="L44" s="45"/>
      <c r="M44" s="45"/>
      <c r="N44" s="45"/>
      <c r="O44" s="45"/>
      <c r="P44" s="45"/>
      <c r="Q44" s="45"/>
      <c r="R44" s="45"/>
      <c r="S44" s="45"/>
      <c r="T44" s="45"/>
      <c r="U44" s="45"/>
      <c r="V44" s="45"/>
      <c r="W44" s="45"/>
      <c r="X44" s="45"/>
    </row>
    <row r="45" spans="1:24" x14ac:dyDescent="0.25">
      <c r="A45" t="s">
        <v>54</v>
      </c>
      <c r="B45">
        <v>4.4000000000000004</v>
      </c>
      <c r="C45">
        <f t="shared" si="7"/>
        <v>8.6199999999999992</v>
      </c>
      <c r="D45">
        <f t="shared" si="8"/>
        <v>18.7</v>
      </c>
      <c r="E45">
        <f t="shared" si="9"/>
        <v>0</v>
      </c>
      <c r="F45">
        <f t="shared" si="5"/>
        <v>1.7</v>
      </c>
      <c r="G45">
        <f t="shared" si="10"/>
        <v>3.79</v>
      </c>
      <c r="H45">
        <f t="shared" si="6"/>
        <v>12.39</v>
      </c>
      <c r="J45" s="45"/>
      <c r="K45" s="45"/>
      <c r="L45" s="45"/>
      <c r="M45" s="45"/>
      <c r="N45" s="45"/>
      <c r="O45" s="45"/>
      <c r="P45" s="45"/>
      <c r="Q45" s="45"/>
      <c r="R45" s="45"/>
      <c r="S45" s="45"/>
      <c r="T45" s="45"/>
      <c r="U45" s="45"/>
      <c r="V45" s="45"/>
      <c r="W45" s="45"/>
      <c r="X45" s="45"/>
    </row>
    <row r="46" spans="1:24" x14ac:dyDescent="0.25">
      <c r="A46" t="s">
        <v>55</v>
      </c>
      <c r="B46">
        <v>6.3</v>
      </c>
      <c r="C46">
        <f t="shared" si="7"/>
        <v>8.6199999999999992</v>
      </c>
      <c r="D46">
        <f t="shared" si="8"/>
        <v>18.7</v>
      </c>
      <c r="E46">
        <f t="shared" si="9"/>
        <v>0</v>
      </c>
      <c r="F46">
        <f t="shared" si="5"/>
        <v>1.9</v>
      </c>
      <c r="G46">
        <f t="shared" si="10"/>
        <v>3.79</v>
      </c>
      <c r="H46">
        <f t="shared" si="6"/>
        <v>12.39</v>
      </c>
      <c r="J46" s="45"/>
      <c r="K46" s="45"/>
      <c r="L46" s="45"/>
      <c r="M46" s="45"/>
      <c r="N46" s="45"/>
      <c r="O46" s="45"/>
      <c r="P46" s="45"/>
      <c r="Q46" s="45"/>
      <c r="R46" s="45"/>
      <c r="S46" s="45"/>
      <c r="T46" s="45"/>
      <c r="U46" s="45"/>
      <c r="V46" s="45"/>
      <c r="W46" s="45"/>
      <c r="X46" s="45"/>
    </row>
    <row r="47" spans="1:24" x14ac:dyDescent="0.25">
      <c r="A47" t="s">
        <v>56</v>
      </c>
      <c r="B47">
        <v>1.2</v>
      </c>
      <c r="C47">
        <f t="shared" si="7"/>
        <v>8.6199999999999992</v>
      </c>
      <c r="D47">
        <f t="shared" si="8"/>
        <v>18.7</v>
      </c>
      <c r="E47">
        <f t="shared" si="9"/>
        <v>0</v>
      </c>
      <c r="F47">
        <f t="shared" si="5"/>
        <v>5.0999999999999996</v>
      </c>
      <c r="G47">
        <f t="shared" si="10"/>
        <v>3.79</v>
      </c>
      <c r="H47">
        <f t="shared" si="6"/>
        <v>12.39</v>
      </c>
      <c r="J47" s="45"/>
      <c r="K47" s="45"/>
      <c r="L47" s="45"/>
      <c r="M47" s="45"/>
      <c r="N47" s="45"/>
      <c r="O47" s="45"/>
      <c r="P47" s="45"/>
      <c r="Q47" s="45"/>
      <c r="R47" s="45"/>
      <c r="S47" s="45"/>
      <c r="T47" s="45"/>
      <c r="U47" s="45"/>
      <c r="V47" s="45"/>
      <c r="W47" s="45"/>
      <c r="X47" s="45"/>
    </row>
    <row r="48" spans="1:24" x14ac:dyDescent="0.25">
      <c r="A48" t="s">
        <v>57</v>
      </c>
      <c r="B48">
        <v>3.2</v>
      </c>
      <c r="C48">
        <f t="shared" si="7"/>
        <v>8.6199999999999992</v>
      </c>
      <c r="D48">
        <f t="shared" si="8"/>
        <v>18.7</v>
      </c>
      <c r="E48">
        <f t="shared" si="9"/>
        <v>0</v>
      </c>
      <c r="F48">
        <f t="shared" si="5"/>
        <v>2</v>
      </c>
      <c r="G48">
        <f t="shared" si="10"/>
        <v>3.79</v>
      </c>
      <c r="H48">
        <f t="shared" si="6"/>
        <v>12.39</v>
      </c>
      <c r="J48" s="45"/>
      <c r="K48" s="45"/>
      <c r="L48" s="45"/>
      <c r="M48" s="45"/>
      <c r="N48" s="45"/>
      <c r="O48" s="45"/>
      <c r="P48" s="45"/>
      <c r="Q48" s="45"/>
      <c r="R48" s="45"/>
      <c r="S48" s="45"/>
      <c r="T48" s="45"/>
      <c r="U48" s="45"/>
      <c r="V48" s="45"/>
      <c r="W48" s="45"/>
      <c r="X48" s="45"/>
    </row>
    <row r="49" spans="1:24" x14ac:dyDescent="0.25">
      <c r="A49" t="s">
        <v>58</v>
      </c>
      <c r="B49">
        <v>11</v>
      </c>
      <c r="C49">
        <f t="shared" si="7"/>
        <v>8.6199999999999992</v>
      </c>
      <c r="D49">
        <f t="shared" si="8"/>
        <v>18.7</v>
      </c>
      <c r="E49">
        <f t="shared" si="9"/>
        <v>0</v>
      </c>
      <c r="F49">
        <f t="shared" si="5"/>
        <v>7.8</v>
      </c>
      <c r="G49">
        <f t="shared" si="10"/>
        <v>3.79</v>
      </c>
      <c r="H49">
        <f t="shared" si="6"/>
        <v>12.39</v>
      </c>
      <c r="J49" s="45"/>
      <c r="K49" s="45"/>
      <c r="L49" s="45"/>
      <c r="M49" s="45"/>
      <c r="N49" s="45"/>
      <c r="O49" s="45"/>
      <c r="P49" s="45"/>
      <c r="Q49" s="45"/>
      <c r="R49" s="45"/>
      <c r="S49" s="45"/>
      <c r="T49" s="45"/>
      <c r="U49" s="45"/>
      <c r="V49" s="45"/>
      <c r="W49" s="45"/>
      <c r="X49" s="45"/>
    </row>
    <row r="50" spans="1:24" x14ac:dyDescent="0.25">
      <c r="A50" t="s">
        <v>59</v>
      </c>
      <c r="B50">
        <v>10.5</v>
      </c>
      <c r="C50">
        <f t="shared" si="7"/>
        <v>8.6199999999999992</v>
      </c>
      <c r="D50">
        <f t="shared" si="8"/>
        <v>18.7</v>
      </c>
      <c r="E50">
        <f t="shared" si="9"/>
        <v>0</v>
      </c>
      <c r="F50">
        <f t="shared" si="5"/>
        <v>0.5</v>
      </c>
      <c r="G50">
        <f t="shared" si="10"/>
        <v>3.79</v>
      </c>
      <c r="H50">
        <f t="shared" si="6"/>
        <v>12.39</v>
      </c>
      <c r="J50" s="45"/>
      <c r="K50" s="45"/>
      <c r="L50" s="45"/>
      <c r="M50" s="45"/>
      <c r="N50" s="45"/>
      <c r="O50" s="45"/>
      <c r="P50" s="45"/>
      <c r="Q50" s="45"/>
      <c r="R50" s="45"/>
      <c r="S50" s="45"/>
      <c r="T50" s="45"/>
      <c r="U50" s="45"/>
      <c r="V50" s="45"/>
      <c r="W50" s="45"/>
      <c r="X50" s="45"/>
    </row>
    <row r="51" spans="1:24" x14ac:dyDescent="0.25">
      <c r="A51" t="s">
        <v>60</v>
      </c>
      <c r="B51">
        <v>7.6</v>
      </c>
      <c r="C51">
        <f t="shared" si="7"/>
        <v>8.6199999999999992</v>
      </c>
      <c r="D51">
        <f t="shared" si="8"/>
        <v>18.7</v>
      </c>
      <c r="E51">
        <f t="shared" si="9"/>
        <v>0</v>
      </c>
      <c r="F51">
        <f t="shared" si="5"/>
        <v>2.9</v>
      </c>
      <c r="G51">
        <f t="shared" si="10"/>
        <v>3.79</v>
      </c>
      <c r="H51">
        <f t="shared" si="6"/>
        <v>12.39</v>
      </c>
      <c r="J51" s="45"/>
      <c r="K51" s="45"/>
      <c r="L51" s="45"/>
      <c r="M51" s="45"/>
      <c r="N51" s="45"/>
      <c r="O51" s="45"/>
      <c r="P51" s="45"/>
      <c r="Q51" s="45"/>
      <c r="R51" s="45"/>
      <c r="S51" s="45"/>
      <c r="T51" s="45"/>
      <c r="U51" s="45"/>
      <c r="V51" s="45"/>
      <c r="W51" s="45"/>
      <c r="X51" s="45"/>
    </row>
    <row r="52" spans="1:24" x14ac:dyDescent="0.25">
      <c r="A52" t="s">
        <v>61</v>
      </c>
      <c r="B52">
        <v>4.7</v>
      </c>
      <c r="C52">
        <f t="shared" si="7"/>
        <v>8.6199999999999992</v>
      </c>
      <c r="D52">
        <f t="shared" si="8"/>
        <v>18.7</v>
      </c>
      <c r="E52">
        <f t="shared" si="9"/>
        <v>0</v>
      </c>
      <c r="F52">
        <f t="shared" si="5"/>
        <v>2.9</v>
      </c>
      <c r="G52">
        <f t="shared" si="10"/>
        <v>3.79</v>
      </c>
      <c r="H52">
        <f t="shared" si="6"/>
        <v>12.39</v>
      </c>
    </row>
    <row r="53" spans="1:24" x14ac:dyDescent="0.25">
      <c r="A53" t="s">
        <v>62</v>
      </c>
      <c r="B53">
        <v>4.5</v>
      </c>
      <c r="C53">
        <f t="shared" si="7"/>
        <v>8.6199999999999992</v>
      </c>
      <c r="D53">
        <f t="shared" si="8"/>
        <v>18.7</v>
      </c>
      <c r="E53">
        <f t="shared" si="9"/>
        <v>0</v>
      </c>
      <c r="F53">
        <f t="shared" si="5"/>
        <v>0.2</v>
      </c>
      <c r="G53">
        <f t="shared" si="10"/>
        <v>3.79</v>
      </c>
      <c r="H53">
        <f t="shared" si="6"/>
        <v>12.39</v>
      </c>
    </row>
    <row r="54" spans="1:24" x14ac:dyDescent="0.25">
      <c r="A54" t="s">
        <v>63</v>
      </c>
      <c r="B54">
        <v>4.2</v>
      </c>
      <c r="C54">
        <f t="shared" si="7"/>
        <v>8.6199999999999992</v>
      </c>
      <c r="D54">
        <f t="shared" si="8"/>
        <v>18.7</v>
      </c>
      <c r="E54">
        <f t="shared" si="9"/>
        <v>0</v>
      </c>
      <c r="F54">
        <f t="shared" si="5"/>
        <v>0.3</v>
      </c>
      <c r="G54">
        <f t="shared" si="10"/>
        <v>3.79</v>
      </c>
      <c r="H54">
        <f t="shared" si="6"/>
        <v>12.39</v>
      </c>
    </row>
    <row r="55" spans="1:24" x14ac:dyDescent="0.25">
      <c r="A55" t="s">
        <v>64</v>
      </c>
      <c r="B55">
        <v>4.4000000000000004</v>
      </c>
      <c r="C55">
        <f t="shared" si="7"/>
        <v>8.6199999999999992</v>
      </c>
      <c r="D55">
        <f t="shared" si="8"/>
        <v>18.7</v>
      </c>
      <c r="E55">
        <f t="shared" si="9"/>
        <v>0</v>
      </c>
      <c r="F55">
        <f t="shared" si="5"/>
        <v>0.2</v>
      </c>
      <c r="G55">
        <f t="shared" si="10"/>
        <v>3.79</v>
      </c>
      <c r="H55">
        <f t="shared" si="6"/>
        <v>12.39</v>
      </c>
    </row>
    <row r="56" spans="1:24" x14ac:dyDescent="0.25">
      <c r="A56" t="s">
        <v>65</v>
      </c>
      <c r="B56">
        <v>7.1</v>
      </c>
      <c r="C56">
        <f t="shared" si="7"/>
        <v>8.6199999999999992</v>
      </c>
      <c r="D56">
        <f t="shared" si="8"/>
        <v>18.7</v>
      </c>
      <c r="E56">
        <f t="shared" si="9"/>
        <v>0</v>
      </c>
      <c r="F56">
        <f t="shared" si="5"/>
        <v>2.7</v>
      </c>
      <c r="G56">
        <f t="shared" si="10"/>
        <v>3.79</v>
      </c>
      <c r="H56">
        <f t="shared" si="6"/>
        <v>12.39</v>
      </c>
    </row>
    <row r="57" spans="1:24" x14ac:dyDescent="0.25">
      <c r="A57" t="s">
        <v>66</v>
      </c>
      <c r="B57">
        <v>6.1</v>
      </c>
      <c r="C57">
        <f t="shared" si="7"/>
        <v>8.6199999999999992</v>
      </c>
      <c r="D57">
        <f t="shared" si="8"/>
        <v>18.7</v>
      </c>
      <c r="E57">
        <f t="shared" si="9"/>
        <v>0</v>
      </c>
      <c r="F57">
        <f t="shared" si="5"/>
        <v>1</v>
      </c>
      <c r="G57">
        <f t="shared" si="10"/>
        <v>3.79</v>
      </c>
      <c r="H57">
        <f t="shared" si="6"/>
        <v>12.39</v>
      </c>
    </row>
    <row r="58" spans="1:24" x14ac:dyDescent="0.25">
      <c r="A58" t="s">
        <v>67</v>
      </c>
      <c r="B58">
        <v>3.6</v>
      </c>
      <c r="C58">
        <f t="shared" si="7"/>
        <v>8.6199999999999992</v>
      </c>
      <c r="D58">
        <f t="shared" si="8"/>
        <v>18.7</v>
      </c>
      <c r="E58">
        <f t="shared" si="9"/>
        <v>0</v>
      </c>
      <c r="F58">
        <f t="shared" si="5"/>
        <v>2.5</v>
      </c>
      <c r="G58">
        <f t="shared" si="10"/>
        <v>3.79</v>
      </c>
      <c r="H58">
        <f t="shared" si="6"/>
        <v>12.39</v>
      </c>
    </row>
    <row r="59" spans="1:24" x14ac:dyDescent="0.25">
      <c r="A59" t="s">
        <v>68</v>
      </c>
      <c r="B59">
        <v>10.5</v>
      </c>
      <c r="C59">
        <f t="shared" si="7"/>
        <v>8.6199999999999992</v>
      </c>
      <c r="D59">
        <f t="shared" si="8"/>
        <v>18.7</v>
      </c>
      <c r="E59">
        <f t="shared" si="9"/>
        <v>0</v>
      </c>
      <c r="F59">
        <f t="shared" si="5"/>
        <v>6.9</v>
      </c>
      <c r="G59">
        <f t="shared" si="10"/>
        <v>3.79</v>
      </c>
      <c r="H59">
        <f t="shared" si="6"/>
        <v>12.39</v>
      </c>
    </row>
    <row r="60" spans="1:24" x14ac:dyDescent="0.25">
      <c r="A60" t="s">
        <v>69</v>
      </c>
      <c r="B60">
        <v>14.8</v>
      </c>
      <c r="C60">
        <f t="shared" si="7"/>
        <v>8.6199999999999992</v>
      </c>
      <c r="D60">
        <f t="shared" si="8"/>
        <v>18.7</v>
      </c>
      <c r="E60">
        <f t="shared" si="9"/>
        <v>0</v>
      </c>
      <c r="F60">
        <f t="shared" si="5"/>
        <v>4.3</v>
      </c>
      <c r="G60">
        <f t="shared" si="10"/>
        <v>3.79</v>
      </c>
      <c r="H60">
        <f t="shared" si="6"/>
        <v>12.39</v>
      </c>
    </row>
    <row r="61" spans="1:24" x14ac:dyDescent="0.25">
      <c r="A61" t="s">
        <v>70</v>
      </c>
      <c r="B61">
        <v>10.9</v>
      </c>
      <c r="C61">
        <f t="shared" si="7"/>
        <v>8.6199999999999992</v>
      </c>
      <c r="D61">
        <f t="shared" si="8"/>
        <v>18.7</v>
      </c>
      <c r="E61">
        <f t="shared" si="9"/>
        <v>0</v>
      </c>
      <c r="F61">
        <f t="shared" si="5"/>
        <v>3.9</v>
      </c>
      <c r="G61">
        <f t="shared" si="10"/>
        <v>3.79</v>
      </c>
      <c r="H61">
        <f t="shared" si="6"/>
        <v>12.39</v>
      </c>
    </row>
    <row r="62" spans="1:24" x14ac:dyDescent="0.25">
      <c r="A62" t="s">
        <v>71</v>
      </c>
      <c r="B62">
        <v>10.5</v>
      </c>
      <c r="C62">
        <f t="shared" si="7"/>
        <v>8.6199999999999992</v>
      </c>
      <c r="D62">
        <f t="shared" si="8"/>
        <v>18.7</v>
      </c>
      <c r="E62">
        <f t="shared" si="9"/>
        <v>0</v>
      </c>
      <c r="F62">
        <f t="shared" si="5"/>
        <v>0.4</v>
      </c>
      <c r="G62">
        <f t="shared" si="10"/>
        <v>3.79</v>
      </c>
      <c r="H62">
        <f t="shared" si="6"/>
        <v>12.39</v>
      </c>
    </row>
    <row r="63" spans="1:24" x14ac:dyDescent="0.25">
      <c r="A63" t="s">
        <v>72</v>
      </c>
      <c r="B63">
        <v>13.4</v>
      </c>
      <c r="C63">
        <f t="shared" si="7"/>
        <v>8.6199999999999992</v>
      </c>
      <c r="D63">
        <f t="shared" si="8"/>
        <v>18.7</v>
      </c>
      <c r="E63">
        <f t="shared" si="9"/>
        <v>0</v>
      </c>
      <c r="F63">
        <f t="shared" si="5"/>
        <v>2.9</v>
      </c>
      <c r="G63">
        <f t="shared" si="10"/>
        <v>3.79</v>
      </c>
      <c r="H63">
        <f t="shared" si="6"/>
        <v>12.39</v>
      </c>
    </row>
    <row r="64" spans="1:24" x14ac:dyDescent="0.25">
      <c r="A64" t="s">
        <v>73</v>
      </c>
      <c r="B64">
        <v>18.100000000000001</v>
      </c>
      <c r="C64">
        <f t="shared" si="7"/>
        <v>8.6199999999999992</v>
      </c>
      <c r="D64">
        <f t="shared" si="8"/>
        <v>18.7</v>
      </c>
      <c r="E64">
        <f t="shared" si="9"/>
        <v>0</v>
      </c>
      <c r="F64">
        <f t="shared" si="5"/>
        <v>4.7</v>
      </c>
      <c r="G64">
        <f t="shared" si="10"/>
        <v>3.79</v>
      </c>
      <c r="H64">
        <f t="shared" si="6"/>
        <v>12.39</v>
      </c>
    </row>
    <row r="65" spans="1:8" x14ac:dyDescent="0.25">
      <c r="A65" t="s">
        <v>74</v>
      </c>
      <c r="B65">
        <v>15.4</v>
      </c>
      <c r="C65">
        <f t="shared" si="7"/>
        <v>8.6199999999999992</v>
      </c>
      <c r="D65">
        <f t="shared" si="8"/>
        <v>18.7</v>
      </c>
      <c r="E65">
        <f t="shared" si="9"/>
        <v>0</v>
      </c>
      <c r="F65">
        <f t="shared" si="5"/>
        <v>2.7</v>
      </c>
      <c r="G65">
        <f t="shared" si="10"/>
        <v>3.79</v>
      </c>
      <c r="H65">
        <f t="shared" si="6"/>
        <v>12.39</v>
      </c>
    </row>
    <row r="66" spans="1:8" x14ac:dyDescent="0.25">
      <c r="A66" t="s">
        <v>75</v>
      </c>
      <c r="B66">
        <v>19</v>
      </c>
      <c r="C66">
        <f t="shared" si="7"/>
        <v>8.6199999999999992</v>
      </c>
      <c r="D66">
        <f t="shared" si="8"/>
        <v>18.7</v>
      </c>
      <c r="E66">
        <f t="shared" si="9"/>
        <v>0</v>
      </c>
      <c r="F66">
        <f t="shared" si="5"/>
        <v>3.6</v>
      </c>
      <c r="G66">
        <f t="shared" si="10"/>
        <v>3.79</v>
      </c>
      <c r="H66">
        <f t="shared" si="6"/>
        <v>12.39</v>
      </c>
    </row>
    <row r="67" spans="1:8" x14ac:dyDescent="0.25">
      <c r="A67" t="s">
        <v>76</v>
      </c>
      <c r="B67">
        <v>13.4</v>
      </c>
      <c r="C67">
        <f t="shared" ref="C67:C101" si="11">ROUND(AVERAGE($B$3:$B$101), 2)</f>
        <v>8.6199999999999992</v>
      </c>
      <c r="D67">
        <f t="shared" ref="D67:D98" si="12">ROUND(C67+(2.66*G67),2)</f>
        <v>18.7</v>
      </c>
      <c r="E67">
        <f t="shared" ref="E67:E101" si="13">MAX(0,ROUND(C67-(2.66*G67),2))</f>
        <v>0</v>
      </c>
      <c r="F67">
        <f t="shared" si="5"/>
        <v>5.6</v>
      </c>
      <c r="G67">
        <f t="shared" ref="G67:G101" si="14">ROUND(AVERAGE($F$4:$F$101),2)</f>
        <v>3.79</v>
      </c>
      <c r="H67">
        <f t="shared" si="6"/>
        <v>12.39</v>
      </c>
    </row>
    <row r="68" spans="1:8" x14ac:dyDescent="0.25">
      <c r="A68" t="s">
        <v>77</v>
      </c>
      <c r="B68">
        <v>10.199999999999999</v>
      </c>
      <c r="C68">
        <f t="shared" si="11"/>
        <v>8.6199999999999992</v>
      </c>
      <c r="D68">
        <f t="shared" si="12"/>
        <v>18.7</v>
      </c>
      <c r="E68">
        <f t="shared" si="13"/>
        <v>0</v>
      </c>
      <c r="F68">
        <f t="shared" si="5"/>
        <v>3.2</v>
      </c>
      <c r="G68">
        <f t="shared" si="14"/>
        <v>3.79</v>
      </c>
      <c r="H68">
        <f t="shared" si="6"/>
        <v>12.39</v>
      </c>
    </row>
    <row r="69" spans="1:8" x14ac:dyDescent="0.25">
      <c r="A69" t="s">
        <v>78</v>
      </c>
      <c r="B69">
        <v>13.1</v>
      </c>
      <c r="C69">
        <f t="shared" si="11"/>
        <v>8.6199999999999992</v>
      </c>
      <c r="D69">
        <f t="shared" si="12"/>
        <v>18.7</v>
      </c>
      <c r="E69">
        <f t="shared" si="13"/>
        <v>0</v>
      </c>
      <c r="F69">
        <f t="shared" ref="F69:F101" si="15">ROUND(ABS(B68-B69),1)</f>
        <v>2.9</v>
      </c>
      <c r="G69">
        <f t="shared" si="14"/>
        <v>3.79</v>
      </c>
      <c r="H69">
        <f t="shared" si="6"/>
        <v>12.39</v>
      </c>
    </row>
    <row r="70" spans="1:8" x14ac:dyDescent="0.25">
      <c r="A70" t="s">
        <v>79</v>
      </c>
      <c r="B70">
        <v>18.100000000000001</v>
      </c>
      <c r="C70">
        <f t="shared" si="11"/>
        <v>8.6199999999999992</v>
      </c>
      <c r="D70">
        <f t="shared" si="12"/>
        <v>18.7</v>
      </c>
      <c r="E70">
        <f t="shared" si="13"/>
        <v>0</v>
      </c>
      <c r="F70">
        <f t="shared" si="15"/>
        <v>5</v>
      </c>
      <c r="G70">
        <f t="shared" si="14"/>
        <v>3.79</v>
      </c>
      <c r="H70">
        <f t="shared" si="6"/>
        <v>12.39</v>
      </c>
    </row>
    <row r="71" spans="1:8" x14ac:dyDescent="0.25">
      <c r="A71" t="s">
        <v>80</v>
      </c>
      <c r="B71">
        <v>14.4</v>
      </c>
      <c r="C71">
        <f t="shared" si="11"/>
        <v>8.6199999999999992</v>
      </c>
      <c r="D71">
        <f t="shared" si="12"/>
        <v>18.7</v>
      </c>
      <c r="E71">
        <f t="shared" si="13"/>
        <v>0</v>
      </c>
      <c r="F71">
        <f t="shared" si="15"/>
        <v>3.7</v>
      </c>
      <c r="G71">
        <f t="shared" si="14"/>
        <v>3.79</v>
      </c>
      <c r="H71">
        <f t="shared" si="6"/>
        <v>12.39</v>
      </c>
    </row>
    <row r="72" spans="1:8" x14ac:dyDescent="0.25">
      <c r="A72" t="s">
        <v>81</v>
      </c>
      <c r="B72">
        <v>15</v>
      </c>
      <c r="C72">
        <f t="shared" si="11"/>
        <v>8.6199999999999992</v>
      </c>
      <c r="D72">
        <f t="shared" si="12"/>
        <v>18.7</v>
      </c>
      <c r="E72">
        <f t="shared" si="13"/>
        <v>0</v>
      </c>
      <c r="F72">
        <f t="shared" si="15"/>
        <v>0.6</v>
      </c>
      <c r="G72">
        <f t="shared" si="14"/>
        <v>3.79</v>
      </c>
      <c r="H72">
        <f t="shared" si="6"/>
        <v>12.39</v>
      </c>
    </row>
    <row r="73" spans="1:8" x14ac:dyDescent="0.25">
      <c r="A73" t="s">
        <v>82</v>
      </c>
      <c r="B73">
        <v>10.8</v>
      </c>
      <c r="C73">
        <f t="shared" si="11"/>
        <v>8.6199999999999992</v>
      </c>
      <c r="D73">
        <f t="shared" si="12"/>
        <v>18.7</v>
      </c>
      <c r="E73">
        <f t="shared" si="13"/>
        <v>0</v>
      </c>
      <c r="F73">
        <f t="shared" si="15"/>
        <v>4.2</v>
      </c>
      <c r="G73">
        <f t="shared" si="14"/>
        <v>3.79</v>
      </c>
      <c r="H73">
        <f t="shared" si="6"/>
        <v>12.39</v>
      </c>
    </row>
    <row r="74" spans="1:8" x14ac:dyDescent="0.25">
      <c r="A74" t="s">
        <v>83</v>
      </c>
      <c r="B74">
        <v>5.4</v>
      </c>
      <c r="C74">
        <f t="shared" si="11"/>
        <v>8.6199999999999992</v>
      </c>
      <c r="D74">
        <f t="shared" si="12"/>
        <v>18.7</v>
      </c>
      <c r="E74">
        <f t="shared" si="13"/>
        <v>0</v>
      </c>
      <c r="F74">
        <f t="shared" si="15"/>
        <v>5.4</v>
      </c>
      <c r="G74">
        <f t="shared" si="14"/>
        <v>3.79</v>
      </c>
      <c r="H74">
        <f t="shared" si="6"/>
        <v>12.39</v>
      </c>
    </row>
    <row r="75" spans="1:8" x14ac:dyDescent="0.25">
      <c r="A75" t="s">
        <v>84</v>
      </c>
      <c r="B75">
        <v>3.2</v>
      </c>
      <c r="C75">
        <f t="shared" si="11"/>
        <v>8.6199999999999992</v>
      </c>
      <c r="D75">
        <f t="shared" si="12"/>
        <v>18.7</v>
      </c>
      <c r="E75">
        <f t="shared" si="13"/>
        <v>0</v>
      </c>
      <c r="F75">
        <f t="shared" si="15"/>
        <v>2.2000000000000002</v>
      </c>
      <c r="G75">
        <f t="shared" si="14"/>
        <v>3.79</v>
      </c>
      <c r="H75">
        <f t="shared" si="6"/>
        <v>12.39</v>
      </c>
    </row>
    <row r="76" spans="1:8" x14ac:dyDescent="0.25">
      <c r="A76" t="s">
        <v>85</v>
      </c>
      <c r="B76">
        <v>1.9</v>
      </c>
      <c r="C76">
        <f t="shared" si="11"/>
        <v>8.6199999999999992</v>
      </c>
      <c r="D76">
        <f t="shared" si="12"/>
        <v>18.7</v>
      </c>
      <c r="E76">
        <f t="shared" si="13"/>
        <v>0</v>
      </c>
      <c r="F76">
        <f t="shared" si="15"/>
        <v>1.3</v>
      </c>
      <c r="G76">
        <f t="shared" si="14"/>
        <v>3.79</v>
      </c>
      <c r="H76">
        <f t="shared" si="6"/>
        <v>12.39</v>
      </c>
    </row>
    <row r="77" spans="1:8" x14ac:dyDescent="0.25">
      <c r="A77" t="s">
        <v>86</v>
      </c>
      <c r="B77">
        <v>3.6</v>
      </c>
      <c r="C77">
        <f t="shared" si="11"/>
        <v>8.6199999999999992</v>
      </c>
      <c r="D77">
        <f t="shared" si="12"/>
        <v>18.7</v>
      </c>
      <c r="E77">
        <f t="shared" si="13"/>
        <v>0</v>
      </c>
      <c r="F77">
        <f t="shared" si="15"/>
        <v>1.7</v>
      </c>
      <c r="G77">
        <f t="shared" si="14"/>
        <v>3.79</v>
      </c>
      <c r="H77">
        <f t="shared" si="6"/>
        <v>12.39</v>
      </c>
    </row>
    <row r="78" spans="1:8" x14ac:dyDescent="0.25">
      <c r="A78" t="s">
        <v>87</v>
      </c>
      <c r="B78">
        <v>18.3</v>
      </c>
      <c r="C78">
        <f t="shared" si="11"/>
        <v>8.6199999999999992</v>
      </c>
      <c r="D78">
        <f t="shared" si="12"/>
        <v>18.7</v>
      </c>
      <c r="E78">
        <f t="shared" si="13"/>
        <v>0</v>
      </c>
      <c r="F78">
        <f t="shared" si="15"/>
        <v>14.7</v>
      </c>
      <c r="G78">
        <f t="shared" si="14"/>
        <v>3.79</v>
      </c>
      <c r="H78">
        <f t="shared" si="6"/>
        <v>12.39</v>
      </c>
    </row>
    <row r="79" spans="1:8" x14ac:dyDescent="0.25">
      <c r="A79" t="s">
        <v>88</v>
      </c>
      <c r="B79">
        <v>12.2</v>
      </c>
      <c r="C79">
        <f t="shared" si="11"/>
        <v>8.6199999999999992</v>
      </c>
      <c r="D79">
        <f t="shared" si="12"/>
        <v>18.7</v>
      </c>
      <c r="E79">
        <f t="shared" si="13"/>
        <v>0</v>
      </c>
      <c r="F79">
        <f t="shared" si="15"/>
        <v>6.1</v>
      </c>
      <c r="G79">
        <f t="shared" si="14"/>
        <v>3.79</v>
      </c>
      <c r="H79">
        <f t="shared" si="6"/>
        <v>12.39</v>
      </c>
    </row>
    <row r="80" spans="1:8" x14ac:dyDescent="0.25">
      <c r="A80" t="s">
        <v>89</v>
      </c>
      <c r="B80">
        <v>2.2000000000000002</v>
      </c>
      <c r="C80">
        <f t="shared" si="11"/>
        <v>8.6199999999999992</v>
      </c>
      <c r="D80">
        <f t="shared" si="12"/>
        <v>18.7</v>
      </c>
      <c r="E80">
        <f t="shared" si="13"/>
        <v>0</v>
      </c>
      <c r="F80">
        <f t="shared" si="15"/>
        <v>10</v>
      </c>
      <c r="G80">
        <f t="shared" si="14"/>
        <v>3.79</v>
      </c>
      <c r="H80">
        <f t="shared" si="6"/>
        <v>12.39</v>
      </c>
    </row>
    <row r="81" spans="1:8" x14ac:dyDescent="0.25">
      <c r="A81" t="s">
        <v>90</v>
      </c>
      <c r="B81">
        <v>1.2</v>
      </c>
      <c r="C81">
        <f t="shared" si="11"/>
        <v>8.6199999999999992</v>
      </c>
      <c r="D81">
        <f t="shared" si="12"/>
        <v>18.7</v>
      </c>
      <c r="E81">
        <f t="shared" si="13"/>
        <v>0</v>
      </c>
      <c r="F81">
        <f t="shared" si="15"/>
        <v>1</v>
      </c>
      <c r="G81">
        <f t="shared" si="14"/>
        <v>3.79</v>
      </c>
      <c r="H81">
        <f t="shared" ref="H81:H101" si="16">ROUND(3.268*G81,2)</f>
        <v>12.39</v>
      </c>
    </row>
    <row r="82" spans="1:8" x14ac:dyDescent="0.25">
      <c r="A82" t="s">
        <v>91</v>
      </c>
      <c r="B82">
        <v>1.9</v>
      </c>
      <c r="C82">
        <f t="shared" si="11"/>
        <v>8.6199999999999992</v>
      </c>
      <c r="D82">
        <f t="shared" si="12"/>
        <v>18.7</v>
      </c>
      <c r="E82">
        <f t="shared" si="13"/>
        <v>0</v>
      </c>
      <c r="F82">
        <f t="shared" si="15"/>
        <v>0.7</v>
      </c>
      <c r="G82">
        <f t="shared" si="14"/>
        <v>3.79</v>
      </c>
      <c r="H82">
        <f t="shared" si="16"/>
        <v>12.39</v>
      </c>
    </row>
    <row r="83" spans="1:8" x14ac:dyDescent="0.25">
      <c r="A83" t="s">
        <v>92</v>
      </c>
      <c r="B83">
        <v>4.5999999999999996</v>
      </c>
      <c r="C83">
        <f t="shared" si="11"/>
        <v>8.6199999999999992</v>
      </c>
      <c r="D83">
        <f t="shared" si="12"/>
        <v>18.7</v>
      </c>
      <c r="E83">
        <f t="shared" si="13"/>
        <v>0</v>
      </c>
      <c r="F83">
        <f t="shared" si="15"/>
        <v>2.7</v>
      </c>
      <c r="G83">
        <f t="shared" si="14"/>
        <v>3.79</v>
      </c>
      <c r="H83">
        <f t="shared" si="16"/>
        <v>12.39</v>
      </c>
    </row>
    <row r="84" spans="1:8" x14ac:dyDescent="0.25">
      <c r="A84" t="s">
        <v>93</v>
      </c>
      <c r="B84">
        <v>4</v>
      </c>
      <c r="C84">
        <f t="shared" si="11"/>
        <v>8.6199999999999992</v>
      </c>
      <c r="D84">
        <f t="shared" si="12"/>
        <v>18.7</v>
      </c>
      <c r="E84">
        <f t="shared" si="13"/>
        <v>0</v>
      </c>
      <c r="F84">
        <f t="shared" si="15"/>
        <v>0.6</v>
      </c>
      <c r="G84">
        <f t="shared" si="14"/>
        <v>3.79</v>
      </c>
      <c r="H84">
        <f t="shared" si="16"/>
        <v>12.39</v>
      </c>
    </row>
    <row r="85" spans="1:8" x14ac:dyDescent="0.25">
      <c r="A85" t="s">
        <v>94</v>
      </c>
      <c r="B85">
        <v>4.5</v>
      </c>
      <c r="C85">
        <f t="shared" si="11"/>
        <v>8.6199999999999992</v>
      </c>
      <c r="D85">
        <f t="shared" si="12"/>
        <v>18.7</v>
      </c>
      <c r="E85">
        <f t="shared" si="13"/>
        <v>0</v>
      </c>
      <c r="F85">
        <f t="shared" si="15"/>
        <v>0.5</v>
      </c>
      <c r="G85">
        <f t="shared" si="14"/>
        <v>3.79</v>
      </c>
      <c r="H85">
        <f t="shared" si="16"/>
        <v>12.39</v>
      </c>
    </row>
    <row r="86" spans="1:8" x14ac:dyDescent="0.25">
      <c r="A86" t="s">
        <v>95</v>
      </c>
      <c r="B86">
        <v>2.9</v>
      </c>
      <c r="C86">
        <f t="shared" si="11"/>
        <v>8.6199999999999992</v>
      </c>
      <c r="D86">
        <f t="shared" si="12"/>
        <v>18.7</v>
      </c>
      <c r="E86">
        <f t="shared" si="13"/>
        <v>0</v>
      </c>
      <c r="F86">
        <f t="shared" si="15"/>
        <v>1.6</v>
      </c>
      <c r="G86">
        <f t="shared" si="14"/>
        <v>3.79</v>
      </c>
      <c r="H86">
        <f t="shared" si="16"/>
        <v>12.39</v>
      </c>
    </row>
    <row r="87" spans="1:8" x14ac:dyDescent="0.25">
      <c r="A87" t="s">
        <v>96</v>
      </c>
      <c r="B87">
        <v>3.5</v>
      </c>
      <c r="C87">
        <f t="shared" si="11"/>
        <v>8.6199999999999992</v>
      </c>
      <c r="D87">
        <f t="shared" si="12"/>
        <v>18.7</v>
      </c>
      <c r="E87">
        <f t="shared" si="13"/>
        <v>0</v>
      </c>
      <c r="F87">
        <f t="shared" si="15"/>
        <v>0.6</v>
      </c>
      <c r="G87">
        <f t="shared" si="14"/>
        <v>3.79</v>
      </c>
      <c r="H87">
        <f t="shared" si="16"/>
        <v>12.39</v>
      </c>
    </row>
    <row r="88" spans="1:8" x14ac:dyDescent="0.25">
      <c r="A88" t="s">
        <v>97</v>
      </c>
      <c r="B88">
        <v>0.7</v>
      </c>
      <c r="C88">
        <f t="shared" si="11"/>
        <v>8.6199999999999992</v>
      </c>
      <c r="D88">
        <f t="shared" si="12"/>
        <v>18.7</v>
      </c>
      <c r="E88">
        <f t="shared" si="13"/>
        <v>0</v>
      </c>
      <c r="F88">
        <f t="shared" si="15"/>
        <v>2.8</v>
      </c>
      <c r="G88">
        <f t="shared" si="14"/>
        <v>3.79</v>
      </c>
      <c r="H88">
        <f t="shared" si="16"/>
        <v>12.39</v>
      </c>
    </row>
    <row r="89" spans="1:8" x14ac:dyDescent="0.25">
      <c r="A89" t="s">
        <v>98</v>
      </c>
      <c r="B89">
        <v>0</v>
      </c>
      <c r="C89">
        <f t="shared" si="11"/>
        <v>8.6199999999999992</v>
      </c>
      <c r="D89">
        <f t="shared" si="12"/>
        <v>18.7</v>
      </c>
      <c r="E89">
        <f t="shared" si="13"/>
        <v>0</v>
      </c>
      <c r="F89">
        <f t="shared" si="15"/>
        <v>0.7</v>
      </c>
      <c r="G89">
        <f t="shared" si="14"/>
        <v>3.79</v>
      </c>
      <c r="H89">
        <f t="shared" si="16"/>
        <v>12.39</v>
      </c>
    </row>
    <row r="90" spans="1:8" x14ac:dyDescent="0.25">
      <c r="A90" t="s">
        <v>99</v>
      </c>
      <c r="B90">
        <v>0.7</v>
      </c>
      <c r="C90">
        <f t="shared" si="11"/>
        <v>8.6199999999999992</v>
      </c>
      <c r="D90">
        <f t="shared" si="12"/>
        <v>18.7</v>
      </c>
      <c r="E90">
        <f t="shared" si="13"/>
        <v>0</v>
      </c>
      <c r="F90">
        <f t="shared" si="15"/>
        <v>0.7</v>
      </c>
      <c r="G90">
        <f t="shared" si="14"/>
        <v>3.79</v>
      </c>
      <c r="H90">
        <f t="shared" si="16"/>
        <v>12.39</v>
      </c>
    </row>
    <row r="91" spans="1:8" x14ac:dyDescent="0.25">
      <c r="A91" t="s">
        <v>100</v>
      </c>
      <c r="B91">
        <v>1</v>
      </c>
      <c r="C91">
        <f t="shared" si="11"/>
        <v>8.6199999999999992</v>
      </c>
      <c r="D91">
        <f t="shared" si="12"/>
        <v>18.7</v>
      </c>
      <c r="E91">
        <f t="shared" si="13"/>
        <v>0</v>
      </c>
      <c r="F91">
        <f t="shared" si="15"/>
        <v>0.3</v>
      </c>
      <c r="G91">
        <f t="shared" si="14"/>
        <v>3.79</v>
      </c>
      <c r="H91">
        <f t="shared" si="16"/>
        <v>12.39</v>
      </c>
    </row>
    <row r="92" spans="1:8" x14ac:dyDescent="0.25">
      <c r="A92" t="s">
        <v>101</v>
      </c>
      <c r="B92">
        <v>1.1000000000000001</v>
      </c>
      <c r="C92">
        <f t="shared" si="11"/>
        <v>8.6199999999999992</v>
      </c>
      <c r="D92">
        <f t="shared" si="12"/>
        <v>18.7</v>
      </c>
      <c r="E92">
        <f t="shared" si="13"/>
        <v>0</v>
      </c>
      <c r="F92">
        <f t="shared" si="15"/>
        <v>0.1</v>
      </c>
      <c r="G92">
        <f t="shared" si="14"/>
        <v>3.79</v>
      </c>
      <c r="H92">
        <f t="shared" si="16"/>
        <v>12.39</v>
      </c>
    </row>
    <row r="93" spans="1:8" x14ac:dyDescent="0.25">
      <c r="A93" t="s">
        <v>102</v>
      </c>
      <c r="B93">
        <v>0.4</v>
      </c>
      <c r="C93">
        <f t="shared" si="11"/>
        <v>8.6199999999999992</v>
      </c>
      <c r="D93">
        <f t="shared" si="12"/>
        <v>18.7</v>
      </c>
      <c r="E93">
        <f t="shared" si="13"/>
        <v>0</v>
      </c>
      <c r="F93">
        <f t="shared" si="15"/>
        <v>0.7</v>
      </c>
      <c r="G93">
        <f t="shared" si="14"/>
        <v>3.79</v>
      </c>
      <c r="H93">
        <f t="shared" si="16"/>
        <v>12.39</v>
      </c>
    </row>
    <row r="94" spans="1:8" x14ac:dyDescent="0.25">
      <c r="A94" t="s">
        <v>103</v>
      </c>
      <c r="B94">
        <v>0</v>
      </c>
      <c r="C94">
        <f t="shared" si="11"/>
        <v>8.6199999999999992</v>
      </c>
      <c r="D94">
        <f t="shared" si="12"/>
        <v>18.7</v>
      </c>
      <c r="E94">
        <f t="shared" si="13"/>
        <v>0</v>
      </c>
      <c r="F94">
        <f t="shared" si="15"/>
        <v>0.4</v>
      </c>
      <c r="G94">
        <f t="shared" si="14"/>
        <v>3.79</v>
      </c>
      <c r="H94">
        <f t="shared" si="16"/>
        <v>12.39</v>
      </c>
    </row>
    <row r="95" spans="1:8" x14ac:dyDescent="0.25">
      <c r="A95" t="s">
        <v>104</v>
      </c>
      <c r="B95">
        <v>1</v>
      </c>
      <c r="C95">
        <f t="shared" si="11"/>
        <v>8.6199999999999992</v>
      </c>
      <c r="D95">
        <f t="shared" si="12"/>
        <v>18.7</v>
      </c>
      <c r="E95">
        <f t="shared" si="13"/>
        <v>0</v>
      </c>
      <c r="F95">
        <f t="shared" si="15"/>
        <v>1</v>
      </c>
      <c r="G95">
        <f t="shared" si="14"/>
        <v>3.79</v>
      </c>
      <c r="H95">
        <f t="shared" si="16"/>
        <v>12.39</v>
      </c>
    </row>
    <row r="96" spans="1:8" x14ac:dyDescent="0.25">
      <c r="A96" t="s">
        <v>105</v>
      </c>
      <c r="B96">
        <v>2.2999999999999998</v>
      </c>
      <c r="C96">
        <f t="shared" si="11"/>
        <v>8.6199999999999992</v>
      </c>
      <c r="D96">
        <f t="shared" si="12"/>
        <v>18.7</v>
      </c>
      <c r="E96">
        <f t="shared" si="13"/>
        <v>0</v>
      </c>
      <c r="F96">
        <f t="shared" si="15"/>
        <v>1.3</v>
      </c>
      <c r="G96">
        <f t="shared" si="14"/>
        <v>3.79</v>
      </c>
      <c r="H96">
        <f t="shared" si="16"/>
        <v>12.39</v>
      </c>
    </row>
    <row r="97" spans="1:8" x14ac:dyDescent="0.25">
      <c r="A97" t="s">
        <v>106</v>
      </c>
      <c r="B97">
        <v>2.9</v>
      </c>
      <c r="C97">
        <f t="shared" si="11"/>
        <v>8.6199999999999992</v>
      </c>
      <c r="D97">
        <f t="shared" si="12"/>
        <v>18.7</v>
      </c>
      <c r="E97">
        <f t="shared" si="13"/>
        <v>0</v>
      </c>
      <c r="F97">
        <f t="shared" si="15"/>
        <v>0.6</v>
      </c>
      <c r="G97">
        <f t="shared" si="14"/>
        <v>3.79</v>
      </c>
      <c r="H97">
        <f t="shared" si="16"/>
        <v>12.39</v>
      </c>
    </row>
    <row r="98" spans="1:8" x14ac:dyDescent="0.25">
      <c r="A98" t="s">
        <v>107</v>
      </c>
      <c r="B98">
        <v>1.3</v>
      </c>
      <c r="C98">
        <f t="shared" si="11"/>
        <v>8.6199999999999992</v>
      </c>
      <c r="D98">
        <f t="shared" si="12"/>
        <v>18.7</v>
      </c>
      <c r="E98">
        <f t="shared" si="13"/>
        <v>0</v>
      </c>
      <c r="F98">
        <f t="shared" si="15"/>
        <v>1.6</v>
      </c>
      <c r="G98">
        <f t="shared" si="14"/>
        <v>3.79</v>
      </c>
      <c r="H98">
        <f t="shared" si="16"/>
        <v>12.39</v>
      </c>
    </row>
    <row r="99" spans="1:8" x14ac:dyDescent="0.25">
      <c r="A99" t="s">
        <v>108</v>
      </c>
      <c r="B99">
        <v>2.2000000000000002</v>
      </c>
      <c r="C99">
        <f t="shared" si="11"/>
        <v>8.6199999999999992</v>
      </c>
      <c r="D99">
        <f t="shared" ref="D99:D101" si="17">ROUND(C99+(2.66*G99),2)</f>
        <v>18.7</v>
      </c>
      <c r="E99">
        <f t="shared" si="13"/>
        <v>0</v>
      </c>
      <c r="F99">
        <f t="shared" si="15"/>
        <v>0.9</v>
      </c>
      <c r="G99">
        <f t="shared" si="14"/>
        <v>3.79</v>
      </c>
      <c r="H99">
        <f t="shared" si="16"/>
        <v>12.39</v>
      </c>
    </row>
    <row r="100" spans="1:8" x14ac:dyDescent="0.25">
      <c r="A100" t="s">
        <v>109</v>
      </c>
      <c r="B100">
        <v>3.1</v>
      </c>
      <c r="C100">
        <f t="shared" si="11"/>
        <v>8.6199999999999992</v>
      </c>
      <c r="D100">
        <f t="shared" si="17"/>
        <v>18.7</v>
      </c>
      <c r="E100">
        <f t="shared" si="13"/>
        <v>0</v>
      </c>
      <c r="F100">
        <f t="shared" si="15"/>
        <v>0.9</v>
      </c>
      <c r="G100">
        <f t="shared" si="14"/>
        <v>3.79</v>
      </c>
      <c r="H100">
        <f t="shared" si="16"/>
        <v>12.39</v>
      </c>
    </row>
    <row r="101" spans="1:8" x14ac:dyDescent="0.25">
      <c r="A101" t="s">
        <v>110</v>
      </c>
      <c r="B101">
        <v>4.9000000000000004</v>
      </c>
      <c r="C101">
        <f t="shared" si="11"/>
        <v>8.6199999999999992</v>
      </c>
      <c r="D101">
        <f t="shared" si="17"/>
        <v>18.7</v>
      </c>
      <c r="E101">
        <f t="shared" si="13"/>
        <v>0</v>
      </c>
      <c r="F101">
        <f t="shared" si="15"/>
        <v>1.8</v>
      </c>
      <c r="G101">
        <f t="shared" si="14"/>
        <v>3.79</v>
      </c>
      <c r="H101">
        <f t="shared" si="16"/>
        <v>12.39</v>
      </c>
    </row>
  </sheetData>
  <mergeCells count="5">
    <mergeCell ref="J30:X41"/>
    <mergeCell ref="J42:X51"/>
    <mergeCell ref="A1:H1"/>
    <mergeCell ref="J1:X1"/>
    <mergeCell ref="J2:X2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ECE64-EBD3-40E4-97D9-F868E2E05BAB}">
  <dimension ref="A1:X101"/>
  <sheetViews>
    <sheetView workbookViewId="0">
      <selection activeCell="O17" sqref="O17"/>
    </sheetView>
  </sheetViews>
  <sheetFormatPr defaultRowHeight="13.2" x14ac:dyDescent="0.25"/>
  <cols>
    <col min="1" max="1" width="12.6640625" bestFit="1" customWidth="1"/>
    <col min="2" max="2" width="7.21875" bestFit="1" customWidth="1"/>
    <col min="4" max="4" width="6.88671875" bestFit="1" customWidth="1"/>
    <col min="5" max="5" width="6.6640625" bestFit="1" customWidth="1"/>
    <col min="6" max="6" width="6.109375" bestFit="1" customWidth="1"/>
    <col min="7" max="7" width="10.5546875" bestFit="1" customWidth="1"/>
    <col min="8" max="8" width="7" bestFit="1" customWidth="1"/>
  </cols>
  <sheetData>
    <row r="1" spans="1:24" ht="24.6" x14ac:dyDescent="0.55000000000000004">
      <c r="A1" s="43" t="s">
        <v>121</v>
      </c>
      <c r="B1" s="43"/>
      <c r="C1" s="43"/>
      <c r="D1" s="43"/>
      <c r="E1" s="43"/>
      <c r="F1" s="43"/>
      <c r="G1" s="43"/>
      <c r="H1" s="43"/>
      <c r="J1" s="38" t="s">
        <v>115</v>
      </c>
      <c r="K1" s="38"/>
      <c r="L1" s="38"/>
      <c r="M1" s="38"/>
      <c r="N1" s="38"/>
      <c r="O1" s="38"/>
      <c r="P1" s="38"/>
      <c r="Q1" s="38"/>
      <c r="R1" s="38"/>
      <c r="S1" s="38"/>
      <c r="T1" s="38"/>
      <c r="U1" s="38"/>
      <c r="V1" s="38"/>
      <c r="W1" s="38"/>
      <c r="X1" s="38"/>
    </row>
    <row r="2" spans="1:24" ht="13.2" customHeight="1" x14ac:dyDescent="0.25">
      <c r="A2" s="1" t="s">
        <v>3</v>
      </c>
      <c r="B2" s="1" t="s">
        <v>4</v>
      </c>
      <c r="C2" s="1" t="s">
        <v>5</v>
      </c>
      <c r="D2" s="1" t="s">
        <v>6</v>
      </c>
      <c r="E2" s="1" t="s">
        <v>7</v>
      </c>
      <c r="F2" s="1" t="s">
        <v>8</v>
      </c>
      <c r="G2" s="1" t="s">
        <v>9</v>
      </c>
      <c r="H2" s="1" t="s">
        <v>10</v>
      </c>
      <c r="J2" s="40" t="s">
        <v>129</v>
      </c>
      <c r="K2" s="40"/>
      <c r="L2" s="40"/>
      <c r="M2" s="40"/>
      <c r="N2" s="40"/>
      <c r="O2" s="40"/>
      <c r="P2" s="40"/>
      <c r="Q2" s="40"/>
      <c r="R2" s="40"/>
      <c r="S2" s="40"/>
      <c r="T2" s="40"/>
      <c r="U2" s="40"/>
      <c r="V2" s="40"/>
      <c r="W2" s="40"/>
      <c r="X2" s="40"/>
    </row>
    <row r="3" spans="1:24" ht="13.2" customHeight="1" x14ac:dyDescent="0.25">
      <c r="A3" t="s">
        <v>12</v>
      </c>
      <c r="B3">
        <v>14.6</v>
      </c>
      <c r="C3">
        <f t="shared" ref="C3:C66" si="0">ROUND(AVERAGE($B$3:$B$101), 2)</f>
        <v>8.6199999999999992</v>
      </c>
      <c r="D3">
        <f t="shared" ref="D3:D66" si="1">ROUND(C3+(2.66*G3),2)</f>
        <v>18.7</v>
      </c>
      <c r="E3">
        <f t="shared" ref="E3:E66" si="2">MAX(0,ROUND(C3-(2.66*G3),2))</f>
        <v>0</v>
      </c>
      <c r="G3">
        <f t="shared" ref="G3:G66" si="3">ROUND(AVERAGE($F$4:$F$101),2)</f>
        <v>3.79</v>
      </c>
      <c r="H3">
        <f>ROUND(3.268*G3,2)</f>
        <v>12.39</v>
      </c>
      <c r="J3" s="40"/>
      <c r="K3" s="40"/>
      <c r="L3" s="40"/>
      <c r="M3" s="40"/>
      <c r="N3" s="40"/>
      <c r="O3" s="40"/>
      <c r="P3" s="40"/>
      <c r="Q3" s="40"/>
      <c r="R3" s="40"/>
      <c r="S3" s="40"/>
      <c r="T3" s="40"/>
      <c r="U3" s="40"/>
      <c r="V3" s="40"/>
      <c r="W3" s="40"/>
      <c r="X3" s="40"/>
    </row>
    <row r="4" spans="1:24" ht="13.2" customHeight="1" x14ac:dyDescent="0.25">
      <c r="A4" t="s">
        <v>13</v>
      </c>
      <c r="B4">
        <v>7.5</v>
      </c>
      <c r="C4">
        <f t="shared" si="0"/>
        <v>8.6199999999999992</v>
      </c>
      <c r="D4">
        <f t="shared" si="1"/>
        <v>18.7</v>
      </c>
      <c r="E4">
        <f t="shared" si="2"/>
        <v>0</v>
      </c>
      <c r="F4">
        <f>ROUND(ABS(B3-B4),1)</f>
        <v>7.1</v>
      </c>
      <c r="G4">
        <f t="shared" si="3"/>
        <v>3.79</v>
      </c>
      <c r="H4">
        <f t="shared" ref="H4:H13" si="4">ROUND(3.268*G4,2)</f>
        <v>12.39</v>
      </c>
      <c r="J4" s="40"/>
      <c r="K4" s="40"/>
      <c r="L4" s="40"/>
      <c r="M4" s="40"/>
      <c r="N4" s="40"/>
      <c r="O4" s="40"/>
      <c r="P4" s="40"/>
      <c r="Q4" s="40"/>
      <c r="R4" s="40"/>
      <c r="S4" s="40"/>
      <c r="T4" s="40"/>
      <c r="U4" s="40"/>
      <c r="V4" s="40"/>
      <c r="W4" s="40"/>
      <c r="X4" s="40"/>
    </row>
    <row r="5" spans="1:24" ht="13.2" customHeight="1" x14ac:dyDescent="0.25">
      <c r="A5" t="s">
        <v>14</v>
      </c>
      <c r="B5">
        <v>4.3</v>
      </c>
      <c r="C5">
        <f t="shared" si="0"/>
        <v>8.6199999999999992</v>
      </c>
      <c r="D5">
        <f t="shared" si="1"/>
        <v>18.7</v>
      </c>
      <c r="E5">
        <f t="shared" si="2"/>
        <v>0</v>
      </c>
      <c r="F5">
        <f t="shared" ref="F5:F68" si="5">ROUND(ABS(B4-B5),1)</f>
        <v>3.2</v>
      </c>
      <c r="G5">
        <f t="shared" si="3"/>
        <v>3.79</v>
      </c>
      <c r="H5">
        <f t="shared" si="4"/>
        <v>12.39</v>
      </c>
      <c r="J5" s="40"/>
      <c r="K5" s="40"/>
      <c r="L5" s="40"/>
      <c r="M5" s="40"/>
      <c r="N5" s="40"/>
      <c r="O5" s="40"/>
      <c r="P5" s="40"/>
      <c r="Q5" s="40"/>
      <c r="R5" s="40"/>
      <c r="S5" s="40"/>
      <c r="T5" s="40"/>
      <c r="U5" s="40"/>
      <c r="V5" s="40"/>
      <c r="W5" s="40"/>
      <c r="X5" s="40"/>
    </row>
    <row r="6" spans="1:24" ht="13.2" customHeight="1" x14ac:dyDescent="0.25">
      <c r="A6" t="s">
        <v>15</v>
      </c>
      <c r="B6">
        <v>1.6</v>
      </c>
      <c r="C6">
        <f t="shared" si="0"/>
        <v>8.6199999999999992</v>
      </c>
      <c r="D6">
        <f t="shared" si="1"/>
        <v>18.7</v>
      </c>
      <c r="E6">
        <f t="shared" si="2"/>
        <v>0</v>
      </c>
      <c r="F6">
        <f t="shared" si="5"/>
        <v>2.7</v>
      </c>
      <c r="G6">
        <f t="shared" si="3"/>
        <v>3.79</v>
      </c>
      <c r="H6">
        <f t="shared" si="4"/>
        <v>12.39</v>
      </c>
      <c r="J6" s="40"/>
      <c r="K6" s="40"/>
      <c r="L6" s="40"/>
      <c r="M6" s="40"/>
      <c r="N6" s="40"/>
      <c r="O6" s="40"/>
      <c r="P6" s="40"/>
      <c r="Q6" s="40"/>
      <c r="R6" s="40"/>
      <c r="S6" s="40"/>
      <c r="T6" s="40"/>
      <c r="U6" s="40"/>
      <c r="V6" s="40"/>
      <c r="W6" s="40"/>
      <c r="X6" s="40"/>
    </row>
    <row r="7" spans="1:24" ht="13.2" customHeight="1" x14ac:dyDescent="0.25">
      <c r="A7" t="s">
        <v>16</v>
      </c>
      <c r="B7">
        <v>0.8</v>
      </c>
      <c r="C7">
        <f t="shared" si="0"/>
        <v>8.6199999999999992</v>
      </c>
      <c r="D7">
        <f t="shared" si="1"/>
        <v>18.7</v>
      </c>
      <c r="E7">
        <f t="shared" si="2"/>
        <v>0</v>
      </c>
      <c r="F7">
        <f t="shared" si="5"/>
        <v>0.8</v>
      </c>
      <c r="G7">
        <f t="shared" si="3"/>
        <v>3.79</v>
      </c>
      <c r="H7">
        <f t="shared" si="4"/>
        <v>12.39</v>
      </c>
      <c r="J7" s="40"/>
      <c r="K7" s="40"/>
      <c r="L7" s="40"/>
      <c r="M7" s="40"/>
      <c r="N7" s="40"/>
      <c r="O7" s="40"/>
      <c r="P7" s="40"/>
      <c r="Q7" s="40"/>
      <c r="R7" s="40"/>
      <c r="S7" s="40"/>
      <c r="T7" s="40"/>
      <c r="U7" s="40"/>
      <c r="V7" s="40"/>
      <c r="W7" s="40"/>
      <c r="X7" s="40"/>
    </row>
    <row r="8" spans="1:24" ht="13.2" customHeight="1" x14ac:dyDescent="0.25">
      <c r="A8" t="s">
        <v>17</v>
      </c>
      <c r="B8">
        <v>5</v>
      </c>
      <c r="C8">
        <f t="shared" si="0"/>
        <v>8.6199999999999992</v>
      </c>
      <c r="D8">
        <f t="shared" si="1"/>
        <v>18.7</v>
      </c>
      <c r="E8">
        <f t="shared" si="2"/>
        <v>0</v>
      </c>
      <c r="F8">
        <f t="shared" si="5"/>
        <v>4.2</v>
      </c>
      <c r="G8">
        <f t="shared" si="3"/>
        <v>3.79</v>
      </c>
      <c r="H8">
        <f t="shared" si="4"/>
        <v>12.39</v>
      </c>
      <c r="J8" s="40"/>
      <c r="K8" s="40"/>
      <c r="L8" s="40"/>
      <c r="M8" s="40"/>
      <c r="N8" s="40"/>
      <c r="O8" s="40"/>
      <c r="P8" s="40"/>
      <c r="Q8" s="40"/>
      <c r="R8" s="40"/>
      <c r="S8" s="40"/>
      <c r="T8" s="40"/>
      <c r="U8" s="40"/>
      <c r="V8" s="40"/>
      <c r="W8" s="40"/>
      <c r="X8" s="40"/>
    </row>
    <row r="9" spans="1:24" ht="13.2" customHeight="1" x14ac:dyDescent="0.25">
      <c r="A9" t="s">
        <v>18</v>
      </c>
      <c r="B9">
        <v>8.4</v>
      </c>
      <c r="C9">
        <f t="shared" si="0"/>
        <v>8.6199999999999992</v>
      </c>
      <c r="D9">
        <f t="shared" si="1"/>
        <v>18.7</v>
      </c>
      <c r="E9">
        <f t="shared" si="2"/>
        <v>0</v>
      </c>
      <c r="F9">
        <f t="shared" si="5"/>
        <v>3.4</v>
      </c>
      <c r="G9">
        <f t="shared" si="3"/>
        <v>3.79</v>
      </c>
      <c r="H9">
        <f t="shared" si="4"/>
        <v>12.39</v>
      </c>
      <c r="J9" s="40"/>
      <c r="K9" s="40"/>
      <c r="L9" s="40"/>
      <c r="M9" s="40"/>
      <c r="N9" s="40"/>
      <c r="O9" s="40"/>
      <c r="P9" s="40"/>
      <c r="Q9" s="40"/>
      <c r="R9" s="40"/>
      <c r="S9" s="40"/>
      <c r="T9" s="40"/>
      <c r="U9" s="40"/>
      <c r="V9" s="40"/>
      <c r="W9" s="40"/>
      <c r="X9" s="40"/>
    </row>
    <row r="10" spans="1:24" ht="13.2" customHeight="1" x14ac:dyDescent="0.25">
      <c r="A10" t="s">
        <v>19</v>
      </c>
      <c r="B10">
        <v>1.4</v>
      </c>
      <c r="C10">
        <f t="shared" si="0"/>
        <v>8.6199999999999992</v>
      </c>
      <c r="D10">
        <f t="shared" si="1"/>
        <v>18.7</v>
      </c>
      <c r="E10">
        <f t="shared" si="2"/>
        <v>0</v>
      </c>
      <c r="F10">
        <f t="shared" si="5"/>
        <v>7</v>
      </c>
      <c r="G10">
        <f t="shared" si="3"/>
        <v>3.79</v>
      </c>
      <c r="H10">
        <f t="shared" si="4"/>
        <v>12.39</v>
      </c>
      <c r="J10" s="40"/>
      <c r="K10" s="40"/>
      <c r="L10" s="40"/>
      <c r="M10" s="40"/>
      <c r="N10" s="40"/>
      <c r="O10" s="40"/>
      <c r="P10" s="40"/>
      <c r="Q10" s="40"/>
      <c r="R10" s="40"/>
      <c r="S10" s="40"/>
      <c r="T10" s="40"/>
      <c r="U10" s="40"/>
      <c r="V10" s="40"/>
      <c r="W10" s="40"/>
      <c r="X10" s="40"/>
    </row>
    <row r="11" spans="1:24" ht="13.2" customHeight="1" x14ac:dyDescent="0.25">
      <c r="A11" t="s">
        <v>20</v>
      </c>
      <c r="B11">
        <v>1.9</v>
      </c>
      <c r="C11">
        <f t="shared" si="0"/>
        <v>8.6199999999999992</v>
      </c>
      <c r="D11">
        <f t="shared" si="1"/>
        <v>18.7</v>
      </c>
      <c r="E11">
        <f t="shared" si="2"/>
        <v>0</v>
      </c>
      <c r="F11">
        <f t="shared" si="5"/>
        <v>0.5</v>
      </c>
      <c r="G11">
        <f t="shared" si="3"/>
        <v>3.79</v>
      </c>
      <c r="H11">
        <f t="shared" si="4"/>
        <v>12.39</v>
      </c>
      <c r="J11" s="40"/>
      <c r="K11" s="40"/>
      <c r="L11" s="40"/>
      <c r="M11" s="40"/>
      <c r="N11" s="40"/>
      <c r="O11" s="40"/>
      <c r="P11" s="40"/>
      <c r="Q11" s="40"/>
      <c r="R11" s="40"/>
      <c r="S11" s="40"/>
      <c r="T11" s="40"/>
      <c r="U11" s="40"/>
      <c r="V11" s="40"/>
      <c r="W11" s="40"/>
      <c r="X11" s="40"/>
    </row>
    <row r="12" spans="1:24" ht="13.2" customHeight="1" x14ac:dyDescent="0.25">
      <c r="A12" t="s">
        <v>21</v>
      </c>
      <c r="B12">
        <v>11</v>
      </c>
      <c r="C12">
        <f t="shared" si="0"/>
        <v>8.6199999999999992</v>
      </c>
      <c r="D12">
        <f t="shared" si="1"/>
        <v>18.7</v>
      </c>
      <c r="E12">
        <f t="shared" si="2"/>
        <v>0</v>
      </c>
      <c r="F12">
        <f t="shared" si="5"/>
        <v>9.1</v>
      </c>
      <c r="G12">
        <f t="shared" si="3"/>
        <v>3.79</v>
      </c>
      <c r="H12">
        <f t="shared" si="4"/>
        <v>12.39</v>
      </c>
      <c r="J12" s="40"/>
      <c r="K12" s="40"/>
      <c r="L12" s="40"/>
      <c r="M12" s="40"/>
      <c r="N12" s="40"/>
      <c r="O12" s="40"/>
      <c r="P12" s="40"/>
      <c r="Q12" s="40"/>
      <c r="R12" s="40"/>
      <c r="S12" s="40"/>
      <c r="T12" s="40"/>
      <c r="U12" s="40"/>
      <c r="V12" s="40"/>
      <c r="W12" s="40"/>
      <c r="X12" s="40"/>
    </row>
    <row r="13" spans="1:24" ht="13.2" customHeight="1" x14ac:dyDescent="0.25">
      <c r="A13" t="s">
        <v>22</v>
      </c>
      <c r="B13">
        <v>22.6</v>
      </c>
      <c r="C13">
        <f t="shared" si="0"/>
        <v>8.6199999999999992</v>
      </c>
      <c r="D13">
        <f t="shared" si="1"/>
        <v>18.7</v>
      </c>
      <c r="E13">
        <f t="shared" si="2"/>
        <v>0</v>
      </c>
      <c r="F13">
        <f t="shared" si="5"/>
        <v>11.6</v>
      </c>
      <c r="G13">
        <f t="shared" si="3"/>
        <v>3.79</v>
      </c>
      <c r="H13">
        <f t="shared" si="4"/>
        <v>12.39</v>
      </c>
      <c r="J13" s="40"/>
      <c r="K13" s="40"/>
      <c r="L13" s="40"/>
      <c r="M13" s="40"/>
      <c r="N13" s="40"/>
      <c r="O13" s="40"/>
      <c r="P13" s="40"/>
      <c r="Q13" s="40"/>
      <c r="R13" s="40"/>
      <c r="S13" s="40"/>
      <c r="T13" s="40"/>
      <c r="U13" s="40"/>
      <c r="V13" s="40"/>
      <c r="W13" s="40"/>
      <c r="X13" s="40"/>
    </row>
    <row r="14" spans="1:24" x14ac:dyDescent="0.25">
      <c r="A14" t="s">
        <v>23</v>
      </c>
      <c r="J14" s="40"/>
      <c r="K14" s="40"/>
      <c r="L14" s="40"/>
      <c r="M14" s="40"/>
      <c r="N14" s="40"/>
      <c r="O14" s="40"/>
      <c r="P14" s="40"/>
      <c r="Q14" s="40"/>
      <c r="R14" s="40"/>
      <c r="S14" s="40"/>
      <c r="T14" s="40"/>
      <c r="U14" s="40"/>
      <c r="V14" s="40"/>
      <c r="W14" s="40"/>
      <c r="X14" s="40"/>
    </row>
    <row r="15" spans="1:24" x14ac:dyDescent="0.25">
      <c r="A15" t="s">
        <v>24</v>
      </c>
      <c r="B15">
        <v>20.8</v>
      </c>
    </row>
    <row r="16" spans="1:24" x14ac:dyDescent="0.25">
      <c r="A16" t="s">
        <v>25</v>
      </c>
      <c r="B16">
        <v>12.2</v>
      </c>
      <c r="C16">
        <f t="shared" si="0"/>
        <v>8.6199999999999992</v>
      </c>
      <c r="D16">
        <f t="shared" si="1"/>
        <v>18.7</v>
      </c>
      <c r="E16">
        <f t="shared" si="2"/>
        <v>0</v>
      </c>
      <c r="F16">
        <f t="shared" si="5"/>
        <v>8.6</v>
      </c>
      <c r="G16">
        <f t="shared" si="3"/>
        <v>3.79</v>
      </c>
      <c r="H16">
        <f>ROUND(3.268*G16,2)</f>
        <v>12.39</v>
      </c>
    </row>
    <row r="17" spans="1:8" x14ac:dyDescent="0.25">
      <c r="A17" t="s">
        <v>26</v>
      </c>
      <c r="B17">
        <v>10.199999999999999</v>
      </c>
      <c r="C17">
        <f t="shared" si="0"/>
        <v>8.6199999999999992</v>
      </c>
      <c r="D17">
        <f t="shared" si="1"/>
        <v>18.7</v>
      </c>
      <c r="E17">
        <f t="shared" si="2"/>
        <v>0</v>
      </c>
      <c r="F17">
        <f t="shared" si="5"/>
        <v>2</v>
      </c>
      <c r="G17">
        <f t="shared" si="3"/>
        <v>3.79</v>
      </c>
      <c r="H17">
        <f t="shared" ref="H17:H80" si="6">ROUND(3.268*G17,2)</f>
        <v>12.39</v>
      </c>
    </row>
    <row r="18" spans="1:8" x14ac:dyDescent="0.25">
      <c r="A18" t="s">
        <v>27</v>
      </c>
      <c r="B18">
        <v>10.7</v>
      </c>
      <c r="C18">
        <f t="shared" si="0"/>
        <v>8.6199999999999992</v>
      </c>
      <c r="D18">
        <f t="shared" si="1"/>
        <v>18.7</v>
      </c>
      <c r="E18">
        <f t="shared" si="2"/>
        <v>0</v>
      </c>
      <c r="F18">
        <f t="shared" si="5"/>
        <v>0.5</v>
      </c>
      <c r="G18">
        <f t="shared" si="3"/>
        <v>3.79</v>
      </c>
      <c r="H18">
        <f t="shared" si="6"/>
        <v>12.39</v>
      </c>
    </row>
    <row r="19" spans="1:8" x14ac:dyDescent="0.25">
      <c r="A19" t="s">
        <v>28</v>
      </c>
      <c r="B19">
        <v>3.2</v>
      </c>
      <c r="C19">
        <f t="shared" si="0"/>
        <v>8.6199999999999992</v>
      </c>
      <c r="D19">
        <f t="shared" si="1"/>
        <v>18.7</v>
      </c>
      <c r="E19">
        <f t="shared" si="2"/>
        <v>0</v>
      </c>
      <c r="F19">
        <f t="shared" si="5"/>
        <v>7.5</v>
      </c>
      <c r="G19">
        <f t="shared" si="3"/>
        <v>3.79</v>
      </c>
      <c r="H19">
        <f t="shared" si="6"/>
        <v>12.39</v>
      </c>
    </row>
    <row r="20" spans="1:8" x14ac:dyDescent="0.25">
      <c r="A20" t="s">
        <v>29</v>
      </c>
      <c r="B20">
        <v>6.6</v>
      </c>
      <c r="C20">
        <f t="shared" si="0"/>
        <v>8.6199999999999992</v>
      </c>
      <c r="D20">
        <f t="shared" si="1"/>
        <v>18.7</v>
      </c>
      <c r="E20">
        <f t="shared" si="2"/>
        <v>0</v>
      </c>
      <c r="F20">
        <f t="shared" si="5"/>
        <v>3.4</v>
      </c>
      <c r="G20">
        <f t="shared" si="3"/>
        <v>3.79</v>
      </c>
      <c r="H20">
        <f t="shared" si="6"/>
        <v>12.39</v>
      </c>
    </row>
    <row r="21" spans="1:8" x14ac:dyDescent="0.25">
      <c r="A21" t="s">
        <v>30</v>
      </c>
      <c r="B21">
        <v>20.8</v>
      </c>
      <c r="C21">
        <f t="shared" si="0"/>
        <v>8.6199999999999992</v>
      </c>
      <c r="D21">
        <f t="shared" si="1"/>
        <v>18.7</v>
      </c>
      <c r="E21">
        <f t="shared" si="2"/>
        <v>0</v>
      </c>
      <c r="F21">
        <f t="shared" si="5"/>
        <v>14.2</v>
      </c>
      <c r="G21">
        <f t="shared" si="3"/>
        <v>3.79</v>
      </c>
      <c r="H21">
        <f t="shared" si="6"/>
        <v>12.39</v>
      </c>
    </row>
    <row r="22" spans="1:8" x14ac:dyDescent="0.25">
      <c r="A22" t="s">
        <v>31</v>
      </c>
      <c r="B22">
        <v>25.5</v>
      </c>
      <c r="C22">
        <f t="shared" si="0"/>
        <v>8.6199999999999992</v>
      </c>
      <c r="D22">
        <f t="shared" si="1"/>
        <v>18.7</v>
      </c>
      <c r="E22">
        <f t="shared" si="2"/>
        <v>0</v>
      </c>
      <c r="F22">
        <f t="shared" si="5"/>
        <v>4.7</v>
      </c>
      <c r="G22">
        <f t="shared" si="3"/>
        <v>3.79</v>
      </c>
      <c r="H22">
        <f t="shared" si="6"/>
        <v>12.39</v>
      </c>
    </row>
    <row r="23" spans="1:8" x14ac:dyDescent="0.25">
      <c r="A23" t="s">
        <v>32</v>
      </c>
      <c r="B23">
        <v>18.399999999999999</v>
      </c>
      <c r="C23">
        <f t="shared" si="0"/>
        <v>8.6199999999999992</v>
      </c>
      <c r="D23">
        <f t="shared" si="1"/>
        <v>18.7</v>
      </c>
      <c r="E23">
        <f t="shared" si="2"/>
        <v>0</v>
      </c>
      <c r="F23">
        <f t="shared" si="5"/>
        <v>7.1</v>
      </c>
      <c r="G23">
        <f t="shared" si="3"/>
        <v>3.79</v>
      </c>
      <c r="H23">
        <f t="shared" si="6"/>
        <v>12.39</v>
      </c>
    </row>
    <row r="24" spans="1:8" x14ac:dyDescent="0.25">
      <c r="A24" t="s">
        <v>33</v>
      </c>
      <c r="B24">
        <v>29.3</v>
      </c>
      <c r="C24">
        <f t="shared" si="0"/>
        <v>8.6199999999999992</v>
      </c>
      <c r="D24">
        <f t="shared" si="1"/>
        <v>18.7</v>
      </c>
      <c r="E24">
        <f t="shared" si="2"/>
        <v>0</v>
      </c>
      <c r="F24">
        <f t="shared" si="5"/>
        <v>10.9</v>
      </c>
      <c r="G24">
        <f t="shared" si="3"/>
        <v>3.79</v>
      </c>
      <c r="H24">
        <f t="shared" si="6"/>
        <v>12.39</v>
      </c>
    </row>
    <row r="25" spans="1:8" x14ac:dyDescent="0.25">
      <c r="A25" t="s">
        <v>34</v>
      </c>
      <c r="B25">
        <v>23</v>
      </c>
      <c r="C25">
        <f t="shared" si="0"/>
        <v>8.6199999999999992</v>
      </c>
      <c r="D25">
        <f t="shared" si="1"/>
        <v>18.7</v>
      </c>
      <c r="E25">
        <f t="shared" si="2"/>
        <v>0</v>
      </c>
      <c r="F25">
        <f t="shared" si="5"/>
        <v>6.3</v>
      </c>
      <c r="G25">
        <f t="shared" si="3"/>
        <v>3.79</v>
      </c>
      <c r="H25">
        <f t="shared" si="6"/>
        <v>12.39</v>
      </c>
    </row>
    <row r="26" spans="1:8" x14ac:dyDescent="0.25">
      <c r="A26" t="s">
        <v>35</v>
      </c>
      <c r="B26">
        <v>31.4</v>
      </c>
      <c r="C26">
        <f t="shared" si="0"/>
        <v>8.6199999999999992</v>
      </c>
      <c r="D26">
        <f t="shared" si="1"/>
        <v>18.7</v>
      </c>
      <c r="E26">
        <f t="shared" si="2"/>
        <v>0</v>
      </c>
      <c r="F26">
        <f t="shared" si="5"/>
        <v>8.4</v>
      </c>
      <c r="G26">
        <f t="shared" si="3"/>
        <v>3.79</v>
      </c>
      <c r="H26">
        <f t="shared" si="6"/>
        <v>12.39</v>
      </c>
    </row>
    <row r="27" spans="1:8" x14ac:dyDescent="0.25">
      <c r="A27" t="s">
        <v>36</v>
      </c>
      <c r="B27">
        <v>19.100000000000001</v>
      </c>
      <c r="C27">
        <f t="shared" si="0"/>
        <v>8.6199999999999992</v>
      </c>
      <c r="D27">
        <f t="shared" si="1"/>
        <v>18.7</v>
      </c>
      <c r="E27">
        <f t="shared" si="2"/>
        <v>0</v>
      </c>
      <c r="F27">
        <f t="shared" si="5"/>
        <v>12.3</v>
      </c>
      <c r="G27">
        <f t="shared" si="3"/>
        <v>3.79</v>
      </c>
      <c r="H27">
        <f t="shared" si="6"/>
        <v>12.39</v>
      </c>
    </row>
    <row r="28" spans="1:8" x14ac:dyDescent="0.25">
      <c r="A28" t="s">
        <v>37</v>
      </c>
      <c r="B28">
        <v>16</v>
      </c>
      <c r="C28">
        <f t="shared" si="0"/>
        <v>8.6199999999999992</v>
      </c>
      <c r="D28">
        <f t="shared" si="1"/>
        <v>18.7</v>
      </c>
      <c r="E28">
        <f t="shared" si="2"/>
        <v>0</v>
      </c>
      <c r="F28">
        <f t="shared" si="5"/>
        <v>3.1</v>
      </c>
      <c r="G28">
        <f t="shared" si="3"/>
        <v>3.79</v>
      </c>
      <c r="H28">
        <f t="shared" si="6"/>
        <v>12.39</v>
      </c>
    </row>
    <row r="29" spans="1:8" x14ac:dyDescent="0.25">
      <c r="A29" t="s">
        <v>38</v>
      </c>
      <c r="B29">
        <v>12.4</v>
      </c>
      <c r="C29">
        <f t="shared" si="0"/>
        <v>8.6199999999999992</v>
      </c>
      <c r="D29">
        <f t="shared" si="1"/>
        <v>18.7</v>
      </c>
      <c r="E29">
        <f t="shared" si="2"/>
        <v>0</v>
      </c>
      <c r="F29">
        <f t="shared" si="5"/>
        <v>3.6</v>
      </c>
      <c r="G29">
        <f t="shared" si="3"/>
        <v>3.79</v>
      </c>
      <c r="H29">
        <f t="shared" si="6"/>
        <v>12.39</v>
      </c>
    </row>
    <row r="30" spans="1:8" x14ac:dyDescent="0.25">
      <c r="A30" t="s">
        <v>39</v>
      </c>
      <c r="B30">
        <v>11.9</v>
      </c>
      <c r="C30">
        <f t="shared" si="0"/>
        <v>8.6199999999999992</v>
      </c>
      <c r="D30">
        <f t="shared" si="1"/>
        <v>18.7</v>
      </c>
      <c r="E30">
        <f t="shared" si="2"/>
        <v>0</v>
      </c>
      <c r="F30">
        <f t="shared" si="5"/>
        <v>0.5</v>
      </c>
      <c r="G30">
        <f t="shared" si="3"/>
        <v>3.79</v>
      </c>
      <c r="H30">
        <f t="shared" si="6"/>
        <v>12.39</v>
      </c>
    </row>
    <row r="31" spans="1:8" x14ac:dyDescent="0.25">
      <c r="A31" t="s">
        <v>40</v>
      </c>
      <c r="B31">
        <v>6.1</v>
      </c>
      <c r="C31">
        <f t="shared" si="0"/>
        <v>8.6199999999999992</v>
      </c>
      <c r="D31">
        <f t="shared" si="1"/>
        <v>18.7</v>
      </c>
      <c r="E31">
        <f t="shared" si="2"/>
        <v>0</v>
      </c>
      <c r="F31">
        <f t="shared" si="5"/>
        <v>5.8</v>
      </c>
      <c r="G31">
        <f t="shared" si="3"/>
        <v>3.79</v>
      </c>
      <c r="H31">
        <f t="shared" si="6"/>
        <v>12.39</v>
      </c>
    </row>
    <row r="32" spans="1:8" x14ac:dyDescent="0.25">
      <c r="A32" t="s">
        <v>41</v>
      </c>
      <c r="B32">
        <v>4.0999999999999996</v>
      </c>
      <c r="C32">
        <f t="shared" si="0"/>
        <v>8.6199999999999992</v>
      </c>
      <c r="D32">
        <f t="shared" si="1"/>
        <v>18.7</v>
      </c>
      <c r="E32">
        <f t="shared" si="2"/>
        <v>0</v>
      </c>
      <c r="F32">
        <f t="shared" si="5"/>
        <v>2</v>
      </c>
      <c r="G32">
        <f t="shared" si="3"/>
        <v>3.79</v>
      </c>
      <c r="H32">
        <f t="shared" si="6"/>
        <v>12.39</v>
      </c>
    </row>
    <row r="33" spans="1:8" x14ac:dyDescent="0.25">
      <c r="A33" t="s">
        <v>42</v>
      </c>
      <c r="B33">
        <v>0.5</v>
      </c>
      <c r="C33">
        <f t="shared" si="0"/>
        <v>8.6199999999999992</v>
      </c>
      <c r="D33">
        <f t="shared" si="1"/>
        <v>18.7</v>
      </c>
      <c r="E33">
        <f t="shared" si="2"/>
        <v>0</v>
      </c>
      <c r="F33">
        <f t="shared" si="5"/>
        <v>3.6</v>
      </c>
      <c r="G33">
        <f t="shared" si="3"/>
        <v>3.79</v>
      </c>
      <c r="H33">
        <f t="shared" si="6"/>
        <v>12.39</v>
      </c>
    </row>
    <row r="34" spans="1:8" x14ac:dyDescent="0.25">
      <c r="A34" t="s">
        <v>43</v>
      </c>
      <c r="B34">
        <v>1.6</v>
      </c>
      <c r="C34">
        <f t="shared" si="0"/>
        <v>8.6199999999999992</v>
      </c>
      <c r="D34">
        <f t="shared" si="1"/>
        <v>18.7</v>
      </c>
      <c r="E34">
        <f t="shared" si="2"/>
        <v>0</v>
      </c>
      <c r="F34">
        <f t="shared" si="5"/>
        <v>1.1000000000000001</v>
      </c>
      <c r="G34">
        <f t="shared" si="3"/>
        <v>3.79</v>
      </c>
      <c r="H34">
        <f t="shared" si="6"/>
        <v>12.39</v>
      </c>
    </row>
    <row r="35" spans="1:8" x14ac:dyDescent="0.25">
      <c r="A35" t="s">
        <v>44</v>
      </c>
      <c r="B35">
        <v>2.2999999999999998</v>
      </c>
      <c r="C35">
        <f t="shared" si="0"/>
        <v>8.6199999999999992</v>
      </c>
      <c r="D35">
        <f t="shared" si="1"/>
        <v>18.7</v>
      </c>
      <c r="E35">
        <f t="shared" si="2"/>
        <v>0</v>
      </c>
      <c r="F35">
        <f t="shared" si="5"/>
        <v>0.7</v>
      </c>
      <c r="G35">
        <f t="shared" si="3"/>
        <v>3.79</v>
      </c>
      <c r="H35">
        <f t="shared" si="6"/>
        <v>12.39</v>
      </c>
    </row>
    <row r="36" spans="1:8" x14ac:dyDescent="0.25">
      <c r="A36" t="s">
        <v>45</v>
      </c>
      <c r="B36">
        <v>17.600000000000001</v>
      </c>
      <c r="C36">
        <f t="shared" si="0"/>
        <v>8.6199999999999992</v>
      </c>
      <c r="D36">
        <f t="shared" si="1"/>
        <v>18.7</v>
      </c>
      <c r="E36">
        <f t="shared" si="2"/>
        <v>0</v>
      </c>
      <c r="F36">
        <f t="shared" si="5"/>
        <v>15.3</v>
      </c>
      <c r="G36">
        <f t="shared" si="3"/>
        <v>3.79</v>
      </c>
      <c r="H36">
        <f t="shared" si="6"/>
        <v>12.39</v>
      </c>
    </row>
    <row r="37" spans="1:8" x14ac:dyDescent="0.25">
      <c r="A37" t="s">
        <v>46</v>
      </c>
      <c r="B37">
        <v>7.1</v>
      </c>
      <c r="C37">
        <f t="shared" si="0"/>
        <v>8.6199999999999992</v>
      </c>
      <c r="D37">
        <f t="shared" si="1"/>
        <v>18.7</v>
      </c>
      <c r="E37">
        <f t="shared" si="2"/>
        <v>0</v>
      </c>
      <c r="F37">
        <f t="shared" si="5"/>
        <v>10.5</v>
      </c>
      <c r="G37">
        <f t="shared" si="3"/>
        <v>3.79</v>
      </c>
      <c r="H37">
        <f t="shared" si="6"/>
        <v>12.39</v>
      </c>
    </row>
    <row r="38" spans="1:8" x14ac:dyDescent="0.25">
      <c r="A38" t="s">
        <v>47</v>
      </c>
      <c r="B38">
        <v>8.1</v>
      </c>
      <c r="C38">
        <f t="shared" si="0"/>
        <v>8.6199999999999992</v>
      </c>
      <c r="D38">
        <f t="shared" si="1"/>
        <v>18.7</v>
      </c>
      <c r="E38">
        <f t="shared" si="2"/>
        <v>0</v>
      </c>
      <c r="F38">
        <f t="shared" si="5"/>
        <v>1</v>
      </c>
      <c r="G38">
        <f t="shared" si="3"/>
        <v>3.79</v>
      </c>
      <c r="H38">
        <f t="shared" si="6"/>
        <v>12.39</v>
      </c>
    </row>
    <row r="39" spans="1:8" x14ac:dyDescent="0.25">
      <c r="A39" t="s">
        <v>48</v>
      </c>
      <c r="B39">
        <v>15.2</v>
      </c>
      <c r="C39">
        <f t="shared" si="0"/>
        <v>8.6199999999999992</v>
      </c>
      <c r="D39">
        <f t="shared" si="1"/>
        <v>18.7</v>
      </c>
      <c r="E39">
        <f t="shared" si="2"/>
        <v>0</v>
      </c>
      <c r="F39">
        <f t="shared" si="5"/>
        <v>7.1</v>
      </c>
      <c r="G39">
        <f t="shared" si="3"/>
        <v>3.79</v>
      </c>
      <c r="H39">
        <f t="shared" si="6"/>
        <v>12.39</v>
      </c>
    </row>
    <row r="40" spans="1:8" x14ac:dyDescent="0.25">
      <c r="A40" t="s">
        <v>49</v>
      </c>
      <c r="B40">
        <v>11.3</v>
      </c>
      <c r="C40">
        <f t="shared" si="0"/>
        <v>8.6199999999999992</v>
      </c>
      <c r="D40">
        <f t="shared" si="1"/>
        <v>18.7</v>
      </c>
      <c r="E40">
        <f t="shared" si="2"/>
        <v>0</v>
      </c>
      <c r="F40">
        <f t="shared" si="5"/>
        <v>3.9</v>
      </c>
      <c r="G40">
        <f t="shared" si="3"/>
        <v>3.79</v>
      </c>
      <c r="H40">
        <f t="shared" si="6"/>
        <v>12.39</v>
      </c>
    </row>
    <row r="41" spans="1:8" x14ac:dyDescent="0.25">
      <c r="A41" t="s">
        <v>50</v>
      </c>
      <c r="B41">
        <v>17</v>
      </c>
      <c r="C41">
        <f t="shared" si="0"/>
        <v>8.6199999999999992</v>
      </c>
      <c r="D41">
        <f t="shared" si="1"/>
        <v>18.7</v>
      </c>
      <c r="E41">
        <f t="shared" si="2"/>
        <v>0</v>
      </c>
      <c r="F41">
        <f t="shared" si="5"/>
        <v>5.7</v>
      </c>
      <c r="G41">
        <f t="shared" si="3"/>
        <v>3.79</v>
      </c>
      <c r="H41">
        <f t="shared" si="6"/>
        <v>12.39</v>
      </c>
    </row>
    <row r="42" spans="1:8" x14ac:dyDescent="0.25">
      <c r="A42" t="s">
        <v>51</v>
      </c>
      <c r="B42">
        <v>17.3</v>
      </c>
      <c r="C42">
        <f t="shared" si="0"/>
        <v>8.6199999999999992</v>
      </c>
      <c r="D42">
        <f t="shared" si="1"/>
        <v>18.7</v>
      </c>
      <c r="E42">
        <f t="shared" si="2"/>
        <v>0</v>
      </c>
      <c r="F42">
        <f t="shared" si="5"/>
        <v>0.3</v>
      </c>
      <c r="G42">
        <f t="shared" si="3"/>
        <v>3.79</v>
      </c>
      <c r="H42">
        <f t="shared" si="6"/>
        <v>12.39</v>
      </c>
    </row>
    <row r="43" spans="1:8" x14ac:dyDescent="0.25">
      <c r="A43" t="s">
        <v>52</v>
      </c>
      <c r="B43">
        <v>5.8</v>
      </c>
      <c r="C43">
        <f t="shared" si="0"/>
        <v>8.6199999999999992</v>
      </c>
      <c r="D43">
        <f t="shared" si="1"/>
        <v>18.7</v>
      </c>
      <c r="E43">
        <f t="shared" si="2"/>
        <v>0</v>
      </c>
      <c r="F43">
        <f t="shared" si="5"/>
        <v>11.5</v>
      </c>
      <c r="G43">
        <f t="shared" si="3"/>
        <v>3.79</v>
      </c>
      <c r="H43">
        <f t="shared" si="6"/>
        <v>12.39</v>
      </c>
    </row>
    <row r="44" spans="1:8" x14ac:dyDescent="0.25">
      <c r="A44" t="s">
        <v>53</v>
      </c>
      <c r="B44">
        <v>2.7</v>
      </c>
      <c r="C44">
        <f t="shared" si="0"/>
        <v>8.6199999999999992</v>
      </c>
      <c r="D44">
        <f t="shared" si="1"/>
        <v>18.7</v>
      </c>
      <c r="E44">
        <f t="shared" si="2"/>
        <v>0</v>
      </c>
      <c r="F44">
        <f t="shared" si="5"/>
        <v>3.1</v>
      </c>
      <c r="G44">
        <f t="shared" si="3"/>
        <v>3.79</v>
      </c>
      <c r="H44">
        <f t="shared" si="6"/>
        <v>12.39</v>
      </c>
    </row>
    <row r="45" spans="1:8" x14ac:dyDescent="0.25">
      <c r="A45" t="s">
        <v>54</v>
      </c>
      <c r="B45">
        <v>4.4000000000000004</v>
      </c>
      <c r="C45">
        <f t="shared" si="0"/>
        <v>8.6199999999999992</v>
      </c>
      <c r="D45">
        <f t="shared" si="1"/>
        <v>18.7</v>
      </c>
      <c r="E45">
        <f t="shared" si="2"/>
        <v>0</v>
      </c>
      <c r="F45">
        <f t="shared" si="5"/>
        <v>1.7</v>
      </c>
      <c r="G45">
        <f t="shared" si="3"/>
        <v>3.79</v>
      </c>
      <c r="H45">
        <f t="shared" si="6"/>
        <v>12.39</v>
      </c>
    </row>
    <row r="46" spans="1:8" x14ac:dyDescent="0.25">
      <c r="A46" t="s">
        <v>55</v>
      </c>
      <c r="B46">
        <v>6.3</v>
      </c>
      <c r="C46">
        <f t="shared" si="0"/>
        <v>8.6199999999999992</v>
      </c>
      <c r="D46">
        <f t="shared" si="1"/>
        <v>18.7</v>
      </c>
      <c r="E46">
        <f t="shared" si="2"/>
        <v>0</v>
      </c>
      <c r="F46">
        <f t="shared" si="5"/>
        <v>1.9</v>
      </c>
      <c r="G46">
        <f t="shared" si="3"/>
        <v>3.79</v>
      </c>
      <c r="H46">
        <f t="shared" si="6"/>
        <v>12.39</v>
      </c>
    </row>
    <row r="47" spans="1:8" x14ac:dyDescent="0.25">
      <c r="A47" t="s">
        <v>56</v>
      </c>
      <c r="B47">
        <v>1.2</v>
      </c>
      <c r="C47">
        <f t="shared" si="0"/>
        <v>8.6199999999999992</v>
      </c>
      <c r="D47">
        <f t="shared" si="1"/>
        <v>18.7</v>
      </c>
      <c r="E47">
        <f t="shared" si="2"/>
        <v>0</v>
      </c>
      <c r="F47">
        <f t="shared" si="5"/>
        <v>5.0999999999999996</v>
      </c>
      <c r="G47">
        <f t="shared" si="3"/>
        <v>3.79</v>
      </c>
      <c r="H47">
        <f t="shared" si="6"/>
        <v>12.39</v>
      </c>
    </row>
    <row r="48" spans="1:8" x14ac:dyDescent="0.25">
      <c r="A48" t="s">
        <v>57</v>
      </c>
      <c r="B48">
        <v>3.2</v>
      </c>
      <c r="C48">
        <f t="shared" si="0"/>
        <v>8.6199999999999992</v>
      </c>
      <c r="D48">
        <f t="shared" si="1"/>
        <v>18.7</v>
      </c>
      <c r="E48">
        <f t="shared" si="2"/>
        <v>0</v>
      </c>
      <c r="F48">
        <f t="shared" si="5"/>
        <v>2</v>
      </c>
      <c r="G48">
        <f t="shared" si="3"/>
        <v>3.79</v>
      </c>
      <c r="H48">
        <f t="shared" si="6"/>
        <v>12.39</v>
      </c>
    </row>
    <row r="49" spans="1:8" x14ac:dyDescent="0.25">
      <c r="A49" t="s">
        <v>58</v>
      </c>
      <c r="B49">
        <v>11</v>
      </c>
      <c r="C49">
        <f t="shared" si="0"/>
        <v>8.6199999999999992</v>
      </c>
      <c r="D49">
        <f t="shared" si="1"/>
        <v>18.7</v>
      </c>
      <c r="E49">
        <f t="shared" si="2"/>
        <v>0</v>
      </c>
      <c r="F49">
        <f t="shared" si="5"/>
        <v>7.8</v>
      </c>
      <c r="G49">
        <f t="shared" si="3"/>
        <v>3.79</v>
      </c>
      <c r="H49">
        <f t="shared" si="6"/>
        <v>12.39</v>
      </c>
    </row>
    <row r="50" spans="1:8" x14ac:dyDescent="0.25">
      <c r="A50" t="s">
        <v>59</v>
      </c>
      <c r="B50">
        <v>10.5</v>
      </c>
      <c r="C50">
        <f t="shared" si="0"/>
        <v>8.6199999999999992</v>
      </c>
      <c r="D50">
        <f t="shared" si="1"/>
        <v>18.7</v>
      </c>
      <c r="E50">
        <f t="shared" si="2"/>
        <v>0</v>
      </c>
      <c r="F50">
        <f t="shared" si="5"/>
        <v>0.5</v>
      </c>
      <c r="G50">
        <f t="shared" si="3"/>
        <v>3.79</v>
      </c>
      <c r="H50">
        <f t="shared" si="6"/>
        <v>12.39</v>
      </c>
    </row>
    <row r="51" spans="1:8" x14ac:dyDescent="0.25">
      <c r="A51" t="s">
        <v>60</v>
      </c>
      <c r="B51">
        <v>7.6</v>
      </c>
      <c r="C51">
        <f t="shared" si="0"/>
        <v>8.6199999999999992</v>
      </c>
      <c r="D51">
        <f t="shared" si="1"/>
        <v>18.7</v>
      </c>
      <c r="E51">
        <f t="shared" si="2"/>
        <v>0</v>
      </c>
      <c r="F51">
        <f t="shared" si="5"/>
        <v>2.9</v>
      </c>
      <c r="G51">
        <f t="shared" si="3"/>
        <v>3.79</v>
      </c>
      <c r="H51">
        <f t="shared" si="6"/>
        <v>12.39</v>
      </c>
    </row>
    <row r="52" spans="1:8" x14ac:dyDescent="0.25">
      <c r="A52" t="s">
        <v>61</v>
      </c>
      <c r="B52">
        <v>4.7</v>
      </c>
      <c r="C52">
        <f t="shared" si="0"/>
        <v>8.6199999999999992</v>
      </c>
      <c r="D52">
        <f t="shared" si="1"/>
        <v>18.7</v>
      </c>
      <c r="E52">
        <f t="shared" si="2"/>
        <v>0</v>
      </c>
      <c r="F52">
        <f t="shared" si="5"/>
        <v>2.9</v>
      </c>
      <c r="G52">
        <f t="shared" si="3"/>
        <v>3.79</v>
      </c>
      <c r="H52">
        <f t="shared" si="6"/>
        <v>12.39</v>
      </c>
    </row>
    <row r="53" spans="1:8" x14ac:dyDescent="0.25">
      <c r="A53" t="s">
        <v>62</v>
      </c>
      <c r="B53">
        <v>4.5</v>
      </c>
      <c r="C53">
        <f t="shared" si="0"/>
        <v>8.6199999999999992</v>
      </c>
      <c r="D53">
        <f t="shared" si="1"/>
        <v>18.7</v>
      </c>
      <c r="E53">
        <f t="shared" si="2"/>
        <v>0</v>
      </c>
      <c r="F53">
        <f t="shared" si="5"/>
        <v>0.2</v>
      </c>
      <c r="G53">
        <f t="shared" si="3"/>
        <v>3.79</v>
      </c>
      <c r="H53">
        <f t="shared" si="6"/>
        <v>12.39</v>
      </c>
    </row>
    <row r="54" spans="1:8" x14ac:dyDescent="0.25">
      <c r="A54" t="s">
        <v>63</v>
      </c>
      <c r="B54">
        <v>4.2</v>
      </c>
      <c r="C54">
        <f t="shared" si="0"/>
        <v>8.6199999999999992</v>
      </c>
      <c r="D54">
        <f t="shared" si="1"/>
        <v>18.7</v>
      </c>
      <c r="E54">
        <f t="shared" si="2"/>
        <v>0</v>
      </c>
      <c r="F54">
        <f t="shared" si="5"/>
        <v>0.3</v>
      </c>
      <c r="G54">
        <f t="shared" si="3"/>
        <v>3.79</v>
      </c>
      <c r="H54">
        <f t="shared" si="6"/>
        <v>12.39</v>
      </c>
    </row>
    <row r="55" spans="1:8" x14ac:dyDescent="0.25">
      <c r="A55" t="s">
        <v>64</v>
      </c>
      <c r="B55">
        <v>4.4000000000000004</v>
      </c>
      <c r="C55">
        <f t="shared" si="0"/>
        <v>8.6199999999999992</v>
      </c>
      <c r="D55">
        <f t="shared" si="1"/>
        <v>18.7</v>
      </c>
      <c r="E55">
        <f t="shared" si="2"/>
        <v>0</v>
      </c>
      <c r="F55">
        <f t="shared" si="5"/>
        <v>0.2</v>
      </c>
      <c r="G55">
        <f t="shared" si="3"/>
        <v>3.79</v>
      </c>
      <c r="H55">
        <f t="shared" si="6"/>
        <v>12.39</v>
      </c>
    </row>
    <row r="56" spans="1:8" x14ac:dyDescent="0.25">
      <c r="A56" t="s">
        <v>65</v>
      </c>
      <c r="B56">
        <v>7.1</v>
      </c>
      <c r="C56">
        <f t="shared" si="0"/>
        <v>8.6199999999999992</v>
      </c>
      <c r="D56">
        <f t="shared" si="1"/>
        <v>18.7</v>
      </c>
      <c r="E56">
        <f t="shared" si="2"/>
        <v>0</v>
      </c>
      <c r="F56">
        <f t="shared" si="5"/>
        <v>2.7</v>
      </c>
      <c r="G56">
        <f t="shared" si="3"/>
        <v>3.79</v>
      </c>
      <c r="H56">
        <f t="shared" si="6"/>
        <v>12.39</v>
      </c>
    </row>
    <row r="57" spans="1:8" x14ac:dyDescent="0.25">
      <c r="A57" t="s">
        <v>66</v>
      </c>
      <c r="B57">
        <v>6.1</v>
      </c>
      <c r="C57">
        <f t="shared" si="0"/>
        <v>8.6199999999999992</v>
      </c>
      <c r="D57">
        <f t="shared" si="1"/>
        <v>18.7</v>
      </c>
      <c r="E57">
        <f t="shared" si="2"/>
        <v>0</v>
      </c>
      <c r="F57">
        <f t="shared" si="5"/>
        <v>1</v>
      </c>
      <c r="G57">
        <f t="shared" si="3"/>
        <v>3.79</v>
      </c>
      <c r="H57">
        <f t="shared" si="6"/>
        <v>12.39</v>
      </c>
    </row>
    <row r="58" spans="1:8" x14ac:dyDescent="0.25">
      <c r="A58" t="s">
        <v>67</v>
      </c>
      <c r="B58">
        <v>3.6</v>
      </c>
      <c r="C58">
        <f t="shared" si="0"/>
        <v>8.6199999999999992</v>
      </c>
      <c r="D58">
        <f t="shared" si="1"/>
        <v>18.7</v>
      </c>
      <c r="E58">
        <f t="shared" si="2"/>
        <v>0</v>
      </c>
      <c r="F58">
        <f t="shared" si="5"/>
        <v>2.5</v>
      </c>
      <c r="G58">
        <f t="shared" si="3"/>
        <v>3.79</v>
      </c>
      <c r="H58">
        <f t="shared" si="6"/>
        <v>12.39</v>
      </c>
    </row>
    <row r="59" spans="1:8" x14ac:dyDescent="0.25">
      <c r="A59" t="s">
        <v>68</v>
      </c>
      <c r="B59">
        <v>10.5</v>
      </c>
      <c r="C59">
        <f t="shared" si="0"/>
        <v>8.6199999999999992</v>
      </c>
      <c r="D59">
        <f t="shared" si="1"/>
        <v>18.7</v>
      </c>
      <c r="E59">
        <f t="shared" si="2"/>
        <v>0</v>
      </c>
      <c r="F59">
        <f t="shared" si="5"/>
        <v>6.9</v>
      </c>
      <c r="G59">
        <f t="shared" si="3"/>
        <v>3.79</v>
      </c>
      <c r="H59">
        <f t="shared" si="6"/>
        <v>12.39</v>
      </c>
    </row>
    <row r="60" spans="1:8" x14ac:dyDescent="0.25">
      <c r="A60" t="s">
        <v>69</v>
      </c>
      <c r="B60">
        <v>14.8</v>
      </c>
      <c r="C60">
        <f t="shared" si="0"/>
        <v>8.6199999999999992</v>
      </c>
      <c r="D60">
        <f t="shared" si="1"/>
        <v>18.7</v>
      </c>
      <c r="E60">
        <f t="shared" si="2"/>
        <v>0</v>
      </c>
      <c r="F60">
        <f t="shared" si="5"/>
        <v>4.3</v>
      </c>
      <c r="G60">
        <f t="shared" si="3"/>
        <v>3.79</v>
      </c>
      <c r="H60">
        <f t="shared" si="6"/>
        <v>12.39</v>
      </c>
    </row>
    <row r="61" spans="1:8" x14ac:dyDescent="0.25">
      <c r="A61" t="s">
        <v>70</v>
      </c>
      <c r="B61">
        <v>10.9</v>
      </c>
      <c r="C61">
        <f t="shared" si="0"/>
        <v>8.6199999999999992</v>
      </c>
      <c r="D61">
        <f t="shared" si="1"/>
        <v>18.7</v>
      </c>
      <c r="E61">
        <f t="shared" si="2"/>
        <v>0</v>
      </c>
      <c r="F61">
        <f t="shared" si="5"/>
        <v>3.9</v>
      </c>
      <c r="G61">
        <f t="shared" si="3"/>
        <v>3.79</v>
      </c>
      <c r="H61">
        <f t="shared" si="6"/>
        <v>12.39</v>
      </c>
    </row>
    <row r="62" spans="1:8" x14ac:dyDescent="0.25">
      <c r="A62" t="s">
        <v>71</v>
      </c>
      <c r="B62">
        <v>10.5</v>
      </c>
      <c r="C62">
        <f t="shared" si="0"/>
        <v>8.6199999999999992</v>
      </c>
      <c r="D62">
        <f t="shared" si="1"/>
        <v>18.7</v>
      </c>
      <c r="E62">
        <f t="shared" si="2"/>
        <v>0</v>
      </c>
      <c r="F62">
        <f t="shared" si="5"/>
        <v>0.4</v>
      </c>
      <c r="G62">
        <f t="shared" si="3"/>
        <v>3.79</v>
      </c>
      <c r="H62">
        <f t="shared" si="6"/>
        <v>12.39</v>
      </c>
    </row>
    <row r="63" spans="1:8" x14ac:dyDescent="0.25">
      <c r="A63" t="s">
        <v>72</v>
      </c>
      <c r="B63">
        <v>13.4</v>
      </c>
      <c r="C63">
        <f t="shared" si="0"/>
        <v>8.6199999999999992</v>
      </c>
      <c r="D63">
        <f t="shared" si="1"/>
        <v>18.7</v>
      </c>
      <c r="E63">
        <f t="shared" si="2"/>
        <v>0</v>
      </c>
      <c r="F63">
        <f t="shared" si="5"/>
        <v>2.9</v>
      </c>
      <c r="G63">
        <f t="shared" si="3"/>
        <v>3.79</v>
      </c>
      <c r="H63">
        <f t="shared" si="6"/>
        <v>12.39</v>
      </c>
    </row>
    <row r="64" spans="1:8" x14ac:dyDescent="0.25">
      <c r="A64" t="s">
        <v>73</v>
      </c>
      <c r="B64">
        <v>18.100000000000001</v>
      </c>
      <c r="C64">
        <f t="shared" si="0"/>
        <v>8.6199999999999992</v>
      </c>
      <c r="D64">
        <f t="shared" si="1"/>
        <v>18.7</v>
      </c>
      <c r="E64">
        <f t="shared" si="2"/>
        <v>0</v>
      </c>
      <c r="F64">
        <f t="shared" si="5"/>
        <v>4.7</v>
      </c>
      <c r="G64">
        <f t="shared" si="3"/>
        <v>3.79</v>
      </c>
      <c r="H64">
        <f t="shared" si="6"/>
        <v>12.39</v>
      </c>
    </row>
    <row r="65" spans="1:8" x14ac:dyDescent="0.25">
      <c r="A65" t="s">
        <v>74</v>
      </c>
      <c r="B65">
        <v>15.4</v>
      </c>
      <c r="C65">
        <f t="shared" si="0"/>
        <v>8.6199999999999992</v>
      </c>
      <c r="D65">
        <f t="shared" si="1"/>
        <v>18.7</v>
      </c>
      <c r="E65">
        <f t="shared" si="2"/>
        <v>0</v>
      </c>
      <c r="F65">
        <f t="shared" si="5"/>
        <v>2.7</v>
      </c>
      <c r="G65">
        <f t="shared" si="3"/>
        <v>3.79</v>
      </c>
      <c r="H65">
        <f t="shared" si="6"/>
        <v>12.39</v>
      </c>
    </row>
    <row r="66" spans="1:8" x14ac:dyDescent="0.25">
      <c r="A66" t="s">
        <v>75</v>
      </c>
      <c r="B66">
        <v>19</v>
      </c>
      <c r="C66">
        <f t="shared" si="0"/>
        <v>8.6199999999999992</v>
      </c>
      <c r="D66">
        <f t="shared" si="1"/>
        <v>18.7</v>
      </c>
      <c r="E66">
        <f t="shared" si="2"/>
        <v>0</v>
      </c>
      <c r="F66">
        <f t="shared" si="5"/>
        <v>3.6</v>
      </c>
      <c r="G66">
        <f t="shared" si="3"/>
        <v>3.79</v>
      </c>
      <c r="H66">
        <f t="shared" si="6"/>
        <v>12.39</v>
      </c>
    </row>
    <row r="67" spans="1:8" x14ac:dyDescent="0.25">
      <c r="A67" t="s">
        <v>76</v>
      </c>
      <c r="B67">
        <v>13.4</v>
      </c>
      <c r="C67">
        <f t="shared" ref="C67:C101" si="7">ROUND(AVERAGE($B$3:$B$101), 2)</f>
        <v>8.6199999999999992</v>
      </c>
      <c r="D67">
        <f t="shared" ref="D67:D101" si="8">ROUND(C67+(2.66*G67),2)</f>
        <v>18.7</v>
      </c>
      <c r="E67">
        <f t="shared" ref="E67:E101" si="9">MAX(0,ROUND(C67-(2.66*G67),2))</f>
        <v>0</v>
      </c>
      <c r="F67">
        <f t="shared" si="5"/>
        <v>5.6</v>
      </c>
      <c r="G67">
        <f t="shared" ref="G67:G101" si="10">ROUND(AVERAGE($F$4:$F$101),2)</f>
        <v>3.79</v>
      </c>
      <c r="H67">
        <f t="shared" si="6"/>
        <v>12.39</v>
      </c>
    </row>
    <row r="68" spans="1:8" x14ac:dyDescent="0.25">
      <c r="A68" t="s">
        <v>77</v>
      </c>
      <c r="B68">
        <v>10.199999999999999</v>
      </c>
      <c r="C68">
        <f t="shared" si="7"/>
        <v>8.6199999999999992</v>
      </c>
      <c r="D68">
        <f t="shared" si="8"/>
        <v>18.7</v>
      </c>
      <c r="E68">
        <f t="shared" si="9"/>
        <v>0</v>
      </c>
      <c r="F68">
        <f t="shared" si="5"/>
        <v>3.2</v>
      </c>
      <c r="G68">
        <f t="shared" si="10"/>
        <v>3.79</v>
      </c>
      <c r="H68">
        <f t="shared" si="6"/>
        <v>12.39</v>
      </c>
    </row>
    <row r="69" spans="1:8" x14ac:dyDescent="0.25">
      <c r="A69" t="s">
        <v>78</v>
      </c>
      <c r="B69">
        <v>13.1</v>
      </c>
      <c r="C69">
        <f t="shared" si="7"/>
        <v>8.6199999999999992</v>
      </c>
      <c r="D69">
        <f t="shared" si="8"/>
        <v>18.7</v>
      </c>
      <c r="E69">
        <f t="shared" si="9"/>
        <v>0</v>
      </c>
      <c r="F69">
        <f t="shared" ref="F69:F101" si="11">ROUND(ABS(B68-B69),1)</f>
        <v>2.9</v>
      </c>
      <c r="G69">
        <f t="shared" si="10"/>
        <v>3.79</v>
      </c>
      <c r="H69">
        <f t="shared" si="6"/>
        <v>12.39</v>
      </c>
    </row>
    <row r="70" spans="1:8" x14ac:dyDescent="0.25">
      <c r="A70" t="s">
        <v>79</v>
      </c>
      <c r="B70">
        <v>18.100000000000001</v>
      </c>
      <c r="C70">
        <f t="shared" si="7"/>
        <v>8.6199999999999992</v>
      </c>
      <c r="D70">
        <f t="shared" si="8"/>
        <v>18.7</v>
      </c>
      <c r="E70">
        <f t="shared" si="9"/>
        <v>0</v>
      </c>
      <c r="F70">
        <f t="shared" si="11"/>
        <v>5</v>
      </c>
      <c r="G70">
        <f t="shared" si="10"/>
        <v>3.79</v>
      </c>
      <c r="H70">
        <f t="shared" si="6"/>
        <v>12.39</v>
      </c>
    </row>
    <row r="71" spans="1:8" x14ac:dyDescent="0.25">
      <c r="A71" t="s">
        <v>80</v>
      </c>
      <c r="B71">
        <v>14.4</v>
      </c>
      <c r="C71">
        <f t="shared" si="7"/>
        <v>8.6199999999999992</v>
      </c>
      <c r="D71">
        <f t="shared" si="8"/>
        <v>18.7</v>
      </c>
      <c r="E71">
        <f t="shared" si="9"/>
        <v>0</v>
      </c>
      <c r="F71">
        <f t="shared" si="11"/>
        <v>3.7</v>
      </c>
      <c r="G71">
        <f t="shared" si="10"/>
        <v>3.79</v>
      </c>
      <c r="H71">
        <f t="shared" si="6"/>
        <v>12.39</v>
      </c>
    </row>
    <row r="72" spans="1:8" x14ac:dyDescent="0.25">
      <c r="A72" t="s">
        <v>81</v>
      </c>
      <c r="B72">
        <v>15</v>
      </c>
      <c r="C72">
        <f t="shared" si="7"/>
        <v>8.6199999999999992</v>
      </c>
      <c r="D72">
        <f t="shared" si="8"/>
        <v>18.7</v>
      </c>
      <c r="E72">
        <f t="shared" si="9"/>
        <v>0</v>
      </c>
      <c r="F72">
        <f t="shared" si="11"/>
        <v>0.6</v>
      </c>
      <c r="G72">
        <f t="shared" si="10"/>
        <v>3.79</v>
      </c>
      <c r="H72">
        <f t="shared" si="6"/>
        <v>12.39</v>
      </c>
    </row>
    <row r="73" spans="1:8" x14ac:dyDescent="0.25">
      <c r="A73" t="s">
        <v>82</v>
      </c>
      <c r="B73">
        <v>10.8</v>
      </c>
      <c r="C73">
        <f t="shared" si="7"/>
        <v>8.6199999999999992</v>
      </c>
      <c r="D73">
        <f t="shared" si="8"/>
        <v>18.7</v>
      </c>
      <c r="E73">
        <f t="shared" si="9"/>
        <v>0</v>
      </c>
      <c r="F73">
        <f t="shared" si="11"/>
        <v>4.2</v>
      </c>
      <c r="G73">
        <f t="shared" si="10"/>
        <v>3.79</v>
      </c>
      <c r="H73">
        <f t="shared" si="6"/>
        <v>12.39</v>
      </c>
    </row>
    <row r="74" spans="1:8" x14ac:dyDescent="0.25">
      <c r="A74" t="s">
        <v>83</v>
      </c>
      <c r="B74">
        <v>5.4</v>
      </c>
      <c r="C74">
        <f t="shared" si="7"/>
        <v>8.6199999999999992</v>
      </c>
      <c r="D74">
        <f t="shared" si="8"/>
        <v>18.7</v>
      </c>
      <c r="E74">
        <f t="shared" si="9"/>
        <v>0</v>
      </c>
      <c r="F74">
        <f t="shared" si="11"/>
        <v>5.4</v>
      </c>
      <c r="G74">
        <f t="shared" si="10"/>
        <v>3.79</v>
      </c>
      <c r="H74">
        <f t="shared" si="6"/>
        <v>12.39</v>
      </c>
    </row>
    <row r="75" spans="1:8" x14ac:dyDescent="0.25">
      <c r="A75" t="s">
        <v>84</v>
      </c>
      <c r="B75">
        <v>3.2</v>
      </c>
      <c r="C75">
        <f t="shared" si="7"/>
        <v>8.6199999999999992</v>
      </c>
      <c r="D75">
        <f t="shared" si="8"/>
        <v>18.7</v>
      </c>
      <c r="E75">
        <f t="shared" si="9"/>
        <v>0</v>
      </c>
      <c r="F75">
        <f t="shared" si="11"/>
        <v>2.2000000000000002</v>
      </c>
      <c r="G75">
        <f t="shared" si="10"/>
        <v>3.79</v>
      </c>
      <c r="H75">
        <f t="shared" si="6"/>
        <v>12.39</v>
      </c>
    </row>
    <row r="76" spans="1:8" x14ac:dyDescent="0.25">
      <c r="A76" t="s">
        <v>85</v>
      </c>
      <c r="B76">
        <v>1.9</v>
      </c>
      <c r="C76">
        <f t="shared" si="7"/>
        <v>8.6199999999999992</v>
      </c>
      <c r="D76">
        <f t="shared" si="8"/>
        <v>18.7</v>
      </c>
      <c r="E76">
        <f t="shared" si="9"/>
        <v>0</v>
      </c>
      <c r="F76">
        <f t="shared" si="11"/>
        <v>1.3</v>
      </c>
      <c r="G76">
        <f t="shared" si="10"/>
        <v>3.79</v>
      </c>
      <c r="H76">
        <f t="shared" si="6"/>
        <v>12.39</v>
      </c>
    </row>
    <row r="77" spans="1:8" x14ac:dyDescent="0.25">
      <c r="A77" t="s">
        <v>86</v>
      </c>
      <c r="B77">
        <v>3.6</v>
      </c>
      <c r="C77">
        <f t="shared" si="7"/>
        <v>8.6199999999999992</v>
      </c>
      <c r="D77">
        <f t="shared" si="8"/>
        <v>18.7</v>
      </c>
      <c r="E77">
        <f t="shared" si="9"/>
        <v>0</v>
      </c>
      <c r="F77">
        <f t="shared" si="11"/>
        <v>1.7</v>
      </c>
      <c r="G77">
        <f t="shared" si="10"/>
        <v>3.79</v>
      </c>
      <c r="H77">
        <f t="shared" si="6"/>
        <v>12.39</v>
      </c>
    </row>
    <row r="78" spans="1:8" x14ac:dyDescent="0.25">
      <c r="A78" t="s">
        <v>87</v>
      </c>
      <c r="B78">
        <v>18.3</v>
      </c>
      <c r="C78">
        <f t="shared" si="7"/>
        <v>8.6199999999999992</v>
      </c>
      <c r="D78">
        <f t="shared" si="8"/>
        <v>18.7</v>
      </c>
      <c r="E78">
        <f t="shared" si="9"/>
        <v>0</v>
      </c>
      <c r="F78">
        <f t="shared" si="11"/>
        <v>14.7</v>
      </c>
      <c r="G78">
        <f t="shared" si="10"/>
        <v>3.79</v>
      </c>
      <c r="H78">
        <f t="shared" si="6"/>
        <v>12.39</v>
      </c>
    </row>
    <row r="79" spans="1:8" x14ac:dyDescent="0.25">
      <c r="A79" t="s">
        <v>88</v>
      </c>
      <c r="B79">
        <v>12.2</v>
      </c>
      <c r="C79">
        <f t="shared" si="7"/>
        <v>8.6199999999999992</v>
      </c>
      <c r="D79">
        <f t="shared" si="8"/>
        <v>18.7</v>
      </c>
      <c r="E79">
        <f t="shared" si="9"/>
        <v>0</v>
      </c>
      <c r="F79">
        <f t="shared" si="11"/>
        <v>6.1</v>
      </c>
      <c r="G79">
        <f t="shared" si="10"/>
        <v>3.79</v>
      </c>
      <c r="H79">
        <f t="shared" si="6"/>
        <v>12.39</v>
      </c>
    </row>
    <row r="80" spans="1:8" x14ac:dyDescent="0.25">
      <c r="A80" t="s">
        <v>89</v>
      </c>
      <c r="B80">
        <v>2.2000000000000002</v>
      </c>
      <c r="C80">
        <f t="shared" si="7"/>
        <v>8.6199999999999992</v>
      </c>
      <c r="D80">
        <f t="shared" si="8"/>
        <v>18.7</v>
      </c>
      <c r="E80">
        <f t="shared" si="9"/>
        <v>0</v>
      </c>
      <c r="F80">
        <f t="shared" si="11"/>
        <v>10</v>
      </c>
      <c r="G80">
        <f t="shared" si="10"/>
        <v>3.79</v>
      </c>
      <c r="H80">
        <f t="shared" si="6"/>
        <v>12.39</v>
      </c>
    </row>
    <row r="81" spans="1:8" x14ac:dyDescent="0.25">
      <c r="A81" t="s">
        <v>90</v>
      </c>
      <c r="B81">
        <v>1.2</v>
      </c>
      <c r="C81">
        <f t="shared" si="7"/>
        <v>8.6199999999999992</v>
      </c>
      <c r="D81">
        <f t="shared" si="8"/>
        <v>18.7</v>
      </c>
      <c r="E81">
        <f t="shared" si="9"/>
        <v>0</v>
      </c>
      <c r="F81">
        <f t="shared" si="11"/>
        <v>1</v>
      </c>
      <c r="G81">
        <f t="shared" si="10"/>
        <v>3.79</v>
      </c>
      <c r="H81">
        <f t="shared" ref="H81:H101" si="12">ROUND(3.268*G81,2)</f>
        <v>12.39</v>
      </c>
    </row>
    <row r="82" spans="1:8" x14ac:dyDescent="0.25">
      <c r="A82" t="s">
        <v>91</v>
      </c>
      <c r="B82">
        <v>1.9</v>
      </c>
      <c r="C82">
        <f t="shared" si="7"/>
        <v>8.6199999999999992</v>
      </c>
      <c r="D82">
        <f t="shared" si="8"/>
        <v>18.7</v>
      </c>
      <c r="E82">
        <f t="shared" si="9"/>
        <v>0</v>
      </c>
      <c r="F82">
        <f t="shared" si="11"/>
        <v>0.7</v>
      </c>
      <c r="G82">
        <f t="shared" si="10"/>
        <v>3.79</v>
      </c>
      <c r="H82">
        <f t="shared" si="12"/>
        <v>12.39</v>
      </c>
    </row>
    <row r="83" spans="1:8" x14ac:dyDescent="0.25">
      <c r="A83" t="s">
        <v>92</v>
      </c>
      <c r="B83">
        <v>4.5999999999999996</v>
      </c>
      <c r="C83">
        <f t="shared" si="7"/>
        <v>8.6199999999999992</v>
      </c>
      <c r="D83">
        <f t="shared" si="8"/>
        <v>18.7</v>
      </c>
      <c r="E83">
        <f t="shared" si="9"/>
        <v>0</v>
      </c>
      <c r="F83">
        <f t="shared" si="11"/>
        <v>2.7</v>
      </c>
      <c r="G83">
        <f t="shared" si="10"/>
        <v>3.79</v>
      </c>
      <c r="H83">
        <f t="shared" si="12"/>
        <v>12.39</v>
      </c>
    </row>
    <row r="84" spans="1:8" x14ac:dyDescent="0.25">
      <c r="A84" t="s">
        <v>93</v>
      </c>
      <c r="B84">
        <v>4</v>
      </c>
      <c r="C84">
        <f t="shared" si="7"/>
        <v>8.6199999999999992</v>
      </c>
      <c r="D84">
        <f t="shared" si="8"/>
        <v>18.7</v>
      </c>
      <c r="E84">
        <f t="shared" si="9"/>
        <v>0</v>
      </c>
      <c r="F84">
        <f t="shared" si="11"/>
        <v>0.6</v>
      </c>
      <c r="G84">
        <f t="shared" si="10"/>
        <v>3.79</v>
      </c>
      <c r="H84">
        <f t="shared" si="12"/>
        <v>12.39</v>
      </c>
    </row>
    <row r="85" spans="1:8" x14ac:dyDescent="0.25">
      <c r="A85" t="s">
        <v>94</v>
      </c>
      <c r="B85">
        <v>4.5</v>
      </c>
      <c r="C85">
        <f t="shared" si="7"/>
        <v>8.6199999999999992</v>
      </c>
      <c r="D85">
        <f t="shared" si="8"/>
        <v>18.7</v>
      </c>
      <c r="E85">
        <f t="shared" si="9"/>
        <v>0</v>
      </c>
      <c r="F85">
        <f t="shared" si="11"/>
        <v>0.5</v>
      </c>
      <c r="G85">
        <f t="shared" si="10"/>
        <v>3.79</v>
      </c>
      <c r="H85">
        <f t="shared" si="12"/>
        <v>12.39</v>
      </c>
    </row>
    <row r="86" spans="1:8" x14ac:dyDescent="0.25">
      <c r="A86" t="s">
        <v>95</v>
      </c>
      <c r="B86">
        <v>2.9</v>
      </c>
      <c r="C86">
        <f t="shared" si="7"/>
        <v>8.6199999999999992</v>
      </c>
      <c r="D86">
        <f t="shared" si="8"/>
        <v>18.7</v>
      </c>
      <c r="E86">
        <f t="shared" si="9"/>
        <v>0</v>
      </c>
      <c r="F86">
        <f t="shared" si="11"/>
        <v>1.6</v>
      </c>
      <c r="G86">
        <f t="shared" si="10"/>
        <v>3.79</v>
      </c>
      <c r="H86">
        <f t="shared" si="12"/>
        <v>12.39</v>
      </c>
    </row>
    <row r="87" spans="1:8" x14ac:dyDescent="0.25">
      <c r="A87" t="s">
        <v>96</v>
      </c>
      <c r="B87">
        <v>3.5</v>
      </c>
      <c r="C87">
        <f t="shared" si="7"/>
        <v>8.6199999999999992</v>
      </c>
      <c r="D87">
        <f t="shared" si="8"/>
        <v>18.7</v>
      </c>
      <c r="E87">
        <f t="shared" si="9"/>
        <v>0</v>
      </c>
      <c r="F87">
        <f t="shared" si="11"/>
        <v>0.6</v>
      </c>
      <c r="G87">
        <f t="shared" si="10"/>
        <v>3.79</v>
      </c>
      <c r="H87">
        <f t="shared" si="12"/>
        <v>12.39</v>
      </c>
    </row>
    <row r="88" spans="1:8" x14ac:dyDescent="0.25">
      <c r="A88" t="s">
        <v>97</v>
      </c>
      <c r="B88">
        <v>0.7</v>
      </c>
      <c r="C88">
        <f t="shared" si="7"/>
        <v>8.6199999999999992</v>
      </c>
      <c r="D88">
        <f t="shared" si="8"/>
        <v>18.7</v>
      </c>
      <c r="E88">
        <f t="shared" si="9"/>
        <v>0</v>
      </c>
      <c r="F88">
        <f t="shared" si="11"/>
        <v>2.8</v>
      </c>
      <c r="G88">
        <f t="shared" si="10"/>
        <v>3.79</v>
      </c>
      <c r="H88">
        <f t="shared" si="12"/>
        <v>12.39</v>
      </c>
    </row>
    <row r="89" spans="1:8" x14ac:dyDescent="0.25">
      <c r="A89" t="s">
        <v>98</v>
      </c>
      <c r="B89">
        <v>0</v>
      </c>
      <c r="C89">
        <f t="shared" si="7"/>
        <v>8.6199999999999992</v>
      </c>
      <c r="D89">
        <f t="shared" si="8"/>
        <v>18.7</v>
      </c>
      <c r="E89">
        <f t="shared" si="9"/>
        <v>0</v>
      </c>
      <c r="F89">
        <f t="shared" si="11"/>
        <v>0.7</v>
      </c>
      <c r="G89">
        <f t="shared" si="10"/>
        <v>3.79</v>
      </c>
      <c r="H89">
        <f t="shared" si="12"/>
        <v>12.39</v>
      </c>
    </row>
    <row r="90" spans="1:8" x14ac:dyDescent="0.25">
      <c r="A90" t="s">
        <v>99</v>
      </c>
      <c r="B90">
        <v>0.7</v>
      </c>
      <c r="C90">
        <f t="shared" si="7"/>
        <v>8.6199999999999992</v>
      </c>
      <c r="D90">
        <f t="shared" si="8"/>
        <v>18.7</v>
      </c>
      <c r="E90">
        <f t="shared" si="9"/>
        <v>0</v>
      </c>
      <c r="F90">
        <f t="shared" si="11"/>
        <v>0.7</v>
      </c>
      <c r="G90">
        <f t="shared" si="10"/>
        <v>3.79</v>
      </c>
      <c r="H90">
        <f t="shared" si="12"/>
        <v>12.39</v>
      </c>
    </row>
    <row r="91" spans="1:8" x14ac:dyDescent="0.25">
      <c r="A91" t="s">
        <v>100</v>
      </c>
      <c r="B91">
        <v>1</v>
      </c>
      <c r="C91">
        <f t="shared" si="7"/>
        <v>8.6199999999999992</v>
      </c>
      <c r="D91">
        <f t="shared" si="8"/>
        <v>18.7</v>
      </c>
      <c r="E91">
        <f t="shared" si="9"/>
        <v>0</v>
      </c>
      <c r="F91">
        <f t="shared" si="11"/>
        <v>0.3</v>
      </c>
      <c r="G91">
        <f t="shared" si="10"/>
        <v>3.79</v>
      </c>
      <c r="H91">
        <f t="shared" si="12"/>
        <v>12.39</v>
      </c>
    </row>
    <row r="92" spans="1:8" x14ac:dyDescent="0.25">
      <c r="A92" t="s">
        <v>101</v>
      </c>
      <c r="B92">
        <v>1.1000000000000001</v>
      </c>
      <c r="C92">
        <f t="shared" si="7"/>
        <v>8.6199999999999992</v>
      </c>
      <c r="D92">
        <f t="shared" si="8"/>
        <v>18.7</v>
      </c>
      <c r="E92">
        <f t="shared" si="9"/>
        <v>0</v>
      </c>
      <c r="F92">
        <f t="shared" si="11"/>
        <v>0.1</v>
      </c>
      <c r="G92">
        <f t="shared" si="10"/>
        <v>3.79</v>
      </c>
      <c r="H92">
        <f t="shared" si="12"/>
        <v>12.39</v>
      </c>
    </row>
    <row r="93" spans="1:8" x14ac:dyDescent="0.25">
      <c r="A93" t="s">
        <v>102</v>
      </c>
      <c r="B93">
        <v>0.4</v>
      </c>
      <c r="C93">
        <f t="shared" si="7"/>
        <v>8.6199999999999992</v>
      </c>
      <c r="D93">
        <f t="shared" si="8"/>
        <v>18.7</v>
      </c>
      <c r="E93">
        <f t="shared" si="9"/>
        <v>0</v>
      </c>
      <c r="F93">
        <f t="shared" si="11"/>
        <v>0.7</v>
      </c>
      <c r="G93">
        <f t="shared" si="10"/>
        <v>3.79</v>
      </c>
      <c r="H93">
        <f t="shared" si="12"/>
        <v>12.39</v>
      </c>
    </row>
    <row r="94" spans="1:8" x14ac:dyDescent="0.25">
      <c r="A94" t="s">
        <v>103</v>
      </c>
      <c r="B94">
        <v>0</v>
      </c>
      <c r="C94">
        <f t="shared" si="7"/>
        <v>8.6199999999999992</v>
      </c>
      <c r="D94">
        <f t="shared" si="8"/>
        <v>18.7</v>
      </c>
      <c r="E94">
        <f t="shared" si="9"/>
        <v>0</v>
      </c>
      <c r="F94">
        <f t="shared" si="11"/>
        <v>0.4</v>
      </c>
      <c r="G94">
        <f t="shared" si="10"/>
        <v>3.79</v>
      </c>
      <c r="H94">
        <f t="shared" si="12"/>
        <v>12.39</v>
      </c>
    </row>
    <row r="95" spans="1:8" x14ac:dyDescent="0.25">
      <c r="A95" t="s">
        <v>104</v>
      </c>
      <c r="B95">
        <v>1</v>
      </c>
      <c r="C95">
        <f t="shared" si="7"/>
        <v>8.6199999999999992</v>
      </c>
      <c r="D95">
        <f t="shared" si="8"/>
        <v>18.7</v>
      </c>
      <c r="E95">
        <f t="shared" si="9"/>
        <v>0</v>
      </c>
      <c r="F95">
        <f t="shared" si="11"/>
        <v>1</v>
      </c>
      <c r="G95">
        <f t="shared" si="10"/>
        <v>3.79</v>
      </c>
      <c r="H95">
        <f t="shared" si="12"/>
        <v>12.39</v>
      </c>
    </row>
    <row r="96" spans="1:8" x14ac:dyDescent="0.25">
      <c r="A96" t="s">
        <v>105</v>
      </c>
      <c r="B96">
        <v>2.2999999999999998</v>
      </c>
      <c r="C96">
        <f t="shared" si="7"/>
        <v>8.6199999999999992</v>
      </c>
      <c r="D96">
        <f t="shared" si="8"/>
        <v>18.7</v>
      </c>
      <c r="E96">
        <f t="shared" si="9"/>
        <v>0</v>
      </c>
      <c r="F96">
        <f t="shared" si="11"/>
        <v>1.3</v>
      </c>
      <c r="G96">
        <f t="shared" si="10"/>
        <v>3.79</v>
      </c>
      <c r="H96">
        <f t="shared" si="12"/>
        <v>12.39</v>
      </c>
    </row>
    <row r="97" spans="1:8" x14ac:dyDescent="0.25">
      <c r="A97" t="s">
        <v>106</v>
      </c>
      <c r="B97">
        <v>2.9</v>
      </c>
      <c r="C97">
        <f t="shared" si="7"/>
        <v>8.6199999999999992</v>
      </c>
      <c r="D97">
        <f t="shared" si="8"/>
        <v>18.7</v>
      </c>
      <c r="E97">
        <f t="shared" si="9"/>
        <v>0</v>
      </c>
      <c r="F97">
        <f t="shared" si="11"/>
        <v>0.6</v>
      </c>
      <c r="G97">
        <f t="shared" si="10"/>
        <v>3.79</v>
      </c>
      <c r="H97">
        <f t="shared" si="12"/>
        <v>12.39</v>
      </c>
    </row>
    <row r="98" spans="1:8" x14ac:dyDescent="0.25">
      <c r="A98" t="s">
        <v>107</v>
      </c>
      <c r="B98">
        <v>1.3</v>
      </c>
      <c r="C98">
        <f t="shared" si="7"/>
        <v>8.6199999999999992</v>
      </c>
      <c r="D98">
        <f t="shared" si="8"/>
        <v>18.7</v>
      </c>
      <c r="E98">
        <f t="shared" si="9"/>
        <v>0</v>
      </c>
      <c r="F98">
        <f t="shared" si="11"/>
        <v>1.6</v>
      </c>
      <c r="G98">
        <f t="shared" si="10"/>
        <v>3.79</v>
      </c>
      <c r="H98">
        <f t="shared" si="12"/>
        <v>12.39</v>
      </c>
    </row>
    <row r="99" spans="1:8" x14ac:dyDescent="0.25">
      <c r="A99" t="s">
        <v>108</v>
      </c>
      <c r="B99">
        <v>2.2000000000000002</v>
      </c>
      <c r="C99">
        <f t="shared" si="7"/>
        <v>8.6199999999999992</v>
      </c>
      <c r="D99">
        <f t="shared" si="8"/>
        <v>18.7</v>
      </c>
      <c r="E99">
        <f t="shared" si="9"/>
        <v>0</v>
      </c>
      <c r="F99">
        <f t="shared" si="11"/>
        <v>0.9</v>
      </c>
      <c r="G99">
        <f t="shared" si="10"/>
        <v>3.79</v>
      </c>
      <c r="H99">
        <f t="shared" si="12"/>
        <v>12.39</v>
      </c>
    </row>
    <row r="100" spans="1:8" x14ac:dyDescent="0.25">
      <c r="A100" t="s">
        <v>109</v>
      </c>
      <c r="B100">
        <v>3.1</v>
      </c>
      <c r="C100">
        <f t="shared" si="7"/>
        <v>8.6199999999999992</v>
      </c>
      <c r="D100">
        <f t="shared" si="8"/>
        <v>18.7</v>
      </c>
      <c r="E100">
        <f t="shared" si="9"/>
        <v>0</v>
      </c>
      <c r="F100">
        <f t="shared" si="11"/>
        <v>0.9</v>
      </c>
      <c r="G100">
        <f t="shared" si="10"/>
        <v>3.79</v>
      </c>
      <c r="H100">
        <f t="shared" si="12"/>
        <v>12.39</v>
      </c>
    </row>
    <row r="101" spans="1:8" x14ac:dyDescent="0.25">
      <c r="A101" t="s">
        <v>110</v>
      </c>
      <c r="B101">
        <v>4.9000000000000004</v>
      </c>
      <c r="C101">
        <f t="shared" si="7"/>
        <v>8.6199999999999992</v>
      </c>
      <c r="D101">
        <f t="shared" si="8"/>
        <v>18.7</v>
      </c>
      <c r="E101">
        <f t="shared" si="9"/>
        <v>0</v>
      </c>
      <c r="F101">
        <f t="shared" si="11"/>
        <v>1.8</v>
      </c>
      <c r="G101">
        <f t="shared" si="10"/>
        <v>3.79</v>
      </c>
      <c r="H101">
        <f t="shared" si="12"/>
        <v>12.39</v>
      </c>
    </row>
  </sheetData>
  <mergeCells count="3">
    <mergeCell ref="J1:X1"/>
    <mergeCell ref="J2:X14"/>
    <mergeCell ref="A1:H1"/>
  </mergeCells>
  <conditionalFormatting sqref="B3:B101">
    <cfRule type="cellIs" dxfId="2" priority="2" operator="equal">
      <formula>$E$3</formula>
    </cfRule>
    <cfRule type="cellIs" dxfId="1" priority="3" operator="greaterThan">
      <formula>$D$3</formula>
    </cfRule>
  </conditionalFormatting>
  <conditionalFormatting sqref="F4:F101">
    <cfRule type="cellIs" dxfId="0" priority="1" operator="greaterThan">
      <formula>$H$3</formula>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A62E4-B064-4465-AE14-D5CA912D0B90}">
  <dimension ref="A1:H100"/>
  <sheetViews>
    <sheetView workbookViewId="0">
      <selection activeCell="D5" sqref="D5"/>
    </sheetView>
  </sheetViews>
  <sheetFormatPr defaultRowHeight="13.2" x14ac:dyDescent="0.25"/>
  <cols>
    <col min="1" max="1" width="20.77734375" bestFit="1" customWidth="1"/>
    <col min="2" max="2" width="17.77734375" bestFit="1" customWidth="1"/>
    <col min="3" max="3" width="9.77734375" bestFit="1" customWidth="1"/>
    <col min="4" max="4" width="7.21875" bestFit="1" customWidth="1"/>
    <col min="5" max="5" width="12.6640625" bestFit="1" customWidth="1"/>
    <col min="6" max="6" width="8.5546875" bestFit="1" customWidth="1"/>
    <col min="7" max="7" width="9.33203125" bestFit="1" customWidth="1"/>
    <col min="8" max="8" width="7.21875" bestFit="1" customWidth="1"/>
  </cols>
  <sheetData>
    <row r="1" spans="1:8" x14ac:dyDescent="0.25">
      <c r="A1" t="s">
        <v>116</v>
      </c>
      <c r="B1" t="s">
        <v>117</v>
      </c>
      <c r="C1" t="s">
        <v>131</v>
      </c>
      <c r="D1" t="s">
        <v>132</v>
      </c>
      <c r="E1" t="s">
        <v>3</v>
      </c>
      <c r="F1" t="s">
        <v>133</v>
      </c>
      <c r="G1" t="s">
        <v>134</v>
      </c>
      <c r="H1" t="s">
        <v>4</v>
      </c>
    </row>
    <row r="2" spans="1:8" x14ac:dyDescent="0.25">
      <c r="A2" t="s">
        <v>118</v>
      </c>
      <c r="B2" t="s">
        <v>119</v>
      </c>
      <c r="C2" t="s">
        <v>135</v>
      </c>
      <c r="D2">
        <v>1841</v>
      </c>
      <c r="E2" t="s">
        <v>12</v>
      </c>
      <c r="F2">
        <v>254</v>
      </c>
      <c r="G2">
        <v>37</v>
      </c>
      <c r="H2">
        <v>14.6</v>
      </c>
    </row>
    <row r="3" spans="1:8" x14ac:dyDescent="0.25">
      <c r="A3" t="s">
        <v>118</v>
      </c>
      <c r="B3" t="s">
        <v>119</v>
      </c>
      <c r="C3" t="s">
        <v>136</v>
      </c>
      <c r="D3">
        <v>1841</v>
      </c>
      <c r="E3" t="s">
        <v>13</v>
      </c>
      <c r="F3">
        <v>239</v>
      </c>
      <c r="G3">
        <v>18</v>
      </c>
      <c r="H3">
        <v>7.5</v>
      </c>
    </row>
    <row r="4" spans="1:8" x14ac:dyDescent="0.25">
      <c r="A4" t="s">
        <v>118</v>
      </c>
      <c r="B4" t="s">
        <v>119</v>
      </c>
      <c r="C4" t="s">
        <v>137</v>
      </c>
      <c r="D4">
        <v>1841</v>
      </c>
      <c r="E4" t="s">
        <v>14</v>
      </c>
      <c r="F4">
        <v>277</v>
      </c>
      <c r="G4">
        <v>12</v>
      </c>
      <c r="H4">
        <v>4.3</v>
      </c>
    </row>
    <row r="5" spans="1:8" x14ac:dyDescent="0.25">
      <c r="A5" t="s">
        <v>118</v>
      </c>
      <c r="B5" t="s">
        <v>119</v>
      </c>
      <c r="C5" t="s">
        <v>138</v>
      </c>
      <c r="D5">
        <v>1841</v>
      </c>
      <c r="E5" t="s">
        <v>15</v>
      </c>
      <c r="F5">
        <v>255</v>
      </c>
      <c r="G5">
        <v>4</v>
      </c>
      <c r="H5">
        <v>1.6</v>
      </c>
    </row>
    <row r="6" spans="1:8" x14ac:dyDescent="0.25">
      <c r="A6" t="s">
        <v>118</v>
      </c>
      <c r="B6" t="s">
        <v>119</v>
      </c>
      <c r="C6" t="s">
        <v>139</v>
      </c>
      <c r="D6">
        <v>1841</v>
      </c>
      <c r="E6" t="s">
        <v>16</v>
      </c>
      <c r="F6">
        <v>255</v>
      </c>
      <c r="G6">
        <v>2</v>
      </c>
      <c r="H6">
        <v>0.8</v>
      </c>
    </row>
    <row r="7" spans="1:8" x14ac:dyDescent="0.25">
      <c r="A7" t="s">
        <v>118</v>
      </c>
      <c r="B7" t="s">
        <v>119</v>
      </c>
      <c r="C7" t="s">
        <v>140</v>
      </c>
      <c r="D7">
        <v>1841</v>
      </c>
      <c r="E7" t="s">
        <v>17</v>
      </c>
      <c r="F7">
        <v>200</v>
      </c>
      <c r="G7">
        <v>10</v>
      </c>
      <c r="H7">
        <v>5</v>
      </c>
    </row>
    <row r="8" spans="1:8" x14ac:dyDescent="0.25">
      <c r="A8" t="s">
        <v>118</v>
      </c>
      <c r="B8" t="s">
        <v>119</v>
      </c>
      <c r="C8" t="s">
        <v>141</v>
      </c>
      <c r="D8">
        <v>1841</v>
      </c>
      <c r="E8" t="s">
        <v>18</v>
      </c>
      <c r="F8">
        <v>190</v>
      </c>
      <c r="G8">
        <v>16</v>
      </c>
      <c r="H8">
        <v>8.4</v>
      </c>
    </row>
    <row r="9" spans="1:8" x14ac:dyDescent="0.25">
      <c r="A9" t="s">
        <v>118</v>
      </c>
      <c r="B9" t="s">
        <v>119</v>
      </c>
      <c r="C9" t="s">
        <v>142</v>
      </c>
      <c r="D9">
        <v>1841</v>
      </c>
      <c r="E9" t="s">
        <v>19</v>
      </c>
      <c r="F9">
        <v>222</v>
      </c>
      <c r="G9">
        <v>3</v>
      </c>
      <c r="H9">
        <v>1.4</v>
      </c>
    </row>
    <row r="10" spans="1:8" x14ac:dyDescent="0.25">
      <c r="A10" t="s">
        <v>118</v>
      </c>
      <c r="B10" t="s">
        <v>119</v>
      </c>
      <c r="C10" t="s">
        <v>143</v>
      </c>
      <c r="D10">
        <v>1841</v>
      </c>
      <c r="E10" t="s">
        <v>20</v>
      </c>
      <c r="F10">
        <v>213</v>
      </c>
      <c r="G10">
        <v>4</v>
      </c>
      <c r="H10">
        <v>1.9</v>
      </c>
    </row>
    <row r="11" spans="1:8" x14ac:dyDescent="0.25">
      <c r="A11" t="s">
        <v>118</v>
      </c>
      <c r="B11" t="s">
        <v>119</v>
      </c>
      <c r="C11" t="s">
        <v>144</v>
      </c>
      <c r="D11">
        <v>1841</v>
      </c>
      <c r="E11" t="s">
        <v>21</v>
      </c>
      <c r="F11">
        <v>236</v>
      </c>
      <c r="G11">
        <v>26</v>
      </c>
      <c r="H11">
        <v>11</v>
      </c>
    </row>
    <row r="12" spans="1:8" x14ac:dyDescent="0.25">
      <c r="A12" t="s">
        <v>118</v>
      </c>
      <c r="B12" t="s">
        <v>119</v>
      </c>
      <c r="C12" t="s">
        <v>145</v>
      </c>
      <c r="D12">
        <v>1841</v>
      </c>
      <c r="E12" t="s">
        <v>22</v>
      </c>
      <c r="F12">
        <v>235</v>
      </c>
      <c r="G12">
        <v>53</v>
      </c>
      <c r="H12">
        <v>22.6</v>
      </c>
    </row>
    <row r="13" spans="1:8" x14ac:dyDescent="0.25">
      <c r="A13" t="s">
        <v>118</v>
      </c>
      <c r="B13" t="s">
        <v>119</v>
      </c>
      <c r="C13" t="s">
        <v>146</v>
      </c>
      <c r="D13">
        <v>1841</v>
      </c>
      <c r="E13" t="s">
        <v>23</v>
      </c>
    </row>
    <row r="14" spans="1:8" x14ac:dyDescent="0.25">
      <c r="A14" t="s">
        <v>118</v>
      </c>
      <c r="B14" t="s">
        <v>119</v>
      </c>
      <c r="C14" t="s">
        <v>135</v>
      </c>
      <c r="D14">
        <v>1842</v>
      </c>
      <c r="E14" t="s">
        <v>24</v>
      </c>
      <c r="F14">
        <v>307</v>
      </c>
      <c r="G14">
        <v>64</v>
      </c>
      <c r="H14">
        <v>20.8</v>
      </c>
    </row>
    <row r="15" spans="1:8" x14ac:dyDescent="0.25">
      <c r="A15" t="s">
        <v>118</v>
      </c>
      <c r="B15" t="s">
        <v>119</v>
      </c>
      <c r="C15" t="s">
        <v>136</v>
      </c>
      <c r="D15">
        <v>1842</v>
      </c>
      <c r="E15" t="s">
        <v>25</v>
      </c>
      <c r="F15">
        <v>311</v>
      </c>
      <c r="G15">
        <v>38</v>
      </c>
      <c r="H15">
        <v>12.2</v>
      </c>
    </row>
    <row r="16" spans="1:8" x14ac:dyDescent="0.25">
      <c r="A16" t="s">
        <v>118</v>
      </c>
      <c r="B16" t="s">
        <v>119</v>
      </c>
      <c r="C16" t="s">
        <v>137</v>
      </c>
      <c r="D16">
        <v>1842</v>
      </c>
      <c r="E16" t="s">
        <v>26</v>
      </c>
      <c r="F16">
        <v>264</v>
      </c>
      <c r="G16">
        <v>27</v>
      </c>
      <c r="H16">
        <v>10.199999999999999</v>
      </c>
    </row>
    <row r="17" spans="1:8" x14ac:dyDescent="0.25">
      <c r="A17" t="s">
        <v>118</v>
      </c>
      <c r="B17" t="s">
        <v>119</v>
      </c>
      <c r="C17" t="s">
        <v>138</v>
      </c>
      <c r="D17">
        <v>1842</v>
      </c>
      <c r="E17" t="s">
        <v>27</v>
      </c>
      <c r="F17">
        <v>242</v>
      </c>
      <c r="G17">
        <v>26</v>
      </c>
      <c r="H17">
        <v>10.7</v>
      </c>
    </row>
    <row r="18" spans="1:8" x14ac:dyDescent="0.25">
      <c r="A18" t="s">
        <v>118</v>
      </c>
      <c r="B18" t="s">
        <v>119</v>
      </c>
      <c r="C18" t="s">
        <v>139</v>
      </c>
      <c r="D18">
        <v>1842</v>
      </c>
      <c r="E18" t="s">
        <v>28</v>
      </c>
      <c r="F18">
        <v>310</v>
      </c>
      <c r="G18">
        <v>10</v>
      </c>
      <c r="H18">
        <v>3.2</v>
      </c>
    </row>
    <row r="19" spans="1:8" x14ac:dyDescent="0.25">
      <c r="A19" t="s">
        <v>118</v>
      </c>
      <c r="B19" t="s">
        <v>119</v>
      </c>
      <c r="C19" t="s">
        <v>140</v>
      </c>
      <c r="D19">
        <v>1842</v>
      </c>
      <c r="E19" t="s">
        <v>29</v>
      </c>
      <c r="F19">
        <v>273</v>
      </c>
      <c r="G19">
        <v>18</v>
      </c>
      <c r="H19">
        <v>6.6</v>
      </c>
    </row>
    <row r="20" spans="1:8" x14ac:dyDescent="0.25">
      <c r="A20" t="s">
        <v>118</v>
      </c>
      <c r="B20" t="s">
        <v>119</v>
      </c>
      <c r="C20" t="s">
        <v>141</v>
      </c>
      <c r="D20">
        <v>1842</v>
      </c>
      <c r="E20" t="s">
        <v>30</v>
      </c>
      <c r="F20">
        <v>231</v>
      </c>
      <c r="G20">
        <v>48</v>
      </c>
      <c r="H20">
        <v>20.8</v>
      </c>
    </row>
    <row r="21" spans="1:8" x14ac:dyDescent="0.25">
      <c r="A21" t="s">
        <v>118</v>
      </c>
      <c r="B21" t="s">
        <v>119</v>
      </c>
      <c r="C21" t="s">
        <v>142</v>
      </c>
      <c r="D21">
        <v>1842</v>
      </c>
      <c r="E21" t="s">
        <v>31</v>
      </c>
      <c r="F21">
        <v>216</v>
      </c>
      <c r="G21">
        <v>55</v>
      </c>
      <c r="H21">
        <v>25.5</v>
      </c>
    </row>
    <row r="22" spans="1:8" x14ac:dyDescent="0.25">
      <c r="A22" t="s">
        <v>118</v>
      </c>
      <c r="B22" t="s">
        <v>119</v>
      </c>
      <c r="C22" t="s">
        <v>143</v>
      </c>
      <c r="D22">
        <v>1842</v>
      </c>
      <c r="E22" t="s">
        <v>32</v>
      </c>
      <c r="F22">
        <v>223</v>
      </c>
      <c r="G22">
        <v>41</v>
      </c>
      <c r="H22">
        <v>18.399999999999999</v>
      </c>
    </row>
    <row r="23" spans="1:8" x14ac:dyDescent="0.25">
      <c r="A23" t="s">
        <v>118</v>
      </c>
      <c r="B23" t="s">
        <v>119</v>
      </c>
      <c r="C23" t="s">
        <v>144</v>
      </c>
      <c r="D23">
        <v>1842</v>
      </c>
      <c r="E23" t="s">
        <v>33</v>
      </c>
      <c r="F23">
        <v>242</v>
      </c>
      <c r="G23">
        <v>71</v>
      </c>
      <c r="H23">
        <v>29.3</v>
      </c>
    </row>
    <row r="24" spans="1:8" x14ac:dyDescent="0.25">
      <c r="A24" t="s">
        <v>118</v>
      </c>
      <c r="B24" t="s">
        <v>119</v>
      </c>
      <c r="C24" t="s">
        <v>145</v>
      </c>
      <c r="D24">
        <v>1842</v>
      </c>
      <c r="E24" t="s">
        <v>34</v>
      </c>
      <c r="F24">
        <v>209</v>
      </c>
      <c r="G24">
        <v>48</v>
      </c>
      <c r="H24">
        <v>23</v>
      </c>
    </row>
    <row r="25" spans="1:8" x14ac:dyDescent="0.25">
      <c r="A25" t="s">
        <v>118</v>
      </c>
      <c r="B25" t="s">
        <v>119</v>
      </c>
      <c r="C25" t="s">
        <v>146</v>
      </c>
      <c r="D25">
        <v>1842</v>
      </c>
      <c r="E25" t="s">
        <v>35</v>
      </c>
      <c r="F25">
        <v>239</v>
      </c>
      <c r="G25">
        <v>75</v>
      </c>
      <c r="H25">
        <v>31.4</v>
      </c>
    </row>
    <row r="26" spans="1:8" x14ac:dyDescent="0.25">
      <c r="A26" t="s">
        <v>118</v>
      </c>
      <c r="B26" t="s">
        <v>119</v>
      </c>
      <c r="C26" t="s">
        <v>135</v>
      </c>
      <c r="D26">
        <v>1843</v>
      </c>
      <c r="E26" t="s">
        <v>36</v>
      </c>
      <c r="F26">
        <v>272</v>
      </c>
      <c r="G26">
        <v>52</v>
      </c>
      <c r="H26">
        <v>19.100000000000001</v>
      </c>
    </row>
    <row r="27" spans="1:8" x14ac:dyDescent="0.25">
      <c r="A27" t="s">
        <v>118</v>
      </c>
      <c r="B27" t="s">
        <v>119</v>
      </c>
      <c r="C27" t="s">
        <v>136</v>
      </c>
      <c r="D27">
        <v>1843</v>
      </c>
      <c r="E27" t="s">
        <v>37</v>
      </c>
      <c r="F27">
        <v>263</v>
      </c>
      <c r="G27">
        <v>42</v>
      </c>
      <c r="H27">
        <v>16</v>
      </c>
    </row>
    <row r="28" spans="1:8" x14ac:dyDescent="0.25">
      <c r="A28" t="s">
        <v>118</v>
      </c>
      <c r="B28" t="s">
        <v>119</v>
      </c>
      <c r="C28" t="s">
        <v>147</v>
      </c>
      <c r="D28">
        <v>1843</v>
      </c>
      <c r="E28" t="s">
        <v>38</v>
      </c>
      <c r="F28">
        <v>266</v>
      </c>
      <c r="G28">
        <v>33</v>
      </c>
      <c r="H28">
        <v>12.4</v>
      </c>
    </row>
    <row r="29" spans="1:8" x14ac:dyDescent="0.25">
      <c r="A29" t="s">
        <v>118</v>
      </c>
      <c r="B29" t="s">
        <v>119</v>
      </c>
      <c r="C29" t="s">
        <v>138</v>
      </c>
      <c r="D29">
        <v>1843</v>
      </c>
      <c r="E29" t="s">
        <v>39</v>
      </c>
      <c r="F29">
        <v>285</v>
      </c>
      <c r="G29">
        <v>34</v>
      </c>
      <c r="H29">
        <v>11.9</v>
      </c>
    </row>
    <row r="30" spans="1:8" x14ac:dyDescent="0.25">
      <c r="A30" t="s">
        <v>118</v>
      </c>
      <c r="B30" t="s">
        <v>119</v>
      </c>
      <c r="C30" t="s">
        <v>139</v>
      </c>
      <c r="D30">
        <v>1843</v>
      </c>
      <c r="E30" t="s">
        <v>40</v>
      </c>
      <c r="F30">
        <v>246</v>
      </c>
      <c r="G30">
        <v>15</v>
      </c>
      <c r="H30">
        <v>6.1</v>
      </c>
    </row>
    <row r="31" spans="1:8" x14ac:dyDescent="0.25">
      <c r="A31" t="s">
        <v>118</v>
      </c>
      <c r="B31" t="s">
        <v>119</v>
      </c>
      <c r="C31" t="s">
        <v>140</v>
      </c>
      <c r="D31">
        <v>1843</v>
      </c>
      <c r="E31" t="s">
        <v>41</v>
      </c>
      <c r="F31">
        <v>196</v>
      </c>
      <c r="G31">
        <v>8</v>
      </c>
      <c r="H31">
        <v>4.0999999999999996</v>
      </c>
    </row>
    <row r="32" spans="1:8" x14ac:dyDescent="0.25">
      <c r="A32" t="s">
        <v>118</v>
      </c>
      <c r="B32" t="s">
        <v>119</v>
      </c>
      <c r="C32" t="s">
        <v>141</v>
      </c>
      <c r="D32">
        <v>1843</v>
      </c>
      <c r="E32" t="s">
        <v>42</v>
      </c>
      <c r="F32">
        <v>191</v>
      </c>
      <c r="G32">
        <v>1</v>
      </c>
      <c r="H32">
        <v>0.5</v>
      </c>
    </row>
    <row r="33" spans="1:8" x14ac:dyDescent="0.25">
      <c r="A33" t="s">
        <v>118</v>
      </c>
      <c r="B33" t="s">
        <v>119</v>
      </c>
      <c r="C33" t="s">
        <v>142</v>
      </c>
      <c r="D33">
        <v>1843</v>
      </c>
      <c r="E33" t="s">
        <v>43</v>
      </c>
      <c r="F33">
        <v>193</v>
      </c>
      <c r="G33">
        <v>3</v>
      </c>
      <c r="H33">
        <v>1.6</v>
      </c>
    </row>
    <row r="34" spans="1:8" x14ac:dyDescent="0.25">
      <c r="A34" t="s">
        <v>118</v>
      </c>
      <c r="B34" t="s">
        <v>119</v>
      </c>
      <c r="C34" t="s">
        <v>143</v>
      </c>
      <c r="D34">
        <v>1843</v>
      </c>
      <c r="E34" t="s">
        <v>44</v>
      </c>
      <c r="F34">
        <v>221</v>
      </c>
      <c r="G34">
        <v>5</v>
      </c>
      <c r="H34">
        <v>2.2999999999999998</v>
      </c>
    </row>
    <row r="35" spans="1:8" x14ac:dyDescent="0.25">
      <c r="A35" t="s">
        <v>118</v>
      </c>
      <c r="B35" t="s">
        <v>119</v>
      </c>
      <c r="C35" t="s">
        <v>144</v>
      </c>
      <c r="D35">
        <v>1843</v>
      </c>
      <c r="E35" t="s">
        <v>45</v>
      </c>
      <c r="F35">
        <v>250</v>
      </c>
      <c r="G35">
        <v>44</v>
      </c>
      <c r="H35">
        <v>17.600000000000001</v>
      </c>
    </row>
    <row r="36" spans="1:8" x14ac:dyDescent="0.25">
      <c r="A36" t="s">
        <v>118</v>
      </c>
      <c r="B36" t="s">
        <v>119</v>
      </c>
      <c r="C36" t="s">
        <v>145</v>
      </c>
      <c r="D36">
        <v>1843</v>
      </c>
      <c r="E36" t="s">
        <v>46</v>
      </c>
      <c r="F36">
        <v>252</v>
      </c>
      <c r="G36">
        <v>18</v>
      </c>
      <c r="H36">
        <v>7.1</v>
      </c>
    </row>
    <row r="37" spans="1:8" x14ac:dyDescent="0.25">
      <c r="A37" t="s">
        <v>118</v>
      </c>
      <c r="B37" t="s">
        <v>119</v>
      </c>
      <c r="C37" t="s">
        <v>146</v>
      </c>
      <c r="D37">
        <v>1843</v>
      </c>
      <c r="E37" t="s">
        <v>47</v>
      </c>
      <c r="F37">
        <v>236</v>
      </c>
      <c r="G37">
        <v>19</v>
      </c>
      <c r="H37">
        <v>8.1</v>
      </c>
    </row>
    <row r="38" spans="1:8" x14ac:dyDescent="0.25">
      <c r="A38" t="s">
        <v>118</v>
      </c>
      <c r="B38" t="s">
        <v>119</v>
      </c>
      <c r="C38" t="s">
        <v>135</v>
      </c>
      <c r="D38">
        <v>1844</v>
      </c>
      <c r="E38" t="s">
        <v>48</v>
      </c>
      <c r="F38">
        <v>244</v>
      </c>
      <c r="G38">
        <v>37</v>
      </c>
      <c r="H38">
        <v>15.2</v>
      </c>
    </row>
    <row r="39" spans="1:8" x14ac:dyDescent="0.25">
      <c r="A39" t="s">
        <v>118</v>
      </c>
      <c r="B39" t="s">
        <v>119</v>
      </c>
      <c r="C39" t="s">
        <v>136</v>
      </c>
      <c r="D39">
        <v>1844</v>
      </c>
      <c r="E39" t="s">
        <v>49</v>
      </c>
      <c r="F39">
        <v>257</v>
      </c>
      <c r="G39">
        <v>29</v>
      </c>
      <c r="H39">
        <v>11.3</v>
      </c>
    </row>
    <row r="40" spans="1:8" x14ac:dyDescent="0.25">
      <c r="A40" t="s">
        <v>118</v>
      </c>
      <c r="B40" t="s">
        <v>119</v>
      </c>
      <c r="C40" t="s">
        <v>137</v>
      </c>
      <c r="D40">
        <v>1844</v>
      </c>
      <c r="E40" t="s">
        <v>50</v>
      </c>
      <c r="F40">
        <v>276</v>
      </c>
      <c r="G40">
        <v>47</v>
      </c>
      <c r="H40">
        <v>17</v>
      </c>
    </row>
    <row r="41" spans="1:8" x14ac:dyDescent="0.25">
      <c r="A41" t="s">
        <v>118</v>
      </c>
      <c r="B41" t="s">
        <v>119</v>
      </c>
      <c r="C41" t="s">
        <v>138</v>
      </c>
      <c r="D41">
        <v>1844</v>
      </c>
      <c r="E41" t="s">
        <v>51</v>
      </c>
      <c r="F41">
        <v>208</v>
      </c>
      <c r="G41">
        <v>36</v>
      </c>
      <c r="H41">
        <v>17.3</v>
      </c>
    </row>
    <row r="42" spans="1:8" x14ac:dyDescent="0.25">
      <c r="A42" t="s">
        <v>118</v>
      </c>
      <c r="B42" t="s">
        <v>119</v>
      </c>
      <c r="C42" t="s">
        <v>139</v>
      </c>
      <c r="D42">
        <v>1844</v>
      </c>
      <c r="E42" t="s">
        <v>52</v>
      </c>
      <c r="F42">
        <v>240</v>
      </c>
      <c r="G42">
        <v>14</v>
      </c>
      <c r="H42">
        <v>5.8</v>
      </c>
    </row>
    <row r="43" spans="1:8" x14ac:dyDescent="0.25">
      <c r="A43" t="s">
        <v>118</v>
      </c>
      <c r="B43" t="s">
        <v>119</v>
      </c>
      <c r="C43" t="s">
        <v>140</v>
      </c>
      <c r="D43">
        <v>1844</v>
      </c>
      <c r="E43" t="s">
        <v>53</v>
      </c>
      <c r="F43">
        <v>224</v>
      </c>
      <c r="G43">
        <v>6</v>
      </c>
      <c r="H43">
        <v>2.7</v>
      </c>
    </row>
    <row r="44" spans="1:8" x14ac:dyDescent="0.25">
      <c r="A44" t="s">
        <v>118</v>
      </c>
      <c r="B44" t="s">
        <v>119</v>
      </c>
      <c r="C44" t="s">
        <v>141</v>
      </c>
      <c r="D44">
        <v>1844</v>
      </c>
      <c r="E44" t="s">
        <v>54</v>
      </c>
      <c r="F44">
        <v>206</v>
      </c>
      <c r="G44">
        <v>9</v>
      </c>
      <c r="H44">
        <v>4.4000000000000004</v>
      </c>
    </row>
    <row r="45" spans="1:8" x14ac:dyDescent="0.25">
      <c r="A45" t="s">
        <v>118</v>
      </c>
      <c r="B45" t="s">
        <v>119</v>
      </c>
      <c r="C45" t="s">
        <v>142</v>
      </c>
      <c r="D45">
        <v>1844</v>
      </c>
      <c r="E45" t="s">
        <v>55</v>
      </c>
      <c r="F45">
        <v>269</v>
      </c>
      <c r="G45">
        <v>17</v>
      </c>
      <c r="H45">
        <v>6.3</v>
      </c>
    </row>
    <row r="46" spans="1:8" x14ac:dyDescent="0.25">
      <c r="A46" t="s">
        <v>118</v>
      </c>
      <c r="B46" t="s">
        <v>119</v>
      </c>
      <c r="C46" t="s">
        <v>143</v>
      </c>
      <c r="D46">
        <v>1844</v>
      </c>
      <c r="E46" t="s">
        <v>56</v>
      </c>
      <c r="F46">
        <v>245</v>
      </c>
      <c r="G46">
        <v>3</v>
      </c>
      <c r="H46">
        <v>1.2</v>
      </c>
    </row>
    <row r="47" spans="1:8" x14ac:dyDescent="0.25">
      <c r="A47" t="s">
        <v>118</v>
      </c>
      <c r="B47" t="s">
        <v>119</v>
      </c>
      <c r="C47" t="s">
        <v>144</v>
      </c>
      <c r="D47">
        <v>1844</v>
      </c>
      <c r="E47" t="s">
        <v>57</v>
      </c>
      <c r="F47">
        <v>248</v>
      </c>
      <c r="G47">
        <v>8</v>
      </c>
      <c r="H47">
        <v>3.2</v>
      </c>
    </row>
    <row r="48" spans="1:8" x14ac:dyDescent="0.25">
      <c r="A48" t="s">
        <v>118</v>
      </c>
      <c r="B48" t="s">
        <v>119</v>
      </c>
      <c r="C48" t="s">
        <v>145</v>
      </c>
      <c r="D48">
        <v>1844</v>
      </c>
      <c r="E48" t="s">
        <v>58</v>
      </c>
      <c r="F48">
        <v>245</v>
      </c>
      <c r="G48">
        <v>27</v>
      </c>
      <c r="H48">
        <v>11</v>
      </c>
    </row>
    <row r="49" spans="1:8" x14ac:dyDescent="0.25">
      <c r="A49" t="s">
        <v>118</v>
      </c>
      <c r="B49" t="s">
        <v>119</v>
      </c>
      <c r="C49" t="s">
        <v>146</v>
      </c>
      <c r="D49">
        <v>1844</v>
      </c>
      <c r="E49" t="s">
        <v>59</v>
      </c>
      <c r="F49">
        <v>256</v>
      </c>
      <c r="G49">
        <v>27</v>
      </c>
      <c r="H49">
        <v>10.5</v>
      </c>
    </row>
    <row r="50" spans="1:8" x14ac:dyDescent="0.25">
      <c r="A50" t="s">
        <v>118</v>
      </c>
      <c r="B50" t="s">
        <v>119</v>
      </c>
      <c r="C50" t="s">
        <v>135</v>
      </c>
      <c r="D50">
        <v>1845</v>
      </c>
      <c r="E50" t="s">
        <v>60</v>
      </c>
      <c r="F50">
        <v>303</v>
      </c>
      <c r="G50">
        <v>23</v>
      </c>
      <c r="H50">
        <v>7.6</v>
      </c>
    </row>
    <row r="51" spans="1:8" x14ac:dyDescent="0.25">
      <c r="A51" t="s">
        <v>118</v>
      </c>
      <c r="B51" t="s">
        <v>119</v>
      </c>
      <c r="C51" t="s">
        <v>136</v>
      </c>
      <c r="D51">
        <v>1845</v>
      </c>
      <c r="E51" t="s">
        <v>61</v>
      </c>
      <c r="F51">
        <v>274</v>
      </c>
      <c r="G51">
        <v>13</v>
      </c>
      <c r="H51">
        <v>4.7</v>
      </c>
    </row>
    <row r="52" spans="1:8" x14ac:dyDescent="0.25">
      <c r="A52" t="s">
        <v>118</v>
      </c>
      <c r="B52" t="s">
        <v>119</v>
      </c>
      <c r="C52" t="s">
        <v>137</v>
      </c>
      <c r="D52">
        <v>1845</v>
      </c>
      <c r="E52" t="s">
        <v>62</v>
      </c>
      <c r="F52">
        <v>292</v>
      </c>
      <c r="G52">
        <v>13</v>
      </c>
      <c r="H52">
        <v>4.5</v>
      </c>
    </row>
    <row r="53" spans="1:8" x14ac:dyDescent="0.25">
      <c r="A53" t="s">
        <v>118</v>
      </c>
      <c r="B53" t="s">
        <v>119</v>
      </c>
      <c r="C53" t="s">
        <v>138</v>
      </c>
      <c r="D53">
        <v>1845</v>
      </c>
      <c r="E53" t="s">
        <v>63</v>
      </c>
      <c r="F53">
        <v>260</v>
      </c>
      <c r="G53">
        <v>11</v>
      </c>
      <c r="H53">
        <v>4.2</v>
      </c>
    </row>
    <row r="54" spans="1:8" x14ac:dyDescent="0.25">
      <c r="A54" t="s">
        <v>118</v>
      </c>
      <c r="B54" t="s">
        <v>119</v>
      </c>
      <c r="C54" t="s">
        <v>139</v>
      </c>
      <c r="D54">
        <v>1845</v>
      </c>
      <c r="E54" t="s">
        <v>64</v>
      </c>
      <c r="F54">
        <v>296</v>
      </c>
      <c r="G54">
        <v>13</v>
      </c>
      <c r="H54">
        <v>4.4000000000000004</v>
      </c>
    </row>
    <row r="55" spans="1:8" x14ac:dyDescent="0.25">
      <c r="A55" t="s">
        <v>118</v>
      </c>
      <c r="B55" t="s">
        <v>119</v>
      </c>
      <c r="C55" t="s">
        <v>140</v>
      </c>
      <c r="D55">
        <v>1845</v>
      </c>
      <c r="E55" t="s">
        <v>65</v>
      </c>
      <c r="F55">
        <v>280</v>
      </c>
      <c r="G55">
        <v>20</v>
      </c>
      <c r="H55">
        <v>7.1</v>
      </c>
    </row>
    <row r="56" spans="1:8" x14ac:dyDescent="0.25">
      <c r="A56" t="s">
        <v>118</v>
      </c>
      <c r="B56" t="s">
        <v>119</v>
      </c>
      <c r="C56" t="s">
        <v>141</v>
      </c>
      <c r="D56">
        <v>1845</v>
      </c>
      <c r="E56" t="s">
        <v>66</v>
      </c>
      <c r="F56">
        <v>245</v>
      </c>
      <c r="G56">
        <v>15</v>
      </c>
      <c r="H56">
        <v>6.1</v>
      </c>
    </row>
    <row r="57" spans="1:8" x14ac:dyDescent="0.25">
      <c r="A57" t="s">
        <v>118</v>
      </c>
      <c r="B57" t="s">
        <v>119</v>
      </c>
      <c r="C57" t="s">
        <v>142</v>
      </c>
      <c r="D57">
        <v>1845</v>
      </c>
      <c r="E57" t="s">
        <v>67</v>
      </c>
      <c r="F57">
        <v>251</v>
      </c>
      <c r="G57">
        <v>9</v>
      </c>
      <c r="H57">
        <v>3.6</v>
      </c>
    </row>
    <row r="58" spans="1:8" x14ac:dyDescent="0.25">
      <c r="A58" t="s">
        <v>118</v>
      </c>
      <c r="B58" t="s">
        <v>119</v>
      </c>
      <c r="C58" t="s">
        <v>143</v>
      </c>
      <c r="D58">
        <v>1845</v>
      </c>
      <c r="E58" t="s">
        <v>68</v>
      </c>
      <c r="F58">
        <v>237</v>
      </c>
      <c r="G58">
        <v>25</v>
      </c>
      <c r="H58">
        <v>10.5</v>
      </c>
    </row>
    <row r="59" spans="1:8" x14ac:dyDescent="0.25">
      <c r="A59" t="s">
        <v>118</v>
      </c>
      <c r="B59" t="s">
        <v>119</v>
      </c>
      <c r="C59" t="s">
        <v>144</v>
      </c>
      <c r="D59">
        <v>1845</v>
      </c>
      <c r="E59" t="s">
        <v>69</v>
      </c>
      <c r="F59">
        <v>283</v>
      </c>
      <c r="G59">
        <v>42</v>
      </c>
      <c r="H59">
        <v>14.8</v>
      </c>
    </row>
    <row r="60" spans="1:8" x14ac:dyDescent="0.25">
      <c r="A60" t="s">
        <v>118</v>
      </c>
      <c r="B60" t="s">
        <v>119</v>
      </c>
      <c r="C60" t="s">
        <v>145</v>
      </c>
      <c r="D60">
        <v>1845</v>
      </c>
      <c r="E60" t="s">
        <v>70</v>
      </c>
      <c r="F60">
        <v>265</v>
      </c>
      <c r="G60">
        <v>29</v>
      </c>
      <c r="H60">
        <v>10.9</v>
      </c>
    </row>
    <row r="61" spans="1:8" x14ac:dyDescent="0.25">
      <c r="A61" t="s">
        <v>118</v>
      </c>
      <c r="B61" t="s">
        <v>119</v>
      </c>
      <c r="C61" t="s">
        <v>146</v>
      </c>
      <c r="D61">
        <v>1845</v>
      </c>
      <c r="E61" t="s">
        <v>71</v>
      </c>
      <c r="F61">
        <v>267</v>
      </c>
      <c r="G61">
        <v>28</v>
      </c>
      <c r="H61">
        <v>10.5</v>
      </c>
    </row>
    <row r="62" spans="1:8" x14ac:dyDescent="0.25">
      <c r="A62" t="s">
        <v>118</v>
      </c>
      <c r="B62" t="s">
        <v>119</v>
      </c>
      <c r="C62" t="s">
        <v>135</v>
      </c>
      <c r="D62">
        <v>1846</v>
      </c>
      <c r="E62" t="s">
        <v>72</v>
      </c>
      <c r="F62">
        <v>336</v>
      </c>
      <c r="G62">
        <v>45</v>
      </c>
      <c r="H62">
        <v>13.4</v>
      </c>
    </row>
    <row r="63" spans="1:8" x14ac:dyDescent="0.25">
      <c r="A63" t="s">
        <v>118</v>
      </c>
      <c r="B63" t="s">
        <v>119</v>
      </c>
      <c r="C63" t="s">
        <v>136</v>
      </c>
      <c r="D63">
        <v>1846</v>
      </c>
      <c r="E63" t="s">
        <v>73</v>
      </c>
      <c r="F63">
        <v>293</v>
      </c>
      <c r="G63">
        <v>53</v>
      </c>
      <c r="H63">
        <v>18.100000000000001</v>
      </c>
    </row>
    <row r="64" spans="1:8" x14ac:dyDescent="0.25">
      <c r="A64" t="s">
        <v>118</v>
      </c>
      <c r="B64" t="s">
        <v>119</v>
      </c>
      <c r="C64" t="s">
        <v>137</v>
      </c>
      <c r="D64">
        <v>1846</v>
      </c>
      <c r="E64" t="s">
        <v>74</v>
      </c>
      <c r="F64">
        <v>311</v>
      </c>
      <c r="G64">
        <v>48</v>
      </c>
      <c r="H64">
        <v>15.4</v>
      </c>
    </row>
    <row r="65" spans="1:8" x14ac:dyDescent="0.25">
      <c r="A65" t="s">
        <v>118</v>
      </c>
      <c r="B65" t="s">
        <v>119</v>
      </c>
      <c r="C65" t="s">
        <v>138</v>
      </c>
      <c r="D65">
        <v>1846</v>
      </c>
      <c r="E65" t="s">
        <v>75</v>
      </c>
      <c r="F65">
        <v>253</v>
      </c>
      <c r="G65">
        <v>48</v>
      </c>
      <c r="H65">
        <v>19</v>
      </c>
    </row>
    <row r="66" spans="1:8" x14ac:dyDescent="0.25">
      <c r="A66" t="s">
        <v>118</v>
      </c>
      <c r="B66" t="s">
        <v>119</v>
      </c>
      <c r="C66" t="s">
        <v>139</v>
      </c>
      <c r="D66">
        <v>1846</v>
      </c>
      <c r="E66" t="s">
        <v>76</v>
      </c>
      <c r="F66">
        <v>305</v>
      </c>
      <c r="G66">
        <v>41</v>
      </c>
      <c r="H66">
        <v>13.4</v>
      </c>
    </row>
    <row r="67" spans="1:8" x14ac:dyDescent="0.25">
      <c r="A67" t="s">
        <v>118</v>
      </c>
      <c r="B67" t="s">
        <v>119</v>
      </c>
      <c r="C67" t="s">
        <v>140</v>
      </c>
      <c r="D67">
        <v>1846</v>
      </c>
      <c r="E67" t="s">
        <v>77</v>
      </c>
      <c r="F67">
        <v>266</v>
      </c>
      <c r="G67">
        <v>27</v>
      </c>
      <c r="H67">
        <v>10.199999999999999</v>
      </c>
    </row>
    <row r="68" spans="1:8" x14ac:dyDescent="0.25">
      <c r="A68" t="s">
        <v>118</v>
      </c>
      <c r="B68" t="s">
        <v>119</v>
      </c>
      <c r="C68" t="s">
        <v>141</v>
      </c>
      <c r="D68">
        <v>1846</v>
      </c>
      <c r="E68" t="s">
        <v>78</v>
      </c>
      <c r="F68">
        <v>252</v>
      </c>
      <c r="G68">
        <v>33</v>
      </c>
      <c r="H68">
        <v>13.1</v>
      </c>
    </row>
    <row r="69" spans="1:8" x14ac:dyDescent="0.25">
      <c r="A69" t="s">
        <v>118</v>
      </c>
      <c r="B69" t="s">
        <v>119</v>
      </c>
      <c r="C69" t="s">
        <v>142</v>
      </c>
      <c r="D69">
        <v>1846</v>
      </c>
      <c r="E69" t="s">
        <v>79</v>
      </c>
      <c r="F69">
        <v>216</v>
      </c>
      <c r="G69">
        <v>39</v>
      </c>
      <c r="H69">
        <v>18.100000000000001</v>
      </c>
    </row>
    <row r="70" spans="1:8" x14ac:dyDescent="0.25">
      <c r="A70" t="s">
        <v>118</v>
      </c>
      <c r="B70" t="s">
        <v>119</v>
      </c>
      <c r="C70" t="s">
        <v>143</v>
      </c>
      <c r="D70">
        <v>1846</v>
      </c>
      <c r="E70" t="s">
        <v>80</v>
      </c>
      <c r="F70">
        <v>271</v>
      </c>
      <c r="G70">
        <v>39</v>
      </c>
      <c r="H70">
        <v>14.4</v>
      </c>
    </row>
    <row r="71" spans="1:8" x14ac:dyDescent="0.25">
      <c r="A71" t="s">
        <v>118</v>
      </c>
      <c r="B71" t="s">
        <v>119</v>
      </c>
      <c r="C71" t="s">
        <v>144</v>
      </c>
      <c r="D71">
        <v>1846</v>
      </c>
      <c r="E71" t="s">
        <v>81</v>
      </c>
      <c r="F71">
        <v>254</v>
      </c>
      <c r="G71">
        <v>38</v>
      </c>
      <c r="H71">
        <v>15</v>
      </c>
    </row>
    <row r="72" spans="1:8" x14ac:dyDescent="0.25">
      <c r="A72" t="s">
        <v>118</v>
      </c>
      <c r="B72" t="s">
        <v>119</v>
      </c>
      <c r="C72" t="s">
        <v>145</v>
      </c>
      <c r="D72">
        <v>1846</v>
      </c>
      <c r="E72" t="s">
        <v>82</v>
      </c>
      <c r="F72">
        <v>297</v>
      </c>
      <c r="G72">
        <v>32</v>
      </c>
      <c r="H72">
        <v>10.8</v>
      </c>
    </row>
    <row r="73" spans="1:8" x14ac:dyDescent="0.25">
      <c r="A73" t="s">
        <v>118</v>
      </c>
      <c r="B73" t="s">
        <v>119</v>
      </c>
      <c r="C73" t="s">
        <v>146</v>
      </c>
      <c r="D73">
        <v>1846</v>
      </c>
      <c r="E73" t="s">
        <v>83</v>
      </c>
      <c r="F73">
        <v>298</v>
      </c>
      <c r="G73">
        <v>16</v>
      </c>
      <c r="H73">
        <v>5.4</v>
      </c>
    </row>
    <row r="74" spans="1:8" x14ac:dyDescent="0.25">
      <c r="A74" t="s">
        <v>118</v>
      </c>
      <c r="B74" t="s">
        <v>119</v>
      </c>
      <c r="C74" t="s">
        <v>135</v>
      </c>
      <c r="D74">
        <v>1847</v>
      </c>
      <c r="E74" t="s">
        <v>84</v>
      </c>
      <c r="F74">
        <v>311</v>
      </c>
      <c r="G74">
        <v>10</v>
      </c>
      <c r="H74">
        <v>3.2</v>
      </c>
    </row>
    <row r="75" spans="1:8" x14ac:dyDescent="0.25">
      <c r="A75" t="s">
        <v>118</v>
      </c>
      <c r="B75" t="s">
        <v>119</v>
      </c>
      <c r="C75" t="s">
        <v>136</v>
      </c>
      <c r="D75">
        <v>1847</v>
      </c>
      <c r="E75" t="s">
        <v>85</v>
      </c>
      <c r="F75">
        <v>312</v>
      </c>
      <c r="G75">
        <v>6</v>
      </c>
      <c r="H75">
        <v>1.9</v>
      </c>
    </row>
    <row r="76" spans="1:8" x14ac:dyDescent="0.25">
      <c r="A76" t="s">
        <v>118</v>
      </c>
      <c r="B76" t="s">
        <v>119</v>
      </c>
      <c r="C76" t="s">
        <v>137</v>
      </c>
      <c r="D76">
        <v>1847</v>
      </c>
      <c r="E76" t="s">
        <v>86</v>
      </c>
      <c r="F76">
        <v>305</v>
      </c>
      <c r="G76">
        <v>11</v>
      </c>
      <c r="H76">
        <v>3.6</v>
      </c>
    </row>
    <row r="77" spans="1:8" x14ac:dyDescent="0.25">
      <c r="A77" t="s">
        <v>118</v>
      </c>
      <c r="B77" t="s">
        <v>119</v>
      </c>
      <c r="C77" t="s">
        <v>138</v>
      </c>
      <c r="D77">
        <v>1847</v>
      </c>
      <c r="E77" t="s">
        <v>87</v>
      </c>
      <c r="F77">
        <v>312</v>
      </c>
      <c r="G77">
        <v>57</v>
      </c>
      <c r="H77">
        <v>18.3</v>
      </c>
    </row>
    <row r="78" spans="1:8" x14ac:dyDescent="0.25">
      <c r="A78" t="s">
        <v>118</v>
      </c>
      <c r="B78" t="s">
        <v>119</v>
      </c>
      <c r="C78" t="s">
        <v>139</v>
      </c>
      <c r="D78">
        <v>1847</v>
      </c>
      <c r="E78" t="s">
        <v>88</v>
      </c>
      <c r="F78">
        <v>294</v>
      </c>
      <c r="G78">
        <v>36</v>
      </c>
      <c r="H78">
        <v>12.2</v>
      </c>
    </row>
    <row r="79" spans="1:8" x14ac:dyDescent="0.25">
      <c r="A79" t="s">
        <v>118</v>
      </c>
      <c r="B79" t="s">
        <v>120</v>
      </c>
      <c r="C79" t="s">
        <v>140</v>
      </c>
      <c r="D79">
        <v>1847</v>
      </c>
      <c r="E79" t="s">
        <v>89</v>
      </c>
      <c r="F79">
        <v>268</v>
      </c>
      <c r="G79">
        <v>6</v>
      </c>
      <c r="H79">
        <v>2.2000000000000002</v>
      </c>
    </row>
    <row r="80" spans="1:8" x14ac:dyDescent="0.25">
      <c r="A80" t="s">
        <v>118</v>
      </c>
      <c r="B80" t="s">
        <v>120</v>
      </c>
      <c r="C80" t="s">
        <v>141</v>
      </c>
      <c r="D80">
        <v>1847</v>
      </c>
      <c r="E80" t="s">
        <v>90</v>
      </c>
      <c r="F80">
        <v>250</v>
      </c>
      <c r="G80">
        <v>3</v>
      </c>
      <c r="H80">
        <v>1.2</v>
      </c>
    </row>
    <row r="81" spans="1:8" x14ac:dyDescent="0.25">
      <c r="A81" t="s">
        <v>118</v>
      </c>
      <c r="B81" t="s">
        <v>120</v>
      </c>
      <c r="C81" t="s">
        <v>142</v>
      </c>
      <c r="D81">
        <v>1847</v>
      </c>
      <c r="E81" t="s">
        <v>91</v>
      </c>
      <c r="F81">
        <v>264</v>
      </c>
      <c r="G81">
        <v>5</v>
      </c>
      <c r="H81">
        <v>1.9</v>
      </c>
    </row>
    <row r="82" spans="1:8" x14ac:dyDescent="0.25">
      <c r="A82" t="s">
        <v>118</v>
      </c>
      <c r="B82" t="s">
        <v>120</v>
      </c>
      <c r="C82" t="s">
        <v>143</v>
      </c>
      <c r="D82">
        <v>1847</v>
      </c>
      <c r="E82" t="s">
        <v>92</v>
      </c>
      <c r="F82">
        <v>262</v>
      </c>
      <c r="G82">
        <v>12</v>
      </c>
      <c r="H82">
        <v>4.5999999999999996</v>
      </c>
    </row>
    <row r="83" spans="1:8" x14ac:dyDescent="0.25">
      <c r="A83" t="s">
        <v>118</v>
      </c>
      <c r="B83" t="s">
        <v>120</v>
      </c>
      <c r="C83" t="s">
        <v>144</v>
      </c>
      <c r="D83">
        <v>1847</v>
      </c>
      <c r="E83" t="s">
        <v>93</v>
      </c>
      <c r="F83">
        <v>278</v>
      </c>
      <c r="G83">
        <v>11</v>
      </c>
      <c r="H83">
        <v>4</v>
      </c>
    </row>
    <row r="84" spans="1:8" x14ac:dyDescent="0.25">
      <c r="A84" t="s">
        <v>118</v>
      </c>
      <c r="B84" t="s">
        <v>120</v>
      </c>
      <c r="C84" t="s">
        <v>145</v>
      </c>
      <c r="D84">
        <v>1847</v>
      </c>
      <c r="E84" t="s">
        <v>94</v>
      </c>
      <c r="F84">
        <v>246</v>
      </c>
      <c r="G84">
        <v>11</v>
      </c>
      <c r="H84">
        <v>4.5</v>
      </c>
    </row>
    <row r="85" spans="1:8" x14ac:dyDescent="0.25">
      <c r="A85" t="s">
        <v>118</v>
      </c>
      <c r="B85" t="s">
        <v>120</v>
      </c>
      <c r="C85" t="s">
        <v>146</v>
      </c>
      <c r="D85">
        <v>1847</v>
      </c>
      <c r="E85" t="s">
        <v>95</v>
      </c>
      <c r="F85">
        <v>273</v>
      </c>
      <c r="G85">
        <v>8</v>
      </c>
      <c r="H85">
        <v>2.9</v>
      </c>
    </row>
    <row r="86" spans="1:8" x14ac:dyDescent="0.25">
      <c r="A86" t="s">
        <v>118</v>
      </c>
      <c r="B86" t="s">
        <v>120</v>
      </c>
      <c r="C86" t="s">
        <v>135</v>
      </c>
      <c r="D86">
        <v>1848</v>
      </c>
      <c r="E86" t="s">
        <v>96</v>
      </c>
      <c r="F86">
        <v>283</v>
      </c>
      <c r="G86">
        <v>10</v>
      </c>
      <c r="H86">
        <v>3.5</v>
      </c>
    </row>
    <row r="87" spans="1:8" x14ac:dyDescent="0.25">
      <c r="A87" t="s">
        <v>118</v>
      </c>
      <c r="B87" t="s">
        <v>120</v>
      </c>
      <c r="C87" t="s">
        <v>136</v>
      </c>
      <c r="D87">
        <v>1848</v>
      </c>
      <c r="E87" t="s">
        <v>97</v>
      </c>
      <c r="F87">
        <v>291</v>
      </c>
      <c r="G87">
        <v>2</v>
      </c>
      <c r="H87">
        <v>0.7</v>
      </c>
    </row>
    <row r="88" spans="1:8" x14ac:dyDescent="0.25">
      <c r="A88" t="s">
        <v>118</v>
      </c>
      <c r="B88" t="s">
        <v>120</v>
      </c>
      <c r="C88" t="s">
        <v>137</v>
      </c>
      <c r="D88">
        <v>1848</v>
      </c>
      <c r="E88" t="s">
        <v>98</v>
      </c>
      <c r="F88">
        <v>276</v>
      </c>
      <c r="G88">
        <v>0</v>
      </c>
      <c r="H88">
        <v>0</v>
      </c>
    </row>
    <row r="89" spans="1:8" x14ac:dyDescent="0.25">
      <c r="A89" t="s">
        <v>118</v>
      </c>
      <c r="B89" t="s">
        <v>120</v>
      </c>
      <c r="C89" t="s">
        <v>138</v>
      </c>
      <c r="D89">
        <v>1848</v>
      </c>
      <c r="E89" t="s">
        <v>99</v>
      </c>
      <c r="F89">
        <v>305</v>
      </c>
      <c r="G89">
        <v>2</v>
      </c>
      <c r="H89">
        <v>0.7</v>
      </c>
    </row>
    <row r="90" spans="1:8" x14ac:dyDescent="0.25">
      <c r="A90" t="s">
        <v>118</v>
      </c>
      <c r="B90" t="s">
        <v>120</v>
      </c>
      <c r="C90" t="s">
        <v>139</v>
      </c>
      <c r="D90">
        <v>1848</v>
      </c>
      <c r="E90" t="s">
        <v>100</v>
      </c>
      <c r="F90">
        <v>313</v>
      </c>
      <c r="G90">
        <v>3</v>
      </c>
      <c r="H90">
        <v>1</v>
      </c>
    </row>
    <row r="91" spans="1:8" x14ac:dyDescent="0.25">
      <c r="A91" t="s">
        <v>118</v>
      </c>
      <c r="B91" t="s">
        <v>120</v>
      </c>
      <c r="C91" t="s">
        <v>140</v>
      </c>
      <c r="D91">
        <v>1848</v>
      </c>
      <c r="E91" t="s">
        <v>101</v>
      </c>
      <c r="F91">
        <v>264</v>
      </c>
      <c r="G91">
        <v>3</v>
      </c>
      <c r="H91">
        <v>1.1000000000000001</v>
      </c>
    </row>
    <row r="92" spans="1:8" x14ac:dyDescent="0.25">
      <c r="A92" t="s">
        <v>118</v>
      </c>
      <c r="B92" t="s">
        <v>120</v>
      </c>
      <c r="C92" t="s">
        <v>141</v>
      </c>
      <c r="D92">
        <v>1848</v>
      </c>
      <c r="E92" t="s">
        <v>102</v>
      </c>
      <c r="F92">
        <v>269</v>
      </c>
      <c r="G92">
        <v>1</v>
      </c>
      <c r="H92">
        <v>0.4</v>
      </c>
    </row>
    <row r="93" spans="1:8" x14ac:dyDescent="0.25">
      <c r="A93" t="s">
        <v>118</v>
      </c>
      <c r="B93" t="s">
        <v>120</v>
      </c>
      <c r="C93" t="s">
        <v>142</v>
      </c>
      <c r="D93">
        <v>1848</v>
      </c>
      <c r="E93" t="s">
        <v>103</v>
      </c>
      <c r="F93">
        <v>261</v>
      </c>
      <c r="G93">
        <v>0</v>
      </c>
      <c r="H93">
        <v>0</v>
      </c>
    </row>
    <row r="94" spans="1:8" x14ac:dyDescent="0.25">
      <c r="A94" t="s">
        <v>118</v>
      </c>
      <c r="B94" t="s">
        <v>120</v>
      </c>
      <c r="C94" t="s">
        <v>143</v>
      </c>
      <c r="D94">
        <v>1848</v>
      </c>
      <c r="E94" t="s">
        <v>104</v>
      </c>
      <c r="F94">
        <v>312</v>
      </c>
      <c r="G94">
        <v>3</v>
      </c>
      <c r="H94">
        <v>1</v>
      </c>
    </row>
    <row r="95" spans="1:8" x14ac:dyDescent="0.25">
      <c r="A95" t="s">
        <v>118</v>
      </c>
      <c r="B95" t="s">
        <v>120</v>
      </c>
      <c r="C95" t="s">
        <v>144</v>
      </c>
      <c r="D95">
        <v>1848</v>
      </c>
      <c r="E95" t="s">
        <v>105</v>
      </c>
      <c r="F95">
        <v>299</v>
      </c>
      <c r="G95">
        <v>7</v>
      </c>
      <c r="H95">
        <v>2.2999999999999998</v>
      </c>
    </row>
    <row r="96" spans="1:8" x14ac:dyDescent="0.25">
      <c r="A96" t="s">
        <v>118</v>
      </c>
      <c r="B96" t="s">
        <v>120</v>
      </c>
      <c r="C96" t="s">
        <v>145</v>
      </c>
      <c r="D96">
        <v>1848</v>
      </c>
      <c r="E96" t="s">
        <v>106</v>
      </c>
      <c r="F96">
        <v>310</v>
      </c>
      <c r="G96">
        <v>9</v>
      </c>
      <c r="H96">
        <v>2.9</v>
      </c>
    </row>
    <row r="97" spans="1:8" x14ac:dyDescent="0.25">
      <c r="A97" t="s">
        <v>118</v>
      </c>
      <c r="B97" t="s">
        <v>120</v>
      </c>
      <c r="C97" t="s">
        <v>146</v>
      </c>
      <c r="D97">
        <v>1848</v>
      </c>
      <c r="E97" t="s">
        <v>107</v>
      </c>
      <c r="F97">
        <v>373</v>
      </c>
      <c r="G97">
        <v>5</v>
      </c>
      <c r="H97">
        <v>1.3</v>
      </c>
    </row>
    <row r="98" spans="1:8" x14ac:dyDescent="0.25">
      <c r="A98" t="s">
        <v>118</v>
      </c>
      <c r="B98" t="s">
        <v>120</v>
      </c>
      <c r="C98" t="s">
        <v>135</v>
      </c>
      <c r="D98">
        <v>1849</v>
      </c>
      <c r="E98" t="s">
        <v>108</v>
      </c>
      <c r="F98">
        <v>403</v>
      </c>
      <c r="G98">
        <v>9</v>
      </c>
      <c r="H98">
        <v>2.2000000000000002</v>
      </c>
    </row>
    <row r="99" spans="1:8" x14ac:dyDescent="0.25">
      <c r="A99" t="s">
        <v>118</v>
      </c>
      <c r="B99" t="s">
        <v>120</v>
      </c>
      <c r="C99" t="s">
        <v>136</v>
      </c>
      <c r="D99">
        <v>1849</v>
      </c>
      <c r="E99" t="s">
        <v>109</v>
      </c>
      <c r="F99">
        <v>389</v>
      </c>
      <c r="G99">
        <v>12</v>
      </c>
      <c r="H99">
        <v>3.1</v>
      </c>
    </row>
    <row r="100" spans="1:8" x14ac:dyDescent="0.25">
      <c r="A100" t="s">
        <v>118</v>
      </c>
      <c r="B100" t="s">
        <v>120</v>
      </c>
      <c r="C100" t="s">
        <v>137</v>
      </c>
      <c r="D100">
        <v>1849</v>
      </c>
      <c r="E100" t="s">
        <v>110</v>
      </c>
      <c r="F100">
        <v>406</v>
      </c>
      <c r="G100">
        <v>20</v>
      </c>
      <c r="H100">
        <v>4.9000000000000004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6540285-1890-418B-BA10-8410A213A8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Step 1</vt:lpstr>
      <vt:lpstr>Step 2</vt:lpstr>
      <vt:lpstr>Step 3</vt:lpstr>
      <vt:lpstr>Step 4</vt:lpstr>
      <vt:lpstr>Step 5</vt:lpstr>
      <vt:lpstr>Step 6</vt:lpstr>
      <vt:lpstr>Results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2026-05-07T16:29:37Z</dcterms:modified>
</cp:coreProperties>
</file>