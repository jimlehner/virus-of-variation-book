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drawings/drawing3.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drawings/drawing4.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5.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6.xml" ContentType="application/vnd.openxmlformats-officedocument.themeOverrid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ames\OneDrive\Documents\GitHub\the-virus-of-variation\excel_files_2\"/>
    </mc:Choice>
  </mc:AlternateContent>
  <xr:revisionPtr revIDLastSave="0" documentId="13_ncr:1_{D30AB668-6607-491F-8D4B-AF4B20BEEA07}" xr6:coauthVersionLast="47" xr6:coauthVersionMax="47" xr10:uidLastSave="{00000000-0000-0000-0000-000000000000}"/>
  <bookViews>
    <workbookView xWindow="-105" yWindow="-16200" windowWidth="14610" windowHeight="15585" xr2:uid="{00000000-000D-0000-FFFF-FFFF00000000}"/>
  </bookViews>
  <sheets>
    <sheet name="Overview" sheetId="1" r:id="rId1"/>
    <sheet name="Fig 15.1. Rule 1" sheetId="2" r:id="rId2"/>
    <sheet name="Fig 15.3. Rule 2" sheetId="3" r:id="rId3"/>
    <sheet name="Fig 15.4. Rule 3" sheetId="4" r:id="rId4"/>
    <sheet name="Data" sheetId="5" r:id="rId5"/>
  </sheets>
  <definedNames>
    <definedName name="ExternalData_1" localSheetId="4" hidden="1">Data!$A$1:$F$39</definedName>
    <definedName name="ExternalData_1" localSheetId="1" hidden="1">'Fig 15.1. Rule 1'!$A$1:$D$23</definedName>
    <definedName name="ExternalData_1" localSheetId="2" hidden="1">'Fig 15.3. Rule 2'!$A$1:$D$23</definedName>
    <definedName name="ExternalData_1" localSheetId="3" hidden="1">'Fig 15.4. Rule 3'!$A$1:$D$27</definedName>
    <definedName name="ExternalData_2" localSheetId="4" hidden="1">Data!$H$1:$K$100</definedName>
    <definedName name="ExternalData_3" localSheetId="4" hidden="1">Data!$M$1:$Q$53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4" l="1"/>
  <c r="J4" i="4"/>
  <c r="J5" i="4"/>
  <c r="J6" i="4"/>
  <c r="J7" i="4"/>
  <c r="J8" i="4"/>
  <c r="J9" i="4"/>
  <c r="J10" i="4"/>
  <c r="J11" i="4"/>
  <c r="J12" i="4"/>
  <c r="J13" i="4"/>
  <c r="J14" i="4"/>
  <c r="J15" i="4"/>
  <c r="J16" i="4"/>
  <c r="J17" i="4"/>
  <c r="J18" i="4"/>
  <c r="J19" i="4"/>
  <c r="J20" i="4"/>
  <c r="J21" i="4"/>
  <c r="J22" i="4"/>
  <c r="J23" i="4"/>
  <c r="J24" i="4"/>
  <c r="J25" i="4"/>
  <c r="J26" i="4"/>
  <c r="J27" i="4"/>
  <c r="E2" i="4"/>
  <c r="E3" i="4"/>
  <c r="E4" i="4"/>
  <c r="E5" i="4"/>
  <c r="E6" i="4"/>
  <c r="E7" i="4"/>
  <c r="E8" i="4"/>
  <c r="E9" i="4"/>
  <c r="E10" i="4"/>
  <c r="E11" i="4"/>
  <c r="E12" i="4"/>
  <c r="E13" i="4"/>
  <c r="E14" i="4"/>
  <c r="E15" i="4"/>
  <c r="E16" i="4"/>
  <c r="E17" i="4"/>
  <c r="E18" i="4"/>
  <c r="E19" i="4"/>
  <c r="E20" i="4"/>
  <c r="E21" i="4"/>
  <c r="E22" i="4"/>
  <c r="E23" i="4"/>
  <c r="E24" i="4"/>
  <c r="E25" i="4"/>
  <c r="E26" i="4"/>
  <c r="E27" i="4"/>
  <c r="H3" i="3"/>
  <c r="H4" i="3"/>
  <c r="H5" i="3"/>
  <c r="H6" i="3"/>
  <c r="H7" i="3"/>
  <c r="H8" i="3"/>
  <c r="H9" i="3"/>
  <c r="H10" i="3"/>
  <c r="H11" i="3"/>
  <c r="H12" i="3"/>
  <c r="H13" i="3"/>
  <c r="H14" i="3"/>
  <c r="H15" i="3"/>
  <c r="H16" i="3"/>
  <c r="H17" i="3"/>
  <c r="H18" i="3"/>
  <c r="H19" i="3"/>
  <c r="H20" i="3"/>
  <c r="H21" i="3"/>
  <c r="H22" i="3"/>
  <c r="H23" i="3"/>
  <c r="E2" i="3"/>
  <c r="E3" i="3"/>
  <c r="E4" i="3"/>
  <c r="E5" i="3"/>
  <c r="E6" i="3"/>
  <c r="E7" i="3"/>
  <c r="E8" i="3"/>
  <c r="E9" i="3"/>
  <c r="E10" i="3"/>
  <c r="E11" i="3"/>
  <c r="E12" i="3"/>
  <c r="E13" i="3"/>
  <c r="E14" i="3"/>
  <c r="E15" i="3"/>
  <c r="E16" i="3"/>
  <c r="E17" i="3"/>
  <c r="E18" i="3"/>
  <c r="E19" i="3"/>
  <c r="E20" i="3"/>
  <c r="E21" i="3"/>
  <c r="E22" i="3"/>
  <c r="E23" i="3"/>
  <c r="E2" i="2"/>
  <c r="E3" i="2"/>
  <c r="E4" i="2"/>
  <c r="E5" i="2"/>
  <c r="E6" i="2"/>
  <c r="E7" i="2"/>
  <c r="E8" i="2"/>
  <c r="E9" i="2"/>
  <c r="E10" i="2"/>
  <c r="E11" i="2"/>
  <c r="E12" i="2"/>
  <c r="E13" i="2"/>
  <c r="E14" i="2"/>
  <c r="E15" i="2"/>
  <c r="E16" i="2"/>
  <c r="E17" i="2"/>
  <c r="E18" i="2"/>
  <c r="E19" i="2"/>
  <c r="E20" i="2"/>
  <c r="E21" i="2"/>
  <c r="E22" i="2"/>
  <c r="E23" i="2"/>
  <c r="H3" i="2"/>
  <c r="H4" i="2"/>
  <c r="H5" i="2"/>
  <c r="H6" i="2"/>
  <c r="H7" i="2"/>
  <c r="H8" i="2"/>
  <c r="H9" i="2"/>
  <c r="H10" i="2"/>
  <c r="H11" i="2"/>
  <c r="H12" i="2"/>
  <c r="H13" i="2"/>
  <c r="H14" i="2"/>
  <c r="H15" i="2"/>
  <c r="H16" i="2"/>
  <c r="H17" i="2"/>
  <c r="H18" i="2"/>
  <c r="H19" i="2"/>
  <c r="H20" i="2"/>
  <c r="H21" i="2"/>
  <c r="H22" i="2"/>
  <c r="H23" i="2"/>
  <c r="K2" i="4" l="1"/>
  <c r="K14" i="4"/>
  <c r="K16" i="4"/>
  <c r="K20" i="4"/>
  <c r="K21" i="4"/>
  <c r="K23" i="4"/>
  <c r="K4" i="4"/>
  <c r="K26" i="4"/>
  <c r="G26" i="4" s="1"/>
  <c r="I26" i="4" s="1"/>
  <c r="K24" i="4"/>
  <c r="K18" i="4"/>
  <c r="K22" i="4"/>
  <c r="K9" i="4"/>
  <c r="K19" i="4"/>
  <c r="K15" i="4"/>
  <c r="K12" i="4"/>
  <c r="K3" i="4"/>
  <c r="K17" i="4"/>
  <c r="K25" i="4"/>
  <c r="K27" i="4"/>
  <c r="G27" i="4" s="1"/>
  <c r="I27" i="4" s="1"/>
  <c r="K5" i="4"/>
  <c r="K13" i="4"/>
  <c r="K11" i="4"/>
  <c r="K10" i="4"/>
  <c r="K8" i="4"/>
  <c r="K7" i="4"/>
  <c r="K6" i="4"/>
  <c r="G2" i="4"/>
  <c r="I2" i="4" s="1"/>
  <c r="G3" i="4"/>
  <c r="I3" i="4" s="1"/>
  <c r="G4" i="4"/>
  <c r="I4" i="4" s="1"/>
  <c r="G5" i="4"/>
  <c r="I5" i="4" s="1"/>
  <c r="G6" i="4"/>
  <c r="I6" i="4"/>
  <c r="G7" i="4"/>
  <c r="I7" i="4" s="1"/>
  <c r="G8" i="4"/>
  <c r="I8" i="4" s="1"/>
  <c r="G9" i="4"/>
  <c r="I9" i="4" s="1"/>
  <c r="G10" i="4"/>
  <c r="I10" i="4" s="1"/>
  <c r="G11" i="4"/>
  <c r="I11" i="4" s="1"/>
  <c r="G12" i="4"/>
  <c r="I12" i="4" s="1"/>
  <c r="G13" i="4"/>
  <c r="I13" i="4" s="1"/>
  <c r="G14" i="4"/>
  <c r="I14" i="4" s="1"/>
  <c r="G15" i="4"/>
  <c r="I15" i="4" s="1"/>
  <c r="G16" i="4"/>
  <c r="I16" i="4" s="1"/>
  <c r="G17" i="4"/>
  <c r="I17" i="4" s="1"/>
  <c r="G18" i="4"/>
  <c r="I18" i="4" s="1"/>
  <c r="G19" i="4"/>
  <c r="I19" i="4" s="1"/>
  <c r="G20" i="4"/>
  <c r="I20" i="4" s="1"/>
  <c r="G21" i="4"/>
  <c r="I21" i="4" s="1"/>
  <c r="G22" i="4"/>
  <c r="I22" i="4" s="1"/>
  <c r="G23" i="4"/>
  <c r="I23" i="4" s="1"/>
  <c r="G24" i="4"/>
  <c r="I24" i="4" s="1"/>
  <c r="G25" i="4"/>
  <c r="I25" i="4" s="1"/>
  <c r="I15" i="3"/>
  <c r="I17" i="3"/>
  <c r="I14" i="3"/>
  <c r="I3" i="3"/>
  <c r="J3" i="3" s="1"/>
  <c r="I13" i="3"/>
  <c r="I16" i="3"/>
  <c r="I18" i="3"/>
  <c r="I22" i="3"/>
  <c r="I9" i="3"/>
  <c r="I12" i="3"/>
  <c r="I11" i="3"/>
  <c r="I10" i="3"/>
  <c r="I8" i="3"/>
  <c r="I7" i="3"/>
  <c r="J7" i="3" s="1"/>
  <c r="I6" i="3"/>
  <c r="J6" i="3" s="1"/>
  <c r="I5" i="3"/>
  <c r="J5" i="3" s="1"/>
  <c r="I2" i="3"/>
  <c r="J2" i="3" s="1"/>
  <c r="I23" i="3"/>
  <c r="I19" i="3"/>
  <c r="I20" i="3"/>
  <c r="I4" i="3"/>
  <c r="I21" i="3"/>
  <c r="F2" i="3"/>
  <c r="G2" i="3"/>
  <c r="G3" i="3"/>
  <c r="F3" i="3"/>
  <c r="G5" i="3"/>
  <c r="F5" i="3"/>
  <c r="G6" i="3"/>
  <c r="F6" i="3"/>
  <c r="G7" i="3"/>
  <c r="F7" i="3"/>
  <c r="I2" i="2"/>
  <c r="I3" i="2"/>
  <c r="J3" i="2" s="1"/>
  <c r="I4" i="2"/>
  <c r="J4" i="2" s="1"/>
  <c r="I5" i="2"/>
  <c r="I6" i="2"/>
  <c r="G6" i="2" s="1"/>
  <c r="I7" i="2"/>
  <c r="G7" i="2" s="1"/>
  <c r="I8" i="2"/>
  <c r="J8" i="2" s="1"/>
  <c r="I9" i="2"/>
  <c r="J9" i="2" s="1"/>
  <c r="I10" i="2"/>
  <c r="J10" i="2" s="1"/>
  <c r="I11" i="2"/>
  <c r="J11" i="2" s="1"/>
  <c r="I12" i="2"/>
  <c r="J12" i="2" s="1"/>
  <c r="I13" i="2"/>
  <c r="J13" i="2" s="1"/>
  <c r="I14" i="2"/>
  <c r="J14" i="2" s="1"/>
  <c r="I15" i="2"/>
  <c r="J15" i="2" s="1"/>
  <c r="I16" i="2"/>
  <c r="J16" i="2" s="1"/>
  <c r="I17" i="2"/>
  <c r="J17" i="2" s="1"/>
  <c r="I18" i="2"/>
  <c r="J18" i="2" s="1"/>
  <c r="I19" i="2"/>
  <c r="J19" i="2" s="1"/>
  <c r="I20" i="2"/>
  <c r="J20" i="2" s="1"/>
  <c r="I21" i="2"/>
  <c r="J21" i="2" s="1"/>
  <c r="I22" i="2"/>
  <c r="J22" i="2" s="1"/>
  <c r="I23" i="2"/>
  <c r="J23" i="2" s="1"/>
  <c r="G8" i="2"/>
  <c r="F8" i="2"/>
  <c r="F9" i="2"/>
  <c r="G9" i="2"/>
  <c r="F10" i="2"/>
  <c r="G10" i="2"/>
  <c r="F11" i="2"/>
  <c r="G11" i="2"/>
  <c r="F12" i="2"/>
  <c r="G12" i="2"/>
  <c r="G13" i="2"/>
  <c r="F13" i="2"/>
  <c r="F14" i="2"/>
  <c r="G14" i="2"/>
  <c r="F15" i="2"/>
  <c r="G15" i="2"/>
  <c r="F16" i="2"/>
  <c r="G16" i="2"/>
  <c r="F17" i="2"/>
  <c r="G17" i="2"/>
  <c r="G18" i="2"/>
  <c r="F18" i="2"/>
  <c r="F19" i="2"/>
  <c r="G19" i="2"/>
  <c r="F20" i="2"/>
  <c r="G20" i="2"/>
  <c r="F21" i="2"/>
  <c r="G21" i="2"/>
  <c r="F22" i="2"/>
  <c r="G22" i="2"/>
  <c r="F23" i="2"/>
  <c r="G23" i="2"/>
  <c r="F3" i="2"/>
  <c r="G3" i="2"/>
  <c r="G4" i="2"/>
  <c r="F4" i="2"/>
  <c r="F6" i="2"/>
  <c r="J6" i="2"/>
  <c r="F7" i="2"/>
  <c r="J7" i="2"/>
  <c r="L2" i="4" l="1"/>
  <c r="F2" i="4"/>
  <c r="H2" i="4" s="1"/>
  <c r="L14" i="4"/>
  <c r="F14" i="4"/>
  <c r="H14" i="4" s="1"/>
  <c r="L16" i="4"/>
  <c r="F16" i="4"/>
  <c r="H16" i="4" s="1"/>
  <c r="L20" i="4"/>
  <c r="F20" i="4"/>
  <c r="H20" i="4" s="1"/>
  <c r="L21" i="4"/>
  <c r="F21" i="4"/>
  <c r="H21" i="4" s="1"/>
  <c r="L23" i="4"/>
  <c r="F23" i="4"/>
  <c r="H23" i="4" s="1"/>
  <c r="L4" i="4"/>
  <c r="F4" i="4"/>
  <c r="H4" i="4" s="1"/>
  <c r="L26" i="4"/>
  <c r="F26" i="4"/>
  <c r="H26" i="4" s="1"/>
  <c r="L24" i="4"/>
  <c r="F24" i="4"/>
  <c r="H24" i="4" s="1"/>
  <c r="L18" i="4"/>
  <c r="F18" i="4"/>
  <c r="H18" i="4" s="1"/>
  <c r="L22" i="4"/>
  <c r="F22" i="4"/>
  <c r="H22" i="4" s="1"/>
  <c r="L9" i="4"/>
  <c r="F9" i="4"/>
  <c r="H9" i="4" s="1"/>
  <c r="L19" i="4"/>
  <c r="F19" i="4"/>
  <c r="H19" i="4" s="1"/>
  <c r="L15" i="4"/>
  <c r="F15" i="4"/>
  <c r="H15" i="4" s="1"/>
  <c r="L12" i="4"/>
  <c r="F12" i="4"/>
  <c r="H12" i="4" s="1"/>
  <c r="L3" i="4"/>
  <c r="F3" i="4"/>
  <c r="H3" i="4" s="1"/>
  <c r="L17" i="4"/>
  <c r="F17" i="4"/>
  <c r="H17" i="4" s="1"/>
  <c r="L25" i="4"/>
  <c r="F25" i="4"/>
  <c r="H25" i="4" s="1"/>
  <c r="L27" i="4"/>
  <c r="F27" i="4"/>
  <c r="H27" i="4" s="1"/>
  <c r="L5" i="4"/>
  <c r="F5" i="4"/>
  <c r="H5" i="4" s="1"/>
  <c r="L13" i="4"/>
  <c r="F13" i="4"/>
  <c r="H13" i="4" s="1"/>
  <c r="L11" i="4"/>
  <c r="F11" i="4"/>
  <c r="H11" i="4" s="1"/>
  <c r="L10" i="4"/>
  <c r="F10" i="4"/>
  <c r="H10" i="4" s="1"/>
  <c r="L8" i="4"/>
  <c r="F8" i="4"/>
  <c r="H8" i="4" s="1"/>
  <c r="L7" i="4"/>
  <c r="F7" i="4"/>
  <c r="H7" i="4" s="1"/>
  <c r="L6" i="4"/>
  <c r="F6" i="4"/>
  <c r="H6" i="4" s="1"/>
  <c r="J15" i="3"/>
  <c r="G15" i="3"/>
  <c r="F15" i="3"/>
  <c r="J17" i="3"/>
  <c r="G17" i="3"/>
  <c r="F17" i="3"/>
  <c r="J14" i="3"/>
  <c r="G14" i="3"/>
  <c r="F14" i="3"/>
  <c r="J13" i="3"/>
  <c r="F13" i="3"/>
  <c r="G13" i="3"/>
  <c r="J16" i="3"/>
  <c r="G16" i="3"/>
  <c r="F16" i="3"/>
  <c r="J18" i="3"/>
  <c r="G18" i="3"/>
  <c r="F18" i="3"/>
  <c r="J22" i="3"/>
  <c r="G22" i="3"/>
  <c r="F22" i="3"/>
  <c r="J9" i="3"/>
  <c r="G9" i="3"/>
  <c r="F9" i="3"/>
  <c r="J12" i="3"/>
  <c r="G12" i="3"/>
  <c r="F12" i="3"/>
  <c r="J11" i="3"/>
  <c r="F11" i="3"/>
  <c r="G11" i="3"/>
  <c r="J10" i="3"/>
  <c r="F10" i="3"/>
  <c r="G10" i="3"/>
  <c r="J8" i="3"/>
  <c r="F8" i="3"/>
  <c r="G8" i="3"/>
  <c r="J23" i="3"/>
  <c r="G23" i="3"/>
  <c r="F23" i="3"/>
  <c r="J19" i="3"/>
  <c r="F19" i="3"/>
  <c r="G19" i="3"/>
  <c r="J20" i="3"/>
  <c r="F20" i="3"/>
  <c r="G20" i="3"/>
  <c r="J4" i="3"/>
  <c r="G4" i="3"/>
  <c r="F4" i="3"/>
  <c r="J21" i="3"/>
  <c r="F21" i="3"/>
  <c r="G21" i="3"/>
  <c r="G2" i="2"/>
  <c r="J2" i="2"/>
  <c r="F2" i="2"/>
  <c r="G5" i="2"/>
  <c r="J5" i="2"/>
  <c r="F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F8BE110-F328-4A25-A58E-F9FAA6A748A3}" keepAlive="1" name="Query - home-runs-by-season" description="Connection to the 'home-runs-by-season' query in the workbook." type="5" refreshedVersion="8" background="1" saveData="1">
    <dbPr connection="Provider=Microsoft.Mashup.OleDb.1;Data Source=$Workbook$;Location=home-runs-by-season;Extended Properties=&quot;&quot;" command="SELECT * FROM [home-runs-by-season]"/>
  </connection>
  <connection id="2" xr16:uid="{C4169A19-92A1-48A6-B61D-6C483EF729C5}" keepAlive="1" name="Query - home-runs-by-season (2)" description="Connection to the 'home-runs-by-season (2)' query in the workbook." type="5" refreshedVersion="8" background="1" saveData="1">
    <dbPr connection="Provider=Microsoft.Mashup.OleDb.1;Data Source=$Workbook$;Location=&quot;home-runs-by-season (2)&quot;;Extended Properties=&quot;&quot;" command="SELECT * FROM [home-runs-by-season (2)]"/>
  </connection>
  <connection id="3" xr16:uid="{B957B2BD-B1E2-427B-91F4-E2407A14CFEE}" keepAlive="1" name="Query - impact-of-handwashing-death-to-birth-rates" description="Connection to the 'impact-of-handwashing-death-to-birth-rates' query in the workbook." type="5" refreshedVersion="8" background="1" saveData="1">
    <dbPr connection="Provider=Microsoft.Mashup.OleDb.1;Data Source=$Workbook$;Location=impact-of-handwashing-death-to-birth-rates;Extended Properties=&quot;&quot;" command="SELECT * FROM [impact-of-handwashing-death-to-birth-rates]"/>
  </connection>
  <connection id="4" xr16:uid="{594841A6-884D-4A5A-AE68-4B902EAD3054}" keepAlive="1" name="Query - impact-of-handwashing-death-to-birth-rates (2)" description="Connection to the 'impact-of-handwashing-death-to-birth-rates (2)' query in the workbook." type="5" refreshedVersion="8" background="1" saveData="1">
    <dbPr connection="Provider=Microsoft.Mashup.OleDb.1;Data Source=$Workbook$;Location=&quot;impact-of-handwashing-death-to-birth-rates (2)&quot;;Extended Properties=&quot;&quot;" command="SELECT * FROM [impact-of-handwashing-death-to-birth-rates (2)]"/>
  </connection>
  <connection id="5" xr16:uid="{7C4EC019-817B-4841-AE44-21AC382BACE7}" keepAlive="1" name="Query - vienna-general-death-to-birth-rates-by-clinic" description="Connection to the 'vienna-general-death-to-birth-rates-by-clinic' query in the workbook." type="5" refreshedVersion="8" background="1" saveData="1">
    <dbPr connection="Provider=Microsoft.Mashup.OleDb.1;Data Source=$Workbook$;Location=vienna-general-death-to-birth-rates-by-clinic;Extended Properties=&quot;&quot;" command="SELECT * FROM [vienna-general-death-to-birth-rates-by-clinic]"/>
  </connection>
  <connection id="6" xr16:uid="{421478AE-B526-457A-87C1-185D1EE7269F}" keepAlive="1" name="Query - vienna-general-death-to-birth-rates-by-clinic (2)" description="Connection to the 'vienna-general-death-to-birth-rates-by-clinic (2)' query in the workbook." type="5" refreshedVersion="8" background="1" saveData="1">
    <dbPr connection="Provider=Microsoft.Mashup.OleDb.1;Data Source=$Workbook$;Location=&quot;vienna-general-death-to-birth-rates-by-clinic (2)&quot;;Extended Properties=&quot;&quot;" command="SELECT * FROM [vienna-general-death-to-birth-rates-by-clinic (2)]"/>
  </connection>
</connections>
</file>

<file path=xl/sharedStrings.xml><?xml version="1.0" encoding="utf-8"?>
<sst xmlns="http://schemas.openxmlformats.org/spreadsheetml/2006/main" count="840" uniqueCount="221">
  <si>
    <t>Chapter 15. Other Types of Signals</t>
  </si>
  <si>
    <t>Player</t>
  </si>
  <si>
    <t>Year</t>
  </si>
  <si>
    <t>Sample</t>
  </si>
  <si>
    <t>HR</t>
  </si>
  <si>
    <t>Mean</t>
  </si>
  <si>
    <t>UPL</t>
  </si>
  <si>
    <t>LPL</t>
  </si>
  <si>
    <t>mR</t>
  </si>
  <si>
    <t>Ave. mR</t>
  </si>
  <si>
    <t>URL</t>
  </si>
  <si>
    <t>B. Bonds</t>
  </si>
  <si>
    <t>1986</t>
  </si>
  <si>
    <t>1</t>
  </si>
  <si>
    <t>1987</t>
  </si>
  <si>
    <t>2</t>
  </si>
  <si>
    <t>1988</t>
  </si>
  <si>
    <t>3</t>
  </si>
  <si>
    <t>1989</t>
  </si>
  <si>
    <t>4</t>
  </si>
  <si>
    <t>1990</t>
  </si>
  <si>
    <t>5</t>
  </si>
  <si>
    <t>1991</t>
  </si>
  <si>
    <t>6</t>
  </si>
  <si>
    <t>1992</t>
  </si>
  <si>
    <t>7</t>
  </si>
  <si>
    <t>1993</t>
  </si>
  <si>
    <t>8</t>
  </si>
  <si>
    <t>1994</t>
  </si>
  <si>
    <t>9</t>
  </si>
  <si>
    <t>1995</t>
  </si>
  <si>
    <t>10</t>
  </si>
  <si>
    <t>1996</t>
  </si>
  <si>
    <t>11</t>
  </si>
  <si>
    <t>1997</t>
  </si>
  <si>
    <t>12</t>
  </si>
  <si>
    <t>1998</t>
  </si>
  <si>
    <t>13</t>
  </si>
  <si>
    <t>1999</t>
  </si>
  <si>
    <t>14</t>
  </si>
  <si>
    <t>2000</t>
  </si>
  <si>
    <t>15</t>
  </si>
  <si>
    <t>2001</t>
  </si>
  <si>
    <t>16</t>
  </si>
  <si>
    <t>2002</t>
  </si>
  <si>
    <t>17</t>
  </si>
  <si>
    <t>2003</t>
  </si>
  <si>
    <t>18</t>
  </si>
  <si>
    <t>2004</t>
  </si>
  <si>
    <t>19</t>
  </si>
  <si>
    <t>2005</t>
  </si>
  <si>
    <t>20</t>
  </si>
  <si>
    <t>2006</t>
  </si>
  <si>
    <t>21</t>
  </si>
  <si>
    <t>2007</t>
  </si>
  <si>
    <t>22</t>
  </si>
  <si>
    <t>Stage</t>
  </si>
  <si>
    <t>MonthYear</t>
  </si>
  <si>
    <t>Rate</t>
  </si>
  <si>
    <t>After handwashing</t>
  </si>
  <si>
    <t>Jun-47</t>
  </si>
  <si>
    <t>Jul-47</t>
  </si>
  <si>
    <t>Aug-47</t>
  </si>
  <si>
    <t>Sep-47</t>
  </si>
  <si>
    <t>Oct-47</t>
  </si>
  <si>
    <t>Nov-47</t>
  </si>
  <si>
    <t>Dec-47</t>
  </si>
  <si>
    <t>Jan-48</t>
  </si>
  <si>
    <t>Feb-48</t>
  </si>
  <si>
    <t>Mar-48</t>
  </si>
  <si>
    <t>Apr-48</t>
  </si>
  <si>
    <t>May-48</t>
  </si>
  <si>
    <t>Jun-48</t>
  </si>
  <si>
    <t>Jul-48</t>
  </si>
  <si>
    <t>Aug-48</t>
  </si>
  <si>
    <t>Sep-48</t>
  </si>
  <si>
    <t>Oct-48</t>
  </si>
  <si>
    <t>Nov-48</t>
  </si>
  <si>
    <t>Dec-48</t>
  </si>
  <si>
    <t>Jan-49</t>
  </si>
  <si>
    <t>Feb-49</t>
  </si>
  <si>
    <t>Mar-49</t>
  </si>
  <si>
    <t>Upper 25%</t>
  </si>
  <si>
    <t>Lower 25%</t>
  </si>
  <si>
    <t>Students &amp; Doctors</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</si>
  <si>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</si>
  <si>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</si>
  <si>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</si>
  <si>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</si>
  <si>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</si>
  <si>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</si>
  <si>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</si>
  <si>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</si>
  <si>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</si>
  <si>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</si>
  <si>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</si>
  <si>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</si>
  <si>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</si>
  <si>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</si>
  <si>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</si>
  <si>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</si>
  <si>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</si>
  <si>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</si>
  <si>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</si>
  <si>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</si>
  <si>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</si>
  <si>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</si>
  <si>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</si>
  <si>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</si>
  <si>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</si>
  <si>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</si>
  <si>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Team</t>
  </si>
  <si>
    <t>Notes</t>
  </si>
  <si>
    <t>Hospital</t>
  </si>
  <si>
    <t>Clinic</t>
  </si>
  <si>
    <t>Employee</t>
  </si>
  <si>
    <t>PIT</t>
  </si>
  <si>
    <t>Vienna General Hospital</t>
  </si>
  <si>
    <t>1st Clinic</t>
  </si>
  <si>
    <t>SFG</t>
  </si>
  <si>
    <t>Link to book:</t>
  </si>
  <si>
    <t>https://www.brokenquality.com/book</t>
  </si>
  <si>
    <t>Link to GitHub:</t>
  </si>
  <si>
    <t>https://github.com/jimlehner/virus-of-variation-book</t>
  </si>
  <si>
    <t>Contact:</t>
  </si>
  <si>
    <t>James.Lehner@gmail.com</t>
  </si>
  <si>
    <t>QualityIsBroken@gmail.com</t>
  </si>
  <si>
    <r>
      <rPr>
        <sz val="12"/>
        <color rgb="FF000000"/>
        <rFont val="Montserrat"/>
      </rPr>
      <t>This file serves as a resource for building some of the figures in Chapter 15 of The Virus of Variation using Microsoft Excel or Google Sheets.
The figures included here are:
Figure 15.1. XmR chart of home runs (Rule 1)
Figure 15.3. XmR chart of monthly death-to-birth rates (Rule 2)
Figure 15.4 XmR chart of death-to-birth rates (Rule 3)
Each figure has its own tab. The data used in the figures can be found in the Data tab.
For additional details regarding each of these figures, see Chapter 15 of The Virus of Variation.
(</t>
    </r>
    <r>
      <rPr>
        <b/>
        <sz val="12"/>
        <color rgb="FF000000"/>
        <rFont val="Montserrat"/>
      </rPr>
      <t>BrokenQuality.com/book</t>
    </r>
    <r>
      <rPr>
        <sz val="12"/>
        <color rgb="FF000000"/>
        <rFont val="Montserrat"/>
      </rPr>
      <t xml:space="preserve">).
If you are familiar with Python (or would like to learn), the Python code used to generate the figures, as they appear in The Virus of Variation, can be found at:
</t>
    </r>
    <r>
      <rPr>
        <b/>
        <sz val="12"/>
        <color rgb="FF000000"/>
        <rFont val="Montserrat"/>
      </rPr>
      <t>github.com/jimlehner/the-virus-of-variation</t>
    </r>
    <r>
      <rPr>
        <sz val="12"/>
        <color rgb="FF000000"/>
        <rFont val="Montserrat"/>
      </rPr>
      <t xml:space="preserve">
If you have question or feedback email us at:
</t>
    </r>
    <r>
      <rPr>
        <b/>
        <sz val="12"/>
        <color rgb="FF000000"/>
        <rFont val="Montserrat"/>
      </rPr>
      <t>James.Lehner@gmail.com</t>
    </r>
    <r>
      <rPr>
        <sz val="12"/>
        <color rgb="FF000000"/>
        <rFont val="Montserrat"/>
      </rPr>
      <t xml:space="preserve"> or </t>
    </r>
    <r>
      <rPr>
        <b/>
        <sz val="12"/>
        <color rgb="FF000000"/>
        <rFont val="Montserrat"/>
      </rPr>
      <t>QualityIsBroken@gmail.com</t>
    </r>
    <r>
      <rPr>
        <sz val="12"/>
        <color rgb="FF000000"/>
        <rFont val="Montserrat"/>
      </rPr>
      <t>.</t>
    </r>
  </si>
  <si>
    <t>https://raw.githubusercontent.com/jimlehner/virus-of-variation-book/refs/heads/main/data/home-runs-by-season.csv</t>
  </si>
  <si>
    <t xml:space="preserve">Fig 15.1 </t>
  </si>
  <si>
    <t>Fig 15.3</t>
  </si>
  <si>
    <t>Fig 15.4</t>
  </si>
  <si>
    <t>Raw Data GitHub URLs</t>
  </si>
  <si>
    <t>https://raw.githubusercontent.com/jimlehner/virus-of-variation-book/refs/heads/main/data/vienna-general-death-to-birth-rates-by-clinic.csv</t>
  </si>
  <si>
    <t>https://raw.githubusercontent.com/jimlehner/virus-of-variation-book/refs/heads/main/data/impact-of-handwashing-death-to-birth-rates.csv</t>
  </si>
  <si>
    <t>Data from Statmuse.com</t>
  </si>
  <si>
    <t/>
  </si>
  <si>
    <t>M. McGwire</t>
  </si>
  <si>
    <t>OAK</t>
  </si>
  <si>
    <t>TOT</t>
  </si>
  <si>
    <t>STL</t>
  </si>
  <si>
    <t>Before handwashing</t>
  </si>
  <si>
    <t>Jan-41</t>
  </si>
  <si>
    <t>Feb-41</t>
  </si>
  <si>
    <t>Mar-41</t>
  </si>
  <si>
    <t>Apr-41</t>
  </si>
  <si>
    <t>May-41</t>
  </si>
  <si>
    <t>Jun-41</t>
  </si>
  <si>
    <t>Jul-41</t>
  </si>
  <si>
    <t>Aug-41</t>
  </si>
  <si>
    <t>Sep-41</t>
  </si>
  <si>
    <t>Oct-41</t>
  </si>
  <si>
    <t>Nov-41</t>
  </si>
  <si>
    <t>Dec-41</t>
  </si>
  <si>
    <t>Jan-42</t>
  </si>
  <si>
    <t>Feb-42</t>
  </si>
  <si>
    <t>Mar-42</t>
  </si>
  <si>
    <t>Apr-42</t>
  </si>
  <si>
    <t>May-42</t>
  </si>
  <si>
    <t>Jun-42</t>
  </si>
  <si>
    <t>Jul-42</t>
  </si>
  <si>
    <t>Aug-42</t>
  </si>
  <si>
    <t>Sep-42</t>
  </si>
  <si>
    <t>Oct-42</t>
  </si>
  <si>
    <t>Nov-42</t>
  </si>
  <si>
    <t>Dec-42</t>
  </si>
  <si>
    <t>Jan-43</t>
  </si>
  <si>
    <t>Feb-43</t>
  </si>
  <si>
    <t>Mar-43</t>
  </si>
  <si>
    <t>Apr-43</t>
  </si>
  <si>
    <t>May-43</t>
  </si>
  <si>
    <t>Jun-43</t>
  </si>
  <si>
    <t>Jul-43</t>
  </si>
  <si>
    <t>Aug-43</t>
  </si>
  <si>
    <t>Sep-43</t>
  </si>
  <si>
    <t>Oct-43</t>
  </si>
  <si>
    <t>Nov-43</t>
  </si>
  <si>
    <t>Dec-43</t>
  </si>
  <si>
    <t>Jan-44</t>
  </si>
  <si>
    <t>Feb-44</t>
  </si>
  <si>
    <t>Mar-44</t>
  </si>
  <si>
    <t>Apr-44</t>
  </si>
  <si>
    <t>May-44</t>
  </si>
  <si>
    <t>Jun-44</t>
  </si>
  <si>
    <t>Jul-44</t>
  </si>
  <si>
    <t>Aug-44</t>
  </si>
  <si>
    <t>Sep-44</t>
  </si>
  <si>
    <t>Oct-44</t>
  </si>
  <si>
    <t>Nov-44</t>
  </si>
  <si>
    <t>Dec-44</t>
  </si>
  <si>
    <t>Jan-45</t>
  </si>
  <si>
    <t>Feb-45</t>
  </si>
  <si>
    <t>Mar-45</t>
  </si>
  <si>
    <t>Apr-45</t>
  </si>
  <si>
    <t>May-45</t>
  </si>
  <si>
    <t>Jun-45</t>
  </si>
  <si>
    <t>Jul-45</t>
  </si>
  <si>
    <t>Aug-45</t>
  </si>
  <si>
    <t>Sep-45</t>
  </si>
  <si>
    <t>Oct-45</t>
  </si>
  <si>
    <t>Nov-45</t>
  </si>
  <si>
    <t>Dec-45</t>
  </si>
  <si>
    <t>Jan-46</t>
  </si>
  <si>
    <t>Feb-46</t>
  </si>
  <si>
    <t>Mar-46</t>
  </si>
  <si>
    <t>Apr-46</t>
  </si>
  <si>
    <t>May-46</t>
  </si>
  <si>
    <t>Jun-46</t>
  </si>
  <si>
    <t>Jul-46</t>
  </si>
  <si>
    <t>Aug-46</t>
  </si>
  <si>
    <t>Sep-46</t>
  </si>
  <si>
    <t>Oct-46</t>
  </si>
  <si>
    <t>Nov-46</t>
  </si>
  <si>
    <t>Dec-46</t>
  </si>
  <si>
    <t>Jan-47</t>
  </si>
  <si>
    <t>Feb-47</t>
  </si>
  <si>
    <t>Mar-47</t>
  </si>
  <si>
    <t>Apr-47</t>
  </si>
  <si>
    <t>May-47</t>
  </si>
  <si>
    <t>2nd Clinic</t>
  </si>
  <si>
    <t>Midwives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</si>
</sst>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9">
    <font>
      <sz val="10"/>
      <color rgb="FF000000"/>
      <name val="Arial"/>
      <scheme val="minor"/>
    </font>
    <font>
      <b/>
      <sz val="16"/>
      <color rgb="FFD72323"/>
      <name val="Montserrat"/>
    </font>
    <font>
      <sz val="10"/>
      <color theme="1"/>
      <name val="Arial"/>
      <family val="2"/>
    </font>
    <font>
      <sz val="10"/>
      <color rgb="FF1F2328"/>
      <name val="-apple-system"/>
    </font>
    <font>
      <u/>
      <sz val="10"/>
      <color theme="10"/>
      <name val="Arial"/>
      <family val="2"/>
      <scheme val="minor"/>
    </font>
    <font>
      <sz val="10"/>
      <color rgb="FF000000"/>
      <name val="Arial"/>
      <family val="2"/>
      <scheme val="minor"/>
    </font>
    <font>
      <b/>
      <sz val="10"/>
      <color rgb="FF000000"/>
      <name val="Arial"/>
      <family val="2"/>
      <scheme val="minor"/>
    </font>
    <font>
      <sz val="12"/>
      <color rgb="FF000000"/>
      <name val="Montserrat"/>
    </font>
    <font>
      <b/>
      <sz val="12"/>
      <color rgb="FF000000"/>
      <name val="Montserrat"/>
    </font>
  </fonts>
  <fills count="2">
    <fill>
      <patternFill patternType="none"/>
    </fill>
    <fill>
      <patternFill patternType="gray125"/>
    </fill>
  </fills>
  <borders count="13">
    <border>
      <left/>
      <right/>
      <top/>
      <bottom/>
      <diagonal/>
    </border>
    <border>
      <left style="thin">
        <color rgb="FFD1D9E0"/>
      </left>
      <right/>
      <top/>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s>
  <cellStyleXfs count="3">
    <xf numFmtId="0" fontId="0" fillId="0" borderId="0"/>
    <xf numFmtId="0" fontId="4" fillId="0" borderId="0" applyNumberFormat="0" applyFill="0" applyBorder="0" applyAlignment="0" applyProtection="0"/>
    <xf numFmtId="0" fontId="5" fillId="0" borderId="0"/>
  </cellStyleXfs>
  <cellXfs count="48">
    <xf numFmtId="0" fontId="0" fillId="0" borderId="0" xfId="0"/>
    <xf numFmtId="0" fontId="2" fillId="0" borderId="0" xfId="0" applyFont="1"/>
    <xf numFmtId="49" fontId="2" fillId="0" borderId="0" xfId="0" applyNumberFormat="1" applyFont="1" applyAlignment="1">
      <alignment horizontal="left"/>
    </xf>
    <xf numFmtId="0" fontId="2" fillId="0" borderId="0" xfId="0" applyFont="1" applyAlignment="1">
      <alignment horizontal="right"/>
    </xf>
    <xf numFmtId="164" fontId="2" fillId="0" borderId="0" xfId="0" applyNumberFormat="1" applyFont="1"/>
    <xf numFmtId="49" fontId="3" fillId="0" borderId="1" xfId="0" applyNumberFormat="1" applyFont="1" applyBorder="1"/>
    <xf numFmtId="0" fontId="2" fillId="0" borderId="0" xfId="0" applyFont="1" applyAlignment="1">
      <alignment horizontal="left"/>
    </xf>
    <xf numFmtId="0" fontId="5" fillId="0" borderId="0" xfId="0" applyFont="1"/>
    <xf numFmtId="0" fontId="4" fillId="0" borderId="0" xfId="1" applyAlignment="1">
      <alignment vertical="center"/>
    </xf>
    <xf numFmtId="0" fontId="0" fillId="0" borderId="0" xfId="0" applyAlignment="1">
      <alignment vertical="center"/>
    </xf>
    <xf numFmtId="0" fontId="6" fillId="0" borderId="3" xfId="0" applyFont="1" applyBorder="1" applyAlignment="1">
      <alignment horizontal="center" wrapText="1"/>
    </xf>
    <xf numFmtId="0" fontId="4" fillId="0" borderId="5" xfId="1" applyBorder="1" applyAlignment="1">
      <alignment horizontal="center"/>
    </xf>
    <xf numFmtId="0" fontId="4" fillId="0" borderId="0" xfId="1" applyBorder="1" applyAlignment="1">
      <alignment horizontal="center"/>
    </xf>
    <xf numFmtId="0" fontId="4" fillId="0" borderId="6" xfId="1" applyBorder="1" applyAlignment="1">
      <alignment horizontal="center"/>
    </xf>
    <xf numFmtId="0" fontId="6" fillId="0" borderId="5" xfId="0" applyFont="1" applyBorder="1" applyAlignment="1">
      <alignment horizontal="center"/>
    </xf>
    <xf numFmtId="0" fontId="6" fillId="0" borderId="0" xfId="0" applyFont="1" applyAlignment="1">
      <alignment horizontal="center"/>
    </xf>
    <xf numFmtId="0" fontId="6" fillId="0" borderId="6" xfId="0" applyFont="1" applyBorder="1" applyAlignment="1">
      <alignment horizontal="center"/>
    </xf>
    <xf numFmtId="0" fontId="4" fillId="0" borderId="7" xfId="1" applyBorder="1" applyAlignment="1">
      <alignment horizontal="center"/>
    </xf>
    <xf numFmtId="0" fontId="4" fillId="0" borderId="8" xfId="1" applyBorder="1" applyAlignment="1">
      <alignment horizontal="center"/>
    </xf>
    <xf numFmtId="0" fontId="4" fillId="0" borderId="9" xfId="1" applyBorder="1" applyAlignment="1">
      <alignment horizontal="center"/>
    </xf>
    <xf numFmtId="0" fontId="7" fillId="0" borderId="2" xfId="0" applyFont="1" applyBorder="1" applyAlignment="1">
      <alignment horizontal="center"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6" fillId="0" borderId="2" xfId="0" applyFont="1" applyBorder="1" applyAlignment="1">
      <alignment horizontal="center" wrapText="1"/>
    </xf>
    <xf numFmtId="0" fontId="6" fillId="0" borderId="4" xfId="0" applyFont="1" applyBorder="1" applyAlignment="1">
      <alignment horizontal="center" wrapText="1"/>
    </xf>
    <xf numFmtId="0" fontId="6" fillId="0" borderId="5" xfId="0" applyFont="1" applyBorder="1"/>
    <xf numFmtId="0" fontId="0" fillId="0" borderId="0" xfId="0" applyBorder="1" applyAlignment="1">
      <alignment horizontal="left" vertical="center"/>
    </xf>
    <xf numFmtId="0" fontId="0" fillId="0" borderId="6" xfId="0" applyBorder="1" applyAlignment="1">
      <alignment horizontal="left" vertical="center"/>
    </xf>
    <xf numFmtId="0" fontId="0" fillId="0" borderId="0" xfId="0" applyBorder="1" applyAlignment="1">
      <alignment horizontal="left"/>
    </xf>
    <xf numFmtId="0" fontId="0" fillId="0" borderId="6" xfId="0" applyBorder="1" applyAlignment="1">
      <alignment horizontal="left"/>
    </xf>
    <xf numFmtId="0" fontId="6" fillId="0" borderId="7" xfId="0" applyFont="1" applyBorder="1"/>
    <xf numFmtId="0" fontId="0" fillId="0" borderId="8" xfId="0" applyBorder="1" applyAlignment="1">
      <alignment horizontal="left"/>
    </xf>
    <xf numFmtId="0" fontId="0" fillId="0" borderId="9" xfId="0" applyBorder="1" applyAlignment="1">
      <alignment horizontal="left"/>
    </xf>
    <xf numFmtId="0" fontId="5" fillId="0" borderId="0" xfId="0" applyFont="1" applyBorder="1" applyAlignment="1">
      <alignment horizontal="left" vertical="center"/>
    </xf>
    <xf numFmtId="0" fontId="0" fillId="0" borderId="0" xfId="0" applyNumberFormat="1"/>
    <xf numFmtId="0" fontId="5" fillId="0" borderId="0" xfId="0" applyFont="1" applyBorder="1" applyAlignment="1">
      <alignment horizontal="left"/>
    </xf>
    <xf numFmtId="0" fontId="2" fillId="0" borderId="0" xfId="0" applyNumberFormat="1" applyFont="1"/>
    <xf numFmtId="0" fontId="5" fillId="0" borderId="8" xfId="0" applyFont="1" applyBorder="1" applyAlignment="1">
      <alignment horizontal="left"/>
    </xf>
    <xf numFmtId="0" fontId="2" fillId="0" borderId="0" xfId="0" applyNumberFormat="1" applyFont="1" applyAlignment="1">
      <alignment horizontal="right"/>
    </xf>
    <xf numFmtId="0" fontId="1" fillId="0" borderId="10" xfId="0" applyFont="1" applyBorder="1" applyAlignment="1">
      <alignment horizontal="center"/>
    </xf>
    <xf numFmtId="0" fontId="0" fillId="0" borderId="11" xfId="0" applyBorder="1"/>
    <xf numFmtId="0" fontId="0" fillId="0" borderId="12" xfId="0" applyBorder="1"/>
  </cellXfs>
  <cellStyles count="3">
    <cellStyle name="Hyperlink" xfId="1" builtinId="8"/>
    <cellStyle name="Normal" xfId="0" builtinId="0"/>
    <cellStyle name="Normal 2" xfId="2" xr:uid="{17F1DEF9-95EB-4A07-8097-586B0C9B0F87}"/>
  </cellStyles>
  <dxfs count="44">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theme="1"/>
        <name val="Arial"/>
        <family val="2"/>
        <scheme val="none"/>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FFFFFF"/>
        </patternFill>
      </fill>
    </dxf>
    <dxf>
      <fill>
        <patternFill>
          <bgColor rgb="FFE8F3F7"/>
        </patternFill>
      </fill>
    </dxf>
    <dxf>
      <fill>
        <patternFill>
          <bgColor rgb="FF3688A4"/>
        </patternFill>
      </fill>
    </dxf>
    <dxf>
      <border>
        <left style="thin">
          <color rgb="FF8BB4C5"/>
        </left>
        <right style="thin">
          <color rgb="FF8BB4C5"/>
        </right>
        <top style="thin">
          <color rgb="FF8BB4C5"/>
        </top>
        <bottom style="thin">
          <color rgb="FF8BB4C5"/>
        </bottom>
        <vertical style="thin">
          <color rgb="FFC8DDE6"/>
        </vertical>
        <horizontal style="thin">
          <color rgb="FF8BB4C5"/>
        </horizontal>
      </border>
    </dxf>
  </dxfs>
  <tableStyles count="1" defaultTableStyle="TableStyleMedium2" defaultPivotStyle="PivotStyleLight16">
    <tableStyle name="The Virus of Variation" pivot="0" count="4" xr9:uid="{DC658341-ABC0-4803-8587-DFFAF24BB970}">
      <tableStyleElement type="wholeTable" dxfId="43"/>
      <tableStyleElement type="headerRow" dxfId="42"/>
      <tableStyleElement type="firstRowStripe" dxfId="41"/>
      <tableStyleElement type="secondRowStripe" dxfId="4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15.1. Rule 1'!$D$1</c:f>
              <c:strCache>
                <c:ptCount val="1"/>
                <c:pt idx="0">
                  <c:v>HR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15.1. Rule 1'!$C$2:$C$23</c:f>
              <c:strCach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strCache>
            </c:strRef>
          </c:cat>
          <c:val>
            <c:numRef>
              <c:f>'Fig 15.1. Rule 1'!$D$2:$D$23</c:f>
              <c:numCache>
                <c:formatCode>General</c:formatCode>
                <c:ptCount val="22"/>
                <c:pt idx="0">
                  <c:v>16</c:v>
                </c:pt>
                <c:pt idx="1">
                  <c:v>25</c:v>
                </c:pt>
                <c:pt idx="2">
                  <c:v>24</c:v>
                </c:pt>
                <c:pt idx="3">
                  <c:v>19</c:v>
                </c:pt>
                <c:pt idx="4">
                  <c:v>33</c:v>
                </c:pt>
                <c:pt idx="5">
                  <c:v>25</c:v>
                </c:pt>
                <c:pt idx="6">
                  <c:v>34</c:v>
                </c:pt>
                <c:pt idx="7">
                  <c:v>46</c:v>
                </c:pt>
                <c:pt idx="8">
                  <c:v>37</c:v>
                </c:pt>
                <c:pt idx="9">
                  <c:v>33</c:v>
                </c:pt>
                <c:pt idx="10">
                  <c:v>42</c:v>
                </c:pt>
                <c:pt idx="11">
                  <c:v>40</c:v>
                </c:pt>
                <c:pt idx="12">
                  <c:v>37</c:v>
                </c:pt>
                <c:pt idx="13">
                  <c:v>34</c:v>
                </c:pt>
                <c:pt idx="14">
                  <c:v>49</c:v>
                </c:pt>
                <c:pt idx="15">
                  <c:v>73</c:v>
                </c:pt>
                <c:pt idx="16">
                  <c:v>46</c:v>
                </c:pt>
                <c:pt idx="17">
                  <c:v>45</c:v>
                </c:pt>
                <c:pt idx="18">
                  <c:v>45</c:v>
                </c:pt>
                <c:pt idx="19">
                  <c:v>5</c:v>
                </c:pt>
                <c:pt idx="20">
                  <c:v>26</c:v>
                </c:pt>
                <c:pt idx="21">
                  <c:v>28</c:v>
                </c:pt>
              </c:numCache>
            </c:numRef>
          </c:val>
          <c:smooth val="0"/>
          <c:extLst>
            <c:ext xmlns:c16="http://schemas.microsoft.com/office/drawing/2014/chart" uri="{C3380CC4-5D6E-409C-BE32-E72D297353CC}">
              <c16:uniqueId val="{00000000-329B-41D6-8340-43856FD2F6C5}"/>
            </c:ext>
          </c:extLst>
        </c:ser>
        <c:ser>
          <c:idx val="1"/>
          <c:order val="1"/>
          <c:tx>
            <c:strRef>
              <c:f>'Fig 15.1. Rule 1'!$E$1</c:f>
              <c:strCache>
                <c:ptCount val="1"/>
                <c:pt idx="0">
                  <c:v>Mean</c:v>
                </c:pt>
              </c:strCache>
            </c:strRef>
          </c:tx>
          <c:spPr>
            <a:ln w="28575" cap="rnd">
              <a:solidFill>
                <a:schemeClr val="tx1"/>
              </a:solidFill>
              <a:round/>
            </a:ln>
            <a:effectLst/>
          </c:spPr>
          <c:marker>
            <c:symbol val="none"/>
          </c:marker>
          <c:cat>
            <c:strRef>
              <c:f>'Fig 15.1. Rule 1'!$C$2:$C$23</c:f>
              <c:strCach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strCache>
            </c:strRef>
          </c:cat>
          <c:val>
            <c:numRef>
              <c:f>'Fig 15.1. Rule 1'!$E$2:$E$23</c:f>
              <c:numCache>
                <c:formatCode>General</c:formatCode>
                <c:ptCount val="22"/>
                <c:pt idx="0">
                  <c:v>34.6</c:v>
                </c:pt>
                <c:pt idx="1">
                  <c:v>34.6</c:v>
                </c:pt>
                <c:pt idx="2">
                  <c:v>34.6</c:v>
                </c:pt>
                <c:pt idx="3">
                  <c:v>34.6</c:v>
                </c:pt>
                <c:pt idx="4">
                  <c:v>34.6</c:v>
                </c:pt>
                <c:pt idx="5">
                  <c:v>34.6</c:v>
                </c:pt>
                <c:pt idx="6">
                  <c:v>34.6</c:v>
                </c:pt>
                <c:pt idx="7">
                  <c:v>34.6</c:v>
                </c:pt>
                <c:pt idx="8">
                  <c:v>34.6</c:v>
                </c:pt>
                <c:pt idx="9">
                  <c:v>34.6</c:v>
                </c:pt>
                <c:pt idx="10">
                  <c:v>34.6</c:v>
                </c:pt>
                <c:pt idx="11">
                  <c:v>34.6</c:v>
                </c:pt>
                <c:pt idx="12">
                  <c:v>34.6</c:v>
                </c:pt>
                <c:pt idx="13">
                  <c:v>34.6</c:v>
                </c:pt>
                <c:pt idx="14">
                  <c:v>34.6</c:v>
                </c:pt>
                <c:pt idx="15">
                  <c:v>34.6</c:v>
                </c:pt>
                <c:pt idx="16">
                  <c:v>34.6</c:v>
                </c:pt>
                <c:pt idx="17">
                  <c:v>34.6</c:v>
                </c:pt>
                <c:pt idx="18">
                  <c:v>34.6</c:v>
                </c:pt>
                <c:pt idx="19">
                  <c:v>34.6</c:v>
                </c:pt>
                <c:pt idx="20">
                  <c:v>34.6</c:v>
                </c:pt>
                <c:pt idx="21">
                  <c:v>34.6</c:v>
                </c:pt>
              </c:numCache>
            </c:numRef>
          </c:val>
          <c:smooth val="0"/>
          <c:extLst>
            <c:ext xmlns:c16="http://schemas.microsoft.com/office/drawing/2014/chart" uri="{C3380CC4-5D6E-409C-BE32-E72D297353CC}">
              <c16:uniqueId val="{00000001-329B-41D6-8340-43856FD2F6C5}"/>
            </c:ext>
          </c:extLst>
        </c:ser>
        <c:ser>
          <c:idx val="2"/>
          <c:order val="2"/>
          <c:tx>
            <c:strRef>
              <c:f>'Fig 15.1. Rule 1'!$F$1</c:f>
              <c:strCache>
                <c:ptCount val="1"/>
                <c:pt idx="0">
                  <c:v>UPL</c:v>
                </c:pt>
              </c:strCache>
            </c:strRef>
          </c:tx>
          <c:spPr>
            <a:ln w="28575" cap="rnd">
              <a:solidFill>
                <a:srgbClr val="D72323"/>
              </a:solidFill>
              <a:prstDash val="dash"/>
              <a:round/>
            </a:ln>
            <a:effectLst/>
          </c:spPr>
          <c:marker>
            <c:symbol val="none"/>
          </c:marker>
          <c:cat>
            <c:strRef>
              <c:f>'Fig 15.1. Rule 1'!$C$2:$C$23</c:f>
              <c:strCach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strCache>
            </c:strRef>
          </c:cat>
          <c:val>
            <c:numRef>
              <c:f>'Fig 15.1. Rule 1'!$F$2:$F$23</c:f>
              <c:numCache>
                <c:formatCode>General</c:formatCode>
                <c:ptCount val="22"/>
                <c:pt idx="0">
                  <c:v>62.3</c:v>
                </c:pt>
                <c:pt idx="1">
                  <c:v>62.3</c:v>
                </c:pt>
                <c:pt idx="2">
                  <c:v>62.3</c:v>
                </c:pt>
                <c:pt idx="3">
                  <c:v>62.3</c:v>
                </c:pt>
                <c:pt idx="4">
                  <c:v>62.3</c:v>
                </c:pt>
                <c:pt idx="5">
                  <c:v>62.3</c:v>
                </c:pt>
                <c:pt idx="6">
                  <c:v>62.3</c:v>
                </c:pt>
                <c:pt idx="7">
                  <c:v>62.3</c:v>
                </c:pt>
                <c:pt idx="8">
                  <c:v>62.3</c:v>
                </c:pt>
                <c:pt idx="9">
                  <c:v>62.3</c:v>
                </c:pt>
                <c:pt idx="10">
                  <c:v>62.3</c:v>
                </c:pt>
                <c:pt idx="11">
                  <c:v>62.3</c:v>
                </c:pt>
                <c:pt idx="12">
                  <c:v>62.3</c:v>
                </c:pt>
                <c:pt idx="13">
                  <c:v>62.3</c:v>
                </c:pt>
                <c:pt idx="14">
                  <c:v>62.3</c:v>
                </c:pt>
                <c:pt idx="15">
                  <c:v>62.3</c:v>
                </c:pt>
                <c:pt idx="16">
                  <c:v>62.3</c:v>
                </c:pt>
                <c:pt idx="17">
                  <c:v>62.3</c:v>
                </c:pt>
                <c:pt idx="18">
                  <c:v>62.3</c:v>
                </c:pt>
                <c:pt idx="19">
                  <c:v>62.3</c:v>
                </c:pt>
                <c:pt idx="20">
                  <c:v>62.3</c:v>
                </c:pt>
                <c:pt idx="21">
                  <c:v>62.3</c:v>
                </c:pt>
              </c:numCache>
            </c:numRef>
          </c:val>
          <c:smooth val="0"/>
          <c:extLst>
            <c:ext xmlns:c16="http://schemas.microsoft.com/office/drawing/2014/chart" uri="{C3380CC4-5D6E-409C-BE32-E72D297353CC}">
              <c16:uniqueId val="{00000002-329B-41D6-8340-43856FD2F6C5}"/>
            </c:ext>
          </c:extLst>
        </c:ser>
        <c:ser>
          <c:idx val="3"/>
          <c:order val="3"/>
          <c:tx>
            <c:strRef>
              <c:f>'Fig 15.1. Rule 1'!$G$1</c:f>
              <c:strCache>
                <c:ptCount val="1"/>
                <c:pt idx="0">
                  <c:v>LPL</c:v>
                </c:pt>
              </c:strCache>
            </c:strRef>
          </c:tx>
          <c:spPr>
            <a:ln w="28575" cap="rnd">
              <a:solidFill>
                <a:srgbClr val="D72323"/>
              </a:solidFill>
              <a:prstDash val="dash"/>
              <a:round/>
            </a:ln>
            <a:effectLst/>
          </c:spPr>
          <c:marker>
            <c:symbol val="none"/>
          </c:marker>
          <c:cat>
            <c:strRef>
              <c:f>'Fig 15.1. Rule 1'!$C$2:$C$23</c:f>
              <c:strCach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strCache>
            </c:strRef>
          </c:cat>
          <c:val>
            <c:numRef>
              <c:f>'Fig 15.1. Rule 1'!$G$2:$G$23</c:f>
              <c:numCache>
                <c:formatCode>General</c:formatCode>
                <c:ptCount val="22"/>
                <c:pt idx="0">
                  <c:v>6.9</c:v>
                </c:pt>
                <c:pt idx="1">
                  <c:v>6.9</c:v>
                </c:pt>
                <c:pt idx="2">
                  <c:v>6.9</c:v>
                </c:pt>
                <c:pt idx="3">
                  <c:v>6.9</c:v>
                </c:pt>
                <c:pt idx="4">
                  <c:v>6.9</c:v>
                </c:pt>
                <c:pt idx="5">
                  <c:v>6.9</c:v>
                </c:pt>
                <c:pt idx="6">
                  <c:v>6.9</c:v>
                </c:pt>
                <c:pt idx="7">
                  <c:v>6.9</c:v>
                </c:pt>
                <c:pt idx="8">
                  <c:v>6.9</c:v>
                </c:pt>
                <c:pt idx="9">
                  <c:v>6.9</c:v>
                </c:pt>
                <c:pt idx="10">
                  <c:v>6.9</c:v>
                </c:pt>
                <c:pt idx="11">
                  <c:v>6.9</c:v>
                </c:pt>
                <c:pt idx="12">
                  <c:v>6.9</c:v>
                </c:pt>
                <c:pt idx="13">
                  <c:v>6.9</c:v>
                </c:pt>
                <c:pt idx="14">
                  <c:v>6.9</c:v>
                </c:pt>
                <c:pt idx="15">
                  <c:v>6.9</c:v>
                </c:pt>
                <c:pt idx="16">
                  <c:v>6.9</c:v>
                </c:pt>
                <c:pt idx="17">
                  <c:v>6.9</c:v>
                </c:pt>
                <c:pt idx="18">
                  <c:v>6.9</c:v>
                </c:pt>
                <c:pt idx="19">
                  <c:v>6.9</c:v>
                </c:pt>
                <c:pt idx="20">
                  <c:v>6.9</c:v>
                </c:pt>
                <c:pt idx="21">
                  <c:v>6.9</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Individual Values (X)</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15.1. Rule 1'!$H$1</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15.1. Rule 1'!$H$2:$H$23</c:f>
              <c:numCache>
                <c:formatCode>General</c:formatCode>
                <c:ptCount val="22"/>
                <c:pt idx="1">
                  <c:v>9</c:v>
                </c:pt>
                <c:pt idx="2">
                  <c:v>1</c:v>
                </c:pt>
                <c:pt idx="3">
                  <c:v>5</c:v>
                </c:pt>
                <c:pt idx="4">
                  <c:v>14</c:v>
                </c:pt>
                <c:pt idx="5">
                  <c:v>8</c:v>
                </c:pt>
                <c:pt idx="6">
                  <c:v>9</c:v>
                </c:pt>
                <c:pt idx="7">
                  <c:v>12</c:v>
                </c:pt>
                <c:pt idx="8">
                  <c:v>9</c:v>
                </c:pt>
                <c:pt idx="9">
                  <c:v>4</c:v>
                </c:pt>
                <c:pt idx="10">
                  <c:v>9</c:v>
                </c:pt>
                <c:pt idx="11">
                  <c:v>2</c:v>
                </c:pt>
                <c:pt idx="12">
                  <c:v>3</c:v>
                </c:pt>
                <c:pt idx="13">
                  <c:v>3</c:v>
                </c:pt>
                <c:pt idx="14">
                  <c:v>15</c:v>
                </c:pt>
                <c:pt idx="15">
                  <c:v>24</c:v>
                </c:pt>
                <c:pt idx="16">
                  <c:v>27</c:v>
                </c:pt>
                <c:pt idx="17">
                  <c:v>1</c:v>
                </c:pt>
                <c:pt idx="18">
                  <c:v>0</c:v>
                </c:pt>
                <c:pt idx="19">
                  <c:v>40</c:v>
                </c:pt>
                <c:pt idx="20">
                  <c:v>21</c:v>
                </c:pt>
                <c:pt idx="21">
                  <c:v>2</c:v>
                </c:pt>
              </c:numCache>
            </c:numRef>
          </c:val>
          <c:smooth val="0"/>
          <c:extLst>
            <c:ext xmlns:c16="http://schemas.microsoft.com/office/drawing/2014/chart" uri="{C3380CC4-5D6E-409C-BE32-E72D297353CC}">
              <c16:uniqueId val="{00000000-5D18-47FA-93F7-2AB89D044415}"/>
            </c:ext>
          </c:extLst>
        </c:ser>
        <c:ser>
          <c:idx val="1"/>
          <c:order val="1"/>
          <c:tx>
            <c:strRef>
              <c:f>'Fig 15.1. Rule 1'!$I$1</c:f>
              <c:strCache>
                <c:ptCount val="1"/>
                <c:pt idx="0">
                  <c:v>Ave. mR</c:v>
                </c:pt>
              </c:strCache>
            </c:strRef>
          </c:tx>
          <c:spPr>
            <a:ln w="28575" cap="rnd">
              <a:solidFill>
                <a:schemeClr val="tx1"/>
              </a:solidFill>
              <a:round/>
            </a:ln>
            <a:effectLst/>
          </c:spPr>
          <c:marker>
            <c:symbol val="none"/>
          </c:marker>
          <c:val>
            <c:numRef>
              <c:f>'Fig 15.1. Rule 1'!$I$2:$I$23</c:f>
              <c:numCache>
                <c:formatCode>General</c:formatCode>
                <c:ptCount val="22"/>
                <c:pt idx="0">
                  <c:v>10.4</c:v>
                </c:pt>
                <c:pt idx="1">
                  <c:v>10.4</c:v>
                </c:pt>
                <c:pt idx="2">
                  <c:v>10.4</c:v>
                </c:pt>
                <c:pt idx="3">
                  <c:v>10.4</c:v>
                </c:pt>
                <c:pt idx="4">
                  <c:v>10.4</c:v>
                </c:pt>
                <c:pt idx="5">
                  <c:v>10.4</c:v>
                </c:pt>
                <c:pt idx="6">
                  <c:v>10.4</c:v>
                </c:pt>
                <c:pt idx="7">
                  <c:v>10.4</c:v>
                </c:pt>
                <c:pt idx="8">
                  <c:v>10.4</c:v>
                </c:pt>
                <c:pt idx="9">
                  <c:v>10.4</c:v>
                </c:pt>
                <c:pt idx="10">
                  <c:v>10.4</c:v>
                </c:pt>
                <c:pt idx="11">
                  <c:v>10.4</c:v>
                </c:pt>
                <c:pt idx="12">
                  <c:v>10.4</c:v>
                </c:pt>
                <c:pt idx="13">
                  <c:v>10.4</c:v>
                </c:pt>
                <c:pt idx="14">
                  <c:v>10.4</c:v>
                </c:pt>
                <c:pt idx="15">
                  <c:v>10.4</c:v>
                </c:pt>
                <c:pt idx="16">
                  <c:v>10.4</c:v>
                </c:pt>
                <c:pt idx="17">
                  <c:v>10.4</c:v>
                </c:pt>
                <c:pt idx="18">
                  <c:v>10.4</c:v>
                </c:pt>
                <c:pt idx="19">
                  <c:v>10.4</c:v>
                </c:pt>
                <c:pt idx="20">
                  <c:v>10.4</c:v>
                </c:pt>
                <c:pt idx="21">
                  <c:v>10.4</c:v>
                </c:pt>
              </c:numCache>
            </c:numRef>
          </c:val>
          <c:smooth val="0"/>
          <c:extLst>
            <c:ext xmlns:c16="http://schemas.microsoft.com/office/drawing/2014/chart" uri="{C3380CC4-5D6E-409C-BE32-E72D297353CC}">
              <c16:uniqueId val="{00000001-5D18-47FA-93F7-2AB89D044415}"/>
            </c:ext>
          </c:extLst>
        </c:ser>
        <c:ser>
          <c:idx val="2"/>
          <c:order val="2"/>
          <c:tx>
            <c:strRef>
              <c:f>'Fig 15.1. Rule 1'!$J$1</c:f>
              <c:strCache>
                <c:ptCount val="1"/>
                <c:pt idx="0">
                  <c:v>URL</c:v>
                </c:pt>
              </c:strCache>
            </c:strRef>
          </c:tx>
          <c:spPr>
            <a:ln w="28575" cap="rnd">
              <a:solidFill>
                <a:srgbClr val="D72323"/>
              </a:solidFill>
              <a:prstDash val="dash"/>
              <a:round/>
            </a:ln>
            <a:effectLst/>
          </c:spPr>
          <c:marker>
            <c:symbol val="none"/>
          </c:marker>
          <c:val>
            <c:numRef>
              <c:f>'Fig 15.1. Rule 1'!$J$2:$J$23</c:f>
              <c:numCache>
                <c:formatCode>General</c:formatCode>
                <c:ptCount val="22"/>
                <c:pt idx="0">
                  <c:v>34</c:v>
                </c:pt>
                <c:pt idx="1">
                  <c:v>34</c:v>
                </c:pt>
                <c:pt idx="2">
                  <c:v>34</c:v>
                </c:pt>
                <c:pt idx="3">
                  <c:v>34</c:v>
                </c:pt>
                <c:pt idx="4">
                  <c:v>34</c:v>
                </c:pt>
                <c:pt idx="5">
                  <c:v>34</c:v>
                </c:pt>
                <c:pt idx="6">
                  <c:v>34</c:v>
                </c:pt>
                <c:pt idx="7">
                  <c:v>34</c:v>
                </c:pt>
                <c:pt idx="8">
                  <c:v>34</c:v>
                </c:pt>
                <c:pt idx="9">
                  <c:v>34</c:v>
                </c:pt>
                <c:pt idx="10">
                  <c:v>34</c:v>
                </c:pt>
                <c:pt idx="11">
                  <c:v>34</c:v>
                </c:pt>
                <c:pt idx="12">
                  <c:v>34</c:v>
                </c:pt>
                <c:pt idx="13">
                  <c:v>34</c:v>
                </c:pt>
                <c:pt idx="14">
                  <c:v>34</c:v>
                </c:pt>
                <c:pt idx="15">
                  <c:v>34</c:v>
                </c:pt>
                <c:pt idx="16">
                  <c:v>34</c:v>
                </c:pt>
                <c:pt idx="17">
                  <c:v>34</c:v>
                </c:pt>
                <c:pt idx="18">
                  <c:v>34</c:v>
                </c:pt>
                <c:pt idx="19">
                  <c:v>34</c:v>
                </c:pt>
                <c:pt idx="20">
                  <c:v>34</c:v>
                </c:pt>
                <c:pt idx="21">
                  <c:v>34</c:v>
                </c:pt>
              </c:numCache>
            </c:numRef>
          </c:val>
          <c:smooth val="0"/>
          <c:extLst>
            <c:ext xmlns:c16="http://schemas.microsoft.com/office/drawing/2014/chart" uri="{C3380CC4-5D6E-409C-BE32-E72D297353CC}">
              <c16:uniqueId val="{00000002-5D18-47FA-93F7-2AB89D044415}"/>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15.3. Rule 2'!$D$1</c:f>
              <c:strCache>
                <c:ptCount val="1"/>
                <c:pt idx="0">
                  <c:v>Rate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15.3. Rule 2'!$C$2:$C$23</c:f>
              <c:strCache>
                <c:ptCount val="22"/>
                <c:pt idx="0">
                  <c:v>Jun-47</c:v>
                </c:pt>
                <c:pt idx="1">
                  <c:v>Jul-47</c:v>
                </c:pt>
                <c:pt idx="2">
                  <c:v>Aug-47</c:v>
                </c:pt>
                <c:pt idx="3">
                  <c:v>Sep-47</c:v>
                </c:pt>
                <c:pt idx="4">
                  <c:v>Oct-47</c:v>
                </c:pt>
                <c:pt idx="5">
                  <c:v>Nov-47</c:v>
                </c:pt>
                <c:pt idx="6">
                  <c:v>Dec-47</c:v>
                </c:pt>
                <c:pt idx="7">
                  <c:v>Jan-48</c:v>
                </c:pt>
                <c:pt idx="8">
                  <c:v>Feb-48</c:v>
                </c:pt>
                <c:pt idx="9">
                  <c:v>Mar-48</c:v>
                </c:pt>
                <c:pt idx="10">
                  <c:v>Apr-48</c:v>
                </c:pt>
                <c:pt idx="11">
                  <c:v>May-48</c:v>
                </c:pt>
                <c:pt idx="12">
                  <c:v>Jun-48</c:v>
                </c:pt>
                <c:pt idx="13">
                  <c:v>Jul-48</c:v>
                </c:pt>
                <c:pt idx="14">
                  <c:v>Aug-48</c:v>
                </c:pt>
                <c:pt idx="15">
                  <c:v>Sep-48</c:v>
                </c:pt>
                <c:pt idx="16">
                  <c:v>Oct-48</c:v>
                </c:pt>
                <c:pt idx="17">
                  <c:v>Nov-48</c:v>
                </c:pt>
                <c:pt idx="18">
                  <c:v>Dec-48</c:v>
                </c:pt>
                <c:pt idx="19">
                  <c:v>Jan-49</c:v>
                </c:pt>
                <c:pt idx="20">
                  <c:v>Feb-49</c:v>
                </c:pt>
                <c:pt idx="21">
                  <c:v>Mar-49</c:v>
                </c:pt>
              </c:strCache>
            </c:strRef>
          </c:cat>
          <c:val>
            <c:numRef>
              <c:f>'Fig 15.3. Rule 2'!$D$2:$D$23</c:f>
              <c:numCache>
                <c:formatCode>General</c:formatCode>
                <c:ptCount val="22"/>
                <c:pt idx="0">
                  <c:v>2.2000000000000002</c:v>
                </c:pt>
                <c:pt idx="1">
                  <c:v>1.2</c:v>
                </c:pt>
                <c:pt idx="2">
                  <c:v>1.9</c:v>
                </c:pt>
                <c:pt idx="3">
                  <c:v>4.5999999999999996</c:v>
                </c:pt>
                <c:pt idx="4">
                  <c:v>4</c:v>
                </c:pt>
                <c:pt idx="5">
                  <c:v>4.5</c:v>
                </c:pt>
                <c:pt idx="6">
                  <c:v>2.9</c:v>
                </c:pt>
                <c:pt idx="7">
                  <c:v>3.5</c:v>
                </c:pt>
                <c:pt idx="8">
                  <c:v>0.7</c:v>
                </c:pt>
                <c:pt idx="9">
                  <c:v>0</c:v>
                </c:pt>
                <c:pt idx="10">
                  <c:v>0.7</c:v>
                </c:pt>
                <c:pt idx="11">
                  <c:v>1</c:v>
                </c:pt>
                <c:pt idx="12">
                  <c:v>1.1000000000000001</c:v>
                </c:pt>
                <c:pt idx="13">
                  <c:v>0.4</c:v>
                </c:pt>
                <c:pt idx="14">
                  <c:v>0</c:v>
                </c:pt>
                <c:pt idx="15">
                  <c:v>1</c:v>
                </c:pt>
                <c:pt idx="16">
                  <c:v>2.2999999999999998</c:v>
                </c:pt>
                <c:pt idx="17">
                  <c:v>2.9</c:v>
                </c:pt>
                <c:pt idx="18">
                  <c:v>1.3</c:v>
                </c:pt>
                <c:pt idx="19">
                  <c:v>2.2000000000000002</c:v>
                </c:pt>
                <c:pt idx="20">
                  <c:v>3.1</c:v>
                </c:pt>
                <c:pt idx="21">
                  <c:v>4.9000000000000004</c:v>
                </c:pt>
              </c:numCache>
            </c:numRef>
          </c:val>
          <c:smooth val="0"/>
          <c:extLst>
            <c:ext xmlns:c16="http://schemas.microsoft.com/office/drawing/2014/chart" uri="{C3380CC4-5D6E-409C-BE32-E72D297353CC}">
              <c16:uniqueId val="{00000000-329B-41D6-8340-43856FD2F6C5}"/>
            </c:ext>
          </c:extLst>
        </c:ser>
        <c:ser>
          <c:idx val="1"/>
          <c:order val="1"/>
          <c:tx>
            <c:strRef>
              <c:f>'Fig 15.3. Rule 2'!$E$1</c:f>
              <c:strCache>
                <c:ptCount val="1"/>
                <c:pt idx="0">
                  <c:v>Mean</c:v>
                </c:pt>
              </c:strCache>
            </c:strRef>
          </c:tx>
          <c:spPr>
            <a:ln w="28575" cap="rnd">
              <a:solidFill>
                <a:schemeClr val="tx1"/>
              </a:solidFill>
              <a:round/>
            </a:ln>
            <a:effectLst/>
          </c:spPr>
          <c:marker>
            <c:symbol val="none"/>
          </c:marker>
          <c:cat>
            <c:strRef>
              <c:f>'Fig 15.3. Rule 2'!$C$2:$C$23</c:f>
              <c:strCache>
                <c:ptCount val="22"/>
                <c:pt idx="0">
                  <c:v>Jun-47</c:v>
                </c:pt>
                <c:pt idx="1">
                  <c:v>Jul-47</c:v>
                </c:pt>
                <c:pt idx="2">
                  <c:v>Aug-47</c:v>
                </c:pt>
                <c:pt idx="3">
                  <c:v>Sep-47</c:v>
                </c:pt>
                <c:pt idx="4">
                  <c:v>Oct-47</c:v>
                </c:pt>
                <c:pt idx="5">
                  <c:v>Nov-47</c:v>
                </c:pt>
                <c:pt idx="6">
                  <c:v>Dec-47</c:v>
                </c:pt>
                <c:pt idx="7">
                  <c:v>Jan-48</c:v>
                </c:pt>
                <c:pt idx="8">
                  <c:v>Feb-48</c:v>
                </c:pt>
                <c:pt idx="9">
                  <c:v>Mar-48</c:v>
                </c:pt>
                <c:pt idx="10">
                  <c:v>Apr-48</c:v>
                </c:pt>
                <c:pt idx="11">
                  <c:v>May-48</c:v>
                </c:pt>
                <c:pt idx="12">
                  <c:v>Jun-48</c:v>
                </c:pt>
                <c:pt idx="13">
                  <c:v>Jul-48</c:v>
                </c:pt>
                <c:pt idx="14">
                  <c:v>Aug-48</c:v>
                </c:pt>
                <c:pt idx="15">
                  <c:v>Sep-48</c:v>
                </c:pt>
                <c:pt idx="16">
                  <c:v>Oct-48</c:v>
                </c:pt>
                <c:pt idx="17">
                  <c:v>Nov-48</c:v>
                </c:pt>
                <c:pt idx="18">
                  <c:v>Dec-48</c:v>
                </c:pt>
                <c:pt idx="19">
                  <c:v>Jan-49</c:v>
                </c:pt>
                <c:pt idx="20">
                  <c:v>Feb-49</c:v>
                </c:pt>
                <c:pt idx="21">
                  <c:v>Mar-49</c:v>
                </c:pt>
              </c:strCache>
            </c:strRef>
          </c:cat>
          <c:val>
            <c:numRef>
              <c:f>'Fig 15.3. Rule 2'!$E$2:$E$23</c:f>
              <c:numCache>
                <c:formatCode>General</c:formatCode>
                <c:ptCount val="22"/>
                <c:pt idx="0">
                  <c:v>2.11</c:v>
                </c:pt>
                <c:pt idx="1">
                  <c:v>2.11</c:v>
                </c:pt>
                <c:pt idx="2">
                  <c:v>2.11</c:v>
                </c:pt>
                <c:pt idx="3">
                  <c:v>2.11</c:v>
                </c:pt>
                <c:pt idx="4">
                  <c:v>2.11</c:v>
                </c:pt>
                <c:pt idx="5">
                  <c:v>2.11</c:v>
                </c:pt>
                <c:pt idx="6">
                  <c:v>2.11</c:v>
                </c:pt>
                <c:pt idx="7">
                  <c:v>2.11</c:v>
                </c:pt>
                <c:pt idx="8">
                  <c:v>2.11</c:v>
                </c:pt>
                <c:pt idx="9">
                  <c:v>2.11</c:v>
                </c:pt>
                <c:pt idx="10">
                  <c:v>2.11</c:v>
                </c:pt>
                <c:pt idx="11">
                  <c:v>2.11</c:v>
                </c:pt>
                <c:pt idx="12">
                  <c:v>2.11</c:v>
                </c:pt>
                <c:pt idx="13">
                  <c:v>2.11</c:v>
                </c:pt>
                <c:pt idx="14">
                  <c:v>2.11</c:v>
                </c:pt>
                <c:pt idx="15">
                  <c:v>2.11</c:v>
                </c:pt>
                <c:pt idx="16">
                  <c:v>2.11</c:v>
                </c:pt>
                <c:pt idx="17">
                  <c:v>2.11</c:v>
                </c:pt>
                <c:pt idx="18">
                  <c:v>2.11</c:v>
                </c:pt>
                <c:pt idx="19">
                  <c:v>2.11</c:v>
                </c:pt>
                <c:pt idx="20">
                  <c:v>2.11</c:v>
                </c:pt>
                <c:pt idx="21">
                  <c:v>2.11</c:v>
                </c:pt>
              </c:numCache>
            </c:numRef>
          </c:val>
          <c:smooth val="0"/>
          <c:extLst>
            <c:ext xmlns:c16="http://schemas.microsoft.com/office/drawing/2014/chart" uri="{C3380CC4-5D6E-409C-BE32-E72D297353CC}">
              <c16:uniqueId val="{00000001-329B-41D6-8340-43856FD2F6C5}"/>
            </c:ext>
          </c:extLst>
        </c:ser>
        <c:ser>
          <c:idx val="2"/>
          <c:order val="2"/>
          <c:tx>
            <c:strRef>
              <c:f>'Fig 15.3. Rule 2'!$F$1</c:f>
              <c:strCache>
                <c:ptCount val="1"/>
                <c:pt idx="0">
                  <c:v>UPL</c:v>
                </c:pt>
              </c:strCache>
            </c:strRef>
          </c:tx>
          <c:spPr>
            <a:ln w="28575" cap="rnd">
              <a:solidFill>
                <a:srgbClr val="D72323"/>
              </a:solidFill>
              <a:prstDash val="dash"/>
              <a:round/>
            </a:ln>
            <a:effectLst/>
          </c:spPr>
          <c:marker>
            <c:symbol val="none"/>
          </c:marker>
          <c:cat>
            <c:strRef>
              <c:f>'Fig 15.3. Rule 2'!$C$2:$C$23</c:f>
              <c:strCache>
                <c:ptCount val="22"/>
                <c:pt idx="0">
                  <c:v>Jun-47</c:v>
                </c:pt>
                <c:pt idx="1">
                  <c:v>Jul-47</c:v>
                </c:pt>
                <c:pt idx="2">
                  <c:v>Aug-47</c:v>
                </c:pt>
                <c:pt idx="3">
                  <c:v>Sep-47</c:v>
                </c:pt>
                <c:pt idx="4">
                  <c:v>Oct-47</c:v>
                </c:pt>
                <c:pt idx="5">
                  <c:v>Nov-47</c:v>
                </c:pt>
                <c:pt idx="6">
                  <c:v>Dec-47</c:v>
                </c:pt>
                <c:pt idx="7">
                  <c:v>Jan-48</c:v>
                </c:pt>
                <c:pt idx="8">
                  <c:v>Feb-48</c:v>
                </c:pt>
                <c:pt idx="9">
                  <c:v>Mar-48</c:v>
                </c:pt>
                <c:pt idx="10">
                  <c:v>Apr-48</c:v>
                </c:pt>
                <c:pt idx="11">
                  <c:v>May-48</c:v>
                </c:pt>
                <c:pt idx="12">
                  <c:v>Jun-48</c:v>
                </c:pt>
                <c:pt idx="13">
                  <c:v>Jul-48</c:v>
                </c:pt>
                <c:pt idx="14">
                  <c:v>Aug-48</c:v>
                </c:pt>
                <c:pt idx="15">
                  <c:v>Sep-48</c:v>
                </c:pt>
                <c:pt idx="16">
                  <c:v>Oct-48</c:v>
                </c:pt>
                <c:pt idx="17">
                  <c:v>Nov-48</c:v>
                </c:pt>
                <c:pt idx="18">
                  <c:v>Dec-48</c:v>
                </c:pt>
                <c:pt idx="19">
                  <c:v>Jan-49</c:v>
                </c:pt>
                <c:pt idx="20">
                  <c:v>Feb-49</c:v>
                </c:pt>
                <c:pt idx="21">
                  <c:v>Mar-49</c:v>
                </c:pt>
              </c:strCache>
            </c:strRef>
          </c:cat>
          <c:val>
            <c:numRef>
              <c:f>'Fig 15.3. Rule 2'!$F$2:$F$23</c:f>
              <c:numCache>
                <c:formatCode>General</c:formatCode>
                <c:ptCount val="22"/>
                <c:pt idx="0">
                  <c:v>4.82</c:v>
                </c:pt>
                <c:pt idx="1">
                  <c:v>4.82</c:v>
                </c:pt>
                <c:pt idx="2">
                  <c:v>4.82</c:v>
                </c:pt>
                <c:pt idx="3">
                  <c:v>4.82</c:v>
                </c:pt>
                <c:pt idx="4">
                  <c:v>4.82</c:v>
                </c:pt>
                <c:pt idx="5">
                  <c:v>4.82</c:v>
                </c:pt>
                <c:pt idx="6">
                  <c:v>4.82</c:v>
                </c:pt>
                <c:pt idx="7">
                  <c:v>4.82</c:v>
                </c:pt>
                <c:pt idx="8">
                  <c:v>4.82</c:v>
                </c:pt>
                <c:pt idx="9">
                  <c:v>4.82</c:v>
                </c:pt>
                <c:pt idx="10">
                  <c:v>4.82</c:v>
                </c:pt>
                <c:pt idx="11">
                  <c:v>4.82</c:v>
                </c:pt>
                <c:pt idx="12">
                  <c:v>4.82</c:v>
                </c:pt>
                <c:pt idx="13">
                  <c:v>4.82</c:v>
                </c:pt>
                <c:pt idx="14">
                  <c:v>4.82</c:v>
                </c:pt>
                <c:pt idx="15">
                  <c:v>4.82</c:v>
                </c:pt>
                <c:pt idx="16">
                  <c:v>4.82</c:v>
                </c:pt>
                <c:pt idx="17">
                  <c:v>4.82</c:v>
                </c:pt>
                <c:pt idx="18">
                  <c:v>4.82</c:v>
                </c:pt>
                <c:pt idx="19">
                  <c:v>4.82</c:v>
                </c:pt>
                <c:pt idx="20">
                  <c:v>4.82</c:v>
                </c:pt>
                <c:pt idx="21">
                  <c:v>4.82</c:v>
                </c:pt>
              </c:numCache>
            </c:numRef>
          </c:val>
          <c:smooth val="0"/>
          <c:extLst>
            <c:ext xmlns:c16="http://schemas.microsoft.com/office/drawing/2014/chart" uri="{C3380CC4-5D6E-409C-BE32-E72D297353CC}">
              <c16:uniqueId val="{00000002-329B-41D6-8340-43856FD2F6C5}"/>
            </c:ext>
          </c:extLst>
        </c:ser>
        <c:ser>
          <c:idx val="3"/>
          <c:order val="3"/>
          <c:tx>
            <c:strRef>
              <c:f>'Fig 15.3. Rule 2'!$G$1</c:f>
              <c:strCache>
                <c:ptCount val="1"/>
                <c:pt idx="0">
                  <c:v>LPL</c:v>
                </c:pt>
              </c:strCache>
            </c:strRef>
          </c:tx>
          <c:spPr>
            <a:ln w="28575" cap="rnd">
              <a:solidFill>
                <a:srgbClr val="D72323"/>
              </a:solidFill>
              <a:prstDash val="dash"/>
              <a:round/>
            </a:ln>
            <a:effectLst/>
          </c:spPr>
          <c:marker>
            <c:symbol val="none"/>
          </c:marker>
          <c:cat>
            <c:strRef>
              <c:f>'Fig 15.3. Rule 2'!$C$2:$C$23</c:f>
              <c:strCache>
                <c:ptCount val="22"/>
                <c:pt idx="0">
                  <c:v>Jun-47</c:v>
                </c:pt>
                <c:pt idx="1">
                  <c:v>Jul-47</c:v>
                </c:pt>
                <c:pt idx="2">
                  <c:v>Aug-47</c:v>
                </c:pt>
                <c:pt idx="3">
                  <c:v>Sep-47</c:v>
                </c:pt>
                <c:pt idx="4">
                  <c:v>Oct-47</c:v>
                </c:pt>
                <c:pt idx="5">
                  <c:v>Nov-47</c:v>
                </c:pt>
                <c:pt idx="6">
                  <c:v>Dec-47</c:v>
                </c:pt>
                <c:pt idx="7">
                  <c:v>Jan-48</c:v>
                </c:pt>
                <c:pt idx="8">
                  <c:v>Feb-48</c:v>
                </c:pt>
                <c:pt idx="9">
                  <c:v>Mar-48</c:v>
                </c:pt>
                <c:pt idx="10">
                  <c:v>Apr-48</c:v>
                </c:pt>
                <c:pt idx="11">
                  <c:v>May-48</c:v>
                </c:pt>
                <c:pt idx="12">
                  <c:v>Jun-48</c:v>
                </c:pt>
                <c:pt idx="13">
                  <c:v>Jul-48</c:v>
                </c:pt>
                <c:pt idx="14">
                  <c:v>Aug-48</c:v>
                </c:pt>
                <c:pt idx="15">
                  <c:v>Sep-48</c:v>
                </c:pt>
                <c:pt idx="16">
                  <c:v>Oct-48</c:v>
                </c:pt>
                <c:pt idx="17">
                  <c:v>Nov-48</c:v>
                </c:pt>
                <c:pt idx="18">
                  <c:v>Dec-48</c:v>
                </c:pt>
                <c:pt idx="19">
                  <c:v>Jan-49</c:v>
                </c:pt>
                <c:pt idx="20">
                  <c:v>Feb-49</c:v>
                </c:pt>
                <c:pt idx="21">
                  <c:v>Mar-49</c:v>
                </c:pt>
              </c:strCache>
            </c:strRef>
          </c:cat>
          <c:val>
            <c:numRef>
              <c:f>'Fig 15.3. Rule 2'!$G$2:$G$23</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a:t>
                </a:r>
                <a:r>
                  <a:rPr lang="en-US" baseline="0"/>
                  <a:t> Rate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15.3. Rule 2'!$H$1</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15.3. Rule 2'!$H$2:$H$23</c:f>
              <c:numCache>
                <c:formatCode>General</c:formatCode>
                <c:ptCount val="22"/>
                <c:pt idx="1">
                  <c:v>1</c:v>
                </c:pt>
                <c:pt idx="2">
                  <c:v>0.7</c:v>
                </c:pt>
                <c:pt idx="3">
                  <c:v>2.7</c:v>
                </c:pt>
                <c:pt idx="4">
                  <c:v>0.6</c:v>
                </c:pt>
                <c:pt idx="5">
                  <c:v>0.5</c:v>
                </c:pt>
                <c:pt idx="6">
                  <c:v>1.6</c:v>
                </c:pt>
                <c:pt idx="7">
                  <c:v>0.6</c:v>
                </c:pt>
                <c:pt idx="8">
                  <c:v>2.8</c:v>
                </c:pt>
                <c:pt idx="9">
                  <c:v>0.7</c:v>
                </c:pt>
                <c:pt idx="10">
                  <c:v>0.7</c:v>
                </c:pt>
                <c:pt idx="11">
                  <c:v>0.3</c:v>
                </c:pt>
                <c:pt idx="12">
                  <c:v>0.1</c:v>
                </c:pt>
                <c:pt idx="13">
                  <c:v>0.7</c:v>
                </c:pt>
                <c:pt idx="14">
                  <c:v>0.4</c:v>
                </c:pt>
                <c:pt idx="15">
                  <c:v>1</c:v>
                </c:pt>
                <c:pt idx="16">
                  <c:v>1.3</c:v>
                </c:pt>
                <c:pt idx="17">
                  <c:v>0.6</c:v>
                </c:pt>
                <c:pt idx="18">
                  <c:v>1.6</c:v>
                </c:pt>
                <c:pt idx="19">
                  <c:v>0.9</c:v>
                </c:pt>
                <c:pt idx="20">
                  <c:v>0.9</c:v>
                </c:pt>
                <c:pt idx="21">
                  <c:v>1.8</c:v>
                </c:pt>
              </c:numCache>
            </c:numRef>
          </c:val>
          <c:smooth val="0"/>
          <c:extLst>
            <c:ext xmlns:c16="http://schemas.microsoft.com/office/drawing/2014/chart" uri="{C3380CC4-5D6E-409C-BE32-E72D297353CC}">
              <c16:uniqueId val="{00000000-5D18-47FA-93F7-2AB89D044415}"/>
            </c:ext>
          </c:extLst>
        </c:ser>
        <c:ser>
          <c:idx val="1"/>
          <c:order val="1"/>
          <c:tx>
            <c:strRef>
              <c:f>'Fig 15.3. Rule 2'!$I$1</c:f>
              <c:strCache>
                <c:ptCount val="1"/>
                <c:pt idx="0">
                  <c:v>Ave. mR</c:v>
                </c:pt>
              </c:strCache>
            </c:strRef>
          </c:tx>
          <c:spPr>
            <a:ln w="28575" cap="rnd">
              <a:solidFill>
                <a:schemeClr val="tx1"/>
              </a:solidFill>
              <a:round/>
            </a:ln>
            <a:effectLst/>
          </c:spPr>
          <c:marker>
            <c:symbol val="none"/>
          </c:marker>
          <c:val>
            <c:numRef>
              <c:f>'Fig 15.3. Rule 2'!$I$2:$I$23</c:f>
              <c:numCache>
                <c:formatCode>General</c:formatCode>
                <c:ptCount val="22"/>
                <c:pt idx="0">
                  <c:v>1.02</c:v>
                </c:pt>
                <c:pt idx="1">
                  <c:v>1.02</c:v>
                </c:pt>
                <c:pt idx="2">
                  <c:v>1.02</c:v>
                </c:pt>
                <c:pt idx="3">
                  <c:v>1.02</c:v>
                </c:pt>
                <c:pt idx="4">
                  <c:v>1.02</c:v>
                </c:pt>
                <c:pt idx="5">
                  <c:v>1.02</c:v>
                </c:pt>
                <c:pt idx="6">
                  <c:v>1.02</c:v>
                </c:pt>
                <c:pt idx="7">
                  <c:v>1.02</c:v>
                </c:pt>
                <c:pt idx="8">
                  <c:v>1.02</c:v>
                </c:pt>
                <c:pt idx="9">
                  <c:v>1.02</c:v>
                </c:pt>
                <c:pt idx="10">
                  <c:v>1.02</c:v>
                </c:pt>
                <c:pt idx="11">
                  <c:v>1.02</c:v>
                </c:pt>
                <c:pt idx="12">
                  <c:v>1.02</c:v>
                </c:pt>
                <c:pt idx="13">
                  <c:v>1.02</c:v>
                </c:pt>
                <c:pt idx="14">
                  <c:v>1.02</c:v>
                </c:pt>
                <c:pt idx="15">
                  <c:v>1.02</c:v>
                </c:pt>
                <c:pt idx="16">
                  <c:v>1.02</c:v>
                </c:pt>
                <c:pt idx="17">
                  <c:v>1.02</c:v>
                </c:pt>
                <c:pt idx="18">
                  <c:v>1.02</c:v>
                </c:pt>
                <c:pt idx="19">
                  <c:v>1.02</c:v>
                </c:pt>
                <c:pt idx="20">
                  <c:v>1.02</c:v>
                </c:pt>
                <c:pt idx="21">
                  <c:v>1.02</c:v>
                </c:pt>
              </c:numCache>
            </c:numRef>
          </c:val>
          <c:smooth val="0"/>
          <c:extLst>
            <c:ext xmlns:c16="http://schemas.microsoft.com/office/drawing/2014/chart" uri="{C3380CC4-5D6E-409C-BE32-E72D297353CC}">
              <c16:uniqueId val="{00000001-5D18-47FA-93F7-2AB89D044415}"/>
            </c:ext>
          </c:extLst>
        </c:ser>
        <c:ser>
          <c:idx val="2"/>
          <c:order val="2"/>
          <c:tx>
            <c:strRef>
              <c:f>'Fig 15.3. Rule 2'!$J$1</c:f>
              <c:strCache>
                <c:ptCount val="1"/>
                <c:pt idx="0">
                  <c:v>URL</c:v>
                </c:pt>
              </c:strCache>
            </c:strRef>
          </c:tx>
          <c:spPr>
            <a:ln w="28575" cap="rnd">
              <a:solidFill>
                <a:srgbClr val="D72323"/>
              </a:solidFill>
              <a:prstDash val="dash"/>
              <a:round/>
            </a:ln>
            <a:effectLst/>
          </c:spPr>
          <c:marker>
            <c:symbol val="none"/>
          </c:marker>
          <c:val>
            <c:numRef>
              <c:f>'Fig 15.3. Rule 2'!$J$2:$J$23</c:f>
              <c:numCache>
                <c:formatCode>General</c:formatCode>
                <c:ptCount val="22"/>
                <c:pt idx="0">
                  <c:v>3.33</c:v>
                </c:pt>
                <c:pt idx="1">
                  <c:v>3.33</c:v>
                </c:pt>
                <c:pt idx="2">
                  <c:v>3.33</c:v>
                </c:pt>
                <c:pt idx="3">
                  <c:v>3.33</c:v>
                </c:pt>
                <c:pt idx="4">
                  <c:v>3.33</c:v>
                </c:pt>
                <c:pt idx="5">
                  <c:v>3.33</c:v>
                </c:pt>
                <c:pt idx="6">
                  <c:v>3.33</c:v>
                </c:pt>
                <c:pt idx="7">
                  <c:v>3.33</c:v>
                </c:pt>
                <c:pt idx="8">
                  <c:v>3.33</c:v>
                </c:pt>
                <c:pt idx="9">
                  <c:v>3.33</c:v>
                </c:pt>
                <c:pt idx="10">
                  <c:v>3.33</c:v>
                </c:pt>
                <c:pt idx="11">
                  <c:v>3.33</c:v>
                </c:pt>
                <c:pt idx="12">
                  <c:v>3.33</c:v>
                </c:pt>
                <c:pt idx="13">
                  <c:v>3.33</c:v>
                </c:pt>
                <c:pt idx="14">
                  <c:v>3.33</c:v>
                </c:pt>
                <c:pt idx="15">
                  <c:v>3.33</c:v>
                </c:pt>
                <c:pt idx="16">
                  <c:v>3.33</c:v>
                </c:pt>
                <c:pt idx="17">
                  <c:v>3.33</c:v>
                </c:pt>
                <c:pt idx="18">
                  <c:v>3.33</c:v>
                </c:pt>
                <c:pt idx="19">
                  <c:v>3.33</c:v>
                </c:pt>
                <c:pt idx="20">
                  <c:v>3.33</c:v>
                </c:pt>
                <c:pt idx="21">
                  <c:v>3.33</c:v>
                </c:pt>
              </c:numCache>
            </c:numRef>
          </c:val>
          <c:smooth val="0"/>
          <c:extLst>
            <c:ext xmlns:c16="http://schemas.microsoft.com/office/drawing/2014/chart" uri="{C3380CC4-5D6E-409C-BE32-E72D297353CC}">
              <c16:uniqueId val="{00000002-5D18-47FA-93F7-2AB89D044415}"/>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15.4. Rule 3'!$D$1</c:f>
              <c:strCache>
                <c:ptCount val="1"/>
                <c:pt idx="0">
                  <c:v>Rate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15.4. Rule 3'!$C$2:$C$27</c:f>
              <c:strCache>
                <c:ptCount val="26"/>
                <c:pt idx="0">
                  <c:v>1833</c:v>
                </c:pt>
                <c:pt idx="1">
                  <c:v>1834</c:v>
                </c:pt>
                <c:pt idx="2">
                  <c:v>1835</c:v>
                </c:pt>
                <c:pt idx="3">
                  <c:v>1836</c:v>
                </c:pt>
                <c:pt idx="4">
                  <c:v>1837</c:v>
                </c:pt>
                <c:pt idx="5">
                  <c:v>1838</c:v>
                </c:pt>
                <c:pt idx="6">
                  <c:v>1839</c:v>
                </c:pt>
                <c:pt idx="7">
                  <c:v>1840</c:v>
                </c:pt>
                <c:pt idx="8">
                  <c:v>1841</c:v>
                </c:pt>
                <c:pt idx="9">
                  <c:v>1842</c:v>
                </c:pt>
                <c:pt idx="10">
                  <c:v>1843</c:v>
                </c:pt>
                <c:pt idx="11">
                  <c:v>1844</c:v>
                </c:pt>
                <c:pt idx="12">
                  <c:v>1845</c:v>
                </c:pt>
                <c:pt idx="13">
                  <c:v>1846</c:v>
                </c:pt>
                <c:pt idx="14">
                  <c:v>1847</c:v>
                </c:pt>
                <c:pt idx="15">
                  <c:v>1848</c:v>
                </c:pt>
                <c:pt idx="16">
                  <c:v>1849</c:v>
                </c:pt>
                <c:pt idx="17">
                  <c:v>1850</c:v>
                </c:pt>
                <c:pt idx="18">
                  <c:v>1851</c:v>
                </c:pt>
                <c:pt idx="19">
                  <c:v>1852</c:v>
                </c:pt>
                <c:pt idx="20">
                  <c:v>1853</c:v>
                </c:pt>
                <c:pt idx="21">
                  <c:v>1854</c:v>
                </c:pt>
                <c:pt idx="22">
                  <c:v>1855</c:v>
                </c:pt>
                <c:pt idx="23">
                  <c:v>1856</c:v>
                </c:pt>
                <c:pt idx="24">
                  <c:v>1857</c:v>
                </c:pt>
                <c:pt idx="25">
                  <c:v>1858</c:v>
                </c:pt>
              </c:strCache>
            </c:strRef>
          </c:cat>
          <c:val>
            <c:numRef>
              <c:f>'Fig 15.4. Rule 3'!$D$2:$D$27</c:f>
              <c:numCache>
                <c:formatCode>General</c:formatCode>
                <c:ptCount val="26"/>
                <c:pt idx="0">
                  <c:v>5.3</c:v>
                </c:pt>
                <c:pt idx="1">
                  <c:v>7.7</c:v>
                </c:pt>
                <c:pt idx="2">
                  <c:v>5.6</c:v>
                </c:pt>
                <c:pt idx="3">
                  <c:v>7.5</c:v>
                </c:pt>
                <c:pt idx="4">
                  <c:v>9.1</c:v>
                </c:pt>
                <c:pt idx="5">
                  <c:v>3</c:v>
                </c:pt>
                <c:pt idx="6">
                  <c:v>5.4</c:v>
                </c:pt>
                <c:pt idx="7">
                  <c:v>9.1999999999999993</c:v>
                </c:pt>
                <c:pt idx="8">
                  <c:v>7.8</c:v>
                </c:pt>
                <c:pt idx="9">
                  <c:v>15.8</c:v>
                </c:pt>
                <c:pt idx="10">
                  <c:v>9</c:v>
                </c:pt>
                <c:pt idx="11">
                  <c:v>8.1999999999999993</c:v>
                </c:pt>
                <c:pt idx="12">
                  <c:v>6.9</c:v>
                </c:pt>
                <c:pt idx="13">
                  <c:v>11.4</c:v>
                </c:pt>
                <c:pt idx="14">
                  <c:v>5</c:v>
                </c:pt>
                <c:pt idx="15">
                  <c:v>1.3</c:v>
                </c:pt>
                <c:pt idx="16">
                  <c:v>2.7</c:v>
                </c:pt>
                <c:pt idx="17">
                  <c:v>2</c:v>
                </c:pt>
                <c:pt idx="18">
                  <c:v>1.8</c:v>
                </c:pt>
                <c:pt idx="19">
                  <c:v>4</c:v>
                </c:pt>
                <c:pt idx="20">
                  <c:v>2.2000000000000002</c:v>
                </c:pt>
                <c:pt idx="21">
                  <c:v>9.1</c:v>
                </c:pt>
                <c:pt idx="22">
                  <c:v>5.4</c:v>
                </c:pt>
                <c:pt idx="23">
                  <c:v>4</c:v>
                </c:pt>
                <c:pt idx="24">
                  <c:v>2.9</c:v>
                </c:pt>
                <c:pt idx="25">
                  <c:v>2</c:v>
                </c:pt>
              </c:numCache>
            </c:numRef>
          </c:val>
          <c:smooth val="0"/>
          <c:extLst>
            <c:ext xmlns:c16="http://schemas.microsoft.com/office/drawing/2014/chart" uri="{C3380CC4-5D6E-409C-BE32-E72D297353CC}">
              <c16:uniqueId val="{00000000-329B-41D6-8340-43856FD2F6C5}"/>
            </c:ext>
          </c:extLst>
        </c:ser>
        <c:ser>
          <c:idx val="1"/>
          <c:order val="1"/>
          <c:tx>
            <c:strRef>
              <c:f>'Fig 15.4. Rule 3'!$E$1</c:f>
              <c:strCache>
                <c:ptCount val="1"/>
                <c:pt idx="0">
                  <c:v>Mean</c:v>
                </c:pt>
              </c:strCache>
            </c:strRef>
          </c:tx>
          <c:spPr>
            <a:ln w="28575" cap="rnd">
              <a:solidFill>
                <a:schemeClr val="tx1"/>
              </a:solidFill>
              <a:round/>
            </a:ln>
            <a:effectLst/>
          </c:spPr>
          <c:marker>
            <c:symbol val="none"/>
          </c:marker>
          <c:cat>
            <c:strRef>
              <c:f>'Fig 15.4. Rule 3'!$C$2:$C$27</c:f>
              <c:strCache>
                <c:ptCount val="26"/>
                <c:pt idx="0">
                  <c:v>1833</c:v>
                </c:pt>
                <c:pt idx="1">
                  <c:v>1834</c:v>
                </c:pt>
                <c:pt idx="2">
                  <c:v>1835</c:v>
                </c:pt>
                <c:pt idx="3">
                  <c:v>1836</c:v>
                </c:pt>
                <c:pt idx="4">
                  <c:v>1837</c:v>
                </c:pt>
                <c:pt idx="5">
                  <c:v>1838</c:v>
                </c:pt>
                <c:pt idx="6">
                  <c:v>1839</c:v>
                </c:pt>
                <c:pt idx="7">
                  <c:v>1840</c:v>
                </c:pt>
                <c:pt idx="8">
                  <c:v>1841</c:v>
                </c:pt>
                <c:pt idx="9">
                  <c:v>1842</c:v>
                </c:pt>
                <c:pt idx="10">
                  <c:v>1843</c:v>
                </c:pt>
                <c:pt idx="11">
                  <c:v>1844</c:v>
                </c:pt>
                <c:pt idx="12">
                  <c:v>1845</c:v>
                </c:pt>
                <c:pt idx="13">
                  <c:v>1846</c:v>
                </c:pt>
                <c:pt idx="14">
                  <c:v>1847</c:v>
                </c:pt>
                <c:pt idx="15">
                  <c:v>1848</c:v>
                </c:pt>
                <c:pt idx="16">
                  <c:v>1849</c:v>
                </c:pt>
                <c:pt idx="17">
                  <c:v>1850</c:v>
                </c:pt>
                <c:pt idx="18">
                  <c:v>1851</c:v>
                </c:pt>
                <c:pt idx="19">
                  <c:v>1852</c:v>
                </c:pt>
                <c:pt idx="20">
                  <c:v>1853</c:v>
                </c:pt>
                <c:pt idx="21">
                  <c:v>1854</c:v>
                </c:pt>
                <c:pt idx="22">
                  <c:v>1855</c:v>
                </c:pt>
                <c:pt idx="23">
                  <c:v>1856</c:v>
                </c:pt>
                <c:pt idx="24">
                  <c:v>1857</c:v>
                </c:pt>
                <c:pt idx="25">
                  <c:v>1858</c:v>
                </c:pt>
              </c:strCache>
            </c:strRef>
          </c:cat>
          <c:val>
            <c:numRef>
              <c:f>'Fig 15.4. Rule 3'!$E$2:$E$27</c:f>
              <c:numCache>
                <c:formatCode>General</c:formatCode>
                <c:ptCount val="26"/>
                <c:pt idx="0">
                  <c:v>5.93</c:v>
                </c:pt>
                <c:pt idx="1">
                  <c:v>5.93</c:v>
                </c:pt>
                <c:pt idx="2">
                  <c:v>5.93</c:v>
                </c:pt>
                <c:pt idx="3">
                  <c:v>5.93</c:v>
                </c:pt>
                <c:pt idx="4">
                  <c:v>5.93</c:v>
                </c:pt>
                <c:pt idx="5">
                  <c:v>5.93</c:v>
                </c:pt>
                <c:pt idx="6">
                  <c:v>5.93</c:v>
                </c:pt>
                <c:pt idx="7">
                  <c:v>5.93</c:v>
                </c:pt>
                <c:pt idx="8">
                  <c:v>5.93</c:v>
                </c:pt>
                <c:pt idx="9">
                  <c:v>5.93</c:v>
                </c:pt>
                <c:pt idx="10">
                  <c:v>5.93</c:v>
                </c:pt>
                <c:pt idx="11">
                  <c:v>5.93</c:v>
                </c:pt>
                <c:pt idx="12">
                  <c:v>5.93</c:v>
                </c:pt>
                <c:pt idx="13">
                  <c:v>5.93</c:v>
                </c:pt>
                <c:pt idx="14">
                  <c:v>5.93</c:v>
                </c:pt>
                <c:pt idx="15">
                  <c:v>5.93</c:v>
                </c:pt>
                <c:pt idx="16">
                  <c:v>5.93</c:v>
                </c:pt>
                <c:pt idx="17">
                  <c:v>5.93</c:v>
                </c:pt>
                <c:pt idx="18">
                  <c:v>5.93</c:v>
                </c:pt>
                <c:pt idx="19">
                  <c:v>5.93</c:v>
                </c:pt>
                <c:pt idx="20">
                  <c:v>5.93</c:v>
                </c:pt>
                <c:pt idx="21">
                  <c:v>5.93</c:v>
                </c:pt>
                <c:pt idx="22">
                  <c:v>5.93</c:v>
                </c:pt>
                <c:pt idx="23">
                  <c:v>5.93</c:v>
                </c:pt>
                <c:pt idx="24">
                  <c:v>5.93</c:v>
                </c:pt>
                <c:pt idx="25">
                  <c:v>5.93</c:v>
                </c:pt>
              </c:numCache>
            </c:numRef>
          </c:val>
          <c:smooth val="0"/>
          <c:extLst>
            <c:ext xmlns:c16="http://schemas.microsoft.com/office/drawing/2014/chart" uri="{C3380CC4-5D6E-409C-BE32-E72D297353CC}">
              <c16:uniqueId val="{00000001-329B-41D6-8340-43856FD2F6C5}"/>
            </c:ext>
          </c:extLst>
        </c:ser>
        <c:ser>
          <c:idx val="2"/>
          <c:order val="2"/>
          <c:tx>
            <c:strRef>
              <c:f>'Fig 15.4. Rule 3'!$F$1</c:f>
              <c:strCache>
                <c:ptCount val="1"/>
                <c:pt idx="0">
                  <c:v>UPL</c:v>
                </c:pt>
              </c:strCache>
            </c:strRef>
          </c:tx>
          <c:spPr>
            <a:ln w="28575" cap="rnd">
              <a:solidFill>
                <a:srgbClr val="D72323"/>
              </a:solidFill>
              <a:prstDash val="dash"/>
              <a:round/>
            </a:ln>
            <a:effectLst/>
          </c:spPr>
          <c:marker>
            <c:symbol val="none"/>
          </c:marker>
          <c:cat>
            <c:strRef>
              <c:f>'Fig 15.4. Rule 3'!$C$2:$C$27</c:f>
              <c:strCache>
                <c:ptCount val="26"/>
                <c:pt idx="0">
                  <c:v>1833</c:v>
                </c:pt>
                <c:pt idx="1">
                  <c:v>1834</c:v>
                </c:pt>
                <c:pt idx="2">
                  <c:v>1835</c:v>
                </c:pt>
                <c:pt idx="3">
                  <c:v>1836</c:v>
                </c:pt>
                <c:pt idx="4">
                  <c:v>1837</c:v>
                </c:pt>
                <c:pt idx="5">
                  <c:v>1838</c:v>
                </c:pt>
                <c:pt idx="6">
                  <c:v>1839</c:v>
                </c:pt>
                <c:pt idx="7">
                  <c:v>1840</c:v>
                </c:pt>
                <c:pt idx="8">
                  <c:v>1841</c:v>
                </c:pt>
                <c:pt idx="9">
                  <c:v>1842</c:v>
                </c:pt>
                <c:pt idx="10">
                  <c:v>1843</c:v>
                </c:pt>
                <c:pt idx="11">
                  <c:v>1844</c:v>
                </c:pt>
                <c:pt idx="12">
                  <c:v>1845</c:v>
                </c:pt>
                <c:pt idx="13">
                  <c:v>1846</c:v>
                </c:pt>
                <c:pt idx="14">
                  <c:v>1847</c:v>
                </c:pt>
                <c:pt idx="15">
                  <c:v>1848</c:v>
                </c:pt>
                <c:pt idx="16">
                  <c:v>1849</c:v>
                </c:pt>
                <c:pt idx="17">
                  <c:v>1850</c:v>
                </c:pt>
                <c:pt idx="18">
                  <c:v>1851</c:v>
                </c:pt>
                <c:pt idx="19">
                  <c:v>1852</c:v>
                </c:pt>
                <c:pt idx="20">
                  <c:v>1853</c:v>
                </c:pt>
                <c:pt idx="21">
                  <c:v>1854</c:v>
                </c:pt>
                <c:pt idx="22">
                  <c:v>1855</c:v>
                </c:pt>
                <c:pt idx="23">
                  <c:v>1856</c:v>
                </c:pt>
                <c:pt idx="24">
                  <c:v>1857</c:v>
                </c:pt>
                <c:pt idx="25">
                  <c:v>1858</c:v>
                </c:pt>
              </c:strCache>
            </c:strRef>
          </c:cat>
          <c:val>
            <c:numRef>
              <c:f>'Fig 15.4. Rule 3'!$F$2:$F$27</c:f>
              <c:numCache>
                <c:formatCode>General</c:formatCode>
                <c:ptCount val="26"/>
                <c:pt idx="0">
                  <c:v>13.75</c:v>
                </c:pt>
                <c:pt idx="1">
                  <c:v>13.75</c:v>
                </c:pt>
                <c:pt idx="2">
                  <c:v>13.75</c:v>
                </c:pt>
                <c:pt idx="3">
                  <c:v>13.75</c:v>
                </c:pt>
                <c:pt idx="4">
                  <c:v>13.75</c:v>
                </c:pt>
                <c:pt idx="5">
                  <c:v>13.75</c:v>
                </c:pt>
                <c:pt idx="6">
                  <c:v>13.75</c:v>
                </c:pt>
                <c:pt idx="7">
                  <c:v>13.75</c:v>
                </c:pt>
                <c:pt idx="8">
                  <c:v>13.75</c:v>
                </c:pt>
                <c:pt idx="9">
                  <c:v>13.75</c:v>
                </c:pt>
                <c:pt idx="10">
                  <c:v>13.75</c:v>
                </c:pt>
                <c:pt idx="11">
                  <c:v>13.75</c:v>
                </c:pt>
                <c:pt idx="12">
                  <c:v>13.75</c:v>
                </c:pt>
                <c:pt idx="13">
                  <c:v>13.75</c:v>
                </c:pt>
                <c:pt idx="14">
                  <c:v>13.75</c:v>
                </c:pt>
                <c:pt idx="15">
                  <c:v>13.75</c:v>
                </c:pt>
                <c:pt idx="16">
                  <c:v>13.75</c:v>
                </c:pt>
                <c:pt idx="17">
                  <c:v>13.75</c:v>
                </c:pt>
                <c:pt idx="18">
                  <c:v>13.75</c:v>
                </c:pt>
                <c:pt idx="19">
                  <c:v>13.75</c:v>
                </c:pt>
                <c:pt idx="20">
                  <c:v>13.75</c:v>
                </c:pt>
                <c:pt idx="21">
                  <c:v>13.75</c:v>
                </c:pt>
                <c:pt idx="22">
                  <c:v>13.75</c:v>
                </c:pt>
                <c:pt idx="23">
                  <c:v>13.75</c:v>
                </c:pt>
                <c:pt idx="24">
                  <c:v>13.75</c:v>
                </c:pt>
                <c:pt idx="25">
                  <c:v>13.75</c:v>
                </c:pt>
              </c:numCache>
            </c:numRef>
          </c:val>
          <c:smooth val="0"/>
          <c:extLst>
            <c:ext xmlns:c16="http://schemas.microsoft.com/office/drawing/2014/chart" uri="{C3380CC4-5D6E-409C-BE32-E72D297353CC}">
              <c16:uniqueId val="{00000002-329B-41D6-8340-43856FD2F6C5}"/>
            </c:ext>
          </c:extLst>
        </c:ser>
        <c:ser>
          <c:idx val="3"/>
          <c:order val="3"/>
          <c:tx>
            <c:strRef>
              <c:f>'Fig 15.4. Rule 3'!$G$1</c:f>
              <c:strCache>
                <c:ptCount val="1"/>
                <c:pt idx="0">
                  <c:v>LPL</c:v>
                </c:pt>
              </c:strCache>
            </c:strRef>
          </c:tx>
          <c:spPr>
            <a:ln w="28575" cap="rnd">
              <a:solidFill>
                <a:srgbClr val="D72323"/>
              </a:solidFill>
              <a:prstDash val="dash"/>
              <a:round/>
            </a:ln>
            <a:effectLst/>
          </c:spPr>
          <c:marker>
            <c:symbol val="none"/>
          </c:marker>
          <c:cat>
            <c:strRef>
              <c:f>'Fig 15.4. Rule 3'!$C$2:$C$27</c:f>
              <c:strCache>
                <c:ptCount val="26"/>
                <c:pt idx="0">
                  <c:v>1833</c:v>
                </c:pt>
                <c:pt idx="1">
                  <c:v>1834</c:v>
                </c:pt>
                <c:pt idx="2">
                  <c:v>1835</c:v>
                </c:pt>
                <c:pt idx="3">
                  <c:v>1836</c:v>
                </c:pt>
                <c:pt idx="4">
                  <c:v>1837</c:v>
                </c:pt>
                <c:pt idx="5">
                  <c:v>1838</c:v>
                </c:pt>
                <c:pt idx="6">
                  <c:v>1839</c:v>
                </c:pt>
                <c:pt idx="7">
                  <c:v>1840</c:v>
                </c:pt>
                <c:pt idx="8">
                  <c:v>1841</c:v>
                </c:pt>
                <c:pt idx="9">
                  <c:v>1842</c:v>
                </c:pt>
                <c:pt idx="10">
                  <c:v>1843</c:v>
                </c:pt>
                <c:pt idx="11">
                  <c:v>1844</c:v>
                </c:pt>
                <c:pt idx="12">
                  <c:v>1845</c:v>
                </c:pt>
                <c:pt idx="13">
                  <c:v>1846</c:v>
                </c:pt>
                <c:pt idx="14">
                  <c:v>1847</c:v>
                </c:pt>
                <c:pt idx="15">
                  <c:v>1848</c:v>
                </c:pt>
                <c:pt idx="16">
                  <c:v>1849</c:v>
                </c:pt>
                <c:pt idx="17">
                  <c:v>1850</c:v>
                </c:pt>
                <c:pt idx="18">
                  <c:v>1851</c:v>
                </c:pt>
                <c:pt idx="19">
                  <c:v>1852</c:v>
                </c:pt>
                <c:pt idx="20">
                  <c:v>1853</c:v>
                </c:pt>
                <c:pt idx="21">
                  <c:v>1854</c:v>
                </c:pt>
                <c:pt idx="22">
                  <c:v>1855</c:v>
                </c:pt>
                <c:pt idx="23">
                  <c:v>1856</c:v>
                </c:pt>
                <c:pt idx="24">
                  <c:v>1857</c:v>
                </c:pt>
                <c:pt idx="25">
                  <c:v>1858</c:v>
                </c:pt>
              </c:strCache>
            </c:strRef>
          </c:cat>
          <c:val>
            <c:numRef>
              <c:f>'Fig 15.4. Rule 3'!$G$2:$G$27</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mooth val="0"/>
          <c:extLst>
            <c:ext xmlns:c16="http://schemas.microsoft.com/office/drawing/2014/chart" uri="{C3380CC4-5D6E-409C-BE32-E72D297353CC}">
              <c16:uniqueId val="{00000003-329B-41D6-8340-43856FD2F6C5}"/>
            </c:ext>
          </c:extLst>
        </c:ser>
        <c:ser>
          <c:idx val="4"/>
          <c:order val="4"/>
          <c:tx>
            <c:strRef>
              <c:f>'Fig 15.4. Rule 3'!$H$1</c:f>
              <c:strCache>
                <c:ptCount val="1"/>
                <c:pt idx="0">
                  <c:v>Upper 25%</c:v>
                </c:pt>
              </c:strCache>
            </c:strRef>
          </c:tx>
          <c:spPr>
            <a:ln w="28575" cap="rnd">
              <a:solidFill>
                <a:srgbClr val="000000">
                  <a:lumMod val="50000"/>
                  <a:lumOff val="50000"/>
                </a:srgbClr>
              </a:solidFill>
              <a:round/>
            </a:ln>
            <a:effectLst/>
          </c:spPr>
          <c:marker>
            <c:symbol val="none"/>
          </c:marker>
          <c:cat>
            <c:strRef>
              <c:f>'Fig 15.4. Rule 3'!$C$2:$C$27</c:f>
              <c:strCache>
                <c:ptCount val="26"/>
                <c:pt idx="0">
                  <c:v>1833</c:v>
                </c:pt>
                <c:pt idx="1">
                  <c:v>1834</c:v>
                </c:pt>
                <c:pt idx="2">
                  <c:v>1835</c:v>
                </c:pt>
                <c:pt idx="3">
                  <c:v>1836</c:v>
                </c:pt>
                <c:pt idx="4">
                  <c:v>1837</c:v>
                </c:pt>
                <c:pt idx="5">
                  <c:v>1838</c:v>
                </c:pt>
                <c:pt idx="6">
                  <c:v>1839</c:v>
                </c:pt>
                <c:pt idx="7">
                  <c:v>1840</c:v>
                </c:pt>
                <c:pt idx="8">
                  <c:v>1841</c:v>
                </c:pt>
                <c:pt idx="9">
                  <c:v>1842</c:v>
                </c:pt>
                <c:pt idx="10">
                  <c:v>1843</c:v>
                </c:pt>
                <c:pt idx="11">
                  <c:v>1844</c:v>
                </c:pt>
                <c:pt idx="12">
                  <c:v>1845</c:v>
                </c:pt>
                <c:pt idx="13">
                  <c:v>1846</c:v>
                </c:pt>
                <c:pt idx="14">
                  <c:v>1847</c:v>
                </c:pt>
                <c:pt idx="15">
                  <c:v>1848</c:v>
                </c:pt>
                <c:pt idx="16">
                  <c:v>1849</c:v>
                </c:pt>
                <c:pt idx="17">
                  <c:v>1850</c:v>
                </c:pt>
                <c:pt idx="18">
                  <c:v>1851</c:v>
                </c:pt>
                <c:pt idx="19">
                  <c:v>1852</c:v>
                </c:pt>
                <c:pt idx="20">
                  <c:v>1853</c:v>
                </c:pt>
                <c:pt idx="21">
                  <c:v>1854</c:v>
                </c:pt>
                <c:pt idx="22">
                  <c:v>1855</c:v>
                </c:pt>
                <c:pt idx="23">
                  <c:v>1856</c:v>
                </c:pt>
                <c:pt idx="24">
                  <c:v>1857</c:v>
                </c:pt>
                <c:pt idx="25">
                  <c:v>1858</c:v>
                </c:pt>
              </c:strCache>
            </c:strRef>
          </c:cat>
          <c:val>
            <c:numRef>
              <c:f>'Fig 15.4. Rule 3'!$H$2:$H$27</c:f>
              <c:numCache>
                <c:formatCode>General</c:formatCode>
                <c:ptCount val="26"/>
                <c:pt idx="0">
                  <c:v>9.84</c:v>
                </c:pt>
                <c:pt idx="1">
                  <c:v>9.84</c:v>
                </c:pt>
                <c:pt idx="2">
                  <c:v>9.84</c:v>
                </c:pt>
                <c:pt idx="3">
                  <c:v>9.84</c:v>
                </c:pt>
                <c:pt idx="4">
                  <c:v>9.84</c:v>
                </c:pt>
                <c:pt idx="5">
                  <c:v>9.84</c:v>
                </c:pt>
                <c:pt idx="6">
                  <c:v>9.84</c:v>
                </c:pt>
                <c:pt idx="7">
                  <c:v>9.84</c:v>
                </c:pt>
                <c:pt idx="8">
                  <c:v>9.84</c:v>
                </c:pt>
                <c:pt idx="9">
                  <c:v>9.84</c:v>
                </c:pt>
                <c:pt idx="10">
                  <c:v>9.84</c:v>
                </c:pt>
                <c:pt idx="11">
                  <c:v>9.84</c:v>
                </c:pt>
                <c:pt idx="12">
                  <c:v>9.84</c:v>
                </c:pt>
                <c:pt idx="13">
                  <c:v>9.84</c:v>
                </c:pt>
                <c:pt idx="14">
                  <c:v>9.84</c:v>
                </c:pt>
                <c:pt idx="15">
                  <c:v>9.84</c:v>
                </c:pt>
                <c:pt idx="16">
                  <c:v>9.84</c:v>
                </c:pt>
                <c:pt idx="17">
                  <c:v>9.84</c:v>
                </c:pt>
                <c:pt idx="18">
                  <c:v>9.84</c:v>
                </c:pt>
                <c:pt idx="19">
                  <c:v>9.84</c:v>
                </c:pt>
                <c:pt idx="20">
                  <c:v>9.84</c:v>
                </c:pt>
                <c:pt idx="21">
                  <c:v>9.84</c:v>
                </c:pt>
                <c:pt idx="22">
                  <c:v>9.84</c:v>
                </c:pt>
                <c:pt idx="23">
                  <c:v>9.84</c:v>
                </c:pt>
                <c:pt idx="24">
                  <c:v>9.84</c:v>
                </c:pt>
                <c:pt idx="25">
                  <c:v>9.84</c:v>
                </c:pt>
              </c:numCache>
            </c:numRef>
          </c:val>
          <c:smooth val="0"/>
          <c:extLst>
            <c:ext xmlns:c16="http://schemas.microsoft.com/office/drawing/2014/chart" uri="{C3380CC4-5D6E-409C-BE32-E72D297353CC}">
              <c16:uniqueId val="{0000000A-9724-49A7-8251-0F1BE6CC96BB}"/>
            </c:ext>
          </c:extLst>
        </c:ser>
        <c:ser>
          <c:idx val="5"/>
          <c:order val="5"/>
          <c:tx>
            <c:strRef>
              <c:f>'Fig 15.4. Rule 3'!$I$1</c:f>
              <c:strCache>
                <c:ptCount val="1"/>
                <c:pt idx="0">
                  <c:v>Lower 25%</c:v>
                </c:pt>
              </c:strCache>
            </c:strRef>
          </c:tx>
          <c:spPr>
            <a:ln w="28575" cap="rnd">
              <a:solidFill>
                <a:srgbClr val="000000">
                  <a:lumMod val="50000"/>
                  <a:lumOff val="50000"/>
                </a:srgbClr>
              </a:solidFill>
              <a:round/>
            </a:ln>
            <a:effectLst/>
          </c:spPr>
          <c:marker>
            <c:symbol val="none"/>
          </c:marker>
          <c:cat>
            <c:strRef>
              <c:f>'Fig 15.4. Rule 3'!$C$2:$C$27</c:f>
              <c:strCache>
                <c:ptCount val="26"/>
                <c:pt idx="0">
                  <c:v>1833</c:v>
                </c:pt>
                <c:pt idx="1">
                  <c:v>1834</c:v>
                </c:pt>
                <c:pt idx="2">
                  <c:v>1835</c:v>
                </c:pt>
                <c:pt idx="3">
                  <c:v>1836</c:v>
                </c:pt>
                <c:pt idx="4">
                  <c:v>1837</c:v>
                </c:pt>
                <c:pt idx="5">
                  <c:v>1838</c:v>
                </c:pt>
                <c:pt idx="6">
                  <c:v>1839</c:v>
                </c:pt>
                <c:pt idx="7">
                  <c:v>1840</c:v>
                </c:pt>
                <c:pt idx="8">
                  <c:v>1841</c:v>
                </c:pt>
                <c:pt idx="9">
                  <c:v>1842</c:v>
                </c:pt>
                <c:pt idx="10">
                  <c:v>1843</c:v>
                </c:pt>
                <c:pt idx="11">
                  <c:v>1844</c:v>
                </c:pt>
                <c:pt idx="12">
                  <c:v>1845</c:v>
                </c:pt>
                <c:pt idx="13">
                  <c:v>1846</c:v>
                </c:pt>
                <c:pt idx="14">
                  <c:v>1847</c:v>
                </c:pt>
                <c:pt idx="15">
                  <c:v>1848</c:v>
                </c:pt>
                <c:pt idx="16">
                  <c:v>1849</c:v>
                </c:pt>
                <c:pt idx="17">
                  <c:v>1850</c:v>
                </c:pt>
                <c:pt idx="18">
                  <c:v>1851</c:v>
                </c:pt>
                <c:pt idx="19">
                  <c:v>1852</c:v>
                </c:pt>
                <c:pt idx="20">
                  <c:v>1853</c:v>
                </c:pt>
                <c:pt idx="21">
                  <c:v>1854</c:v>
                </c:pt>
                <c:pt idx="22">
                  <c:v>1855</c:v>
                </c:pt>
                <c:pt idx="23">
                  <c:v>1856</c:v>
                </c:pt>
                <c:pt idx="24">
                  <c:v>1857</c:v>
                </c:pt>
                <c:pt idx="25">
                  <c:v>1858</c:v>
                </c:pt>
              </c:strCache>
            </c:strRef>
          </c:cat>
          <c:val>
            <c:numRef>
              <c:f>'Fig 15.4. Rule 3'!$I$2:$I$27</c:f>
              <c:numCache>
                <c:formatCode>General</c:formatCode>
                <c:ptCount val="26"/>
                <c:pt idx="0">
                  <c:v>2.97</c:v>
                </c:pt>
                <c:pt idx="1">
                  <c:v>2.97</c:v>
                </c:pt>
                <c:pt idx="2">
                  <c:v>2.97</c:v>
                </c:pt>
                <c:pt idx="3">
                  <c:v>2.97</c:v>
                </c:pt>
                <c:pt idx="4">
                  <c:v>2.97</c:v>
                </c:pt>
                <c:pt idx="5">
                  <c:v>2.97</c:v>
                </c:pt>
                <c:pt idx="6">
                  <c:v>2.97</c:v>
                </c:pt>
                <c:pt idx="7">
                  <c:v>2.97</c:v>
                </c:pt>
                <c:pt idx="8">
                  <c:v>2.97</c:v>
                </c:pt>
                <c:pt idx="9">
                  <c:v>2.97</c:v>
                </c:pt>
                <c:pt idx="10">
                  <c:v>2.97</c:v>
                </c:pt>
                <c:pt idx="11">
                  <c:v>2.97</c:v>
                </c:pt>
                <c:pt idx="12">
                  <c:v>2.97</c:v>
                </c:pt>
                <c:pt idx="13">
                  <c:v>2.97</c:v>
                </c:pt>
                <c:pt idx="14">
                  <c:v>2.97</c:v>
                </c:pt>
                <c:pt idx="15">
                  <c:v>2.97</c:v>
                </c:pt>
                <c:pt idx="16">
                  <c:v>2.97</c:v>
                </c:pt>
                <c:pt idx="17">
                  <c:v>2.97</c:v>
                </c:pt>
                <c:pt idx="18">
                  <c:v>2.97</c:v>
                </c:pt>
                <c:pt idx="19">
                  <c:v>2.97</c:v>
                </c:pt>
                <c:pt idx="20">
                  <c:v>2.97</c:v>
                </c:pt>
                <c:pt idx="21">
                  <c:v>2.97</c:v>
                </c:pt>
                <c:pt idx="22">
                  <c:v>2.97</c:v>
                </c:pt>
                <c:pt idx="23">
                  <c:v>2.97</c:v>
                </c:pt>
                <c:pt idx="24">
                  <c:v>2.97</c:v>
                </c:pt>
                <c:pt idx="25">
                  <c:v>2.97</c:v>
                </c:pt>
              </c:numCache>
            </c:numRef>
          </c:val>
          <c:smooth val="0"/>
          <c:extLst>
            <c:ext xmlns:c16="http://schemas.microsoft.com/office/drawing/2014/chart" uri="{C3380CC4-5D6E-409C-BE32-E72D297353CC}">
              <c16:uniqueId val="{0000000B-9724-49A7-8251-0F1BE6CC96BB}"/>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tickLblSkip val="2"/>
        <c:noMultiLvlLbl val="0"/>
      </c:catAx>
      <c:valAx>
        <c:axId val="20240578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15.4. Rule 3'!$J$1</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15.4. Rule 3'!$J$2:$J$27</c:f>
              <c:numCache>
                <c:formatCode>General</c:formatCode>
                <c:ptCount val="26"/>
                <c:pt idx="1">
                  <c:v>2.4</c:v>
                </c:pt>
                <c:pt idx="2">
                  <c:v>2.1</c:v>
                </c:pt>
                <c:pt idx="3">
                  <c:v>1.9</c:v>
                </c:pt>
                <c:pt idx="4">
                  <c:v>1.6</c:v>
                </c:pt>
                <c:pt idx="5">
                  <c:v>6.1</c:v>
                </c:pt>
                <c:pt idx="6">
                  <c:v>2.4</c:v>
                </c:pt>
                <c:pt idx="7">
                  <c:v>3.8</c:v>
                </c:pt>
                <c:pt idx="8">
                  <c:v>1.4</c:v>
                </c:pt>
                <c:pt idx="9">
                  <c:v>8</c:v>
                </c:pt>
                <c:pt idx="10">
                  <c:v>6.8</c:v>
                </c:pt>
                <c:pt idx="11">
                  <c:v>0.8</c:v>
                </c:pt>
                <c:pt idx="12">
                  <c:v>1.3</c:v>
                </c:pt>
                <c:pt idx="13">
                  <c:v>4.5</c:v>
                </c:pt>
                <c:pt idx="14">
                  <c:v>6.4</c:v>
                </c:pt>
                <c:pt idx="15">
                  <c:v>3.7</c:v>
                </c:pt>
                <c:pt idx="16">
                  <c:v>1.4</c:v>
                </c:pt>
                <c:pt idx="17">
                  <c:v>0.7</c:v>
                </c:pt>
                <c:pt idx="18">
                  <c:v>0.2</c:v>
                </c:pt>
                <c:pt idx="19">
                  <c:v>2.2000000000000002</c:v>
                </c:pt>
                <c:pt idx="20">
                  <c:v>1.8</c:v>
                </c:pt>
                <c:pt idx="21">
                  <c:v>6.9</c:v>
                </c:pt>
                <c:pt idx="22">
                  <c:v>3.7</c:v>
                </c:pt>
                <c:pt idx="23">
                  <c:v>1.4</c:v>
                </c:pt>
                <c:pt idx="24">
                  <c:v>1.1000000000000001</c:v>
                </c:pt>
                <c:pt idx="25">
                  <c:v>0.9</c:v>
                </c:pt>
              </c:numCache>
            </c:numRef>
          </c:val>
          <c:smooth val="0"/>
          <c:extLst>
            <c:ext xmlns:c16="http://schemas.microsoft.com/office/drawing/2014/chart" uri="{C3380CC4-5D6E-409C-BE32-E72D297353CC}">
              <c16:uniqueId val="{00000000-5D18-47FA-93F7-2AB89D044415}"/>
            </c:ext>
          </c:extLst>
        </c:ser>
        <c:ser>
          <c:idx val="1"/>
          <c:order val="1"/>
          <c:tx>
            <c:strRef>
              <c:f>'Fig 15.4. Rule 3'!$K$1</c:f>
              <c:strCache>
                <c:ptCount val="1"/>
                <c:pt idx="0">
                  <c:v>Ave. mR</c:v>
                </c:pt>
              </c:strCache>
            </c:strRef>
          </c:tx>
          <c:spPr>
            <a:ln w="28575" cap="rnd">
              <a:solidFill>
                <a:schemeClr val="tx1"/>
              </a:solidFill>
              <a:round/>
            </a:ln>
            <a:effectLst/>
          </c:spPr>
          <c:marker>
            <c:symbol val="none"/>
          </c:marker>
          <c:val>
            <c:numRef>
              <c:f>'Fig 15.4. Rule 3'!$K$2:$K$27</c:f>
              <c:numCache>
                <c:formatCode>General</c:formatCode>
                <c:ptCount val="26"/>
                <c:pt idx="0">
                  <c:v>2.94</c:v>
                </c:pt>
                <c:pt idx="1">
                  <c:v>2.94</c:v>
                </c:pt>
                <c:pt idx="2">
                  <c:v>2.94</c:v>
                </c:pt>
                <c:pt idx="3">
                  <c:v>2.94</c:v>
                </c:pt>
                <c:pt idx="4">
                  <c:v>2.94</c:v>
                </c:pt>
                <c:pt idx="5">
                  <c:v>2.94</c:v>
                </c:pt>
                <c:pt idx="6">
                  <c:v>2.94</c:v>
                </c:pt>
                <c:pt idx="7">
                  <c:v>2.94</c:v>
                </c:pt>
                <c:pt idx="8">
                  <c:v>2.94</c:v>
                </c:pt>
                <c:pt idx="9">
                  <c:v>2.94</c:v>
                </c:pt>
                <c:pt idx="10">
                  <c:v>2.94</c:v>
                </c:pt>
                <c:pt idx="11">
                  <c:v>2.94</c:v>
                </c:pt>
                <c:pt idx="12">
                  <c:v>2.94</c:v>
                </c:pt>
                <c:pt idx="13">
                  <c:v>2.94</c:v>
                </c:pt>
                <c:pt idx="14">
                  <c:v>2.94</c:v>
                </c:pt>
                <c:pt idx="15">
                  <c:v>2.94</c:v>
                </c:pt>
                <c:pt idx="16">
                  <c:v>2.94</c:v>
                </c:pt>
                <c:pt idx="17">
                  <c:v>2.94</c:v>
                </c:pt>
                <c:pt idx="18">
                  <c:v>2.94</c:v>
                </c:pt>
                <c:pt idx="19">
                  <c:v>2.94</c:v>
                </c:pt>
                <c:pt idx="20">
                  <c:v>2.94</c:v>
                </c:pt>
                <c:pt idx="21">
                  <c:v>2.94</c:v>
                </c:pt>
                <c:pt idx="22">
                  <c:v>2.94</c:v>
                </c:pt>
                <c:pt idx="23">
                  <c:v>2.94</c:v>
                </c:pt>
                <c:pt idx="24">
                  <c:v>2.94</c:v>
                </c:pt>
                <c:pt idx="25">
                  <c:v>2.94</c:v>
                </c:pt>
              </c:numCache>
            </c:numRef>
          </c:val>
          <c:smooth val="0"/>
          <c:extLst>
            <c:ext xmlns:c16="http://schemas.microsoft.com/office/drawing/2014/chart" uri="{C3380CC4-5D6E-409C-BE32-E72D297353CC}">
              <c16:uniqueId val="{00000001-5D18-47FA-93F7-2AB89D044415}"/>
            </c:ext>
          </c:extLst>
        </c:ser>
        <c:ser>
          <c:idx val="2"/>
          <c:order val="2"/>
          <c:tx>
            <c:strRef>
              <c:f>'Fig 15.4. Rule 3'!$L$1</c:f>
              <c:strCache>
                <c:ptCount val="1"/>
                <c:pt idx="0">
                  <c:v>URL</c:v>
                </c:pt>
              </c:strCache>
            </c:strRef>
          </c:tx>
          <c:spPr>
            <a:ln w="28575" cap="rnd">
              <a:solidFill>
                <a:srgbClr val="D72323"/>
              </a:solidFill>
              <a:prstDash val="dash"/>
              <a:round/>
            </a:ln>
            <a:effectLst/>
          </c:spPr>
          <c:marker>
            <c:symbol val="none"/>
          </c:marker>
          <c:val>
            <c:numRef>
              <c:f>'Fig 15.4. Rule 3'!$L$2:$L$27</c:f>
              <c:numCache>
                <c:formatCode>General</c:formatCode>
                <c:ptCount val="26"/>
                <c:pt idx="0">
                  <c:v>9.61</c:v>
                </c:pt>
                <c:pt idx="1">
                  <c:v>9.61</c:v>
                </c:pt>
                <c:pt idx="2">
                  <c:v>9.61</c:v>
                </c:pt>
                <c:pt idx="3">
                  <c:v>9.61</c:v>
                </c:pt>
                <c:pt idx="4">
                  <c:v>9.61</c:v>
                </c:pt>
                <c:pt idx="5">
                  <c:v>9.61</c:v>
                </c:pt>
                <c:pt idx="6">
                  <c:v>9.61</c:v>
                </c:pt>
                <c:pt idx="7">
                  <c:v>9.61</c:v>
                </c:pt>
                <c:pt idx="8">
                  <c:v>9.61</c:v>
                </c:pt>
                <c:pt idx="9">
                  <c:v>9.61</c:v>
                </c:pt>
                <c:pt idx="10">
                  <c:v>9.61</c:v>
                </c:pt>
                <c:pt idx="11">
                  <c:v>9.61</c:v>
                </c:pt>
                <c:pt idx="12">
                  <c:v>9.61</c:v>
                </c:pt>
                <c:pt idx="13">
                  <c:v>9.61</c:v>
                </c:pt>
                <c:pt idx="14">
                  <c:v>9.61</c:v>
                </c:pt>
                <c:pt idx="15">
                  <c:v>9.61</c:v>
                </c:pt>
                <c:pt idx="16">
                  <c:v>9.61</c:v>
                </c:pt>
                <c:pt idx="17">
                  <c:v>9.61</c:v>
                </c:pt>
                <c:pt idx="18">
                  <c:v>9.61</c:v>
                </c:pt>
                <c:pt idx="19">
                  <c:v>9.61</c:v>
                </c:pt>
                <c:pt idx="20">
                  <c:v>9.61</c:v>
                </c:pt>
                <c:pt idx="21">
                  <c:v>9.61</c:v>
                </c:pt>
                <c:pt idx="22">
                  <c:v>9.61</c:v>
                </c:pt>
                <c:pt idx="23">
                  <c:v>9.61</c:v>
                </c:pt>
                <c:pt idx="24">
                  <c:v>9.61</c:v>
                </c:pt>
                <c:pt idx="25">
                  <c:v>9.61</c:v>
                </c:pt>
              </c:numCache>
            </c:numRef>
          </c:val>
          <c:smooth val="0"/>
          <c:extLst>
            <c:ext xmlns:c16="http://schemas.microsoft.com/office/drawing/2014/chart" uri="{C3380CC4-5D6E-409C-BE32-E72D297353CC}">
              <c16:uniqueId val="{00000002-5D18-47FA-93F7-2AB89D044415}"/>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8</xdr:col>
      <xdr:colOff>0</xdr:colOff>
      <xdr:row>1</xdr:row>
      <xdr:rowOff>0</xdr:rowOff>
    </xdr:from>
    <xdr:to>
      <xdr:col>11</xdr:col>
      <xdr:colOff>35983</xdr:colOff>
      <xdr:row>21</xdr:row>
      <xdr:rowOff>96520</xdr:rowOff>
    </xdr:to>
    <xdr:pic>
      <xdr:nvPicPr>
        <xdr:cNvPr id="3" name="image1.jpg">
          <a:extLst>
            <a:ext uri="{FF2B5EF4-FFF2-40B4-BE49-F238E27FC236}">
              <a16:creationId xmlns:a16="http://schemas.microsoft.com/office/drawing/2014/main" id="{3580A9BE-D900-4012-B854-BEB90E190904}"/>
            </a:ext>
          </a:extLst>
        </xdr:cNvPr>
        <xdr:cNvPicPr preferRelativeResize="0"/>
      </xdr:nvPicPr>
      <xdr:blipFill>
        <a:blip xmlns:r="http://schemas.openxmlformats.org/officeDocument/2006/relationships" r:embed="rId1" cstate="print"/>
        <a:stretch>
          <a:fillRect/>
        </a:stretch>
      </xdr:blipFill>
      <xdr:spPr>
        <a:xfrm>
          <a:off x="6162675" y="200025"/>
          <a:ext cx="2636308" cy="409702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0</xdr:colOff>
      <xdr:row>1</xdr:row>
      <xdr:rowOff>0</xdr:rowOff>
    </xdr:from>
    <xdr:to>
      <xdr:col>18</xdr:col>
      <xdr:colOff>0</xdr:colOff>
      <xdr:row>15</xdr:row>
      <xdr:rowOff>0</xdr:rowOff>
    </xdr:to>
    <xdr:graphicFrame macro="">
      <xdr:nvGraphicFramePr>
        <xdr:cNvPr id="3" name="Chart 2">
          <a:extLst>
            <a:ext uri="{FF2B5EF4-FFF2-40B4-BE49-F238E27FC236}">
              <a16:creationId xmlns:a16="http://schemas.microsoft.com/office/drawing/2014/main" id="{527E4DE5-64D4-D22F-6E81-6F5D56A4DE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15</xdr:row>
      <xdr:rowOff>0</xdr:rowOff>
    </xdr:from>
    <xdr:to>
      <xdr:col>18</xdr:col>
      <xdr:colOff>0</xdr:colOff>
      <xdr:row>29</xdr:row>
      <xdr:rowOff>0</xdr:rowOff>
    </xdr:to>
    <xdr:graphicFrame macro="">
      <xdr:nvGraphicFramePr>
        <xdr:cNvPr id="6" name="Chart 5">
          <a:extLst>
            <a:ext uri="{FF2B5EF4-FFF2-40B4-BE49-F238E27FC236}">
              <a16:creationId xmlns:a16="http://schemas.microsoft.com/office/drawing/2014/main" id="{8ADB4187-218E-D25F-AD88-5C0451F7A3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0</xdr:colOff>
      <xdr:row>1</xdr:row>
      <xdr:rowOff>0</xdr:rowOff>
    </xdr:from>
    <xdr:to>
      <xdr:col>19</xdr:col>
      <xdr:colOff>0</xdr:colOff>
      <xdr:row>15</xdr:row>
      <xdr:rowOff>0</xdr:rowOff>
    </xdr:to>
    <xdr:graphicFrame macro="">
      <xdr:nvGraphicFramePr>
        <xdr:cNvPr id="3" name="Chart 2">
          <a:extLst>
            <a:ext uri="{FF2B5EF4-FFF2-40B4-BE49-F238E27FC236}">
              <a16:creationId xmlns:a16="http://schemas.microsoft.com/office/drawing/2014/main" id="{3489F347-673D-C1ED-AF4B-EBEC8A5643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15</xdr:row>
      <xdr:rowOff>0</xdr:rowOff>
    </xdr:from>
    <xdr:to>
      <xdr:col>19</xdr:col>
      <xdr:colOff>0</xdr:colOff>
      <xdr:row>28</xdr:row>
      <xdr:rowOff>0</xdr:rowOff>
    </xdr:to>
    <xdr:graphicFrame macro="">
      <xdr:nvGraphicFramePr>
        <xdr:cNvPr id="4" name="Chart 3">
          <a:extLst>
            <a:ext uri="{FF2B5EF4-FFF2-40B4-BE49-F238E27FC236}">
              <a16:creationId xmlns:a16="http://schemas.microsoft.com/office/drawing/2014/main" id="{CD272478-3224-6CF7-C2B2-EE4F1524EB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13</xdr:col>
      <xdr:colOff>0</xdr:colOff>
      <xdr:row>0</xdr:row>
      <xdr:rowOff>0</xdr:rowOff>
    </xdr:from>
    <xdr:to>
      <xdr:col>21</xdr:col>
      <xdr:colOff>0</xdr:colOff>
      <xdr:row>16</xdr:row>
      <xdr:rowOff>1905</xdr:rowOff>
    </xdr:to>
    <xdr:graphicFrame macro="">
      <xdr:nvGraphicFramePr>
        <xdr:cNvPr id="5" name="Chart 4">
          <a:extLst>
            <a:ext uri="{FF2B5EF4-FFF2-40B4-BE49-F238E27FC236}">
              <a16:creationId xmlns:a16="http://schemas.microsoft.com/office/drawing/2014/main" id="{73AA36A5-42C2-818F-6E89-6BBF0E7CED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16</xdr:row>
      <xdr:rowOff>0</xdr:rowOff>
    </xdr:from>
    <xdr:to>
      <xdr:col>21</xdr:col>
      <xdr:colOff>0</xdr:colOff>
      <xdr:row>29</xdr:row>
      <xdr:rowOff>87630</xdr:rowOff>
    </xdr:to>
    <xdr:graphicFrame macro="">
      <xdr:nvGraphicFramePr>
        <xdr:cNvPr id="6" name="Chart 5">
          <a:extLst>
            <a:ext uri="{FF2B5EF4-FFF2-40B4-BE49-F238E27FC236}">
              <a16:creationId xmlns:a16="http://schemas.microsoft.com/office/drawing/2014/main" id="{3A2957B6-E2A8-CAFF-6787-A254D5BB9F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025474A-7F1A-469B-AC31-8197F05E28EE}" autoFormatId="16" applyNumberFormats="0" applyBorderFormats="0" applyFontFormats="0" applyPatternFormats="0" applyAlignmentFormats="0" applyWidthHeightFormats="0">
  <queryTableRefresh nextId="13" unboundColumnsRight="6">
    <queryTableFields count="10">
      <queryTableField id="2" name="Player" tableColumnId="2"/>
      <queryTableField id="3" name="Year" tableColumnId="3"/>
      <queryTableField id="1" name="Sample" tableColumnId="1"/>
      <queryTableField id="4" name="HR" tableColumnId="4"/>
      <queryTableField id="7" dataBound="0" tableColumnId="5"/>
      <queryTableField id="8" dataBound="0" tableColumnId="6"/>
      <queryTableField id="9" dataBound="0" tableColumnId="7"/>
      <queryTableField id="10" dataBound="0" tableColumnId="8"/>
      <queryTableField id="11" dataBound="0" tableColumnId="9"/>
      <queryTableField id="12" dataBound="0"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5480AB2D-3136-45F5-A08F-EF9DB9194B70}" autoFormatId="16" applyNumberFormats="0" applyBorderFormats="0" applyFontFormats="0" applyPatternFormats="0" applyAlignmentFormats="0" applyWidthHeightFormats="0">
  <queryTableRefresh nextId="11" unboundColumnsRight="6">
    <queryTableFields count="10">
      <queryTableField id="1" name="Hospital" tableColumnId="1"/>
      <queryTableField id="2" name="Stage" tableColumnId="2"/>
      <queryTableField id="3" name="MonthYear" tableColumnId="3"/>
      <queryTableField id="4" name="Rate" tableColumnId="4"/>
      <queryTableField id="5" dataBound="0" tableColumnId="5"/>
      <queryTableField id="6" dataBound="0" tableColumnId="6"/>
      <queryTableField id="7" dataBound="0" tableColumnId="7"/>
      <queryTableField id="8" dataBound="0" tableColumnId="8"/>
      <queryTableField id="9" dataBound="0" tableColumnId="9"/>
      <queryTableField id="10" dataBound="0"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5" xr16:uid="{C2064442-E30D-43F9-8ED9-27CE0986EB57}" autoFormatId="16" applyNumberFormats="0" applyBorderFormats="0" applyFontFormats="0" applyPatternFormats="0" applyAlignmentFormats="0" applyWidthHeightFormats="0">
  <queryTableRefresh nextId="13" unboundColumnsRight="8">
    <queryTableFields count="12">
      <queryTableField id="1" name="Hospital" tableColumnId="1"/>
      <queryTableField id="2" name="Employee" tableColumnId="2"/>
      <queryTableField id="3" name="Year" tableColumnId="3"/>
      <queryTableField id="4" name="Rate" tableColumnId="4"/>
      <queryTableField id="5" dataBound="0" tableColumnId="5"/>
      <queryTableField id="6" dataBound="0" tableColumnId="6"/>
      <queryTableField id="7" dataBound="0" tableColumnId="7"/>
      <queryTableField id="8" dataBound="0" tableColumnId="8"/>
      <queryTableField id="9" dataBound="0" tableColumnId="9"/>
      <queryTableField id="10" dataBound="0" tableColumnId="10"/>
      <queryTableField id="11" dataBound="0" tableColumnId="11"/>
      <queryTableField id="12" dataBound="0"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34BA0786-05A2-4FEA-ABE1-F06598998D71}" autoFormatId="16" applyNumberFormats="0" applyBorderFormats="0" applyFontFormats="0" applyPatternFormats="0" applyAlignmentFormats="0" applyWidthHeightFormats="0">
  <queryTableRefresh nextId="7">
    <queryTableFields count="6">
      <queryTableField id="1" name="Sample" tableColumnId="1"/>
      <queryTableField id="2" name="Player" tableColumnId="2"/>
      <queryTableField id="3" name="Team" tableColumnId="3"/>
      <queryTableField id="4" name="Year" tableColumnId="4"/>
      <queryTableField id="5" name="HR" tableColumnId="5"/>
      <queryTableField id="6" name="Notes"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4" xr16:uid="{00FBACFC-E76A-4F63-B4D5-D1A5921B5C32}" autoFormatId="16" applyNumberFormats="0" applyBorderFormats="0" applyFontFormats="0" applyPatternFormats="0" applyAlignmentFormats="0" applyWidthHeightFormats="0">
  <queryTableRefresh nextId="5">
    <queryTableFields count="4">
      <queryTableField id="1" name="Hospital" tableColumnId="1"/>
      <queryTableField id="2" name="Stage" tableColumnId="2"/>
      <queryTableField id="3" name="MonthYear" tableColumnId="3"/>
      <queryTableField id="4" name="Rate" tableColumnId="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3" connectionId="6" xr16:uid="{AE822FD0-76B9-42D9-B986-842ACCF66E47}" autoFormatId="16" applyNumberFormats="0" applyBorderFormats="0" applyFontFormats="0" applyPatternFormats="0" applyAlignmentFormats="0" applyWidthHeightFormats="0">
  <queryTableRefresh nextId="6">
    <queryTableFields count="5">
      <queryTableField id="1" name="Hospital" tableColumnId="1"/>
      <queryTableField id="2" name="Clinic" tableColumnId="2"/>
      <queryTableField id="3" name="Employee" tableColumnId="3"/>
      <queryTableField id="4" name="Year" tableColumnId="4"/>
      <queryTableField id="5" name="Rate"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AEB6E9-0B96-4027-BA98-AC7451B20968}" name="home_runs_by_season" displayName="home_runs_by_season" ref="A1:J23" tableType="queryTable" totalsRowShown="0">
  <autoFilter ref="A1:J23" xr:uid="{D8AEB6E9-0B96-4027-BA98-AC7451B20968}"/>
  <tableColumns count="10">
    <tableColumn id="2" xr3:uid="{F9520651-DDD7-4E2A-A7AC-C8168CFC0021}" uniqueName="2" name="Player" queryTableFieldId="2" dataDxfId="39"/>
    <tableColumn id="3" xr3:uid="{5414701D-772B-4913-A411-D6B13775B613}" uniqueName="3" name="Year" queryTableFieldId="3" dataDxfId="38"/>
    <tableColumn id="1" xr3:uid="{1FF5361B-2624-45DC-B32C-8D2B8C00CD2A}" uniqueName="1" name="Sample" queryTableFieldId="1" dataDxfId="37"/>
    <tableColumn id="4" xr3:uid="{DC6D74F2-6FDD-493C-B91D-040B0D95E7C8}" uniqueName="4" name="HR" queryTableFieldId="4"/>
    <tableColumn id="5" xr3:uid="{96BFD722-D73D-4159-B846-4D29FD634CE4}" uniqueName="5" name="Mean" queryTableFieldId="7" dataDxfId="36">
      <calculatedColumnFormula>ROUND(AVERAGE($D$2:D23),1)</calculatedColumnFormula>
    </tableColumn>
    <tableColumn id="6" xr3:uid="{56A8FCA7-64DC-4ADF-8FB0-7A873E45455C}" uniqueName="6" name="UPL" queryTableFieldId="8" dataDxfId="35">
      <calculatedColumnFormula>ROUND(E2+(2.66*I2),1)</calculatedColumnFormula>
    </tableColumn>
    <tableColumn id="7" xr3:uid="{B6C9EC54-C05B-4CBB-9A80-0A44521709F8}" uniqueName="7" name="LPL" queryTableFieldId="9" dataDxfId="34">
      <calculatedColumnFormula>ROUND(E2-(2.66*I2),1)</calculatedColumnFormula>
    </tableColumn>
    <tableColumn id="8" xr3:uid="{B38EAC4B-8015-49AD-B84F-1E5088ADEA34}" uniqueName="8" name="mR" queryTableFieldId="10" dataDxfId="33">
      <calculatedColumnFormula>ABS(D1-D2)</calculatedColumnFormula>
    </tableColumn>
    <tableColumn id="9" xr3:uid="{9D58A197-7589-4F83-9716-78332AE128C1}" uniqueName="9" name="Ave. mR" queryTableFieldId="11" dataDxfId="32">
      <calculatedColumnFormula>ROUND(AVERAGE($H$3:$H$23),1)</calculatedColumnFormula>
    </tableColumn>
    <tableColumn id="10" xr3:uid="{16F8058B-B878-4621-B569-9EBA59F4BBA7}" uniqueName="10" name="URL" queryTableFieldId="12" dataDxfId="31">
      <calculatedColumnFormula>ROUND(3.268*I2,1)</calculatedColumnFormula>
    </tableColumn>
  </tableColumns>
  <tableStyleInfo name="The Virus of Variation"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AD57742-0150-4895-8E75-3A2A0DBEB434}" name="impact_of_handwashing_death_to_birth_rates" displayName="impact_of_handwashing_death_to_birth_rates" ref="A1:J23" tableType="queryTable" totalsRowShown="0">
  <autoFilter ref="A1:J23" xr:uid="{5AD57742-0150-4895-8E75-3A2A0DBEB434}"/>
  <tableColumns count="10">
    <tableColumn id="1" xr3:uid="{5E8CDEA7-08C3-4A20-946D-F1301FE51EBF}" uniqueName="1" name="Hospital" queryTableFieldId="1" dataDxfId="30"/>
    <tableColumn id="2" xr3:uid="{5963E2EA-A97B-47C5-9DF7-5D824B442EC8}" uniqueName="2" name="Stage" queryTableFieldId="2" dataDxfId="29"/>
    <tableColumn id="3" xr3:uid="{12C2791C-CCC5-450D-9A6B-32EA24144710}" uniqueName="3" name="MonthYear" queryTableFieldId="3" dataDxfId="28"/>
    <tableColumn id="4" xr3:uid="{2ECB7ABB-E83A-4E55-932A-59D9AFF97775}" uniqueName="4" name="Rate" queryTableFieldId="4"/>
    <tableColumn id="5" xr3:uid="{41C4EC68-0BAF-471E-8571-A6E894F9DC58}" uniqueName="5" name="Mean" queryTableFieldId="5" dataDxfId="27">
      <calculatedColumnFormula>ROUND(AVERAGE($D$2:$D$23),2)</calculatedColumnFormula>
    </tableColumn>
    <tableColumn id="6" xr3:uid="{27DB539B-9255-4704-AA0F-DA19F9D834C8}" uniqueName="6" name="UPL" queryTableFieldId="6" dataDxfId="26">
      <calculatedColumnFormula>ROUND(E2+(2.66*I2),2)</calculatedColumnFormula>
    </tableColumn>
    <tableColumn id="7" xr3:uid="{E19D5813-EB57-4211-943C-041F008EB810}" uniqueName="7" name="LPL" queryTableFieldId="7" dataDxfId="25">
      <calculatedColumnFormula>ROUND(MAX(0,E2-(2.66*I2)),2)</calculatedColumnFormula>
    </tableColumn>
    <tableColumn id="8" xr3:uid="{BFA32E62-6146-4B73-AFE8-B4C7EAD5F189}" uniqueName="8" name="mR" queryTableFieldId="8" dataDxfId="24">
      <calculatedColumnFormula>ROUND(ABS(D1-D2),2)</calculatedColumnFormula>
    </tableColumn>
    <tableColumn id="9" xr3:uid="{64A1CC27-7F8D-43B1-A21D-52346F651642}" uniqueName="9" name="Ave. mR" queryTableFieldId="9" dataDxfId="23">
      <calculatedColumnFormula>ROUND(AVERAGE($H$3:$H$23),2)</calculatedColumnFormula>
    </tableColumn>
    <tableColumn id="10" xr3:uid="{2BA77914-03A1-415A-8DE4-2878B8CC93DD}" uniqueName="10" name="URL" queryTableFieldId="10" dataDxfId="22">
      <calculatedColumnFormula>ROUND(3.268*I2,2)</calculatedColumnFormula>
    </tableColumn>
  </tableColumns>
  <tableStyleInfo name="The Virus of Variation"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A8BF92E-5EC1-4893-8BE4-AB8B97CECD06}" name="vienna_general_death_to_birth_rates_by_clinic" displayName="vienna_general_death_to_birth_rates_by_clinic" ref="A1:L27" tableType="queryTable" totalsRowShown="0">
  <autoFilter ref="A1:L27" xr:uid="{0A8BF92E-5EC1-4893-8BE4-AB8B97CECD06}"/>
  <tableColumns count="12">
    <tableColumn id="1" xr3:uid="{B1E46823-33D1-4DC5-A569-2CA4FA2B45AA}" uniqueName="1" name="Hospital" queryTableFieldId="1" dataDxfId="21"/>
    <tableColumn id="2" xr3:uid="{AC0FB4C6-AC05-47E9-9E50-BD1332103256}" uniqueName="2" name="Employee" queryTableFieldId="2" dataDxfId="20"/>
    <tableColumn id="3" xr3:uid="{447C49BC-7FC6-4BA1-B334-99B67E7CF095}" uniqueName="3" name="Year" queryTableFieldId="3" dataDxfId="19"/>
    <tableColumn id="4" xr3:uid="{0016EB5E-D083-4671-B41D-85D3B56D4A89}" uniqueName="4" name="Rate" queryTableFieldId="4"/>
    <tableColumn id="5" xr3:uid="{1387CD13-8A67-4C4D-AE35-575DBAE3793B}" uniqueName="5" name="Mean" queryTableFieldId="5" dataDxfId="18">
      <calculatedColumnFormula>ROUND(AVERAGE($D$2:$D$27), 2)</calculatedColumnFormula>
    </tableColumn>
    <tableColumn id="6" xr3:uid="{9102BFCA-E161-4B5C-87D9-D113F50B742F}" uniqueName="6" name="UPL" queryTableFieldId="6" dataDxfId="17">
      <calculatedColumnFormula>ROUND(E2+(2.66*K2),2)</calculatedColumnFormula>
    </tableColumn>
    <tableColumn id="7" xr3:uid="{6AFA5AB0-1745-4329-B14C-F4ED942FCF49}" uniqueName="7" name="LPL" queryTableFieldId="7" dataDxfId="16">
      <calculatedColumnFormula>ROUND(MAX(0,E2-(2.66*K2)),2)</calculatedColumnFormula>
    </tableColumn>
    <tableColumn id="8" xr3:uid="{F82818B9-0B03-4EB9-8233-3B7FFA5AC524}" uniqueName="8" name="Upper 25%" queryTableFieldId="8" dataDxfId="15">
      <calculatedColumnFormula>ROUND(((F2-E2)/2) + E2,2)</calculatedColumnFormula>
    </tableColumn>
    <tableColumn id="9" xr3:uid="{FDF356F8-F5FD-4106-848D-BF3C7638904C}" uniqueName="9" name="Lower 25%" queryTableFieldId="9" dataDxfId="14">
      <calculatedColumnFormula>ROUND((E2-G2)/2+G2,2)</calculatedColumnFormula>
    </tableColumn>
    <tableColumn id="10" xr3:uid="{DE6195A0-C017-4855-B323-6A60E98510A4}" uniqueName="10" name="mR" queryTableFieldId="10" dataDxfId="13">
      <calculatedColumnFormula>ROUND(ABS(D1-D2), 2)</calculatedColumnFormula>
    </tableColumn>
    <tableColumn id="11" xr3:uid="{A46F72D9-3332-4B40-BF46-32FE8AF2046E}" uniqueName="11" name="Ave. mR" queryTableFieldId="11" dataDxfId="12">
      <calculatedColumnFormula>ROUND(AVERAGE($J$3:$J$27),2)</calculatedColumnFormula>
    </tableColumn>
    <tableColumn id="12" xr3:uid="{87093A21-AEC8-438D-9D74-BA4240F56E45}" uniqueName="12" name="URL" queryTableFieldId="12" dataDxfId="11">
      <calculatedColumnFormula>ROUND(3.268*K2,2)</calculatedColumnFormula>
    </tableColumn>
  </tableColumns>
  <tableStyleInfo name="The Virus of Variation"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88060D-1EFA-4DB4-83D6-5227B1A750EA}" name="home_runs_by_season__2" displayName="home_runs_by_season__2" ref="A1:F39" tableType="queryTable" totalsRowShown="0">
  <autoFilter ref="A1:F39" xr:uid="{9288060D-1EFA-4DB4-83D6-5227B1A750EA}"/>
  <tableColumns count="6">
    <tableColumn id="1" xr3:uid="{02327092-34D1-4F95-BC65-48BE20C372E6}" uniqueName="1" name="Sample" queryTableFieldId="1"/>
    <tableColumn id="2" xr3:uid="{7F017512-02A5-4016-94A9-CAFF62139D2B}" uniqueName="2" name="Player" queryTableFieldId="2" dataDxfId="10"/>
    <tableColumn id="3" xr3:uid="{2C837578-D735-40AD-8610-F366355F0C07}" uniqueName="3" name="Team" queryTableFieldId="3" dataDxfId="9"/>
    <tableColumn id="4" xr3:uid="{C4705FE9-3B17-42B6-9D56-4108035A6524}" uniqueName="4" name="Year" queryTableFieldId="4"/>
    <tableColumn id="5" xr3:uid="{250EF120-41BF-4499-83D0-EBAB8CD64EBC}" uniqueName="5" name="HR" queryTableFieldId="5"/>
    <tableColumn id="6" xr3:uid="{90D72A7B-8D97-4B03-83CD-9F847426B288}" uniqueName="6" name="Notes" queryTableFieldId="6" dataDxfId="8"/>
  </tableColumns>
  <tableStyleInfo name="The Virus of Variation"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B027565-EDF9-4971-89B0-B7C5BD7C765F}" name="impact_of_handwashing_death_to_birth_rates__2" displayName="impact_of_handwashing_death_to_birth_rates__2" ref="H1:K100" tableType="queryTable" totalsRowShown="0" headerRowDxfId="7">
  <autoFilter ref="H1:K100" xr:uid="{4B027565-EDF9-4971-89B0-B7C5BD7C765F}"/>
  <tableColumns count="4">
    <tableColumn id="1" xr3:uid="{482B128D-19AA-4639-91D6-3DAA6F95FC56}" uniqueName="1" name="Hospital" queryTableFieldId="1" dataDxfId="6"/>
    <tableColumn id="2" xr3:uid="{F5411B1C-8DE6-4288-91F7-59086103F9D2}" uniqueName="2" name="Stage" queryTableFieldId="2" dataDxfId="5"/>
    <tableColumn id="3" xr3:uid="{1759B3B6-4D11-4A96-BBB7-E59544DC1070}" uniqueName="3" name="MonthYear" queryTableFieldId="3" dataDxfId="4"/>
    <tableColumn id="4" xr3:uid="{57C393C7-9DAB-464B-9B14-87B9EC0B99EF}" uniqueName="4" name="Rate" queryTableFieldId="4"/>
  </tableColumns>
  <tableStyleInfo name="The Virus of Variation"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BB2302E-DA17-4AA3-A18A-915EFF48D22A}" name="vienna_general_death_to_birth_rates_by_clinic__2" displayName="vienna_general_death_to_birth_rates_by_clinic__2" ref="M1:Q53" tableType="queryTable" totalsRowShown="0" headerRowDxfId="0">
  <autoFilter ref="M1:Q53" xr:uid="{2BB2302E-DA17-4AA3-A18A-915EFF48D22A}"/>
  <tableColumns count="5">
    <tableColumn id="1" xr3:uid="{FD24D85A-8F21-4732-A1A6-0ACC4ACC9C51}" uniqueName="1" name="Hospital" queryTableFieldId="1" dataDxfId="3"/>
    <tableColumn id="2" xr3:uid="{C327C708-81E0-4DBA-8865-9724F3B5EF4B}" uniqueName="2" name="Clinic" queryTableFieldId="2" dataDxfId="2"/>
    <tableColumn id="3" xr3:uid="{BE021EC6-E3A9-476A-BAE4-38CB091F7B34}" uniqueName="3" name="Employee" queryTableFieldId="3" dataDxfId="1"/>
    <tableColumn id="4" xr3:uid="{6068BE9E-55AB-49EF-B610-055CA877DA4E}" uniqueName="4" name="Year" queryTableFieldId="4"/>
    <tableColumn id="5" xr3:uid="{F321D1FE-13A1-48BC-9D42-41A04E06EDC9}" uniqueName="5" name="Rate" queryTableFieldId="5"/>
  </tableColumns>
  <tableStyleInfo name="The Virus of Variation"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hyperlink" Target="mailto:James.Lehner@gmail.com" TargetMode="External"/><Relationship Id="rId2" Type="http://schemas.openxmlformats.org/officeDocument/2006/relationships/hyperlink" Target="https://www.brokenquality.com/book" TargetMode="External"/><Relationship Id="rId1" Type="http://schemas.openxmlformats.org/officeDocument/2006/relationships/hyperlink" Target="https://github.com/jimlehner/virus-of-variation-book" TargetMode="External"/><Relationship Id="rId5" Type="http://schemas.openxmlformats.org/officeDocument/2006/relationships/drawing" Target="../drawings/drawing1.xml"/><Relationship Id="rId4" Type="http://schemas.openxmlformats.org/officeDocument/2006/relationships/hyperlink" Target="mailto:QualityIsBroken@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39"/>
  <sheetViews>
    <sheetView showGridLines="0" tabSelected="1" workbookViewId="0">
      <selection activeCell="N9" sqref="N9"/>
    </sheetView>
  </sheetViews>
  <sheetFormatPr defaultColWidth="12.6640625" defaultRowHeight="15.75" customHeight="1"/>
  <cols>
    <col min="8" max="8" width="1.33203125" customWidth="1"/>
    <col min="13" max="13" width="1.33203125" customWidth="1"/>
  </cols>
  <sheetData>
    <row r="1" spans="1:12" ht="24.6">
      <c r="A1" s="45" t="s">
        <v>0</v>
      </c>
      <c r="B1" s="46"/>
      <c r="C1" s="46"/>
      <c r="D1" s="46"/>
      <c r="E1" s="46"/>
      <c r="F1" s="46"/>
      <c r="G1" s="47"/>
      <c r="H1" s="1"/>
      <c r="I1" s="1"/>
      <c r="J1" s="1"/>
      <c r="K1" s="1"/>
      <c r="L1" s="1"/>
    </row>
    <row r="2" spans="1:12" ht="15.75" customHeight="1">
      <c r="A2" s="20" t="s">
        <v>127</v>
      </c>
      <c r="B2" s="21"/>
      <c r="C2" s="21"/>
      <c r="D2" s="21"/>
      <c r="E2" s="21"/>
      <c r="F2" s="21"/>
      <c r="G2" s="22"/>
      <c r="H2" s="1"/>
      <c r="I2" s="1"/>
    </row>
    <row r="3" spans="1:12" ht="15.75" customHeight="1">
      <c r="A3" s="23"/>
      <c r="B3" s="24"/>
      <c r="C3" s="24"/>
      <c r="D3" s="24"/>
      <c r="E3" s="24"/>
      <c r="F3" s="24"/>
      <c r="G3" s="25"/>
      <c r="H3" s="1"/>
    </row>
    <row r="4" spans="1:12" ht="15.75" customHeight="1">
      <c r="A4" s="23"/>
      <c r="B4" s="24"/>
      <c r="C4" s="24"/>
      <c r="D4" s="24"/>
      <c r="E4" s="24"/>
      <c r="F4" s="24"/>
      <c r="G4" s="25"/>
      <c r="H4" s="1"/>
    </row>
    <row r="5" spans="1:12" ht="15.75" customHeight="1">
      <c r="A5" s="23"/>
      <c r="B5" s="24"/>
      <c r="C5" s="24"/>
      <c r="D5" s="24"/>
      <c r="E5" s="24"/>
      <c r="F5" s="24"/>
      <c r="G5" s="25"/>
      <c r="H5" s="1"/>
    </row>
    <row r="6" spans="1:12" ht="15.75" customHeight="1">
      <c r="A6" s="23"/>
      <c r="B6" s="24"/>
      <c r="C6" s="24"/>
      <c r="D6" s="24"/>
      <c r="E6" s="24"/>
      <c r="F6" s="24"/>
      <c r="G6" s="25"/>
      <c r="H6" s="1"/>
    </row>
    <row r="7" spans="1:12" ht="15.75" customHeight="1">
      <c r="A7" s="23"/>
      <c r="B7" s="24"/>
      <c r="C7" s="24"/>
      <c r="D7" s="24"/>
      <c r="E7" s="24"/>
      <c r="F7" s="24"/>
      <c r="G7" s="25"/>
      <c r="H7" s="1"/>
    </row>
    <row r="8" spans="1:12" ht="15.75" customHeight="1">
      <c r="A8" s="23"/>
      <c r="B8" s="24"/>
      <c r="C8" s="24"/>
      <c r="D8" s="24"/>
      <c r="E8" s="24"/>
      <c r="F8" s="24"/>
      <c r="G8" s="25"/>
      <c r="H8" s="1"/>
    </row>
    <row r="9" spans="1:12" ht="15.75" customHeight="1">
      <c r="A9" s="23"/>
      <c r="B9" s="24"/>
      <c r="C9" s="24"/>
      <c r="D9" s="24"/>
      <c r="E9" s="24"/>
      <c r="F9" s="24"/>
      <c r="G9" s="25"/>
      <c r="H9" s="1"/>
    </row>
    <row r="10" spans="1:12" ht="15.75" customHeight="1">
      <c r="A10" s="23"/>
      <c r="B10" s="24"/>
      <c r="C10" s="24"/>
      <c r="D10" s="24"/>
      <c r="E10" s="24"/>
      <c r="F10" s="24"/>
      <c r="G10" s="25"/>
      <c r="H10" s="1"/>
    </row>
    <row r="11" spans="1:12" ht="15.75" customHeight="1">
      <c r="A11" s="23"/>
      <c r="B11" s="24"/>
      <c r="C11" s="24"/>
      <c r="D11" s="24"/>
      <c r="E11" s="24"/>
      <c r="F11" s="24"/>
      <c r="G11" s="25"/>
      <c r="H11" s="1"/>
    </row>
    <row r="12" spans="1:12" ht="15.75" customHeight="1">
      <c r="A12" s="23"/>
      <c r="B12" s="24"/>
      <c r="C12" s="24"/>
      <c r="D12" s="24"/>
      <c r="E12" s="24"/>
      <c r="F12" s="24"/>
      <c r="G12" s="25"/>
      <c r="H12" s="1"/>
    </row>
    <row r="13" spans="1:12" ht="15.75" customHeight="1">
      <c r="A13" s="23"/>
      <c r="B13" s="24"/>
      <c r="C13" s="24"/>
      <c r="D13" s="24"/>
      <c r="E13" s="24"/>
      <c r="F13" s="24"/>
      <c r="G13" s="25"/>
      <c r="H13" s="1"/>
    </row>
    <row r="14" spans="1:12" ht="15.75" customHeight="1">
      <c r="A14" s="23"/>
      <c r="B14" s="24"/>
      <c r="C14" s="24"/>
      <c r="D14" s="24"/>
      <c r="E14" s="24"/>
      <c r="F14" s="24"/>
      <c r="G14" s="25"/>
      <c r="H14" s="1"/>
    </row>
    <row r="15" spans="1:12" ht="15.75" customHeight="1">
      <c r="A15" s="23"/>
      <c r="B15" s="24"/>
      <c r="C15" s="24"/>
      <c r="D15" s="24"/>
      <c r="E15" s="24"/>
      <c r="F15" s="24"/>
      <c r="G15" s="25"/>
      <c r="H15" s="1"/>
    </row>
    <row r="16" spans="1:12" ht="15.75" customHeight="1">
      <c r="A16" s="23"/>
      <c r="B16" s="24"/>
      <c r="C16" s="24"/>
      <c r="D16" s="24"/>
      <c r="E16" s="24"/>
      <c r="F16" s="24"/>
      <c r="G16" s="25"/>
      <c r="H16" s="1"/>
    </row>
    <row r="17" spans="1:8" ht="15.75" customHeight="1">
      <c r="A17" s="23"/>
      <c r="B17" s="24"/>
      <c r="C17" s="24"/>
      <c r="D17" s="24"/>
      <c r="E17" s="24"/>
      <c r="F17" s="24"/>
      <c r="G17" s="25"/>
      <c r="H17" s="1"/>
    </row>
    <row r="18" spans="1:8" ht="15.75" customHeight="1">
      <c r="A18" s="23"/>
      <c r="B18" s="24"/>
      <c r="C18" s="24"/>
      <c r="D18" s="24"/>
      <c r="E18" s="24"/>
      <c r="F18" s="24"/>
      <c r="G18" s="25"/>
      <c r="H18" s="1"/>
    </row>
    <row r="19" spans="1:8" ht="15.75" customHeight="1">
      <c r="A19" s="23"/>
      <c r="B19" s="24"/>
      <c r="C19" s="24"/>
      <c r="D19" s="24"/>
      <c r="E19" s="24"/>
      <c r="F19" s="24"/>
      <c r="G19" s="25"/>
      <c r="H19" s="1"/>
    </row>
    <row r="20" spans="1:8" ht="15.75" customHeight="1">
      <c r="A20" s="23"/>
      <c r="B20" s="24"/>
      <c r="C20" s="24"/>
      <c r="D20" s="24"/>
      <c r="E20" s="24"/>
      <c r="F20" s="24"/>
      <c r="G20" s="25"/>
      <c r="H20" s="1"/>
    </row>
    <row r="21" spans="1:8" ht="15.75" customHeight="1">
      <c r="A21" s="23"/>
      <c r="B21" s="24"/>
      <c r="C21" s="24"/>
      <c r="D21" s="24"/>
      <c r="E21" s="24"/>
      <c r="F21" s="24"/>
      <c r="G21" s="25"/>
      <c r="H21" s="1"/>
    </row>
    <row r="22" spans="1:8" ht="15.75" customHeight="1">
      <c r="A22" s="23"/>
      <c r="B22" s="24"/>
      <c r="C22" s="24"/>
      <c r="D22" s="24"/>
      <c r="E22" s="24"/>
      <c r="F22" s="24"/>
      <c r="G22" s="25"/>
      <c r="H22" s="1"/>
    </row>
    <row r="23" spans="1:8" ht="15.75" customHeight="1">
      <c r="A23" s="23"/>
      <c r="B23" s="24"/>
      <c r="C23" s="24"/>
      <c r="D23" s="24"/>
      <c r="E23" s="24"/>
      <c r="F23" s="24"/>
      <c r="G23" s="25"/>
      <c r="H23" s="1"/>
    </row>
    <row r="24" spans="1:8" ht="15.75" customHeight="1">
      <c r="A24" s="23"/>
      <c r="B24" s="24"/>
      <c r="C24" s="24"/>
      <c r="D24" s="24"/>
      <c r="E24" s="24"/>
      <c r="F24" s="24"/>
      <c r="G24" s="25"/>
      <c r="H24" s="1"/>
    </row>
    <row r="25" spans="1:8" ht="15.75" customHeight="1">
      <c r="A25" s="23"/>
      <c r="B25" s="24"/>
      <c r="C25" s="24"/>
      <c r="D25" s="24"/>
      <c r="E25" s="24"/>
      <c r="F25" s="24"/>
      <c r="G25" s="25"/>
      <c r="H25" s="1"/>
    </row>
    <row r="26" spans="1:8" ht="15.75" customHeight="1">
      <c r="A26" s="23"/>
      <c r="B26" s="24"/>
      <c r="C26" s="24"/>
      <c r="D26" s="24"/>
      <c r="E26" s="24"/>
      <c r="F26" s="24"/>
      <c r="G26" s="25"/>
      <c r="H26" s="1"/>
    </row>
    <row r="27" spans="1:8" ht="15.75" customHeight="1">
      <c r="A27" s="23"/>
      <c r="B27" s="24"/>
      <c r="C27" s="24"/>
      <c r="D27" s="24"/>
      <c r="E27" s="24"/>
      <c r="F27" s="24"/>
      <c r="G27" s="25"/>
      <c r="H27" s="1"/>
    </row>
    <row r="28" spans="1:8" ht="15.75" customHeight="1">
      <c r="A28" s="26"/>
      <c r="B28" s="27"/>
      <c r="C28" s="27"/>
      <c r="D28" s="27"/>
      <c r="E28" s="27"/>
      <c r="F28" s="27"/>
      <c r="G28" s="28"/>
    </row>
    <row r="29" spans="1:8" ht="15.75" customHeight="1">
      <c r="A29" s="29" t="s">
        <v>120</v>
      </c>
      <c r="B29" s="10"/>
      <c r="C29" s="10"/>
      <c r="D29" s="10"/>
      <c r="E29" s="10"/>
      <c r="F29" s="10"/>
      <c r="G29" s="30"/>
    </row>
    <row r="30" spans="1:8" ht="15.75" customHeight="1">
      <c r="A30" s="11" t="s">
        <v>121</v>
      </c>
      <c r="B30" s="12"/>
      <c r="C30" s="12"/>
      <c r="D30" s="12"/>
      <c r="E30" s="12"/>
      <c r="F30" s="12"/>
      <c r="G30" s="13"/>
    </row>
    <row r="31" spans="1:8" ht="15.75" customHeight="1">
      <c r="A31" s="14" t="s">
        <v>122</v>
      </c>
      <c r="B31" s="15"/>
      <c r="C31" s="15"/>
      <c r="D31" s="15"/>
      <c r="E31" s="15"/>
      <c r="F31" s="15"/>
      <c r="G31" s="16"/>
    </row>
    <row r="32" spans="1:8" ht="15.75" customHeight="1">
      <c r="A32" s="11" t="s">
        <v>123</v>
      </c>
      <c r="B32" s="12"/>
      <c r="C32" s="12"/>
      <c r="D32" s="12"/>
      <c r="E32" s="12"/>
      <c r="F32" s="12"/>
      <c r="G32" s="13"/>
    </row>
    <row r="33" spans="1:15" ht="15.75" customHeight="1">
      <c r="A33" s="14" t="s">
        <v>124</v>
      </c>
      <c r="B33" s="15"/>
      <c r="C33" s="15"/>
      <c r="D33" s="15"/>
      <c r="E33" s="15"/>
      <c r="F33" s="15"/>
      <c r="G33" s="16"/>
    </row>
    <row r="34" spans="1:15" ht="15.75" customHeight="1">
      <c r="A34" s="11" t="s">
        <v>125</v>
      </c>
      <c r="B34" s="12"/>
      <c r="C34" s="12"/>
      <c r="D34" s="12"/>
      <c r="E34" s="12"/>
      <c r="F34" s="12"/>
      <c r="G34" s="13"/>
    </row>
    <row r="35" spans="1:15" ht="15.75" customHeight="1">
      <c r="A35" s="17" t="s">
        <v>126</v>
      </c>
      <c r="B35" s="18"/>
      <c r="C35" s="18"/>
      <c r="D35" s="18"/>
      <c r="E35" s="18"/>
      <c r="F35" s="18"/>
      <c r="G35" s="19"/>
    </row>
    <row r="36" spans="1:15" ht="15.75" customHeight="1">
      <c r="A36" s="29" t="s">
        <v>132</v>
      </c>
      <c r="B36" s="10"/>
      <c r="C36" s="10"/>
      <c r="D36" s="10"/>
      <c r="E36" s="10"/>
      <c r="F36" s="10"/>
      <c r="G36" s="30"/>
    </row>
    <row r="37" spans="1:15" ht="15.75" customHeight="1">
      <c r="A37" s="31" t="s">
        <v>129</v>
      </c>
      <c r="B37" s="39" t="s">
        <v>128</v>
      </c>
      <c r="C37" s="32"/>
      <c r="D37" s="32"/>
      <c r="E37" s="32"/>
      <c r="F37" s="32"/>
      <c r="G37" s="33"/>
      <c r="I37" s="8"/>
      <c r="J37" s="9"/>
      <c r="K37" s="9"/>
      <c r="L37" s="9"/>
      <c r="M37" s="9"/>
      <c r="N37" s="9"/>
      <c r="O37" s="9"/>
    </row>
    <row r="38" spans="1:15" ht="15.75" customHeight="1">
      <c r="A38" s="31" t="s">
        <v>130</v>
      </c>
      <c r="B38" s="41" t="s">
        <v>134</v>
      </c>
      <c r="C38" s="34"/>
      <c r="D38" s="34"/>
      <c r="E38" s="34"/>
      <c r="F38" s="34"/>
      <c r="G38" s="35"/>
    </row>
    <row r="39" spans="1:15" ht="15.75" customHeight="1">
      <c r="A39" s="36" t="s">
        <v>131</v>
      </c>
      <c r="B39" s="43" t="s">
        <v>133</v>
      </c>
      <c r="C39" s="37"/>
      <c r="D39" s="37"/>
      <c r="E39" s="37"/>
      <c r="F39" s="37"/>
      <c r="G39" s="38"/>
    </row>
  </sheetData>
  <mergeCells count="13">
    <mergeCell ref="B38:G38"/>
    <mergeCell ref="B37:G37"/>
    <mergeCell ref="B39:G39"/>
    <mergeCell ref="A1:G1"/>
    <mergeCell ref="A2:G28"/>
    <mergeCell ref="A29:G29"/>
    <mergeCell ref="A30:G30"/>
    <mergeCell ref="A31:G31"/>
    <mergeCell ref="A36:G36"/>
    <mergeCell ref="A32:G32"/>
    <mergeCell ref="A33:G33"/>
    <mergeCell ref="A34:G34"/>
    <mergeCell ref="A35:G35"/>
  </mergeCells>
  <hyperlinks>
    <hyperlink ref="A32" r:id="rId1" xr:uid="{BD25CB73-E1C1-4DEC-B0FE-CE6E11BEDC19}"/>
    <hyperlink ref="A30" r:id="rId2" xr:uid="{ADBBFF0D-16CA-4182-9FF1-61E3C5288036}"/>
    <hyperlink ref="A34" r:id="rId3" xr:uid="{6AA3DB8A-C9BF-4058-A275-15467C22194F}"/>
    <hyperlink ref="A35" r:id="rId4" xr:uid="{428A4797-494D-49AB-B5FF-F91002799D86}"/>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47"/>
  <sheetViews>
    <sheetView workbookViewId="0">
      <selection activeCell="T20" sqref="T20"/>
    </sheetView>
  </sheetViews>
  <sheetFormatPr defaultColWidth="12.6640625" defaultRowHeight="15.75" customHeight="1"/>
  <cols>
    <col min="1" max="1" width="8.44140625" bestFit="1" customWidth="1"/>
    <col min="2" max="2" width="7.109375" bestFit="1" customWidth="1"/>
    <col min="3" max="3" width="9.33203125" bestFit="1" customWidth="1"/>
    <col min="4" max="4" width="5.6640625" bestFit="1" customWidth="1"/>
    <col min="5" max="5" width="7.6640625" bestFit="1" customWidth="1"/>
    <col min="6" max="6" width="6.6640625" bestFit="1" customWidth="1"/>
    <col min="7" max="7" width="6.44140625" bestFit="1" customWidth="1"/>
    <col min="8" max="8" width="8.44140625" bestFit="1" customWidth="1"/>
    <col min="9" max="9" width="10" bestFit="1" customWidth="1"/>
    <col min="10" max="10" width="6.6640625" bestFit="1" customWidth="1"/>
  </cols>
  <sheetData>
    <row r="1" spans="1:10" ht="13.2">
      <c r="A1" t="s">
        <v>1</v>
      </c>
      <c r="B1" t="s">
        <v>2</v>
      </c>
      <c r="C1" s="2" t="s">
        <v>3</v>
      </c>
      <c r="D1" t="s">
        <v>4</v>
      </c>
      <c r="E1" s="7" t="s">
        <v>5</v>
      </c>
      <c r="F1" s="7" t="s">
        <v>6</v>
      </c>
      <c r="G1" s="7" t="s">
        <v>7</v>
      </c>
      <c r="H1" s="7" t="s">
        <v>8</v>
      </c>
      <c r="I1" s="7" t="s">
        <v>9</v>
      </c>
      <c r="J1" s="7" t="s">
        <v>10</v>
      </c>
    </row>
    <row r="2" spans="1:10" ht="13.2">
      <c r="A2" t="s">
        <v>11</v>
      </c>
      <c r="B2" t="s">
        <v>12</v>
      </c>
      <c r="C2" t="s">
        <v>13</v>
      </c>
      <c r="D2">
        <v>16</v>
      </c>
      <c r="E2">
        <f>ROUND(AVERAGE($D$2:D23),1)</f>
        <v>34.6</v>
      </c>
      <c r="F2">
        <f t="shared" ref="F2:F23" si="0">ROUND(E2+(2.66*I2),1)</f>
        <v>62.3</v>
      </c>
      <c r="G2">
        <f t="shared" ref="G2:G23" si="1">ROUND(E2-(2.66*I2),1)</f>
        <v>6.9</v>
      </c>
      <c r="I2">
        <f t="shared" ref="I2:I23" si="2">ROUND(AVERAGE($H$3:$H$23),1)</f>
        <v>10.4</v>
      </c>
      <c r="J2">
        <f t="shared" ref="J2:J23" si="3">ROUND(3.268*I2,1)</f>
        <v>34</v>
      </c>
    </row>
    <row r="3" spans="1:10" ht="13.2">
      <c r="A3" t="s">
        <v>11</v>
      </c>
      <c r="B3" t="s">
        <v>14</v>
      </c>
      <c r="C3" t="s">
        <v>15</v>
      </c>
      <c r="D3">
        <v>25</v>
      </c>
      <c r="E3">
        <f>ROUND(AVERAGE($D$2:D24),1)</f>
        <v>34.6</v>
      </c>
      <c r="F3">
        <f t="shared" si="0"/>
        <v>62.3</v>
      </c>
      <c r="G3">
        <f t="shared" si="1"/>
        <v>6.9</v>
      </c>
      <c r="H3">
        <f t="shared" ref="H3:H23" si="4">ABS(D2-D3)</f>
        <v>9</v>
      </c>
      <c r="I3">
        <f t="shared" si="2"/>
        <v>10.4</v>
      </c>
      <c r="J3">
        <f t="shared" si="3"/>
        <v>34</v>
      </c>
    </row>
    <row r="4" spans="1:10" ht="13.2">
      <c r="A4" t="s">
        <v>11</v>
      </c>
      <c r="B4" t="s">
        <v>16</v>
      </c>
      <c r="C4" t="s">
        <v>17</v>
      </c>
      <c r="D4">
        <v>24</v>
      </c>
      <c r="E4">
        <f>ROUND(AVERAGE($D$2:D25),1)</f>
        <v>34.6</v>
      </c>
      <c r="F4">
        <f t="shared" si="0"/>
        <v>62.3</v>
      </c>
      <c r="G4">
        <f t="shared" si="1"/>
        <v>6.9</v>
      </c>
      <c r="H4">
        <f t="shared" si="4"/>
        <v>1</v>
      </c>
      <c r="I4">
        <f t="shared" si="2"/>
        <v>10.4</v>
      </c>
      <c r="J4">
        <f t="shared" si="3"/>
        <v>34</v>
      </c>
    </row>
    <row r="5" spans="1:10" ht="13.2">
      <c r="A5" t="s">
        <v>11</v>
      </c>
      <c r="B5" t="s">
        <v>18</v>
      </c>
      <c r="C5" t="s">
        <v>19</v>
      </c>
      <c r="D5">
        <v>19</v>
      </c>
      <c r="E5">
        <f>ROUND(AVERAGE($D$2:D26),1)</f>
        <v>34.6</v>
      </c>
      <c r="F5">
        <f t="shared" si="0"/>
        <v>62.3</v>
      </c>
      <c r="G5">
        <f t="shared" si="1"/>
        <v>6.9</v>
      </c>
      <c r="H5">
        <f t="shared" si="4"/>
        <v>5</v>
      </c>
      <c r="I5">
        <f t="shared" si="2"/>
        <v>10.4</v>
      </c>
      <c r="J5">
        <f t="shared" si="3"/>
        <v>34</v>
      </c>
    </row>
    <row r="6" spans="1:10" ht="13.2">
      <c r="A6" t="s">
        <v>11</v>
      </c>
      <c r="B6" t="s">
        <v>20</v>
      </c>
      <c r="C6" t="s">
        <v>21</v>
      </c>
      <c r="D6">
        <v>33</v>
      </c>
      <c r="E6">
        <f>ROUND(AVERAGE($D$2:D27),1)</f>
        <v>34.6</v>
      </c>
      <c r="F6">
        <f t="shared" si="0"/>
        <v>62.3</v>
      </c>
      <c r="G6">
        <f t="shared" si="1"/>
        <v>6.9</v>
      </c>
      <c r="H6">
        <f t="shared" si="4"/>
        <v>14</v>
      </c>
      <c r="I6">
        <f t="shared" si="2"/>
        <v>10.4</v>
      </c>
      <c r="J6">
        <f t="shared" si="3"/>
        <v>34</v>
      </c>
    </row>
    <row r="7" spans="1:10" ht="13.2">
      <c r="A7" t="s">
        <v>11</v>
      </c>
      <c r="B7" t="s">
        <v>22</v>
      </c>
      <c r="C7" t="s">
        <v>23</v>
      </c>
      <c r="D7">
        <v>25</v>
      </c>
      <c r="E7">
        <f>ROUND(AVERAGE($D$2:D28),1)</f>
        <v>34.6</v>
      </c>
      <c r="F7">
        <f t="shared" si="0"/>
        <v>62.3</v>
      </c>
      <c r="G7">
        <f t="shared" si="1"/>
        <v>6.9</v>
      </c>
      <c r="H7">
        <f t="shared" si="4"/>
        <v>8</v>
      </c>
      <c r="I7">
        <f t="shared" si="2"/>
        <v>10.4</v>
      </c>
      <c r="J7">
        <f t="shared" si="3"/>
        <v>34</v>
      </c>
    </row>
    <row r="8" spans="1:10" ht="13.2">
      <c r="A8" t="s">
        <v>11</v>
      </c>
      <c r="B8" t="s">
        <v>24</v>
      </c>
      <c r="C8" t="s">
        <v>25</v>
      </c>
      <c r="D8">
        <v>34</v>
      </c>
      <c r="E8">
        <f>ROUND(AVERAGE($D$2:D29),1)</f>
        <v>34.6</v>
      </c>
      <c r="F8">
        <f t="shared" si="0"/>
        <v>62.3</v>
      </c>
      <c r="G8">
        <f t="shared" si="1"/>
        <v>6.9</v>
      </c>
      <c r="H8">
        <f t="shared" si="4"/>
        <v>9</v>
      </c>
      <c r="I8">
        <f t="shared" si="2"/>
        <v>10.4</v>
      </c>
      <c r="J8">
        <f t="shared" si="3"/>
        <v>34</v>
      </c>
    </row>
    <row r="9" spans="1:10" ht="13.2">
      <c r="A9" t="s">
        <v>11</v>
      </c>
      <c r="B9" t="s">
        <v>26</v>
      </c>
      <c r="C9" t="s">
        <v>27</v>
      </c>
      <c r="D9">
        <v>46</v>
      </c>
      <c r="E9">
        <f>ROUND(AVERAGE($D$2:D30),1)</f>
        <v>34.6</v>
      </c>
      <c r="F9">
        <f t="shared" si="0"/>
        <v>62.3</v>
      </c>
      <c r="G9">
        <f t="shared" si="1"/>
        <v>6.9</v>
      </c>
      <c r="H9">
        <f t="shared" si="4"/>
        <v>12</v>
      </c>
      <c r="I9">
        <f t="shared" si="2"/>
        <v>10.4</v>
      </c>
      <c r="J9">
        <f t="shared" si="3"/>
        <v>34</v>
      </c>
    </row>
    <row r="10" spans="1:10" ht="13.2">
      <c r="A10" t="s">
        <v>11</v>
      </c>
      <c r="B10" t="s">
        <v>28</v>
      </c>
      <c r="C10" t="s">
        <v>29</v>
      </c>
      <c r="D10">
        <v>37</v>
      </c>
      <c r="E10">
        <f>ROUND(AVERAGE($D$2:D31),1)</f>
        <v>34.6</v>
      </c>
      <c r="F10">
        <f t="shared" si="0"/>
        <v>62.3</v>
      </c>
      <c r="G10">
        <f t="shared" si="1"/>
        <v>6.9</v>
      </c>
      <c r="H10">
        <f t="shared" si="4"/>
        <v>9</v>
      </c>
      <c r="I10">
        <f t="shared" si="2"/>
        <v>10.4</v>
      </c>
      <c r="J10">
        <f t="shared" si="3"/>
        <v>34</v>
      </c>
    </row>
    <row r="11" spans="1:10" ht="13.2">
      <c r="A11" t="s">
        <v>11</v>
      </c>
      <c r="B11" t="s">
        <v>30</v>
      </c>
      <c r="C11" t="s">
        <v>31</v>
      </c>
      <c r="D11">
        <v>33</v>
      </c>
      <c r="E11">
        <f>ROUND(AVERAGE($D$2:D32),1)</f>
        <v>34.6</v>
      </c>
      <c r="F11">
        <f t="shared" si="0"/>
        <v>62.3</v>
      </c>
      <c r="G11">
        <f t="shared" si="1"/>
        <v>6.9</v>
      </c>
      <c r="H11">
        <f t="shared" si="4"/>
        <v>4</v>
      </c>
      <c r="I11">
        <f t="shared" si="2"/>
        <v>10.4</v>
      </c>
      <c r="J11">
        <f t="shared" si="3"/>
        <v>34</v>
      </c>
    </row>
    <row r="12" spans="1:10" ht="13.2">
      <c r="A12" t="s">
        <v>11</v>
      </c>
      <c r="B12" t="s">
        <v>32</v>
      </c>
      <c r="C12" t="s">
        <v>33</v>
      </c>
      <c r="D12">
        <v>42</v>
      </c>
      <c r="E12">
        <f>ROUND(AVERAGE($D$2:D33),1)</f>
        <v>34.6</v>
      </c>
      <c r="F12">
        <f t="shared" si="0"/>
        <v>62.3</v>
      </c>
      <c r="G12">
        <f t="shared" si="1"/>
        <v>6.9</v>
      </c>
      <c r="H12">
        <f t="shared" si="4"/>
        <v>9</v>
      </c>
      <c r="I12">
        <f t="shared" si="2"/>
        <v>10.4</v>
      </c>
      <c r="J12">
        <f t="shared" si="3"/>
        <v>34</v>
      </c>
    </row>
    <row r="13" spans="1:10" ht="13.2">
      <c r="A13" t="s">
        <v>11</v>
      </c>
      <c r="B13" t="s">
        <v>34</v>
      </c>
      <c r="C13" t="s">
        <v>35</v>
      </c>
      <c r="D13">
        <v>40</v>
      </c>
      <c r="E13">
        <f>ROUND(AVERAGE($D$2:D34),1)</f>
        <v>34.6</v>
      </c>
      <c r="F13">
        <f t="shared" si="0"/>
        <v>62.3</v>
      </c>
      <c r="G13">
        <f t="shared" si="1"/>
        <v>6.9</v>
      </c>
      <c r="H13">
        <f t="shared" si="4"/>
        <v>2</v>
      </c>
      <c r="I13">
        <f t="shared" si="2"/>
        <v>10.4</v>
      </c>
      <c r="J13">
        <f t="shared" si="3"/>
        <v>34</v>
      </c>
    </row>
    <row r="14" spans="1:10" ht="13.2">
      <c r="A14" t="s">
        <v>11</v>
      </c>
      <c r="B14" t="s">
        <v>36</v>
      </c>
      <c r="C14" t="s">
        <v>37</v>
      </c>
      <c r="D14">
        <v>37</v>
      </c>
      <c r="E14">
        <f>ROUND(AVERAGE($D$2:D35),1)</f>
        <v>34.6</v>
      </c>
      <c r="F14">
        <f t="shared" si="0"/>
        <v>62.3</v>
      </c>
      <c r="G14">
        <f t="shared" si="1"/>
        <v>6.9</v>
      </c>
      <c r="H14">
        <f t="shared" si="4"/>
        <v>3</v>
      </c>
      <c r="I14">
        <f t="shared" si="2"/>
        <v>10.4</v>
      </c>
      <c r="J14">
        <f t="shared" si="3"/>
        <v>34</v>
      </c>
    </row>
    <row r="15" spans="1:10" ht="13.2">
      <c r="A15" t="s">
        <v>11</v>
      </c>
      <c r="B15" t="s">
        <v>38</v>
      </c>
      <c r="C15" t="s">
        <v>39</v>
      </c>
      <c r="D15">
        <v>34</v>
      </c>
      <c r="E15">
        <f>ROUND(AVERAGE($D$2:D36),1)</f>
        <v>34.6</v>
      </c>
      <c r="F15">
        <f t="shared" si="0"/>
        <v>62.3</v>
      </c>
      <c r="G15">
        <f t="shared" si="1"/>
        <v>6.9</v>
      </c>
      <c r="H15">
        <f t="shared" si="4"/>
        <v>3</v>
      </c>
      <c r="I15">
        <f t="shared" si="2"/>
        <v>10.4</v>
      </c>
      <c r="J15">
        <f t="shared" si="3"/>
        <v>34</v>
      </c>
    </row>
    <row r="16" spans="1:10" ht="13.2">
      <c r="A16" t="s">
        <v>11</v>
      </c>
      <c r="B16" t="s">
        <v>40</v>
      </c>
      <c r="C16" t="s">
        <v>41</v>
      </c>
      <c r="D16">
        <v>49</v>
      </c>
      <c r="E16">
        <f>ROUND(AVERAGE($D$2:D37),1)</f>
        <v>34.6</v>
      </c>
      <c r="F16">
        <f t="shared" si="0"/>
        <v>62.3</v>
      </c>
      <c r="G16">
        <f t="shared" si="1"/>
        <v>6.9</v>
      </c>
      <c r="H16">
        <f t="shared" si="4"/>
        <v>15</v>
      </c>
      <c r="I16">
        <f t="shared" si="2"/>
        <v>10.4</v>
      </c>
      <c r="J16">
        <f t="shared" si="3"/>
        <v>34</v>
      </c>
    </row>
    <row r="17" spans="1:10" ht="13.2">
      <c r="A17" t="s">
        <v>11</v>
      </c>
      <c r="B17" t="s">
        <v>42</v>
      </c>
      <c r="C17" t="s">
        <v>43</v>
      </c>
      <c r="D17">
        <v>73</v>
      </c>
      <c r="E17">
        <f>ROUND(AVERAGE($D$2:D38),1)</f>
        <v>34.6</v>
      </c>
      <c r="F17">
        <f t="shared" si="0"/>
        <v>62.3</v>
      </c>
      <c r="G17">
        <f t="shared" si="1"/>
        <v>6.9</v>
      </c>
      <c r="H17">
        <f t="shared" si="4"/>
        <v>24</v>
      </c>
      <c r="I17">
        <f t="shared" si="2"/>
        <v>10.4</v>
      </c>
      <c r="J17">
        <f t="shared" si="3"/>
        <v>34</v>
      </c>
    </row>
    <row r="18" spans="1:10" ht="13.2">
      <c r="A18" t="s">
        <v>11</v>
      </c>
      <c r="B18" t="s">
        <v>44</v>
      </c>
      <c r="C18" t="s">
        <v>45</v>
      </c>
      <c r="D18">
        <v>46</v>
      </c>
      <c r="E18">
        <f>ROUND(AVERAGE($D$2:D39),1)</f>
        <v>34.6</v>
      </c>
      <c r="F18">
        <f t="shared" si="0"/>
        <v>62.3</v>
      </c>
      <c r="G18">
        <f t="shared" si="1"/>
        <v>6.9</v>
      </c>
      <c r="H18">
        <f t="shared" si="4"/>
        <v>27</v>
      </c>
      <c r="I18">
        <f t="shared" si="2"/>
        <v>10.4</v>
      </c>
      <c r="J18">
        <f t="shared" si="3"/>
        <v>34</v>
      </c>
    </row>
    <row r="19" spans="1:10" ht="13.2">
      <c r="A19" t="s">
        <v>11</v>
      </c>
      <c r="B19" t="s">
        <v>46</v>
      </c>
      <c r="C19" t="s">
        <v>47</v>
      </c>
      <c r="D19">
        <v>45</v>
      </c>
      <c r="E19">
        <f>ROUND(AVERAGE($D$2:D40),1)</f>
        <v>34.6</v>
      </c>
      <c r="F19">
        <f t="shared" si="0"/>
        <v>62.3</v>
      </c>
      <c r="G19">
        <f t="shared" si="1"/>
        <v>6.9</v>
      </c>
      <c r="H19">
        <f t="shared" si="4"/>
        <v>1</v>
      </c>
      <c r="I19">
        <f t="shared" si="2"/>
        <v>10.4</v>
      </c>
      <c r="J19">
        <f t="shared" si="3"/>
        <v>34</v>
      </c>
    </row>
    <row r="20" spans="1:10" ht="13.2">
      <c r="A20" t="s">
        <v>11</v>
      </c>
      <c r="B20" t="s">
        <v>48</v>
      </c>
      <c r="C20" t="s">
        <v>49</v>
      </c>
      <c r="D20">
        <v>45</v>
      </c>
      <c r="E20">
        <f>ROUND(AVERAGE($D$2:D41),1)</f>
        <v>34.6</v>
      </c>
      <c r="F20">
        <f t="shared" si="0"/>
        <v>62.3</v>
      </c>
      <c r="G20">
        <f t="shared" si="1"/>
        <v>6.9</v>
      </c>
      <c r="H20">
        <f t="shared" si="4"/>
        <v>0</v>
      </c>
      <c r="I20">
        <f t="shared" si="2"/>
        <v>10.4</v>
      </c>
      <c r="J20">
        <f t="shared" si="3"/>
        <v>34</v>
      </c>
    </row>
    <row r="21" spans="1:10" ht="13.2">
      <c r="A21" t="s">
        <v>11</v>
      </c>
      <c r="B21" t="s">
        <v>50</v>
      </c>
      <c r="C21" t="s">
        <v>51</v>
      </c>
      <c r="D21">
        <v>5</v>
      </c>
      <c r="E21">
        <f>ROUND(AVERAGE($D$2:D42),1)</f>
        <v>34.6</v>
      </c>
      <c r="F21">
        <f t="shared" si="0"/>
        <v>62.3</v>
      </c>
      <c r="G21">
        <f t="shared" si="1"/>
        <v>6.9</v>
      </c>
      <c r="H21">
        <f t="shared" si="4"/>
        <v>40</v>
      </c>
      <c r="I21">
        <f t="shared" si="2"/>
        <v>10.4</v>
      </c>
      <c r="J21">
        <f t="shared" si="3"/>
        <v>34</v>
      </c>
    </row>
    <row r="22" spans="1:10" ht="13.2">
      <c r="A22" t="s">
        <v>11</v>
      </c>
      <c r="B22" t="s">
        <v>52</v>
      </c>
      <c r="C22" t="s">
        <v>53</v>
      </c>
      <c r="D22">
        <v>26</v>
      </c>
      <c r="E22">
        <f>ROUND(AVERAGE($D$2:D43),1)</f>
        <v>34.6</v>
      </c>
      <c r="F22">
        <f t="shared" si="0"/>
        <v>62.3</v>
      </c>
      <c r="G22">
        <f t="shared" si="1"/>
        <v>6.9</v>
      </c>
      <c r="H22">
        <f t="shared" si="4"/>
        <v>21</v>
      </c>
      <c r="I22">
        <f t="shared" si="2"/>
        <v>10.4</v>
      </c>
      <c r="J22">
        <f t="shared" si="3"/>
        <v>34</v>
      </c>
    </row>
    <row r="23" spans="1:10" ht="13.2">
      <c r="A23" t="s">
        <v>11</v>
      </c>
      <c r="B23" t="s">
        <v>54</v>
      </c>
      <c r="C23" t="s">
        <v>55</v>
      </c>
      <c r="D23">
        <v>28</v>
      </c>
      <c r="E23">
        <f>ROUND(AVERAGE($D$2:D44),1)</f>
        <v>34.6</v>
      </c>
      <c r="F23">
        <f t="shared" si="0"/>
        <v>62.3</v>
      </c>
      <c r="G23">
        <f t="shared" si="1"/>
        <v>6.9</v>
      </c>
      <c r="H23">
        <f t="shared" si="4"/>
        <v>2</v>
      </c>
      <c r="I23">
        <f t="shared" si="2"/>
        <v>10.4</v>
      </c>
      <c r="J23">
        <f t="shared" si="3"/>
        <v>34</v>
      </c>
    </row>
    <row r="24" spans="1:10" ht="13.2"/>
    <row r="25" spans="1:10" ht="13.2"/>
    <row r="26" spans="1:10" ht="13.2"/>
    <row r="27" spans="1:10" ht="13.2"/>
    <row r="28" spans="1:10" ht="13.2"/>
    <row r="29" spans="1:10" ht="13.2"/>
    <row r="30" spans="1:10" ht="13.2"/>
    <row r="31" spans="1:10" ht="13.2"/>
    <row r="32" spans="1:10" ht="13.2"/>
    <row r="33" ht="13.2"/>
    <row r="34" ht="13.2"/>
    <row r="35" ht="13.2"/>
    <row r="36" ht="13.2"/>
    <row r="37" ht="13.2"/>
    <row r="38" ht="13.2"/>
    <row r="39" ht="13.2"/>
    <row r="40" ht="13.2"/>
    <row r="41" ht="13.2"/>
    <row r="42" ht="13.2"/>
    <row r="43" ht="13.2"/>
    <row r="44" ht="13.2"/>
    <row r="45" ht="13.2"/>
    <row r="46" ht="13.2"/>
    <row r="47" ht="13.2"/>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23"/>
  <sheetViews>
    <sheetView workbookViewId="0">
      <selection activeCell="N37" sqref="N37"/>
    </sheetView>
  </sheetViews>
  <sheetFormatPr defaultColWidth="12.6640625" defaultRowHeight="15.75" customHeight="1"/>
  <cols>
    <col min="1" max="1" width="20.77734375" bestFit="1" customWidth="1"/>
    <col min="2" max="2" width="16.109375" bestFit="1" customWidth="1"/>
    <col min="4" max="4" width="7.21875" bestFit="1" customWidth="1"/>
    <col min="5" max="6" width="12.6640625" customWidth="1"/>
  </cols>
  <sheetData>
    <row r="1" spans="1:10" ht="13.2">
      <c r="A1" s="4" t="s">
        <v>113</v>
      </c>
      <c r="B1" t="s">
        <v>56</v>
      </c>
      <c r="C1" t="s">
        <v>57</v>
      </c>
      <c r="D1" t="s">
        <v>58</v>
      </c>
      <c r="E1" s="7" t="s">
        <v>5</v>
      </c>
      <c r="F1" s="7" t="s">
        <v>6</v>
      </c>
      <c r="G1" s="7" t="s">
        <v>7</v>
      </c>
      <c r="H1" s="7" t="s">
        <v>8</v>
      </c>
      <c r="I1" s="7" t="s">
        <v>9</v>
      </c>
      <c r="J1" s="7" t="s">
        <v>10</v>
      </c>
    </row>
    <row r="2" spans="1:10" ht="13.2">
      <c r="A2" t="s">
        <v>117</v>
      </c>
      <c r="B2" t="s">
        <v>59</v>
      </c>
      <c r="C2" t="s">
        <v>60</v>
      </c>
      <c r="D2">
        <v>2.2000000000000002</v>
      </c>
      <c r="E2">
        <f t="shared" ref="E2:E23" si="0">ROUND(AVERAGE($D$2:$D$23),2)</f>
        <v>2.11</v>
      </c>
      <c r="F2">
        <f t="shared" ref="F2:F23" si="1">ROUND(E2+(2.66*I2),2)</f>
        <v>4.82</v>
      </c>
      <c r="G2">
        <f t="shared" ref="G2:G23" si="2">ROUND(MAX(0,E2-(2.66*I2)),2)</f>
        <v>0</v>
      </c>
      <c r="I2">
        <f t="shared" ref="I2:I23" si="3">ROUND(AVERAGE($H$3:$H$23),2)</f>
        <v>1.02</v>
      </c>
      <c r="J2">
        <f t="shared" ref="J2:J23" si="4">ROUND(3.268*I2,2)</f>
        <v>3.33</v>
      </c>
    </row>
    <row r="3" spans="1:10" ht="13.2">
      <c r="A3" t="s">
        <v>117</v>
      </c>
      <c r="B3" t="s">
        <v>59</v>
      </c>
      <c r="C3" t="s">
        <v>61</v>
      </c>
      <c r="D3">
        <v>1.2</v>
      </c>
      <c r="E3">
        <f t="shared" si="0"/>
        <v>2.11</v>
      </c>
      <c r="F3">
        <f t="shared" si="1"/>
        <v>4.82</v>
      </c>
      <c r="G3">
        <f t="shared" si="2"/>
        <v>0</v>
      </c>
      <c r="H3">
        <f t="shared" ref="H3:H23" si="5">ROUND(ABS(D2-D3),2)</f>
        <v>1</v>
      </c>
      <c r="I3">
        <f t="shared" si="3"/>
        <v>1.02</v>
      </c>
      <c r="J3">
        <f t="shared" si="4"/>
        <v>3.33</v>
      </c>
    </row>
    <row r="4" spans="1:10" ht="13.2">
      <c r="A4" t="s">
        <v>117</v>
      </c>
      <c r="B4" t="s">
        <v>59</v>
      </c>
      <c r="C4" t="s">
        <v>62</v>
      </c>
      <c r="D4">
        <v>1.9</v>
      </c>
      <c r="E4">
        <f t="shared" si="0"/>
        <v>2.11</v>
      </c>
      <c r="F4">
        <f t="shared" si="1"/>
        <v>4.82</v>
      </c>
      <c r="G4">
        <f t="shared" si="2"/>
        <v>0</v>
      </c>
      <c r="H4">
        <f t="shared" si="5"/>
        <v>0.7</v>
      </c>
      <c r="I4">
        <f t="shared" si="3"/>
        <v>1.02</v>
      </c>
      <c r="J4">
        <f t="shared" si="4"/>
        <v>3.33</v>
      </c>
    </row>
    <row r="5" spans="1:10" ht="13.2">
      <c r="A5" t="s">
        <v>117</v>
      </c>
      <c r="B5" t="s">
        <v>59</v>
      </c>
      <c r="C5" t="s">
        <v>63</v>
      </c>
      <c r="D5">
        <v>4.5999999999999996</v>
      </c>
      <c r="E5">
        <f t="shared" si="0"/>
        <v>2.11</v>
      </c>
      <c r="F5">
        <f t="shared" si="1"/>
        <v>4.82</v>
      </c>
      <c r="G5">
        <f t="shared" si="2"/>
        <v>0</v>
      </c>
      <c r="H5">
        <f t="shared" si="5"/>
        <v>2.7</v>
      </c>
      <c r="I5">
        <f t="shared" si="3"/>
        <v>1.02</v>
      </c>
      <c r="J5">
        <f t="shared" si="4"/>
        <v>3.33</v>
      </c>
    </row>
    <row r="6" spans="1:10" ht="13.2">
      <c r="A6" t="s">
        <v>117</v>
      </c>
      <c r="B6" t="s">
        <v>59</v>
      </c>
      <c r="C6" t="s">
        <v>64</v>
      </c>
      <c r="D6">
        <v>4</v>
      </c>
      <c r="E6">
        <f t="shared" si="0"/>
        <v>2.11</v>
      </c>
      <c r="F6">
        <f t="shared" si="1"/>
        <v>4.82</v>
      </c>
      <c r="G6">
        <f t="shared" si="2"/>
        <v>0</v>
      </c>
      <c r="H6">
        <f t="shared" si="5"/>
        <v>0.6</v>
      </c>
      <c r="I6">
        <f t="shared" si="3"/>
        <v>1.02</v>
      </c>
      <c r="J6">
        <f t="shared" si="4"/>
        <v>3.33</v>
      </c>
    </row>
    <row r="7" spans="1:10" ht="13.2">
      <c r="A7" t="s">
        <v>117</v>
      </c>
      <c r="B7" t="s">
        <v>59</v>
      </c>
      <c r="C7" t="s">
        <v>65</v>
      </c>
      <c r="D7">
        <v>4.5</v>
      </c>
      <c r="E7">
        <f t="shared" si="0"/>
        <v>2.11</v>
      </c>
      <c r="F7">
        <f t="shared" si="1"/>
        <v>4.82</v>
      </c>
      <c r="G7">
        <f t="shared" si="2"/>
        <v>0</v>
      </c>
      <c r="H7">
        <f t="shared" si="5"/>
        <v>0.5</v>
      </c>
      <c r="I7">
        <f t="shared" si="3"/>
        <v>1.02</v>
      </c>
      <c r="J7">
        <f t="shared" si="4"/>
        <v>3.33</v>
      </c>
    </row>
    <row r="8" spans="1:10" ht="13.2">
      <c r="A8" t="s">
        <v>117</v>
      </c>
      <c r="B8" t="s">
        <v>59</v>
      </c>
      <c r="C8" t="s">
        <v>66</v>
      </c>
      <c r="D8">
        <v>2.9</v>
      </c>
      <c r="E8">
        <f t="shared" si="0"/>
        <v>2.11</v>
      </c>
      <c r="F8">
        <f t="shared" si="1"/>
        <v>4.82</v>
      </c>
      <c r="G8">
        <f t="shared" si="2"/>
        <v>0</v>
      </c>
      <c r="H8">
        <f t="shared" si="5"/>
        <v>1.6</v>
      </c>
      <c r="I8">
        <f t="shared" si="3"/>
        <v>1.02</v>
      </c>
      <c r="J8">
        <f t="shared" si="4"/>
        <v>3.33</v>
      </c>
    </row>
    <row r="9" spans="1:10" ht="13.2">
      <c r="A9" t="s">
        <v>117</v>
      </c>
      <c r="B9" t="s">
        <v>59</v>
      </c>
      <c r="C9" t="s">
        <v>67</v>
      </c>
      <c r="D9">
        <v>3.5</v>
      </c>
      <c r="E9">
        <f t="shared" si="0"/>
        <v>2.11</v>
      </c>
      <c r="F9">
        <f t="shared" si="1"/>
        <v>4.82</v>
      </c>
      <c r="G9">
        <f t="shared" si="2"/>
        <v>0</v>
      </c>
      <c r="H9">
        <f t="shared" si="5"/>
        <v>0.6</v>
      </c>
      <c r="I9">
        <f t="shared" si="3"/>
        <v>1.02</v>
      </c>
      <c r="J9">
        <f t="shared" si="4"/>
        <v>3.33</v>
      </c>
    </row>
    <row r="10" spans="1:10" ht="13.2">
      <c r="A10" t="s">
        <v>117</v>
      </c>
      <c r="B10" t="s">
        <v>59</v>
      </c>
      <c r="C10" t="s">
        <v>68</v>
      </c>
      <c r="D10">
        <v>0.7</v>
      </c>
      <c r="E10">
        <f t="shared" si="0"/>
        <v>2.11</v>
      </c>
      <c r="F10">
        <f t="shared" si="1"/>
        <v>4.82</v>
      </c>
      <c r="G10">
        <f t="shared" si="2"/>
        <v>0</v>
      </c>
      <c r="H10">
        <f t="shared" si="5"/>
        <v>2.8</v>
      </c>
      <c r="I10">
        <f t="shared" si="3"/>
        <v>1.02</v>
      </c>
      <c r="J10">
        <f t="shared" si="4"/>
        <v>3.33</v>
      </c>
    </row>
    <row r="11" spans="1:10" ht="13.2">
      <c r="A11" t="s">
        <v>117</v>
      </c>
      <c r="B11" t="s">
        <v>59</v>
      </c>
      <c r="C11" t="s">
        <v>69</v>
      </c>
      <c r="D11">
        <v>0</v>
      </c>
      <c r="E11">
        <f t="shared" si="0"/>
        <v>2.11</v>
      </c>
      <c r="F11">
        <f t="shared" si="1"/>
        <v>4.82</v>
      </c>
      <c r="G11">
        <f t="shared" si="2"/>
        <v>0</v>
      </c>
      <c r="H11">
        <f t="shared" si="5"/>
        <v>0.7</v>
      </c>
      <c r="I11">
        <f t="shared" si="3"/>
        <v>1.02</v>
      </c>
      <c r="J11">
        <f t="shared" si="4"/>
        <v>3.33</v>
      </c>
    </row>
    <row r="12" spans="1:10" ht="13.2">
      <c r="A12" t="s">
        <v>117</v>
      </c>
      <c r="B12" t="s">
        <v>59</v>
      </c>
      <c r="C12" t="s">
        <v>70</v>
      </c>
      <c r="D12">
        <v>0.7</v>
      </c>
      <c r="E12">
        <f t="shared" si="0"/>
        <v>2.11</v>
      </c>
      <c r="F12">
        <f t="shared" si="1"/>
        <v>4.82</v>
      </c>
      <c r="G12">
        <f t="shared" si="2"/>
        <v>0</v>
      </c>
      <c r="H12">
        <f t="shared" si="5"/>
        <v>0.7</v>
      </c>
      <c r="I12">
        <f t="shared" si="3"/>
        <v>1.02</v>
      </c>
      <c r="J12">
        <f t="shared" si="4"/>
        <v>3.33</v>
      </c>
    </row>
    <row r="13" spans="1:10" ht="13.2">
      <c r="A13" t="s">
        <v>117</v>
      </c>
      <c r="B13" t="s">
        <v>59</v>
      </c>
      <c r="C13" t="s">
        <v>71</v>
      </c>
      <c r="D13">
        <v>1</v>
      </c>
      <c r="E13">
        <f t="shared" si="0"/>
        <v>2.11</v>
      </c>
      <c r="F13">
        <f t="shared" si="1"/>
        <v>4.82</v>
      </c>
      <c r="G13">
        <f t="shared" si="2"/>
        <v>0</v>
      </c>
      <c r="H13">
        <f t="shared" si="5"/>
        <v>0.3</v>
      </c>
      <c r="I13">
        <f t="shared" si="3"/>
        <v>1.02</v>
      </c>
      <c r="J13">
        <f t="shared" si="4"/>
        <v>3.33</v>
      </c>
    </row>
    <row r="14" spans="1:10" ht="13.2">
      <c r="A14" t="s">
        <v>117</v>
      </c>
      <c r="B14" t="s">
        <v>59</v>
      </c>
      <c r="C14" t="s">
        <v>72</v>
      </c>
      <c r="D14">
        <v>1.1000000000000001</v>
      </c>
      <c r="E14">
        <f t="shared" si="0"/>
        <v>2.11</v>
      </c>
      <c r="F14">
        <f t="shared" si="1"/>
        <v>4.82</v>
      </c>
      <c r="G14">
        <f t="shared" si="2"/>
        <v>0</v>
      </c>
      <c r="H14">
        <f t="shared" si="5"/>
        <v>0.1</v>
      </c>
      <c r="I14">
        <f t="shared" si="3"/>
        <v>1.02</v>
      </c>
      <c r="J14">
        <f t="shared" si="4"/>
        <v>3.33</v>
      </c>
    </row>
    <row r="15" spans="1:10" ht="13.2">
      <c r="A15" t="s">
        <v>117</v>
      </c>
      <c r="B15" t="s">
        <v>59</v>
      </c>
      <c r="C15" t="s">
        <v>73</v>
      </c>
      <c r="D15">
        <v>0.4</v>
      </c>
      <c r="E15">
        <f t="shared" si="0"/>
        <v>2.11</v>
      </c>
      <c r="F15">
        <f t="shared" si="1"/>
        <v>4.82</v>
      </c>
      <c r="G15">
        <f t="shared" si="2"/>
        <v>0</v>
      </c>
      <c r="H15">
        <f t="shared" si="5"/>
        <v>0.7</v>
      </c>
      <c r="I15">
        <f t="shared" si="3"/>
        <v>1.02</v>
      </c>
      <c r="J15">
        <f t="shared" si="4"/>
        <v>3.33</v>
      </c>
    </row>
    <row r="16" spans="1:10" ht="13.2">
      <c r="A16" t="s">
        <v>117</v>
      </c>
      <c r="B16" t="s">
        <v>59</v>
      </c>
      <c r="C16" t="s">
        <v>74</v>
      </c>
      <c r="D16">
        <v>0</v>
      </c>
      <c r="E16">
        <f t="shared" si="0"/>
        <v>2.11</v>
      </c>
      <c r="F16">
        <f t="shared" si="1"/>
        <v>4.82</v>
      </c>
      <c r="G16">
        <f t="shared" si="2"/>
        <v>0</v>
      </c>
      <c r="H16">
        <f t="shared" si="5"/>
        <v>0.4</v>
      </c>
      <c r="I16">
        <f t="shared" si="3"/>
        <v>1.02</v>
      </c>
      <c r="J16">
        <f t="shared" si="4"/>
        <v>3.33</v>
      </c>
    </row>
    <row r="17" spans="1:10" ht="13.2">
      <c r="A17" t="s">
        <v>117</v>
      </c>
      <c r="B17" t="s">
        <v>59</v>
      </c>
      <c r="C17" t="s">
        <v>75</v>
      </c>
      <c r="D17">
        <v>1</v>
      </c>
      <c r="E17">
        <f t="shared" si="0"/>
        <v>2.11</v>
      </c>
      <c r="F17">
        <f t="shared" si="1"/>
        <v>4.82</v>
      </c>
      <c r="G17">
        <f t="shared" si="2"/>
        <v>0</v>
      </c>
      <c r="H17">
        <f t="shared" si="5"/>
        <v>1</v>
      </c>
      <c r="I17">
        <f t="shared" si="3"/>
        <v>1.02</v>
      </c>
      <c r="J17">
        <f t="shared" si="4"/>
        <v>3.33</v>
      </c>
    </row>
    <row r="18" spans="1:10" ht="13.2">
      <c r="A18" t="s">
        <v>117</v>
      </c>
      <c r="B18" t="s">
        <v>59</v>
      </c>
      <c r="C18" t="s">
        <v>76</v>
      </c>
      <c r="D18">
        <v>2.2999999999999998</v>
      </c>
      <c r="E18">
        <f t="shared" si="0"/>
        <v>2.11</v>
      </c>
      <c r="F18">
        <f t="shared" si="1"/>
        <v>4.82</v>
      </c>
      <c r="G18">
        <f t="shared" si="2"/>
        <v>0</v>
      </c>
      <c r="H18">
        <f t="shared" si="5"/>
        <v>1.3</v>
      </c>
      <c r="I18">
        <f t="shared" si="3"/>
        <v>1.02</v>
      </c>
      <c r="J18">
        <f t="shared" si="4"/>
        <v>3.33</v>
      </c>
    </row>
    <row r="19" spans="1:10" ht="13.2">
      <c r="A19" t="s">
        <v>117</v>
      </c>
      <c r="B19" t="s">
        <v>59</v>
      </c>
      <c r="C19" t="s">
        <v>77</v>
      </c>
      <c r="D19">
        <v>2.9</v>
      </c>
      <c r="E19">
        <f t="shared" si="0"/>
        <v>2.11</v>
      </c>
      <c r="F19">
        <f t="shared" si="1"/>
        <v>4.82</v>
      </c>
      <c r="G19">
        <f t="shared" si="2"/>
        <v>0</v>
      </c>
      <c r="H19">
        <f t="shared" si="5"/>
        <v>0.6</v>
      </c>
      <c r="I19">
        <f t="shared" si="3"/>
        <v>1.02</v>
      </c>
      <c r="J19">
        <f t="shared" si="4"/>
        <v>3.33</v>
      </c>
    </row>
    <row r="20" spans="1:10" ht="13.2">
      <c r="A20" t="s">
        <v>117</v>
      </c>
      <c r="B20" t="s">
        <v>59</v>
      </c>
      <c r="C20" t="s">
        <v>78</v>
      </c>
      <c r="D20">
        <v>1.3</v>
      </c>
      <c r="E20">
        <f t="shared" si="0"/>
        <v>2.11</v>
      </c>
      <c r="F20">
        <f t="shared" si="1"/>
        <v>4.82</v>
      </c>
      <c r="G20">
        <f t="shared" si="2"/>
        <v>0</v>
      </c>
      <c r="H20">
        <f t="shared" si="5"/>
        <v>1.6</v>
      </c>
      <c r="I20">
        <f t="shared" si="3"/>
        <v>1.02</v>
      </c>
      <c r="J20">
        <f t="shared" si="4"/>
        <v>3.33</v>
      </c>
    </row>
    <row r="21" spans="1:10" ht="13.2">
      <c r="A21" t="s">
        <v>117</v>
      </c>
      <c r="B21" t="s">
        <v>59</v>
      </c>
      <c r="C21" t="s">
        <v>79</v>
      </c>
      <c r="D21">
        <v>2.2000000000000002</v>
      </c>
      <c r="E21">
        <f t="shared" si="0"/>
        <v>2.11</v>
      </c>
      <c r="F21">
        <f t="shared" si="1"/>
        <v>4.82</v>
      </c>
      <c r="G21">
        <f t="shared" si="2"/>
        <v>0</v>
      </c>
      <c r="H21">
        <f t="shared" si="5"/>
        <v>0.9</v>
      </c>
      <c r="I21">
        <f t="shared" si="3"/>
        <v>1.02</v>
      </c>
      <c r="J21">
        <f t="shared" si="4"/>
        <v>3.33</v>
      </c>
    </row>
    <row r="22" spans="1:10" ht="13.2">
      <c r="A22" t="s">
        <v>117</v>
      </c>
      <c r="B22" t="s">
        <v>59</v>
      </c>
      <c r="C22" t="s">
        <v>80</v>
      </c>
      <c r="D22">
        <v>3.1</v>
      </c>
      <c r="E22">
        <f t="shared" si="0"/>
        <v>2.11</v>
      </c>
      <c r="F22">
        <f t="shared" si="1"/>
        <v>4.82</v>
      </c>
      <c r="G22">
        <f t="shared" si="2"/>
        <v>0</v>
      </c>
      <c r="H22">
        <f t="shared" si="5"/>
        <v>0.9</v>
      </c>
      <c r="I22">
        <f t="shared" si="3"/>
        <v>1.02</v>
      </c>
      <c r="J22">
        <f t="shared" si="4"/>
        <v>3.33</v>
      </c>
    </row>
    <row r="23" spans="1:10" ht="13.2">
      <c r="A23" t="s">
        <v>117</v>
      </c>
      <c r="B23" t="s">
        <v>59</v>
      </c>
      <c r="C23" t="s">
        <v>81</v>
      </c>
      <c r="D23">
        <v>4.9000000000000004</v>
      </c>
      <c r="E23">
        <f t="shared" si="0"/>
        <v>2.11</v>
      </c>
      <c r="F23">
        <f t="shared" si="1"/>
        <v>4.82</v>
      </c>
      <c r="G23">
        <f t="shared" si="2"/>
        <v>0</v>
      </c>
      <c r="H23">
        <f t="shared" si="5"/>
        <v>1.8</v>
      </c>
      <c r="I23">
        <f t="shared" si="3"/>
        <v>1.02</v>
      </c>
      <c r="J23">
        <f t="shared" si="4"/>
        <v>3.33</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L27"/>
  <sheetViews>
    <sheetView workbookViewId="0">
      <selection sqref="A1:L27"/>
    </sheetView>
  </sheetViews>
  <sheetFormatPr defaultColWidth="12.6640625" defaultRowHeight="15.75" customHeight="1"/>
  <cols>
    <col min="1" max="1" width="20.77734375" bestFit="1" customWidth="1"/>
    <col min="2" max="2" width="17.109375" bestFit="1" customWidth="1"/>
    <col min="3" max="4" width="7.21875" bestFit="1" customWidth="1"/>
    <col min="5" max="6" width="12.6640625" customWidth="1"/>
  </cols>
  <sheetData>
    <row r="1" spans="1:12" ht="13.2">
      <c r="A1" s="5" t="s">
        <v>113</v>
      </c>
      <c r="B1" t="s">
        <v>115</v>
      </c>
      <c r="C1" t="s">
        <v>2</v>
      </c>
      <c r="D1" t="s">
        <v>58</v>
      </c>
      <c r="E1" s="7" t="s">
        <v>5</v>
      </c>
      <c r="F1" s="7" t="s">
        <v>6</v>
      </c>
      <c r="G1" s="7" t="s">
        <v>7</v>
      </c>
      <c r="H1" s="7" t="s">
        <v>82</v>
      </c>
      <c r="I1" s="7" t="s">
        <v>83</v>
      </c>
      <c r="J1" s="7" t="s">
        <v>8</v>
      </c>
      <c r="K1" s="7" t="s">
        <v>9</v>
      </c>
      <c r="L1" s="7" t="s">
        <v>10</v>
      </c>
    </row>
    <row r="2" spans="1:12" ht="13.2">
      <c r="A2" t="s">
        <v>117</v>
      </c>
      <c r="B2" t="s">
        <v>84</v>
      </c>
      <c r="C2" t="s">
        <v>85</v>
      </c>
      <c r="D2">
        <v>5.3</v>
      </c>
      <c r="E2">
        <f t="shared" ref="E2:E27" si="0">ROUND(AVERAGE($D$2:$D$27), 2)</f>
        <v>5.93</v>
      </c>
      <c r="F2">
        <f t="shared" ref="F2:F27" si="1">ROUND(E2+(2.66*K2),2)</f>
        <v>13.75</v>
      </c>
      <c r="G2">
        <f t="shared" ref="G2:G27" si="2">ROUND(MAX(0,E2-(2.66*K2)),2)</f>
        <v>0</v>
      </c>
      <c r="H2">
        <f t="shared" ref="H2:H27" si="3">ROUND(((F2-E2)/2) + E2,2)</f>
        <v>9.84</v>
      </c>
      <c r="I2">
        <f t="shared" ref="I2:I27" si="4">ROUND((E2-G2)/2+G2,2)</f>
        <v>2.97</v>
      </c>
      <c r="K2">
        <f t="shared" ref="K2:K27" si="5">ROUND(AVERAGE($J$3:$J$27),2)</f>
        <v>2.94</v>
      </c>
      <c r="L2">
        <f t="shared" ref="L2:L27" si="6">ROUND(3.268*K2,2)</f>
        <v>9.61</v>
      </c>
    </row>
    <row r="3" spans="1:12" ht="13.2">
      <c r="A3" t="s">
        <v>117</v>
      </c>
      <c r="B3" t="s">
        <v>84</v>
      </c>
      <c r="C3" t="s">
        <v>86</v>
      </c>
      <c r="D3">
        <v>7.7</v>
      </c>
      <c r="E3">
        <f t="shared" si="0"/>
        <v>5.93</v>
      </c>
      <c r="F3">
        <f t="shared" si="1"/>
        <v>13.75</v>
      </c>
      <c r="G3">
        <f t="shared" si="2"/>
        <v>0</v>
      </c>
      <c r="H3">
        <f t="shared" si="3"/>
        <v>9.84</v>
      </c>
      <c r="I3">
        <f t="shared" si="4"/>
        <v>2.97</v>
      </c>
      <c r="J3">
        <f t="shared" ref="J3:J27" si="7">ROUND(ABS(D2-D3), 2)</f>
        <v>2.4</v>
      </c>
      <c r="K3">
        <f t="shared" si="5"/>
        <v>2.94</v>
      </c>
      <c r="L3">
        <f t="shared" si="6"/>
        <v>9.61</v>
      </c>
    </row>
    <row r="4" spans="1:12" ht="13.2">
      <c r="A4" t="s">
        <v>117</v>
      </c>
      <c r="B4" t="s">
        <v>84</v>
      </c>
      <c r="C4" t="s">
        <v>87</v>
      </c>
      <c r="D4">
        <v>5.6</v>
      </c>
      <c r="E4">
        <f t="shared" si="0"/>
        <v>5.93</v>
      </c>
      <c r="F4">
        <f t="shared" si="1"/>
        <v>13.75</v>
      </c>
      <c r="G4">
        <f t="shared" si="2"/>
        <v>0</v>
      </c>
      <c r="H4">
        <f t="shared" si="3"/>
        <v>9.84</v>
      </c>
      <c r="I4">
        <f t="shared" si="4"/>
        <v>2.97</v>
      </c>
      <c r="J4">
        <f t="shared" si="7"/>
        <v>2.1</v>
      </c>
      <c r="K4">
        <f t="shared" si="5"/>
        <v>2.94</v>
      </c>
      <c r="L4">
        <f t="shared" si="6"/>
        <v>9.61</v>
      </c>
    </row>
    <row r="5" spans="1:12" ht="13.2">
      <c r="A5" t="s">
        <v>117</v>
      </c>
      <c r="B5" t="s">
        <v>84</v>
      </c>
      <c r="C5" t="s">
        <v>88</v>
      </c>
      <c r="D5">
        <v>7.5</v>
      </c>
      <c r="E5">
        <f t="shared" si="0"/>
        <v>5.93</v>
      </c>
      <c r="F5">
        <f t="shared" si="1"/>
        <v>13.75</v>
      </c>
      <c r="G5">
        <f t="shared" si="2"/>
        <v>0</v>
      </c>
      <c r="H5">
        <f t="shared" si="3"/>
        <v>9.84</v>
      </c>
      <c r="I5">
        <f t="shared" si="4"/>
        <v>2.97</v>
      </c>
      <c r="J5">
        <f t="shared" si="7"/>
        <v>1.9</v>
      </c>
      <c r="K5">
        <f t="shared" si="5"/>
        <v>2.94</v>
      </c>
      <c r="L5">
        <f t="shared" si="6"/>
        <v>9.61</v>
      </c>
    </row>
    <row r="6" spans="1:12" ht="13.2">
      <c r="A6" t="s">
        <v>117</v>
      </c>
      <c r="B6" t="s">
        <v>84</v>
      </c>
      <c r="C6" t="s">
        <v>89</v>
      </c>
      <c r="D6">
        <v>9.1</v>
      </c>
      <c r="E6">
        <f t="shared" si="0"/>
        <v>5.93</v>
      </c>
      <c r="F6">
        <f t="shared" si="1"/>
        <v>13.75</v>
      </c>
      <c r="G6">
        <f t="shared" si="2"/>
        <v>0</v>
      </c>
      <c r="H6">
        <f t="shared" si="3"/>
        <v>9.84</v>
      </c>
      <c r="I6">
        <f t="shared" si="4"/>
        <v>2.97</v>
      </c>
      <c r="J6">
        <f t="shared" si="7"/>
        <v>1.6</v>
      </c>
      <c r="K6">
        <f t="shared" si="5"/>
        <v>2.94</v>
      </c>
      <c r="L6">
        <f t="shared" si="6"/>
        <v>9.61</v>
      </c>
    </row>
    <row r="7" spans="1:12" ht="13.2">
      <c r="A7" t="s">
        <v>117</v>
      </c>
      <c r="B7" t="s">
        <v>84</v>
      </c>
      <c r="C7" t="s">
        <v>90</v>
      </c>
      <c r="D7">
        <v>3</v>
      </c>
      <c r="E7">
        <f t="shared" si="0"/>
        <v>5.93</v>
      </c>
      <c r="F7">
        <f t="shared" si="1"/>
        <v>13.75</v>
      </c>
      <c r="G7">
        <f t="shared" si="2"/>
        <v>0</v>
      </c>
      <c r="H7">
        <f t="shared" si="3"/>
        <v>9.84</v>
      </c>
      <c r="I7">
        <f t="shared" si="4"/>
        <v>2.97</v>
      </c>
      <c r="J7">
        <f t="shared" si="7"/>
        <v>6.1</v>
      </c>
      <c r="K7">
        <f t="shared" si="5"/>
        <v>2.94</v>
      </c>
      <c r="L7">
        <f t="shared" si="6"/>
        <v>9.61</v>
      </c>
    </row>
    <row r="8" spans="1:12" ht="13.2">
      <c r="A8" t="s">
        <v>117</v>
      </c>
      <c r="B8" t="s">
        <v>84</v>
      </c>
      <c r="C8" t="s">
        <v>91</v>
      </c>
      <c r="D8">
        <v>5.4</v>
      </c>
      <c r="E8">
        <f t="shared" si="0"/>
        <v>5.93</v>
      </c>
      <c r="F8">
        <f t="shared" si="1"/>
        <v>13.75</v>
      </c>
      <c r="G8">
        <f t="shared" si="2"/>
        <v>0</v>
      </c>
      <c r="H8">
        <f t="shared" si="3"/>
        <v>9.84</v>
      </c>
      <c r="I8">
        <f t="shared" si="4"/>
        <v>2.97</v>
      </c>
      <c r="J8">
        <f t="shared" si="7"/>
        <v>2.4</v>
      </c>
      <c r="K8">
        <f t="shared" si="5"/>
        <v>2.94</v>
      </c>
      <c r="L8">
        <f t="shared" si="6"/>
        <v>9.61</v>
      </c>
    </row>
    <row r="9" spans="1:12" ht="13.2">
      <c r="A9" t="s">
        <v>117</v>
      </c>
      <c r="B9" t="s">
        <v>84</v>
      </c>
      <c r="C9" t="s">
        <v>92</v>
      </c>
      <c r="D9">
        <v>9.1999999999999993</v>
      </c>
      <c r="E9">
        <f t="shared" si="0"/>
        <v>5.93</v>
      </c>
      <c r="F9">
        <f t="shared" si="1"/>
        <v>13.75</v>
      </c>
      <c r="G9">
        <f t="shared" si="2"/>
        <v>0</v>
      </c>
      <c r="H9">
        <f t="shared" si="3"/>
        <v>9.84</v>
      </c>
      <c r="I9">
        <f t="shared" si="4"/>
        <v>2.97</v>
      </c>
      <c r="J9">
        <f t="shared" si="7"/>
        <v>3.8</v>
      </c>
      <c r="K9">
        <f t="shared" si="5"/>
        <v>2.94</v>
      </c>
      <c r="L9">
        <f t="shared" si="6"/>
        <v>9.61</v>
      </c>
    </row>
    <row r="10" spans="1:12" ht="13.2">
      <c r="A10" t="s">
        <v>117</v>
      </c>
      <c r="B10" t="s">
        <v>84</v>
      </c>
      <c r="C10" t="s">
        <v>93</v>
      </c>
      <c r="D10">
        <v>7.8</v>
      </c>
      <c r="E10">
        <f t="shared" si="0"/>
        <v>5.93</v>
      </c>
      <c r="F10">
        <f t="shared" si="1"/>
        <v>13.75</v>
      </c>
      <c r="G10">
        <f t="shared" si="2"/>
        <v>0</v>
      </c>
      <c r="H10">
        <f t="shared" si="3"/>
        <v>9.84</v>
      </c>
      <c r="I10">
        <f t="shared" si="4"/>
        <v>2.97</v>
      </c>
      <c r="J10">
        <f t="shared" si="7"/>
        <v>1.4</v>
      </c>
      <c r="K10">
        <f t="shared" si="5"/>
        <v>2.94</v>
      </c>
      <c r="L10">
        <f t="shared" si="6"/>
        <v>9.61</v>
      </c>
    </row>
    <row r="11" spans="1:12" ht="13.2">
      <c r="A11" t="s">
        <v>117</v>
      </c>
      <c r="B11" t="s">
        <v>84</v>
      </c>
      <c r="C11" t="s">
        <v>94</v>
      </c>
      <c r="D11">
        <v>15.8</v>
      </c>
      <c r="E11">
        <f t="shared" si="0"/>
        <v>5.93</v>
      </c>
      <c r="F11">
        <f t="shared" si="1"/>
        <v>13.75</v>
      </c>
      <c r="G11">
        <f t="shared" si="2"/>
        <v>0</v>
      </c>
      <c r="H11">
        <f t="shared" si="3"/>
        <v>9.84</v>
      </c>
      <c r="I11">
        <f t="shared" si="4"/>
        <v>2.97</v>
      </c>
      <c r="J11">
        <f t="shared" si="7"/>
        <v>8</v>
      </c>
      <c r="K11">
        <f t="shared" si="5"/>
        <v>2.94</v>
      </c>
      <c r="L11">
        <f t="shared" si="6"/>
        <v>9.61</v>
      </c>
    </row>
    <row r="12" spans="1:12" ht="13.2">
      <c r="A12" t="s">
        <v>117</v>
      </c>
      <c r="B12" t="s">
        <v>84</v>
      </c>
      <c r="C12" t="s">
        <v>95</v>
      </c>
      <c r="D12">
        <v>9</v>
      </c>
      <c r="E12">
        <f t="shared" si="0"/>
        <v>5.93</v>
      </c>
      <c r="F12">
        <f t="shared" si="1"/>
        <v>13.75</v>
      </c>
      <c r="G12">
        <f t="shared" si="2"/>
        <v>0</v>
      </c>
      <c r="H12">
        <f t="shared" si="3"/>
        <v>9.84</v>
      </c>
      <c r="I12">
        <f t="shared" si="4"/>
        <v>2.97</v>
      </c>
      <c r="J12">
        <f t="shared" si="7"/>
        <v>6.8</v>
      </c>
      <c r="K12">
        <f t="shared" si="5"/>
        <v>2.94</v>
      </c>
      <c r="L12">
        <f t="shared" si="6"/>
        <v>9.61</v>
      </c>
    </row>
    <row r="13" spans="1:12" ht="13.2">
      <c r="A13" t="s">
        <v>117</v>
      </c>
      <c r="B13" t="s">
        <v>84</v>
      </c>
      <c r="C13" t="s">
        <v>96</v>
      </c>
      <c r="D13">
        <v>8.1999999999999993</v>
      </c>
      <c r="E13">
        <f t="shared" si="0"/>
        <v>5.93</v>
      </c>
      <c r="F13">
        <f t="shared" si="1"/>
        <v>13.75</v>
      </c>
      <c r="G13">
        <f t="shared" si="2"/>
        <v>0</v>
      </c>
      <c r="H13">
        <f t="shared" si="3"/>
        <v>9.84</v>
      </c>
      <c r="I13">
        <f t="shared" si="4"/>
        <v>2.97</v>
      </c>
      <c r="J13">
        <f t="shared" si="7"/>
        <v>0.8</v>
      </c>
      <c r="K13">
        <f t="shared" si="5"/>
        <v>2.94</v>
      </c>
      <c r="L13">
        <f t="shared" si="6"/>
        <v>9.61</v>
      </c>
    </row>
    <row r="14" spans="1:12" ht="13.2">
      <c r="A14" t="s">
        <v>117</v>
      </c>
      <c r="B14" t="s">
        <v>84</v>
      </c>
      <c r="C14" t="s">
        <v>97</v>
      </c>
      <c r="D14">
        <v>6.9</v>
      </c>
      <c r="E14">
        <f t="shared" si="0"/>
        <v>5.93</v>
      </c>
      <c r="F14">
        <f t="shared" si="1"/>
        <v>13.75</v>
      </c>
      <c r="G14">
        <f t="shared" si="2"/>
        <v>0</v>
      </c>
      <c r="H14">
        <f t="shared" si="3"/>
        <v>9.84</v>
      </c>
      <c r="I14">
        <f t="shared" si="4"/>
        <v>2.97</v>
      </c>
      <c r="J14">
        <f t="shared" si="7"/>
        <v>1.3</v>
      </c>
      <c r="K14">
        <f t="shared" si="5"/>
        <v>2.94</v>
      </c>
      <c r="L14">
        <f t="shared" si="6"/>
        <v>9.61</v>
      </c>
    </row>
    <row r="15" spans="1:12" ht="13.2">
      <c r="A15" t="s">
        <v>117</v>
      </c>
      <c r="B15" t="s">
        <v>84</v>
      </c>
      <c r="C15" t="s">
        <v>98</v>
      </c>
      <c r="D15">
        <v>11.4</v>
      </c>
      <c r="E15">
        <f t="shared" si="0"/>
        <v>5.93</v>
      </c>
      <c r="F15">
        <f t="shared" si="1"/>
        <v>13.75</v>
      </c>
      <c r="G15">
        <f t="shared" si="2"/>
        <v>0</v>
      </c>
      <c r="H15">
        <f t="shared" si="3"/>
        <v>9.84</v>
      </c>
      <c r="I15">
        <f t="shared" si="4"/>
        <v>2.97</v>
      </c>
      <c r="J15">
        <f t="shared" si="7"/>
        <v>4.5</v>
      </c>
      <c r="K15">
        <f t="shared" si="5"/>
        <v>2.94</v>
      </c>
      <c r="L15">
        <f t="shared" si="6"/>
        <v>9.61</v>
      </c>
    </row>
    <row r="16" spans="1:12" ht="13.2">
      <c r="A16" t="s">
        <v>117</v>
      </c>
      <c r="B16" t="s">
        <v>84</v>
      </c>
      <c r="C16" t="s">
        <v>99</v>
      </c>
      <c r="D16">
        <v>5</v>
      </c>
      <c r="E16">
        <f t="shared" si="0"/>
        <v>5.93</v>
      </c>
      <c r="F16">
        <f t="shared" si="1"/>
        <v>13.75</v>
      </c>
      <c r="G16">
        <f t="shared" si="2"/>
        <v>0</v>
      </c>
      <c r="H16">
        <f t="shared" si="3"/>
        <v>9.84</v>
      </c>
      <c r="I16">
        <f t="shared" si="4"/>
        <v>2.97</v>
      </c>
      <c r="J16">
        <f t="shared" si="7"/>
        <v>6.4</v>
      </c>
      <c r="K16">
        <f t="shared" si="5"/>
        <v>2.94</v>
      </c>
      <c r="L16">
        <f t="shared" si="6"/>
        <v>9.61</v>
      </c>
    </row>
    <row r="17" spans="1:12" ht="13.2">
      <c r="A17" t="s">
        <v>117</v>
      </c>
      <c r="B17" t="s">
        <v>84</v>
      </c>
      <c r="C17" t="s">
        <v>100</v>
      </c>
      <c r="D17">
        <v>1.3</v>
      </c>
      <c r="E17">
        <f t="shared" si="0"/>
        <v>5.93</v>
      </c>
      <c r="F17">
        <f t="shared" si="1"/>
        <v>13.75</v>
      </c>
      <c r="G17">
        <f t="shared" si="2"/>
        <v>0</v>
      </c>
      <c r="H17">
        <f t="shared" si="3"/>
        <v>9.84</v>
      </c>
      <c r="I17">
        <f t="shared" si="4"/>
        <v>2.97</v>
      </c>
      <c r="J17">
        <f t="shared" si="7"/>
        <v>3.7</v>
      </c>
      <c r="K17">
        <f t="shared" si="5"/>
        <v>2.94</v>
      </c>
      <c r="L17">
        <f t="shared" si="6"/>
        <v>9.61</v>
      </c>
    </row>
    <row r="18" spans="1:12" ht="13.2">
      <c r="A18" t="s">
        <v>117</v>
      </c>
      <c r="B18" t="s">
        <v>84</v>
      </c>
      <c r="C18" t="s">
        <v>101</v>
      </c>
      <c r="D18">
        <v>2.7</v>
      </c>
      <c r="E18">
        <f t="shared" si="0"/>
        <v>5.93</v>
      </c>
      <c r="F18">
        <f t="shared" si="1"/>
        <v>13.75</v>
      </c>
      <c r="G18">
        <f t="shared" si="2"/>
        <v>0</v>
      </c>
      <c r="H18">
        <f t="shared" si="3"/>
        <v>9.84</v>
      </c>
      <c r="I18">
        <f t="shared" si="4"/>
        <v>2.97</v>
      </c>
      <c r="J18">
        <f t="shared" si="7"/>
        <v>1.4</v>
      </c>
      <c r="K18">
        <f t="shared" si="5"/>
        <v>2.94</v>
      </c>
      <c r="L18">
        <f t="shared" si="6"/>
        <v>9.61</v>
      </c>
    </row>
    <row r="19" spans="1:12" ht="13.2">
      <c r="A19" t="s">
        <v>117</v>
      </c>
      <c r="B19" t="s">
        <v>84</v>
      </c>
      <c r="C19" t="s">
        <v>102</v>
      </c>
      <c r="D19">
        <v>2</v>
      </c>
      <c r="E19">
        <f t="shared" si="0"/>
        <v>5.93</v>
      </c>
      <c r="F19">
        <f t="shared" si="1"/>
        <v>13.75</v>
      </c>
      <c r="G19">
        <f t="shared" si="2"/>
        <v>0</v>
      </c>
      <c r="H19">
        <f t="shared" si="3"/>
        <v>9.84</v>
      </c>
      <c r="I19">
        <f t="shared" si="4"/>
        <v>2.97</v>
      </c>
      <c r="J19">
        <f t="shared" si="7"/>
        <v>0.7</v>
      </c>
      <c r="K19">
        <f t="shared" si="5"/>
        <v>2.94</v>
      </c>
      <c r="L19">
        <f t="shared" si="6"/>
        <v>9.61</v>
      </c>
    </row>
    <row r="20" spans="1:12" ht="13.2">
      <c r="A20" t="s">
        <v>117</v>
      </c>
      <c r="B20" t="s">
        <v>84</v>
      </c>
      <c r="C20" t="s">
        <v>103</v>
      </c>
      <c r="D20">
        <v>1.8</v>
      </c>
      <c r="E20">
        <f t="shared" si="0"/>
        <v>5.93</v>
      </c>
      <c r="F20">
        <f t="shared" si="1"/>
        <v>13.75</v>
      </c>
      <c r="G20">
        <f t="shared" si="2"/>
        <v>0</v>
      </c>
      <c r="H20">
        <f t="shared" si="3"/>
        <v>9.84</v>
      </c>
      <c r="I20">
        <f t="shared" si="4"/>
        <v>2.97</v>
      </c>
      <c r="J20">
        <f t="shared" si="7"/>
        <v>0.2</v>
      </c>
      <c r="K20">
        <f t="shared" si="5"/>
        <v>2.94</v>
      </c>
      <c r="L20">
        <f t="shared" si="6"/>
        <v>9.61</v>
      </c>
    </row>
    <row r="21" spans="1:12" ht="13.2">
      <c r="A21" t="s">
        <v>117</v>
      </c>
      <c r="B21" t="s">
        <v>84</v>
      </c>
      <c r="C21" t="s">
        <v>104</v>
      </c>
      <c r="D21">
        <v>4</v>
      </c>
      <c r="E21">
        <f t="shared" si="0"/>
        <v>5.93</v>
      </c>
      <c r="F21">
        <f t="shared" si="1"/>
        <v>13.75</v>
      </c>
      <c r="G21">
        <f t="shared" si="2"/>
        <v>0</v>
      </c>
      <c r="H21">
        <f t="shared" si="3"/>
        <v>9.84</v>
      </c>
      <c r="I21">
        <f t="shared" si="4"/>
        <v>2.97</v>
      </c>
      <c r="J21">
        <f t="shared" si="7"/>
        <v>2.2000000000000002</v>
      </c>
      <c r="K21">
        <f t="shared" si="5"/>
        <v>2.94</v>
      </c>
      <c r="L21">
        <f t="shared" si="6"/>
        <v>9.61</v>
      </c>
    </row>
    <row r="22" spans="1:12" ht="13.2">
      <c r="A22" t="s">
        <v>117</v>
      </c>
      <c r="B22" t="s">
        <v>84</v>
      </c>
      <c r="C22" t="s">
        <v>105</v>
      </c>
      <c r="D22">
        <v>2.2000000000000002</v>
      </c>
      <c r="E22">
        <f t="shared" si="0"/>
        <v>5.93</v>
      </c>
      <c r="F22">
        <f t="shared" si="1"/>
        <v>13.75</v>
      </c>
      <c r="G22">
        <f t="shared" si="2"/>
        <v>0</v>
      </c>
      <c r="H22">
        <f t="shared" si="3"/>
        <v>9.84</v>
      </c>
      <c r="I22">
        <f t="shared" si="4"/>
        <v>2.97</v>
      </c>
      <c r="J22">
        <f t="shared" si="7"/>
        <v>1.8</v>
      </c>
      <c r="K22">
        <f t="shared" si="5"/>
        <v>2.94</v>
      </c>
      <c r="L22">
        <f t="shared" si="6"/>
        <v>9.61</v>
      </c>
    </row>
    <row r="23" spans="1:12" ht="13.2">
      <c r="A23" t="s">
        <v>117</v>
      </c>
      <c r="B23" t="s">
        <v>84</v>
      </c>
      <c r="C23" t="s">
        <v>106</v>
      </c>
      <c r="D23">
        <v>9.1</v>
      </c>
      <c r="E23">
        <f t="shared" si="0"/>
        <v>5.93</v>
      </c>
      <c r="F23">
        <f t="shared" si="1"/>
        <v>13.75</v>
      </c>
      <c r="G23">
        <f t="shared" si="2"/>
        <v>0</v>
      </c>
      <c r="H23">
        <f t="shared" si="3"/>
        <v>9.84</v>
      </c>
      <c r="I23">
        <f t="shared" si="4"/>
        <v>2.97</v>
      </c>
      <c r="J23">
        <f t="shared" si="7"/>
        <v>6.9</v>
      </c>
      <c r="K23">
        <f t="shared" si="5"/>
        <v>2.94</v>
      </c>
      <c r="L23">
        <f t="shared" si="6"/>
        <v>9.61</v>
      </c>
    </row>
    <row r="24" spans="1:12" ht="13.2">
      <c r="A24" t="s">
        <v>117</v>
      </c>
      <c r="B24" t="s">
        <v>84</v>
      </c>
      <c r="C24" t="s">
        <v>107</v>
      </c>
      <c r="D24">
        <v>5.4</v>
      </c>
      <c r="E24">
        <f t="shared" si="0"/>
        <v>5.93</v>
      </c>
      <c r="F24">
        <f t="shared" si="1"/>
        <v>13.75</v>
      </c>
      <c r="G24">
        <f t="shared" si="2"/>
        <v>0</v>
      </c>
      <c r="H24">
        <f t="shared" si="3"/>
        <v>9.84</v>
      </c>
      <c r="I24">
        <f t="shared" si="4"/>
        <v>2.97</v>
      </c>
      <c r="J24">
        <f t="shared" si="7"/>
        <v>3.7</v>
      </c>
      <c r="K24">
        <f t="shared" si="5"/>
        <v>2.94</v>
      </c>
      <c r="L24">
        <f t="shared" si="6"/>
        <v>9.61</v>
      </c>
    </row>
    <row r="25" spans="1:12" ht="13.2">
      <c r="A25" t="s">
        <v>117</v>
      </c>
      <c r="B25" t="s">
        <v>84</v>
      </c>
      <c r="C25" t="s">
        <v>108</v>
      </c>
      <c r="D25">
        <v>4</v>
      </c>
      <c r="E25">
        <f t="shared" si="0"/>
        <v>5.93</v>
      </c>
      <c r="F25">
        <f t="shared" si="1"/>
        <v>13.75</v>
      </c>
      <c r="G25">
        <f t="shared" si="2"/>
        <v>0</v>
      </c>
      <c r="H25">
        <f t="shared" si="3"/>
        <v>9.84</v>
      </c>
      <c r="I25">
        <f t="shared" si="4"/>
        <v>2.97</v>
      </c>
      <c r="J25">
        <f t="shared" si="7"/>
        <v>1.4</v>
      </c>
      <c r="K25">
        <f t="shared" si="5"/>
        <v>2.94</v>
      </c>
      <c r="L25">
        <f t="shared" si="6"/>
        <v>9.61</v>
      </c>
    </row>
    <row r="26" spans="1:12" ht="13.2">
      <c r="A26" t="s">
        <v>117</v>
      </c>
      <c r="B26" t="s">
        <v>84</v>
      </c>
      <c r="C26" t="s">
        <v>109</v>
      </c>
      <c r="D26">
        <v>2.9</v>
      </c>
      <c r="E26">
        <f t="shared" si="0"/>
        <v>5.93</v>
      </c>
      <c r="F26">
        <f t="shared" si="1"/>
        <v>13.75</v>
      </c>
      <c r="G26">
        <f t="shared" si="2"/>
        <v>0</v>
      </c>
      <c r="H26">
        <f t="shared" si="3"/>
        <v>9.84</v>
      </c>
      <c r="I26">
        <f t="shared" si="4"/>
        <v>2.97</v>
      </c>
      <c r="J26">
        <f t="shared" si="7"/>
        <v>1.1000000000000001</v>
      </c>
      <c r="K26">
        <f t="shared" si="5"/>
        <v>2.94</v>
      </c>
      <c r="L26">
        <f t="shared" si="6"/>
        <v>9.61</v>
      </c>
    </row>
    <row r="27" spans="1:12" ht="13.2">
      <c r="A27" t="s">
        <v>117</v>
      </c>
      <c r="B27" t="s">
        <v>84</v>
      </c>
      <c r="C27" t="s">
        <v>110</v>
      </c>
      <c r="D27">
        <v>2</v>
      </c>
      <c r="E27">
        <f t="shared" si="0"/>
        <v>5.93</v>
      </c>
      <c r="F27">
        <f t="shared" si="1"/>
        <v>13.75</v>
      </c>
      <c r="G27">
        <f t="shared" si="2"/>
        <v>0</v>
      </c>
      <c r="H27">
        <f t="shared" si="3"/>
        <v>9.84</v>
      </c>
      <c r="I27">
        <f t="shared" si="4"/>
        <v>2.97</v>
      </c>
      <c r="J27">
        <f t="shared" si="7"/>
        <v>0.9</v>
      </c>
      <c r="K27">
        <f t="shared" si="5"/>
        <v>2.94</v>
      </c>
      <c r="L27">
        <f t="shared" si="6"/>
        <v>9.61</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Q100"/>
  <sheetViews>
    <sheetView showGridLines="0" workbookViewId="0">
      <selection activeCell="S8" sqref="S8"/>
    </sheetView>
  </sheetViews>
  <sheetFormatPr defaultColWidth="12.6640625" defaultRowHeight="15.75" customHeight="1"/>
  <cols>
    <col min="1" max="1" width="10" bestFit="1" customWidth="1"/>
    <col min="2" max="2" width="10.6640625" bestFit="1" customWidth="1"/>
    <col min="3" max="3" width="8.21875" bestFit="1" customWidth="1"/>
    <col min="4" max="4" width="7.21875" bestFit="1" customWidth="1"/>
    <col min="5" max="5" width="5.88671875" bestFit="1" customWidth="1"/>
    <col min="6" max="6" width="21.5546875" bestFit="1" customWidth="1"/>
    <col min="7" max="7" width="12.6640625" customWidth="1"/>
    <col min="8" max="8" width="20.77734375" bestFit="1" customWidth="1"/>
    <col min="9" max="9" width="17.77734375" bestFit="1" customWidth="1"/>
    <col min="10" max="10" width="12.6640625" customWidth="1"/>
    <col min="11" max="11" width="7.21875" bestFit="1" customWidth="1"/>
    <col min="13" max="13" width="20.77734375" bestFit="1" customWidth="1"/>
    <col min="14" max="14" width="9.109375" bestFit="1" customWidth="1"/>
    <col min="15" max="15" width="17.109375" bestFit="1" customWidth="1"/>
    <col min="16" max="16" width="7.109375" bestFit="1" customWidth="1"/>
    <col min="17" max="17" width="6.88671875" bestFit="1" customWidth="1"/>
  </cols>
  <sheetData>
    <row r="1" spans="1:17" ht="13.2">
      <c r="A1" t="s">
        <v>3</v>
      </c>
      <c r="B1" t="s">
        <v>1</v>
      </c>
      <c r="C1" t="s">
        <v>111</v>
      </c>
      <c r="D1" t="s">
        <v>2</v>
      </c>
      <c r="E1" t="s">
        <v>4</v>
      </c>
      <c r="F1" t="s">
        <v>112</v>
      </c>
      <c r="G1" s="1"/>
      <c r="H1" s="1" t="s">
        <v>113</v>
      </c>
      <c r="I1" s="1" t="s">
        <v>56</v>
      </c>
      <c r="J1" s="1" t="s">
        <v>57</v>
      </c>
      <c r="K1" s="1" t="s">
        <v>58</v>
      </c>
      <c r="L1" s="3"/>
      <c r="M1" s="6" t="s">
        <v>113</v>
      </c>
      <c r="N1" s="6" t="s">
        <v>114</v>
      </c>
      <c r="O1" s="6" t="s">
        <v>115</v>
      </c>
      <c r="P1" s="6" t="s">
        <v>2</v>
      </c>
      <c r="Q1" s="6" t="s">
        <v>58</v>
      </c>
    </row>
    <row r="2" spans="1:17" ht="13.2">
      <c r="A2">
        <v>1</v>
      </c>
      <c r="B2" s="40" t="s">
        <v>11</v>
      </c>
      <c r="C2" s="40" t="s">
        <v>116</v>
      </c>
      <c r="D2">
        <v>1986</v>
      </c>
      <c r="E2">
        <v>16</v>
      </c>
      <c r="F2" s="40" t="s">
        <v>135</v>
      </c>
      <c r="G2" s="1"/>
      <c r="H2" s="42" t="s">
        <v>117</v>
      </c>
      <c r="I2" s="42" t="s">
        <v>141</v>
      </c>
      <c r="J2" s="42" t="s">
        <v>142</v>
      </c>
      <c r="K2">
        <v>14.6</v>
      </c>
      <c r="L2" s="3"/>
      <c r="M2" s="44" t="s">
        <v>117</v>
      </c>
      <c r="N2" s="44" t="s">
        <v>118</v>
      </c>
      <c r="O2" s="44" t="s">
        <v>84</v>
      </c>
      <c r="P2">
        <v>1833</v>
      </c>
      <c r="Q2">
        <v>5.3</v>
      </c>
    </row>
    <row r="3" spans="1:17" ht="13.2">
      <c r="A3">
        <v>2</v>
      </c>
      <c r="B3" s="40" t="s">
        <v>11</v>
      </c>
      <c r="C3" s="40" t="s">
        <v>116</v>
      </c>
      <c r="D3">
        <v>1987</v>
      </c>
      <c r="E3">
        <v>25</v>
      </c>
      <c r="F3" s="40" t="s">
        <v>136</v>
      </c>
      <c r="G3" s="1"/>
      <c r="H3" s="42" t="s">
        <v>117</v>
      </c>
      <c r="I3" s="42" t="s">
        <v>141</v>
      </c>
      <c r="J3" s="42" t="s">
        <v>143</v>
      </c>
      <c r="K3">
        <v>7.5</v>
      </c>
      <c r="L3" s="3"/>
      <c r="M3" s="44" t="s">
        <v>117</v>
      </c>
      <c r="N3" s="44" t="s">
        <v>118</v>
      </c>
      <c r="O3" s="44" t="s">
        <v>84</v>
      </c>
      <c r="P3">
        <v>1834</v>
      </c>
      <c r="Q3">
        <v>7.7</v>
      </c>
    </row>
    <row r="4" spans="1:17" ht="13.2">
      <c r="A4">
        <v>3</v>
      </c>
      <c r="B4" s="40" t="s">
        <v>11</v>
      </c>
      <c r="C4" s="40" t="s">
        <v>116</v>
      </c>
      <c r="D4">
        <v>1988</v>
      </c>
      <c r="E4">
        <v>24</v>
      </c>
      <c r="F4" s="40" t="s">
        <v>136</v>
      </c>
      <c r="G4" s="1"/>
      <c r="H4" s="42" t="s">
        <v>117</v>
      </c>
      <c r="I4" s="42" t="s">
        <v>141</v>
      </c>
      <c r="J4" s="42" t="s">
        <v>144</v>
      </c>
      <c r="K4">
        <v>4.3</v>
      </c>
      <c r="L4" s="3"/>
      <c r="M4" s="44" t="s">
        <v>117</v>
      </c>
      <c r="N4" s="44" t="s">
        <v>118</v>
      </c>
      <c r="O4" s="44" t="s">
        <v>84</v>
      </c>
      <c r="P4">
        <v>1835</v>
      </c>
      <c r="Q4">
        <v>5.6</v>
      </c>
    </row>
    <row r="5" spans="1:17" ht="13.2">
      <c r="A5">
        <v>4</v>
      </c>
      <c r="B5" s="40" t="s">
        <v>11</v>
      </c>
      <c r="C5" s="40" t="s">
        <v>116</v>
      </c>
      <c r="D5">
        <v>1989</v>
      </c>
      <c r="E5">
        <v>19</v>
      </c>
      <c r="F5" s="40" t="s">
        <v>136</v>
      </c>
      <c r="G5" s="1"/>
      <c r="H5" s="42" t="s">
        <v>117</v>
      </c>
      <c r="I5" s="42" t="s">
        <v>141</v>
      </c>
      <c r="J5" s="42" t="s">
        <v>145</v>
      </c>
      <c r="K5">
        <v>1.6</v>
      </c>
      <c r="L5" s="3"/>
      <c r="M5" s="44" t="s">
        <v>117</v>
      </c>
      <c r="N5" s="44" t="s">
        <v>118</v>
      </c>
      <c r="O5" s="44" t="s">
        <v>84</v>
      </c>
      <c r="P5">
        <v>1836</v>
      </c>
      <c r="Q5">
        <v>7.5</v>
      </c>
    </row>
    <row r="6" spans="1:17" ht="13.2">
      <c r="A6">
        <v>5</v>
      </c>
      <c r="B6" s="40" t="s">
        <v>11</v>
      </c>
      <c r="C6" s="40" t="s">
        <v>116</v>
      </c>
      <c r="D6">
        <v>1990</v>
      </c>
      <c r="E6">
        <v>33</v>
      </c>
      <c r="F6" s="40" t="s">
        <v>136</v>
      </c>
      <c r="G6" s="1"/>
      <c r="H6" s="42" t="s">
        <v>117</v>
      </c>
      <c r="I6" s="42" t="s">
        <v>141</v>
      </c>
      <c r="J6" s="42" t="s">
        <v>146</v>
      </c>
      <c r="K6">
        <v>0.8</v>
      </c>
      <c r="L6" s="3"/>
      <c r="M6" s="44" t="s">
        <v>117</v>
      </c>
      <c r="N6" s="44" t="s">
        <v>118</v>
      </c>
      <c r="O6" s="44" t="s">
        <v>84</v>
      </c>
      <c r="P6">
        <v>1837</v>
      </c>
      <c r="Q6">
        <v>9.1</v>
      </c>
    </row>
    <row r="7" spans="1:17" ht="13.2">
      <c r="A7">
        <v>6</v>
      </c>
      <c r="B7" s="40" t="s">
        <v>11</v>
      </c>
      <c r="C7" s="40" t="s">
        <v>116</v>
      </c>
      <c r="D7">
        <v>1991</v>
      </c>
      <c r="E7">
        <v>25</v>
      </c>
      <c r="F7" s="40" t="s">
        <v>136</v>
      </c>
      <c r="G7" s="1"/>
      <c r="H7" s="42" t="s">
        <v>117</v>
      </c>
      <c r="I7" s="42" t="s">
        <v>141</v>
      </c>
      <c r="J7" s="42" t="s">
        <v>147</v>
      </c>
      <c r="K7">
        <v>5</v>
      </c>
      <c r="L7" s="3"/>
      <c r="M7" s="44" t="s">
        <v>117</v>
      </c>
      <c r="N7" s="44" t="s">
        <v>118</v>
      </c>
      <c r="O7" s="44" t="s">
        <v>84</v>
      </c>
      <c r="P7">
        <v>1838</v>
      </c>
      <c r="Q7">
        <v>3</v>
      </c>
    </row>
    <row r="8" spans="1:17" ht="13.2">
      <c r="A8">
        <v>7</v>
      </c>
      <c r="B8" s="40" t="s">
        <v>11</v>
      </c>
      <c r="C8" s="40" t="s">
        <v>116</v>
      </c>
      <c r="D8">
        <v>1992</v>
      </c>
      <c r="E8">
        <v>34</v>
      </c>
      <c r="F8" s="40" t="s">
        <v>136</v>
      </c>
      <c r="G8" s="1"/>
      <c r="H8" s="42" t="s">
        <v>117</v>
      </c>
      <c r="I8" s="42" t="s">
        <v>141</v>
      </c>
      <c r="J8" s="42" t="s">
        <v>148</v>
      </c>
      <c r="K8">
        <v>8.4</v>
      </c>
      <c r="L8" s="3"/>
      <c r="M8" s="44" t="s">
        <v>117</v>
      </c>
      <c r="N8" s="44" t="s">
        <v>118</v>
      </c>
      <c r="O8" s="44" t="s">
        <v>84</v>
      </c>
      <c r="P8">
        <v>1839</v>
      </c>
      <c r="Q8">
        <v>5.4</v>
      </c>
    </row>
    <row r="9" spans="1:17" ht="13.2">
      <c r="A9">
        <v>8</v>
      </c>
      <c r="B9" s="40" t="s">
        <v>11</v>
      </c>
      <c r="C9" s="40" t="s">
        <v>119</v>
      </c>
      <c r="D9">
        <v>1993</v>
      </c>
      <c r="E9">
        <v>46</v>
      </c>
      <c r="F9" s="40" t="s">
        <v>136</v>
      </c>
      <c r="G9" s="1"/>
      <c r="H9" s="42" t="s">
        <v>117</v>
      </c>
      <c r="I9" s="42" t="s">
        <v>141</v>
      </c>
      <c r="J9" s="42" t="s">
        <v>149</v>
      </c>
      <c r="K9">
        <v>1.4</v>
      </c>
      <c r="L9" s="3"/>
      <c r="M9" s="44" t="s">
        <v>117</v>
      </c>
      <c r="N9" s="44" t="s">
        <v>118</v>
      </c>
      <c r="O9" s="44" t="s">
        <v>84</v>
      </c>
      <c r="P9">
        <v>1840</v>
      </c>
      <c r="Q9">
        <v>9.1999999999999993</v>
      </c>
    </row>
    <row r="10" spans="1:17" ht="13.2">
      <c r="A10">
        <v>9</v>
      </c>
      <c r="B10" s="40" t="s">
        <v>11</v>
      </c>
      <c r="C10" s="40" t="s">
        <v>119</v>
      </c>
      <c r="D10">
        <v>1994</v>
      </c>
      <c r="E10">
        <v>37</v>
      </c>
      <c r="F10" s="40" t="s">
        <v>136</v>
      </c>
      <c r="G10" s="1"/>
      <c r="H10" s="42" t="s">
        <v>117</v>
      </c>
      <c r="I10" s="42" t="s">
        <v>141</v>
      </c>
      <c r="J10" s="42" t="s">
        <v>150</v>
      </c>
      <c r="K10">
        <v>1.9</v>
      </c>
      <c r="L10" s="3"/>
      <c r="M10" s="44" t="s">
        <v>117</v>
      </c>
      <c r="N10" s="44" t="s">
        <v>118</v>
      </c>
      <c r="O10" s="44" t="s">
        <v>84</v>
      </c>
      <c r="P10">
        <v>1841</v>
      </c>
      <c r="Q10">
        <v>7.8</v>
      </c>
    </row>
    <row r="11" spans="1:17" ht="13.2">
      <c r="A11">
        <v>10</v>
      </c>
      <c r="B11" s="40" t="s">
        <v>11</v>
      </c>
      <c r="C11" s="40" t="s">
        <v>119</v>
      </c>
      <c r="D11">
        <v>1995</v>
      </c>
      <c r="E11">
        <v>33</v>
      </c>
      <c r="F11" s="40" t="s">
        <v>136</v>
      </c>
      <c r="G11" s="1"/>
      <c r="H11" s="42" t="s">
        <v>117</v>
      </c>
      <c r="I11" s="42" t="s">
        <v>141</v>
      </c>
      <c r="J11" s="42" t="s">
        <v>151</v>
      </c>
      <c r="K11">
        <v>11</v>
      </c>
      <c r="L11" s="3"/>
      <c r="M11" s="44" t="s">
        <v>117</v>
      </c>
      <c r="N11" s="44" t="s">
        <v>118</v>
      </c>
      <c r="O11" s="44" t="s">
        <v>84</v>
      </c>
      <c r="P11">
        <v>1842</v>
      </c>
      <c r="Q11">
        <v>15.8</v>
      </c>
    </row>
    <row r="12" spans="1:17" ht="13.2">
      <c r="A12">
        <v>11</v>
      </c>
      <c r="B12" s="40" t="s">
        <v>11</v>
      </c>
      <c r="C12" s="40" t="s">
        <v>119</v>
      </c>
      <c r="D12">
        <v>1996</v>
      </c>
      <c r="E12">
        <v>42</v>
      </c>
      <c r="F12" s="40" t="s">
        <v>136</v>
      </c>
      <c r="G12" s="1"/>
      <c r="H12" s="42" t="s">
        <v>117</v>
      </c>
      <c r="I12" s="42" t="s">
        <v>141</v>
      </c>
      <c r="J12" s="42" t="s">
        <v>152</v>
      </c>
      <c r="K12">
        <v>22.6</v>
      </c>
      <c r="L12" s="3"/>
      <c r="M12" s="44" t="s">
        <v>117</v>
      </c>
      <c r="N12" s="44" t="s">
        <v>118</v>
      </c>
      <c r="O12" s="44" t="s">
        <v>84</v>
      </c>
      <c r="P12">
        <v>1843</v>
      </c>
      <c r="Q12">
        <v>9</v>
      </c>
    </row>
    <row r="13" spans="1:17" ht="13.2">
      <c r="A13">
        <v>12</v>
      </c>
      <c r="B13" s="40" t="s">
        <v>11</v>
      </c>
      <c r="C13" s="40" t="s">
        <v>119</v>
      </c>
      <c r="D13">
        <v>1997</v>
      </c>
      <c r="E13">
        <v>40</v>
      </c>
      <c r="F13" s="40" t="s">
        <v>136</v>
      </c>
      <c r="G13" s="1"/>
      <c r="H13" s="42" t="s">
        <v>117</v>
      </c>
      <c r="I13" s="42" t="s">
        <v>141</v>
      </c>
      <c r="J13" s="42" t="s">
        <v>153</v>
      </c>
      <c r="L13" s="3"/>
      <c r="M13" s="44" t="s">
        <v>117</v>
      </c>
      <c r="N13" s="44" t="s">
        <v>118</v>
      </c>
      <c r="O13" s="44" t="s">
        <v>84</v>
      </c>
      <c r="P13">
        <v>1844</v>
      </c>
      <c r="Q13">
        <v>8.1999999999999993</v>
      </c>
    </row>
    <row r="14" spans="1:17" ht="13.2">
      <c r="A14">
        <v>13</v>
      </c>
      <c r="B14" s="40" t="s">
        <v>11</v>
      </c>
      <c r="C14" s="40" t="s">
        <v>119</v>
      </c>
      <c r="D14">
        <v>1998</v>
      </c>
      <c r="E14">
        <v>37</v>
      </c>
      <c r="F14" s="40" t="s">
        <v>136</v>
      </c>
      <c r="G14" s="1"/>
      <c r="H14" s="42" t="s">
        <v>117</v>
      </c>
      <c r="I14" s="42" t="s">
        <v>141</v>
      </c>
      <c r="J14" s="42" t="s">
        <v>154</v>
      </c>
      <c r="K14">
        <v>20.8</v>
      </c>
      <c r="L14" s="3"/>
      <c r="M14" s="44" t="s">
        <v>117</v>
      </c>
      <c r="N14" s="44" t="s">
        <v>118</v>
      </c>
      <c r="O14" s="44" t="s">
        <v>84</v>
      </c>
      <c r="P14">
        <v>1845</v>
      </c>
      <c r="Q14">
        <v>6.9</v>
      </c>
    </row>
    <row r="15" spans="1:17" ht="13.2">
      <c r="A15">
        <v>14</v>
      </c>
      <c r="B15" s="40" t="s">
        <v>11</v>
      </c>
      <c r="C15" s="40" t="s">
        <v>119</v>
      </c>
      <c r="D15">
        <v>1999</v>
      </c>
      <c r="E15">
        <v>34</v>
      </c>
      <c r="F15" s="40" t="s">
        <v>136</v>
      </c>
      <c r="G15" s="1"/>
      <c r="H15" s="42" t="s">
        <v>117</v>
      </c>
      <c r="I15" s="42" t="s">
        <v>141</v>
      </c>
      <c r="J15" s="42" t="s">
        <v>155</v>
      </c>
      <c r="K15">
        <v>12.2</v>
      </c>
      <c r="L15" s="3"/>
      <c r="M15" s="44" t="s">
        <v>117</v>
      </c>
      <c r="N15" s="44" t="s">
        <v>118</v>
      </c>
      <c r="O15" s="44" t="s">
        <v>84</v>
      </c>
      <c r="P15">
        <v>1846</v>
      </c>
      <c r="Q15">
        <v>11.4</v>
      </c>
    </row>
    <row r="16" spans="1:17" ht="13.2">
      <c r="A16">
        <v>15</v>
      </c>
      <c r="B16" s="40" t="s">
        <v>11</v>
      </c>
      <c r="C16" s="40" t="s">
        <v>119</v>
      </c>
      <c r="D16">
        <v>2000</v>
      </c>
      <c r="E16">
        <v>49</v>
      </c>
      <c r="F16" s="40" t="s">
        <v>136</v>
      </c>
      <c r="G16" s="1"/>
      <c r="H16" s="42" t="s">
        <v>117</v>
      </c>
      <c r="I16" s="42" t="s">
        <v>141</v>
      </c>
      <c r="J16" s="42" t="s">
        <v>156</v>
      </c>
      <c r="K16">
        <v>10.199999999999999</v>
      </c>
      <c r="L16" s="3"/>
      <c r="M16" s="44" t="s">
        <v>117</v>
      </c>
      <c r="N16" s="44" t="s">
        <v>118</v>
      </c>
      <c r="O16" s="44" t="s">
        <v>84</v>
      </c>
      <c r="P16">
        <v>1847</v>
      </c>
      <c r="Q16">
        <v>5</v>
      </c>
    </row>
    <row r="17" spans="1:17" ht="13.2">
      <c r="A17">
        <v>16</v>
      </c>
      <c r="B17" s="40" t="s">
        <v>11</v>
      </c>
      <c r="C17" s="40" t="s">
        <v>119</v>
      </c>
      <c r="D17">
        <v>2001</v>
      </c>
      <c r="E17">
        <v>73</v>
      </c>
      <c r="F17" s="40" t="s">
        <v>136</v>
      </c>
      <c r="G17" s="1"/>
      <c r="H17" s="42" t="s">
        <v>117</v>
      </c>
      <c r="I17" s="42" t="s">
        <v>141</v>
      </c>
      <c r="J17" s="42" t="s">
        <v>157</v>
      </c>
      <c r="K17">
        <v>10.7</v>
      </c>
      <c r="L17" s="3"/>
      <c r="M17" s="44" t="s">
        <v>117</v>
      </c>
      <c r="N17" s="44" t="s">
        <v>118</v>
      </c>
      <c r="O17" s="44" t="s">
        <v>84</v>
      </c>
      <c r="P17">
        <v>1848</v>
      </c>
      <c r="Q17">
        <v>1.3</v>
      </c>
    </row>
    <row r="18" spans="1:17" ht="13.2">
      <c r="A18">
        <v>17</v>
      </c>
      <c r="B18" s="40" t="s">
        <v>11</v>
      </c>
      <c r="C18" s="40" t="s">
        <v>119</v>
      </c>
      <c r="D18">
        <v>2002</v>
      </c>
      <c r="E18">
        <v>46</v>
      </c>
      <c r="F18" s="40" t="s">
        <v>136</v>
      </c>
      <c r="G18" s="1"/>
      <c r="H18" s="42" t="s">
        <v>117</v>
      </c>
      <c r="I18" s="42" t="s">
        <v>141</v>
      </c>
      <c r="J18" s="42" t="s">
        <v>158</v>
      </c>
      <c r="K18">
        <v>3.2</v>
      </c>
      <c r="L18" s="3"/>
      <c r="M18" s="44" t="s">
        <v>117</v>
      </c>
      <c r="N18" s="44" t="s">
        <v>118</v>
      </c>
      <c r="O18" s="44" t="s">
        <v>84</v>
      </c>
      <c r="P18">
        <v>1849</v>
      </c>
      <c r="Q18">
        <v>2.7</v>
      </c>
    </row>
    <row r="19" spans="1:17" ht="13.2">
      <c r="A19">
        <v>18</v>
      </c>
      <c r="B19" s="40" t="s">
        <v>11</v>
      </c>
      <c r="C19" s="40" t="s">
        <v>119</v>
      </c>
      <c r="D19">
        <v>2003</v>
      </c>
      <c r="E19">
        <v>45</v>
      </c>
      <c r="F19" s="40" t="s">
        <v>136</v>
      </c>
      <c r="G19" s="1"/>
      <c r="H19" s="42" t="s">
        <v>117</v>
      </c>
      <c r="I19" s="42" t="s">
        <v>141</v>
      </c>
      <c r="J19" s="42" t="s">
        <v>159</v>
      </c>
      <c r="K19">
        <v>6.6</v>
      </c>
      <c r="L19" s="3"/>
      <c r="M19" s="44" t="s">
        <v>117</v>
      </c>
      <c r="N19" s="44" t="s">
        <v>118</v>
      </c>
      <c r="O19" s="44" t="s">
        <v>84</v>
      </c>
      <c r="P19">
        <v>1850</v>
      </c>
      <c r="Q19">
        <v>2</v>
      </c>
    </row>
    <row r="20" spans="1:17" ht="13.2">
      <c r="A20">
        <v>19</v>
      </c>
      <c r="B20" s="40" t="s">
        <v>11</v>
      </c>
      <c r="C20" s="40" t="s">
        <v>119</v>
      </c>
      <c r="D20">
        <v>2004</v>
      </c>
      <c r="E20">
        <v>45</v>
      </c>
      <c r="F20" s="40" t="s">
        <v>136</v>
      </c>
      <c r="G20" s="1"/>
      <c r="H20" s="42" t="s">
        <v>117</v>
      </c>
      <c r="I20" s="42" t="s">
        <v>141</v>
      </c>
      <c r="J20" s="42" t="s">
        <v>160</v>
      </c>
      <c r="K20">
        <v>20.8</v>
      </c>
      <c r="L20" s="3"/>
      <c r="M20" s="44" t="s">
        <v>117</v>
      </c>
      <c r="N20" s="44" t="s">
        <v>118</v>
      </c>
      <c r="O20" s="44" t="s">
        <v>84</v>
      </c>
      <c r="P20">
        <v>1851</v>
      </c>
      <c r="Q20">
        <v>1.8</v>
      </c>
    </row>
    <row r="21" spans="1:17" ht="13.2">
      <c r="A21">
        <v>20</v>
      </c>
      <c r="B21" s="40" t="s">
        <v>11</v>
      </c>
      <c r="C21" s="40" t="s">
        <v>119</v>
      </c>
      <c r="D21">
        <v>2005</v>
      </c>
      <c r="E21">
        <v>5</v>
      </c>
      <c r="F21" s="40" t="s">
        <v>136</v>
      </c>
      <c r="G21" s="1"/>
      <c r="H21" s="42" t="s">
        <v>117</v>
      </c>
      <c r="I21" s="42" t="s">
        <v>141</v>
      </c>
      <c r="J21" s="42" t="s">
        <v>161</v>
      </c>
      <c r="K21">
        <v>25.5</v>
      </c>
      <c r="L21" s="3"/>
      <c r="M21" s="44" t="s">
        <v>117</v>
      </c>
      <c r="N21" s="44" t="s">
        <v>118</v>
      </c>
      <c r="O21" s="44" t="s">
        <v>84</v>
      </c>
      <c r="P21">
        <v>1852</v>
      </c>
      <c r="Q21">
        <v>4</v>
      </c>
    </row>
    <row r="22" spans="1:17" ht="13.2">
      <c r="A22">
        <v>21</v>
      </c>
      <c r="B22" s="40" t="s">
        <v>11</v>
      </c>
      <c r="C22" s="40" t="s">
        <v>119</v>
      </c>
      <c r="D22">
        <v>2006</v>
      </c>
      <c r="E22">
        <v>26</v>
      </c>
      <c r="F22" s="40" t="s">
        <v>136</v>
      </c>
      <c r="G22" s="1"/>
      <c r="H22" s="42" t="s">
        <v>117</v>
      </c>
      <c r="I22" s="42" t="s">
        <v>141</v>
      </c>
      <c r="J22" s="42" t="s">
        <v>162</v>
      </c>
      <c r="K22">
        <v>18.399999999999999</v>
      </c>
      <c r="L22" s="3"/>
      <c r="M22" s="44" t="s">
        <v>117</v>
      </c>
      <c r="N22" s="44" t="s">
        <v>118</v>
      </c>
      <c r="O22" s="44" t="s">
        <v>84</v>
      </c>
      <c r="P22">
        <v>1853</v>
      </c>
      <c r="Q22">
        <v>2.2000000000000002</v>
      </c>
    </row>
    <row r="23" spans="1:17" ht="13.2">
      <c r="A23">
        <v>22</v>
      </c>
      <c r="B23" s="40" t="s">
        <v>11</v>
      </c>
      <c r="C23" s="40" t="s">
        <v>119</v>
      </c>
      <c r="D23">
        <v>2007</v>
      </c>
      <c r="E23">
        <v>28</v>
      </c>
      <c r="F23" s="40" t="s">
        <v>136</v>
      </c>
      <c r="G23" s="1"/>
      <c r="H23" s="42" t="s">
        <v>117</v>
      </c>
      <c r="I23" s="42" t="s">
        <v>141</v>
      </c>
      <c r="J23" s="42" t="s">
        <v>163</v>
      </c>
      <c r="K23">
        <v>29.3</v>
      </c>
      <c r="L23" s="3"/>
      <c r="M23" s="44" t="s">
        <v>117</v>
      </c>
      <c r="N23" s="44" t="s">
        <v>118</v>
      </c>
      <c r="O23" s="44" t="s">
        <v>84</v>
      </c>
      <c r="P23">
        <v>1854</v>
      </c>
      <c r="Q23">
        <v>9.1</v>
      </c>
    </row>
    <row r="24" spans="1:17" ht="13.2">
      <c r="A24">
        <v>1</v>
      </c>
      <c r="B24" s="40" t="s">
        <v>137</v>
      </c>
      <c r="C24" s="40" t="s">
        <v>138</v>
      </c>
      <c r="D24">
        <v>1986</v>
      </c>
      <c r="E24">
        <v>3</v>
      </c>
      <c r="F24" s="40" t="s">
        <v>136</v>
      </c>
      <c r="G24" s="1"/>
      <c r="H24" s="42" t="s">
        <v>117</v>
      </c>
      <c r="I24" s="42" t="s">
        <v>141</v>
      </c>
      <c r="J24" s="42" t="s">
        <v>164</v>
      </c>
      <c r="K24">
        <v>23</v>
      </c>
      <c r="L24" s="3"/>
      <c r="M24" s="44" t="s">
        <v>117</v>
      </c>
      <c r="N24" s="44" t="s">
        <v>118</v>
      </c>
      <c r="O24" s="44" t="s">
        <v>84</v>
      </c>
      <c r="P24">
        <v>1855</v>
      </c>
      <c r="Q24">
        <v>5.4</v>
      </c>
    </row>
    <row r="25" spans="1:17" ht="13.2">
      <c r="A25">
        <v>2</v>
      </c>
      <c r="B25" s="40" t="s">
        <v>137</v>
      </c>
      <c r="C25" s="40" t="s">
        <v>138</v>
      </c>
      <c r="D25">
        <v>1987</v>
      </c>
      <c r="E25">
        <v>49</v>
      </c>
      <c r="F25" s="40" t="s">
        <v>136</v>
      </c>
      <c r="G25" s="1"/>
      <c r="H25" s="42" t="s">
        <v>117</v>
      </c>
      <c r="I25" s="42" t="s">
        <v>141</v>
      </c>
      <c r="J25" s="42" t="s">
        <v>165</v>
      </c>
      <c r="K25">
        <v>31.4</v>
      </c>
      <c r="L25" s="3"/>
      <c r="M25" s="44" t="s">
        <v>117</v>
      </c>
      <c r="N25" s="44" t="s">
        <v>118</v>
      </c>
      <c r="O25" s="44" t="s">
        <v>84</v>
      </c>
      <c r="P25">
        <v>1856</v>
      </c>
      <c r="Q25">
        <v>4</v>
      </c>
    </row>
    <row r="26" spans="1:17" ht="13.2">
      <c r="A26">
        <v>3</v>
      </c>
      <c r="B26" s="40" t="s">
        <v>137</v>
      </c>
      <c r="C26" s="40" t="s">
        <v>138</v>
      </c>
      <c r="D26">
        <v>1988</v>
      </c>
      <c r="E26">
        <v>32</v>
      </c>
      <c r="F26" s="40" t="s">
        <v>136</v>
      </c>
      <c r="G26" s="1"/>
      <c r="H26" s="42" t="s">
        <v>117</v>
      </c>
      <c r="I26" s="42" t="s">
        <v>141</v>
      </c>
      <c r="J26" s="42" t="s">
        <v>166</v>
      </c>
      <c r="K26">
        <v>19.100000000000001</v>
      </c>
      <c r="L26" s="3"/>
      <c r="M26" s="44" t="s">
        <v>117</v>
      </c>
      <c r="N26" s="44" t="s">
        <v>118</v>
      </c>
      <c r="O26" s="44" t="s">
        <v>84</v>
      </c>
      <c r="P26">
        <v>1857</v>
      </c>
      <c r="Q26">
        <v>2.9</v>
      </c>
    </row>
    <row r="27" spans="1:17" ht="13.2">
      <c r="A27">
        <v>4</v>
      </c>
      <c r="B27" s="40" t="s">
        <v>137</v>
      </c>
      <c r="C27" s="40" t="s">
        <v>138</v>
      </c>
      <c r="D27">
        <v>1989</v>
      </c>
      <c r="E27">
        <v>33</v>
      </c>
      <c r="F27" s="40" t="s">
        <v>136</v>
      </c>
      <c r="G27" s="1"/>
      <c r="H27" s="42" t="s">
        <v>117</v>
      </c>
      <c r="I27" s="42" t="s">
        <v>141</v>
      </c>
      <c r="J27" s="42" t="s">
        <v>167</v>
      </c>
      <c r="K27">
        <v>16</v>
      </c>
      <c r="L27" s="3"/>
      <c r="M27" s="44" t="s">
        <v>117</v>
      </c>
      <c r="N27" s="44" t="s">
        <v>118</v>
      </c>
      <c r="O27" s="44" t="s">
        <v>84</v>
      </c>
      <c r="P27">
        <v>1858</v>
      </c>
      <c r="Q27">
        <v>2</v>
      </c>
    </row>
    <row r="28" spans="1:17" ht="13.2">
      <c r="A28">
        <v>5</v>
      </c>
      <c r="B28" s="40" t="s">
        <v>137</v>
      </c>
      <c r="C28" s="40" t="s">
        <v>138</v>
      </c>
      <c r="D28">
        <v>1990</v>
      </c>
      <c r="E28">
        <v>39</v>
      </c>
      <c r="F28" s="40" t="s">
        <v>136</v>
      </c>
      <c r="H28" s="40" t="s">
        <v>117</v>
      </c>
      <c r="I28" s="40" t="s">
        <v>141</v>
      </c>
      <c r="J28" s="40" t="s">
        <v>168</v>
      </c>
      <c r="K28">
        <v>12.4</v>
      </c>
      <c r="M28" s="40" t="s">
        <v>117</v>
      </c>
      <c r="N28" s="40" t="s">
        <v>219</v>
      </c>
      <c r="O28" s="40" t="s">
        <v>220</v>
      </c>
      <c r="P28">
        <v>1833</v>
      </c>
      <c r="Q28">
        <v>2.2999999999999998</v>
      </c>
    </row>
    <row r="29" spans="1:17" ht="13.2">
      <c r="A29">
        <v>6</v>
      </c>
      <c r="B29" s="40" t="s">
        <v>137</v>
      </c>
      <c r="C29" s="40" t="s">
        <v>138</v>
      </c>
      <c r="D29">
        <v>1991</v>
      </c>
      <c r="E29">
        <v>22</v>
      </c>
      <c r="F29" s="40" t="s">
        <v>136</v>
      </c>
      <c r="H29" s="40" t="s">
        <v>117</v>
      </c>
      <c r="I29" s="40" t="s">
        <v>141</v>
      </c>
      <c r="J29" s="40" t="s">
        <v>169</v>
      </c>
      <c r="K29">
        <v>11.9</v>
      </c>
      <c r="M29" s="40" t="s">
        <v>117</v>
      </c>
      <c r="N29" s="40" t="s">
        <v>219</v>
      </c>
      <c r="O29" s="40" t="s">
        <v>220</v>
      </c>
      <c r="P29">
        <v>1834</v>
      </c>
      <c r="Q29">
        <v>8.6</v>
      </c>
    </row>
    <row r="30" spans="1:17" ht="13.2">
      <c r="A30">
        <v>7</v>
      </c>
      <c r="B30" s="40" t="s">
        <v>137</v>
      </c>
      <c r="C30" s="40" t="s">
        <v>138</v>
      </c>
      <c r="D30">
        <v>1992</v>
      </c>
      <c r="E30">
        <v>42</v>
      </c>
      <c r="F30" s="40" t="s">
        <v>136</v>
      </c>
      <c r="H30" s="40" t="s">
        <v>117</v>
      </c>
      <c r="I30" s="40" t="s">
        <v>141</v>
      </c>
      <c r="J30" s="40" t="s">
        <v>170</v>
      </c>
      <c r="K30">
        <v>6.1</v>
      </c>
      <c r="M30" s="40" t="s">
        <v>117</v>
      </c>
      <c r="N30" s="40" t="s">
        <v>219</v>
      </c>
      <c r="O30" s="40" t="s">
        <v>220</v>
      </c>
      <c r="P30">
        <v>1835</v>
      </c>
      <c r="Q30">
        <v>5</v>
      </c>
    </row>
    <row r="31" spans="1:17" ht="13.2">
      <c r="A31">
        <v>8</v>
      </c>
      <c r="B31" s="40" t="s">
        <v>137</v>
      </c>
      <c r="C31" s="40" t="s">
        <v>138</v>
      </c>
      <c r="D31">
        <v>1993</v>
      </c>
      <c r="E31">
        <v>9</v>
      </c>
      <c r="F31" s="40" t="s">
        <v>136</v>
      </c>
      <c r="H31" s="40" t="s">
        <v>117</v>
      </c>
      <c r="I31" s="40" t="s">
        <v>141</v>
      </c>
      <c r="J31" s="40" t="s">
        <v>171</v>
      </c>
      <c r="K31">
        <v>4.0999999999999996</v>
      </c>
      <c r="M31" s="40" t="s">
        <v>117</v>
      </c>
      <c r="N31" s="40" t="s">
        <v>219</v>
      </c>
      <c r="O31" s="40" t="s">
        <v>220</v>
      </c>
      <c r="P31">
        <v>1836</v>
      </c>
      <c r="Q31">
        <v>7.8</v>
      </c>
    </row>
    <row r="32" spans="1:17" ht="13.2">
      <c r="A32">
        <v>9</v>
      </c>
      <c r="B32" s="40" t="s">
        <v>137</v>
      </c>
      <c r="C32" s="40" t="s">
        <v>138</v>
      </c>
      <c r="D32">
        <v>1994</v>
      </c>
      <c r="E32">
        <v>9</v>
      </c>
      <c r="F32" s="40" t="s">
        <v>136</v>
      </c>
      <c r="H32" s="40" t="s">
        <v>117</v>
      </c>
      <c r="I32" s="40" t="s">
        <v>141</v>
      </c>
      <c r="J32" s="40" t="s">
        <v>172</v>
      </c>
      <c r="K32">
        <v>0.5</v>
      </c>
      <c r="M32" s="40" t="s">
        <v>117</v>
      </c>
      <c r="N32" s="40" t="s">
        <v>219</v>
      </c>
      <c r="O32" s="40" t="s">
        <v>220</v>
      </c>
      <c r="P32">
        <v>1837</v>
      </c>
      <c r="Q32">
        <v>7</v>
      </c>
    </row>
    <row r="33" spans="1:17" ht="13.2">
      <c r="A33">
        <v>10</v>
      </c>
      <c r="B33" s="40" t="s">
        <v>137</v>
      </c>
      <c r="C33" s="40" t="s">
        <v>138</v>
      </c>
      <c r="D33">
        <v>1995</v>
      </c>
      <c r="E33">
        <v>39</v>
      </c>
      <c r="F33" s="40" t="s">
        <v>136</v>
      </c>
      <c r="H33" s="40" t="s">
        <v>117</v>
      </c>
      <c r="I33" s="40" t="s">
        <v>141</v>
      </c>
      <c r="J33" s="40" t="s">
        <v>173</v>
      </c>
      <c r="K33">
        <v>1.6</v>
      </c>
      <c r="M33" s="40" t="s">
        <v>117</v>
      </c>
      <c r="N33" s="40" t="s">
        <v>219</v>
      </c>
      <c r="O33" s="40" t="s">
        <v>220</v>
      </c>
      <c r="P33">
        <v>1838</v>
      </c>
      <c r="Q33">
        <v>4.9000000000000004</v>
      </c>
    </row>
    <row r="34" spans="1:17" ht="13.2">
      <c r="A34">
        <v>11</v>
      </c>
      <c r="B34" s="40" t="s">
        <v>137</v>
      </c>
      <c r="C34" s="40" t="s">
        <v>138</v>
      </c>
      <c r="D34">
        <v>1996</v>
      </c>
      <c r="E34">
        <v>52</v>
      </c>
      <c r="F34" s="40" t="s">
        <v>136</v>
      </c>
      <c r="H34" s="40" t="s">
        <v>117</v>
      </c>
      <c r="I34" s="40" t="s">
        <v>141</v>
      </c>
      <c r="J34" s="40" t="s">
        <v>174</v>
      </c>
      <c r="K34">
        <v>2.2999999999999998</v>
      </c>
      <c r="M34" s="40" t="s">
        <v>117</v>
      </c>
      <c r="N34" s="40" t="s">
        <v>219</v>
      </c>
      <c r="O34" s="40" t="s">
        <v>220</v>
      </c>
      <c r="P34">
        <v>1839</v>
      </c>
      <c r="Q34">
        <v>4.5</v>
      </c>
    </row>
    <row r="35" spans="1:17" ht="13.2">
      <c r="A35">
        <v>12</v>
      </c>
      <c r="B35" s="40" t="s">
        <v>137</v>
      </c>
      <c r="C35" s="40" t="s">
        <v>139</v>
      </c>
      <c r="D35">
        <v>1997</v>
      </c>
      <c r="E35">
        <v>58</v>
      </c>
      <c r="F35" s="40" t="s">
        <v>136</v>
      </c>
      <c r="H35" s="40" t="s">
        <v>117</v>
      </c>
      <c r="I35" s="40" t="s">
        <v>141</v>
      </c>
      <c r="J35" s="40" t="s">
        <v>175</v>
      </c>
      <c r="K35">
        <v>17.600000000000001</v>
      </c>
      <c r="M35" s="40" t="s">
        <v>117</v>
      </c>
      <c r="N35" s="40" t="s">
        <v>219</v>
      </c>
      <c r="O35" s="40" t="s">
        <v>220</v>
      </c>
      <c r="P35">
        <v>1840</v>
      </c>
      <c r="Q35">
        <v>2.7</v>
      </c>
    </row>
    <row r="36" spans="1:17" ht="13.2">
      <c r="A36">
        <v>13</v>
      </c>
      <c r="B36" s="40" t="s">
        <v>137</v>
      </c>
      <c r="C36" s="40" t="s">
        <v>140</v>
      </c>
      <c r="D36">
        <v>1998</v>
      </c>
      <c r="E36">
        <v>70</v>
      </c>
      <c r="F36" s="40" t="s">
        <v>136</v>
      </c>
      <c r="H36" s="40" t="s">
        <v>117</v>
      </c>
      <c r="I36" s="40" t="s">
        <v>141</v>
      </c>
      <c r="J36" s="40" t="s">
        <v>176</v>
      </c>
      <c r="K36">
        <v>7.1</v>
      </c>
      <c r="M36" s="40" t="s">
        <v>117</v>
      </c>
      <c r="N36" s="40" t="s">
        <v>219</v>
      </c>
      <c r="O36" s="40" t="s">
        <v>220</v>
      </c>
      <c r="P36">
        <v>1841</v>
      </c>
      <c r="Q36">
        <v>3.5</v>
      </c>
    </row>
    <row r="37" spans="1:17" ht="13.2">
      <c r="A37">
        <v>14</v>
      </c>
      <c r="B37" s="40" t="s">
        <v>137</v>
      </c>
      <c r="C37" s="40" t="s">
        <v>140</v>
      </c>
      <c r="D37">
        <v>1999</v>
      </c>
      <c r="E37">
        <v>65</v>
      </c>
      <c r="F37" s="40" t="s">
        <v>136</v>
      </c>
      <c r="H37" s="40" t="s">
        <v>117</v>
      </c>
      <c r="I37" s="40" t="s">
        <v>141</v>
      </c>
      <c r="J37" s="40" t="s">
        <v>177</v>
      </c>
      <c r="K37">
        <v>8.1</v>
      </c>
      <c r="M37" s="40" t="s">
        <v>117</v>
      </c>
      <c r="N37" s="40" t="s">
        <v>219</v>
      </c>
      <c r="O37" s="40" t="s">
        <v>220</v>
      </c>
      <c r="P37">
        <v>1842</v>
      </c>
      <c r="Q37">
        <v>7.6</v>
      </c>
    </row>
    <row r="38" spans="1:17" ht="13.2">
      <c r="A38">
        <v>15</v>
      </c>
      <c r="B38" s="40" t="s">
        <v>137</v>
      </c>
      <c r="C38" s="40" t="s">
        <v>140</v>
      </c>
      <c r="D38">
        <v>2000</v>
      </c>
      <c r="E38">
        <v>32</v>
      </c>
      <c r="F38" s="40" t="s">
        <v>136</v>
      </c>
      <c r="H38" s="40" t="s">
        <v>117</v>
      </c>
      <c r="I38" s="40" t="s">
        <v>141</v>
      </c>
      <c r="J38" s="40" t="s">
        <v>178</v>
      </c>
      <c r="K38">
        <v>15.2</v>
      </c>
      <c r="M38" s="40" t="s">
        <v>117</v>
      </c>
      <c r="N38" s="40" t="s">
        <v>219</v>
      </c>
      <c r="O38" s="40" t="s">
        <v>220</v>
      </c>
      <c r="P38">
        <v>1843</v>
      </c>
      <c r="Q38">
        <v>6</v>
      </c>
    </row>
    <row r="39" spans="1:17" ht="13.2">
      <c r="A39">
        <v>16</v>
      </c>
      <c r="B39" s="40" t="s">
        <v>137</v>
      </c>
      <c r="C39" s="40" t="s">
        <v>140</v>
      </c>
      <c r="D39">
        <v>2001</v>
      </c>
      <c r="E39">
        <v>29</v>
      </c>
      <c r="F39" s="40" t="s">
        <v>136</v>
      </c>
      <c r="H39" s="40" t="s">
        <v>117</v>
      </c>
      <c r="I39" s="40" t="s">
        <v>141</v>
      </c>
      <c r="J39" s="40" t="s">
        <v>179</v>
      </c>
      <c r="K39">
        <v>11.3</v>
      </c>
      <c r="M39" s="40" t="s">
        <v>117</v>
      </c>
      <c r="N39" s="40" t="s">
        <v>219</v>
      </c>
      <c r="O39" s="40" t="s">
        <v>220</v>
      </c>
      <c r="P39">
        <v>1844</v>
      </c>
      <c r="Q39">
        <v>2.2999999999999998</v>
      </c>
    </row>
    <row r="40" spans="1:17" ht="13.2">
      <c r="H40" s="40" t="s">
        <v>117</v>
      </c>
      <c r="I40" s="40" t="s">
        <v>141</v>
      </c>
      <c r="J40" s="40" t="s">
        <v>180</v>
      </c>
      <c r="K40">
        <v>17</v>
      </c>
      <c r="M40" s="40" t="s">
        <v>117</v>
      </c>
      <c r="N40" s="40" t="s">
        <v>219</v>
      </c>
      <c r="O40" s="40" t="s">
        <v>220</v>
      </c>
      <c r="P40">
        <v>1845</v>
      </c>
      <c r="Q40">
        <v>2</v>
      </c>
    </row>
    <row r="41" spans="1:17" ht="13.2">
      <c r="H41" s="40" t="s">
        <v>117</v>
      </c>
      <c r="I41" s="40" t="s">
        <v>141</v>
      </c>
      <c r="J41" s="40" t="s">
        <v>181</v>
      </c>
      <c r="K41">
        <v>17.3</v>
      </c>
      <c r="M41" s="40" t="s">
        <v>117</v>
      </c>
      <c r="N41" s="40" t="s">
        <v>219</v>
      </c>
      <c r="O41" s="40" t="s">
        <v>220</v>
      </c>
      <c r="P41">
        <v>1846</v>
      </c>
      <c r="Q41">
        <v>2.8</v>
      </c>
    </row>
    <row r="42" spans="1:17" ht="13.2">
      <c r="H42" s="40" t="s">
        <v>117</v>
      </c>
      <c r="I42" s="40" t="s">
        <v>141</v>
      </c>
      <c r="J42" s="40" t="s">
        <v>182</v>
      </c>
      <c r="K42">
        <v>5.8</v>
      </c>
      <c r="M42" s="40" t="s">
        <v>117</v>
      </c>
      <c r="N42" s="40" t="s">
        <v>219</v>
      </c>
      <c r="O42" s="40" t="s">
        <v>220</v>
      </c>
      <c r="P42">
        <v>1847</v>
      </c>
      <c r="Q42">
        <v>1</v>
      </c>
    </row>
    <row r="43" spans="1:17" ht="13.2">
      <c r="H43" s="40" t="s">
        <v>117</v>
      </c>
      <c r="I43" s="40" t="s">
        <v>141</v>
      </c>
      <c r="J43" s="40" t="s">
        <v>183</v>
      </c>
      <c r="K43">
        <v>2.7</v>
      </c>
      <c r="M43" s="40" t="s">
        <v>117</v>
      </c>
      <c r="N43" s="40" t="s">
        <v>219</v>
      </c>
      <c r="O43" s="40" t="s">
        <v>220</v>
      </c>
      <c r="P43">
        <v>1848</v>
      </c>
      <c r="Q43">
        <v>1.3</v>
      </c>
    </row>
    <row r="44" spans="1:17" ht="13.2">
      <c r="H44" s="40" t="s">
        <v>117</v>
      </c>
      <c r="I44" s="40" t="s">
        <v>141</v>
      </c>
      <c r="J44" s="40" t="s">
        <v>184</v>
      </c>
      <c r="K44">
        <v>4.4000000000000004</v>
      </c>
      <c r="M44" s="40" t="s">
        <v>117</v>
      </c>
      <c r="N44" s="40" t="s">
        <v>219</v>
      </c>
      <c r="O44" s="40" t="s">
        <v>220</v>
      </c>
      <c r="P44">
        <v>1849</v>
      </c>
      <c r="Q44">
        <v>2.6</v>
      </c>
    </row>
    <row r="45" spans="1:17" ht="13.2">
      <c r="H45" s="40" t="s">
        <v>117</v>
      </c>
      <c r="I45" s="40" t="s">
        <v>141</v>
      </c>
      <c r="J45" s="40" t="s">
        <v>185</v>
      </c>
      <c r="K45">
        <v>6.3</v>
      </c>
      <c r="M45" s="40" t="s">
        <v>117</v>
      </c>
      <c r="N45" s="40" t="s">
        <v>219</v>
      </c>
      <c r="O45" s="40" t="s">
        <v>220</v>
      </c>
      <c r="P45">
        <v>1850</v>
      </c>
      <c r="Q45">
        <v>1.7</v>
      </c>
    </row>
    <row r="46" spans="1:17" ht="13.2">
      <c r="H46" s="40" t="s">
        <v>117</v>
      </c>
      <c r="I46" s="40" t="s">
        <v>141</v>
      </c>
      <c r="J46" s="40" t="s">
        <v>186</v>
      </c>
      <c r="K46">
        <v>1.2</v>
      </c>
      <c r="M46" s="40" t="s">
        <v>117</v>
      </c>
      <c r="N46" s="40" t="s">
        <v>219</v>
      </c>
      <c r="O46" s="40" t="s">
        <v>220</v>
      </c>
      <c r="P46">
        <v>1851</v>
      </c>
      <c r="Q46">
        <v>3.6</v>
      </c>
    </row>
    <row r="47" spans="1:17" ht="13.2">
      <c r="H47" s="40" t="s">
        <v>117</v>
      </c>
      <c r="I47" s="40" t="s">
        <v>141</v>
      </c>
      <c r="J47" s="40" t="s">
        <v>187</v>
      </c>
      <c r="K47">
        <v>3.2</v>
      </c>
      <c r="M47" s="40" t="s">
        <v>117</v>
      </c>
      <c r="N47" s="40" t="s">
        <v>219</v>
      </c>
      <c r="O47" s="40" t="s">
        <v>220</v>
      </c>
      <c r="P47">
        <v>1852</v>
      </c>
      <c r="Q47">
        <v>5.7</v>
      </c>
    </row>
    <row r="48" spans="1:17" ht="13.2">
      <c r="H48" s="40" t="s">
        <v>117</v>
      </c>
      <c r="I48" s="40" t="s">
        <v>141</v>
      </c>
      <c r="J48" s="40" t="s">
        <v>188</v>
      </c>
      <c r="K48">
        <v>11</v>
      </c>
      <c r="M48" s="40" t="s">
        <v>117</v>
      </c>
      <c r="N48" s="40" t="s">
        <v>219</v>
      </c>
      <c r="O48" s="40" t="s">
        <v>220</v>
      </c>
      <c r="P48">
        <v>1853</v>
      </c>
      <c r="Q48">
        <v>1.9</v>
      </c>
    </row>
    <row r="49" spans="8:17" ht="13.2">
      <c r="H49" s="40" t="s">
        <v>117</v>
      </c>
      <c r="I49" s="40" t="s">
        <v>141</v>
      </c>
      <c r="J49" s="40" t="s">
        <v>189</v>
      </c>
      <c r="K49">
        <v>10.5</v>
      </c>
      <c r="M49" s="40" t="s">
        <v>117</v>
      </c>
      <c r="N49" s="40" t="s">
        <v>219</v>
      </c>
      <c r="O49" s="40" t="s">
        <v>220</v>
      </c>
      <c r="P49">
        <v>1854</v>
      </c>
      <c r="Q49">
        <v>6.2</v>
      </c>
    </row>
    <row r="50" spans="8:17" ht="13.2">
      <c r="H50" s="40" t="s">
        <v>117</v>
      </c>
      <c r="I50" s="40" t="s">
        <v>141</v>
      </c>
      <c r="J50" s="40" t="s">
        <v>190</v>
      </c>
      <c r="K50">
        <v>7.6</v>
      </c>
      <c r="M50" s="40" t="s">
        <v>117</v>
      </c>
      <c r="N50" s="40" t="s">
        <v>219</v>
      </c>
      <c r="O50" s="40" t="s">
        <v>220</v>
      </c>
      <c r="P50">
        <v>1855</v>
      </c>
      <c r="Q50">
        <v>5.9</v>
      </c>
    </row>
    <row r="51" spans="8:17" ht="13.2">
      <c r="H51" s="40" t="s">
        <v>117</v>
      </c>
      <c r="I51" s="40" t="s">
        <v>141</v>
      </c>
      <c r="J51" s="40" t="s">
        <v>191</v>
      </c>
      <c r="K51">
        <v>4.7</v>
      </c>
      <c r="M51" s="40" t="s">
        <v>117</v>
      </c>
      <c r="N51" s="40" t="s">
        <v>219</v>
      </c>
      <c r="O51" s="40" t="s">
        <v>220</v>
      </c>
      <c r="P51">
        <v>1856</v>
      </c>
      <c r="Q51">
        <v>4.0999999999999996</v>
      </c>
    </row>
    <row r="52" spans="8:17" ht="13.2">
      <c r="H52" s="40" t="s">
        <v>117</v>
      </c>
      <c r="I52" s="40" t="s">
        <v>141</v>
      </c>
      <c r="J52" s="40" t="s">
        <v>192</v>
      </c>
      <c r="K52">
        <v>4.5</v>
      </c>
      <c r="M52" s="40" t="s">
        <v>117</v>
      </c>
      <c r="N52" s="40" t="s">
        <v>219</v>
      </c>
      <c r="O52" s="40" t="s">
        <v>220</v>
      </c>
      <c r="P52">
        <v>1857</v>
      </c>
      <c r="Q52">
        <v>2.2000000000000002</v>
      </c>
    </row>
    <row r="53" spans="8:17" ht="13.2">
      <c r="H53" s="40" t="s">
        <v>117</v>
      </c>
      <c r="I53" s="40" t="s">
        <v>141</v>
      </c>
      <c r="J53" s="40" t="s">
        <v>193</v>
      </c>
      <c r="K53">
        <v>4.2</v>
      </c>
      <c r="M53" s="40" t="s">
        <v>117</v>
      </c>
      <c r="N53" s="40" t="s">
        <v>219</v>
      </c>
      <c r="O53" s="40" t="s">
        <v>220</v>
      </c>
      <c r="P53">
        <v>1858</v>
      </c>
      <c r="Q53">
        <v>1.4</v>
      </c>
    </row>
    <row r="54" spans="8:17" ht="13.2">
      <c r="H54" s="40" t="s">
        <v>117</v>
      </c>
      <c r="I54" s="40" t="s">
        <v>141</v>
      </c>
      <c r="J54" s="40" t="s">
        <v>194</v>
      </c>
      <c r="K54">
        <v>4.4000000000000004</v>
      </c>
    </row>
    <row r="55" spans="8:17" ht="13.2">
      <c r="H55" s="40" t="s">
        <v>117</v>
      </c>
      <c r="I55" s="40" t="s">
        <v>141</v>
      </c>
      <c r="J55" s="40" t="s">
        <v>195</v>
      </c>
      <c r="K55">
        <v>7.1</v>
      </c>
    </row>
    <row r="56" spans="8:17" ht="13.2">
      <c r="H56" s="40" t="s">
        <v>117</v>
      </c>
      <c r="I56" s="40" t="s">
        <v>141</v>
      </c>
      <c r="J56" s="40" t="s">
        <v>196</v>
      </c>
      <c r="K56">
        <v>6.1</v>
      </c>
    </row>
    <row r="57" spans="8:17" ht="13.2">
      <c r="H57" s="40" t="s">
        <v>117</v>
      </c>
      <c r="I57" s="40" t="s">
        <v>141</v>
      </c>
      <c r="J57" s="40" t="s">
        <v>197</v>
      </c>
      <c r="K57">
        <v>3.6</v>
      </c>
    </row>
    <row r="58" spans="8:17" ht="13.2">
      <c r="H58" s="40" t="s">
        <v>117</v>
      </c>
      <c r="I58" s="40" t="s">
        <v>141</v>
      </c>
      <c r="J58" s="40" t="s">
        <v>198</v>
      </c>
      <c r="K58">
        <v>10.5</v>
      </c>
    </row>
    <row r="59" spans="8:17" ht="13.2">
      <c r="H59" s="40" t="s">
        <v>117</v>
      </c>
      <c r="I59" s="40" t="s">
        <v>141</v>
      </c>
      <c r="J59" s="40" t="s">
        <v>199</v>
      </c>
      <c r="K59">
        <v>14.8</v>
      </c>
    </row>
    <row r="60" spans="8:17" ht="13.2">
      <c r="H60" s="40" t="s">
        <v>117</v>
      </c>
      <c r="I60" s="40" t="s">
        <v>141</v>
      </c>
      <c r="J60" s="40" t="s">
        <v>200</v>
      </c>
      <c r="K60">
        <v>10.9</v>
      </c>
    </row>
    <row r="61" spans="8:17" ht="13.2">
      <c r="H61" s="40" t="s">
        <v>117</v>
      </c>
      <c r="I61" s="40" t="s">
        <v>141</v>
      </c>
      <c r="J61" s="40" t="s">
        <v>201</v>
      </c>
      <c r="K61">
        <v>10.5</v>
      </c>
    </row>
    <row r="62" spans="8:17" ht="13.2">
      <c r="H62" s="40" t="s">
        <v>117</v>
      </c>
      <c r="I62" s="40" t="s">
        <v>141</v>
      </c>
      <c r="J62" s="40" t="s">
        <v>202</v>
      </c>
      <c r="K62">
        <v>13.4</v>
      </c>
    </row>
    <row r="63" spans="8:17" ht="13.2">
      <c r="H63" s="40" t="s">
        <v>117</v>
      </c>
      <c r="I63" s="40" t="s">
        <v>141</v>
      </c>
      <c r="J63" s="40" t="s">
        <v>203</v>
      </c>
      <c r="K63">
        <v>18.100000000000001</v>
      </c>
    </row>
    <row r="64" spans="8:17" ht="13.2">
      <c r="H64" s="40" t="s">
        <v>117</v>
      </c>
      <c r="I64" s="40" t="s">
        <v>141</v>
      </c>
      <c r="J64" s="40" t="s">
        <v>204</v>
      </c>
      <c r="K64">
        <v>15.4</v>
      </c>
    </row>
    <row r="65" spans="8:11" ht="13.2">
      <c r="H65" s="40" t="s">
        <v>117</v>
      </c>
      <c r="I65" s="40" t="s">
        <v>141</v>
      </c>
      <c r="J65" s="40" t="s">
        <v>205</v>
      </c>
      <c r="K65">
        <v>19</v>
      </c>
    </row>
    <row r="66" spans="8:11" ht="13.2">
      <c r="H66" s="40" t="s">
        <v>117</v>
      </c>
      <c r="I66" s="40" t="s">
        <v>141</v>
      </c>
      <c r="J66" s="40" t="s">
        <v>206</v>
      </c>
      <c r="K66">
        <v>13.4</v>
      </c>
    </row>
    <row r="67" spans="8:11" ht="13.2">
      <c r="H67" s="40" t="s">
        <v>117</v>
      </c>
      <c r="I67" s="40" t="s">
        <v>141</v>
      </c>
      <c r="J67" s="40" t="s">
        <v>207</v>
      </c>
      <c r="K67">
        <v>10.199999999999999</v>
      </c>
    </row>
    <row r="68" spans="8:11" ht="13.2">
      <c r="H68" s="40" t="s">
        <v>117</v>
      </c>
      <c r="I68" s="40" t="s">
        <v>141</v>
      </c>
      <c r="J68" s="40" t="s">
        <v>208</v>
      </c>
      <c r="K68">
        <v>13.1</v>
      </c>
    </row>
    <row r="69" spans="8:11" ht="13.2">
      <c r="H69" s="40" t="s">
        <v>117</v>
      </c>
      <c r="I69" s="40" t="s">
        <v>141</v>
      </c>
      <c r="J69" s="40" t="s">
        <v>209</v>
      </c>
      <c r="K69">
        <v>18.100000000000001</v>
      </c>
    </row>
    <row r="70" spans="8:11" ht="13.2">
      <c r="H70" s="40" t="s">
        <v>117</v>
      </c>
      <c r="I70" s="40" t="s">
        <v>141</v>
      </c>
      <c r="J70" s="40" t="s">
        <v>210</v>
      </c>
      <c r="K70">
        <v>14.4</v>
      </c>
    </row>
    <row r="71" spans="8:11" ht="13.2">
      <c r="H71" s="40" t="s">
        <v>117</v>
      </c>
      <c r="I71" s="40" t="s">
        <v>141</v>
      </c>
      <c r="J71" s="40" t="s">
        <v>211</v>
      </c>
      <c r="K71">
        <v>15</v>
      </c>
    </row>
    <row r="72" spans="8:11" ht="13.2">
      <c r="H72" s="40" t="s">
        <v>117</v>
      </c>
      <c r="I72" s="40" t="s">
        <v>141</v>
      </c>
      <c r="J72" s="40" t="s">
        <v>212</v>
      </c>
      <c r="K72">
        <v>10.8</v>
      </c>
    </row>
    <row r="73" spans="8:11" ht="13.2">
      <c r="H73" s="40" t="s">
        <v>117</v>
      </c>
      <c r="I73" s="40" t="s">
        <v>141</v>
      </c>
      <c r="J73" s="40" t="s">
        <v>213</v>
      </c>
      <c r="K73">
        <v>5.4</v>
      </c>
    </row>
    <row r="74" spans="8:11" ht="13.2">
      <c r="H74" s="40" t="s">
        <v>117</v>
      </c>
      <c r="I74" s="40" t="s">
        <v>141</v>
      </c>
      <c r="J74" s="40" t="s">
        <v>214</v>
      </c>
      <c r="K74">
        <v>3.2</v>
      </c>
    </row>
    <row r="75" spans="8:11" ht="13.2">
      <c r="H75" s="40" t="s">
        <v>117</v>
      </c>
      <c r="I75" s="40" t="s">
        <v>141</v>
      </c>
      <c r="J75" s="40" t="s">
        <v>215</v>
      </c>
      <c r="K75">
        <v>1.9</v>
      </c>
    </row>
    <row r="76" spans="8:11" ht="13.2">
      <c r="H76" s="40" t="s">
        <v>117</v>
      </c>
      <c r="I76" s="40" t="s">
        <v>141</v>
      </c>
      <c r="J76" s="40" t="s">
        <v>216</v>
      </c>
      <c r="K76">
        <v>3.6</v>
      </c>
    </row>
    <row r="77" spans="8:11" ht="13.2">
      <c r="H77" s="40" t="s">
        <v>117</v>
      </c>
      <c r="I77" s="40" t="s">
        <v>141</v>
      </c>
      <c r="J77" s="40" t="s">
        <v>217</v>
      </c>
      <c r="K77">
        <v>18.3</v>
      </c>
    </row>
    <row r="78" spans="8:11" ht="13.2">
      <c r="H78" s="40" t="s">
        <v>117</v>
      </c>
      <c r="I78" s="40" t="s">
        <v>141</v>
      </c>
      <c r="J78" s="40" t="s">
        <v>218</v>
      </c>
      <c r="K78">
        <v>12.2</v>
      </c>
    </row>
    <row r="79" spans="8:11" ht="13.2">
      <c r="H79" s="40" t="s">
        <v>117</v>
      </c>
      <c r="I79" s="40" t="s">
        <v>59</v>
      </c>
      <c r="J79" s="40" t="s">
        <v>60</v>
      </c>
      <c r="K79">
        <v>2.2000000000000002</v>
      </c>
    </row>
    <row r="80" spans="8:11" ht="13.2">
      <c r="H80" s="40" t="s">
        <v>117</v>
      </c>
      <c r="I80" s="40" t="s">
        <v>59</v>
      </c>
      <c r="J80" s="40" t="s">
        <v>61</v>
      </c>
      <c r="K80">
        <v>1.2</v>
      </c>
    </row>
    <row r="81" spans="8:11" ht="13.2">
      <c r="H81" s="40" t="s">
        <v>117</v>
      </c>
      <c r="I81" s="40" t="s">
        <v>59</v>
      </c>
      <c r="J81" s="40" t="s">
        <v>62</v>
      </c>
      <c r="K81">
        <v>1.9</v>
      </c>
    </row>
    <row r="82" spans="8:11" ht="13.2">
      <c r="H82" s="40" t="s">
        <v>117</v>
      </c>
      <c r="I82" s="40" t="s">
        <v>59</v>
      </c>
      <c r="J82" s="40" t="s">
        <v>63</v>
      </c>
      <c r="K82">
        <v>4.5999999999999996</v>
      </c>
    </row>
    <row r="83" spans="8:11" ht="13.2">
      <c r="H83" s="40" t="s">
        <v>117</v>
      </c>
      <c r="I83" s="40" t="s">
        <v>59</v>
      </c>
      <c r="J83" s="40" t="s">
        <v>64</v>
      </c>
      <c r="K83">
        <v>4</v>
      </c>
    </row>
    <row r="84" spans="8:11" ht="13.2">
      <c r="H84" s="40" t="s">
        <v>117</v>
      </c>
      <c r="I84" s="40" t="s">
        <v>59</v>
      </c>
      <c r="J84" s="40" t="s">
        <v>65</v>
      </c>
      <c r="K84">
        <v>4.5</v>
      </c>
    </row>
    <row r="85" spans="8:11" ht="13.2">
      <c r="H85" s="40" t="s">
        <v>117</v>
      </c>
      <c r="I85" s="40" t="s">
        <v>59</v>
      </c>
      <c r="J85" s="40" t="s">
        <v>66</v>
      </c>
      <c r="K85">
        <v>2.9</v>
      </c>
    </row>
    <row r="86" spans="8:11" ht="13.2">
      <c r="H86" s="40" t="s">
        <v>117</v>
      </c>
      <c r="I86" s="40" t="s">
        <v>59</v>
      </c>
      <c r="J86" s="40" t="s">
        <v>67</v>
      </c>
      <c r="K86">
        <v>3.5</v>
      </c>
    </row>
    <row r="87" spans="8:11" ht="13.2">
      <c r="H87" s="40" t="s">
        <v>117</v>
      </c>
      <c r="I87" s="40" t="s">
        <v>59</v>
      </c>
      <c r="J87" s="40" t="s">
        <v>68</v>
      </c>
      <c r="K87">
        <v>0.7</v>
      </c>
    </row>
    <row r="88" spans="8:11" ht="13.2">
      <c r="H88" s="40" t="s">
        <v>117</v>
      </c>
      <c r="I88" s="40" t="s">
        <v>59</v>
      </c>
      <c r="J88" s="40" t="s">
        <v>69</v>
      </c>
      <c r="K88">
        <v>0</v>
      </c>
    </row>
    <row r="89" spans="8:11" ht="13.2">
      <c r="H89" s="40" t="s">
        <v>117</v>
      </c>
      <c r="I89" s="40" t="s">
        <v>59</v>
      </c>
      <c r="J89" s="40" t="s">
        <v>70</v>
      </c>
      <c r="K89">
        <v>0.7</v>
      </c>
    </row>
    <row r="90" spans="8:11" ht="13.2">
      <c r="H90" s="40" t="s">
        <v>117</v>
      </c>
      <c r="I90" s="40" t="s">
        <v>59</v>
      </c>
      <c r="J90" s="40" t="s">
        <v>71</v>
      </c>
      <c r="K90">
        <v>1</v>
      </c>
    </row>
    <row r="91" spans="8:11" ht="13.2">
      <c r="H91" s="40" t="s">
        <v>117</v>
      </c>
      <c r="I91" s="40" t="s">
        <v>59</v>
      </c>
      <c r="J91" s="40" t="s">
        <v>72</v>
      </c>
      <c r="K91">
        <v>1.1000000000000001</v>
      </c>
    </row>
    <row r="92" spans="8:11" ht="13.2">
      <c r="H92" s="40" t="s">
        <v>117</v>
      </c>
      <c r="I92" s="40" t="s">
        <v>59</v>
      </c>
      <c r="J92" s="40" t="s">
        <v>73</v>
      </c>
      <c r="K92">
        <v>0.4</v>
      </c>
    </row>
    <row r="93" spans="8:11" ht="13.2">
      <c r="H93" s="40" t="s">
        <v>117</v>
      </c>
      <c r="I93" s="40" t="s">
        <v>59</v>
      </c>
      <c r="J93" s="40" t="s">
        <v>74</v>
      </c>
      <c r="K93">
        <v>0</v>
      </c>
    </row>
    <row r="94" spans="8:11" ht="13.2">
      <c r="H94" s="40" t="s">
        <v>117</v>
      </c>
      <c r="I94" s="40" t="s">
        <v>59</v>
      </c>
      <c r="J94" s="40" t="s">
        <v>75</v>
      </c>
      <c r="K94">
        <v>1</v>
      </c>
    </row>
    <row r="95" spans="8:11" ht="13.2">
      <c r="H95" s="40" t="s">
        <v>117</v>
      </c>
      <c r="I95" s="40" t="s">
        <v>59</v>
      </c>
      <c r="J95" s="40" t="s">
        <v>76</v>
      </c>
      <c r="K95">
        <v>2.2999999999999998</v>
      </c>
    </row>
    <row r="96" spans="8:11" ht="13.2">
      <c r="H96" s="40" t="s">
        <v>117</v>
      </c>
      <c r="I96" s="40" t="s">
        <v>59</v>
      </c>
      <c r="J96" s="40" t="s">
        <v>77</v>
      </c>
      <c r="K96">
        <v>2.9</v>
      </c>
    </row>
    <row r="97" spans="8:11" ht="13.2">
      <c r="H97" s="40" t="s">
        <v>117</v>
      </c>
      <c r="I97" s="40" t="s">
        <v>59</v>
      </c>
      <c r="J97" s="40" t="s">
        <v>78</v>
      </c>
      <c r="K97">
        <v>1.3</v>
      </c>
    </row>
    <row r="98" spans="8:11" ht="13.2">
      <c r="H98" s="40" t="s">
        <v>117</v>
      </c>
      <c r="I98" s="40" t="s">
        <v>59</v>
      </c>
      <c r="J98" s="40" t="s">
        <v>79</v>
      </c>
      <c r="K98">
        <v>2.2000000000000002</v>
      </c>
    </row>
    <row r="99" spans="8:11" ht="13.2">
      <c r="H99" s="40" t="s">
        <v>117</v>
      </c>
      <c r="I99" s="40" t="s">
        <v>59</v>
      </c>
      <c r="J99" s="40" t="s">
        <v>80</v>
      </c>
      <c r="K99">
        <v>3.1</v>
      </c>
    </row>
    <row r="100" spans="8:11" ht="13.2">
      <c r="H100" s="40" t="s">
        <v>117</v>
      </c>
      <c r="I100" s="40" t="s">
        <v>59</v>
      </c>
      <c r="J100" s="40" t="s">
        <v>81</v>
      </c>
      <c r="K100">
        <v>4.9000000000000004</v>
      </c>
    </row>
  </sheetData>
  <pageMargins left="0.7" right="0.7" top="0.75" bottom="0.75" header="0.3" footer="0.3"/>
  <tableParts count="3">
    <tablePart r:id="rId1"/>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0463797-AD86-4E42-91F3-4ED4CD9C941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Fig 15.1. Rule 1</vt:lpstr>
      <vt:lpstr>Fig 15.3. Rule 2</vt:lpstr>
      <vt:lpstr>Fig 15.4. Rule 3</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Lehner</cp:lastModifiedBy>
  <dcterms:modified xsi:type="dcterms:W3CDTF">2026-05-07T16:44:59Z</dcterms:modified>
</cp:coreProperties>
</file>