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6.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Ex9.xml" ContentType="application/vnd.ms-office.chartex+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323636F-663B-45A0-9D68-C0AB6500A2E4}"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7.1. Vienna Histogram" sheetId="2" r:id="rId2"/>
    <sheet name="Fig 7.2. Vienna Histograms" sheetId="10" r:id="rId3"/>
    <sheet name="Fig 7.4. Vienna Stem-and-leaf" sheetId="4" r:id="rId4"/>
    <sheet name="Fig 7.5. Vienna Histogram" sheetId="5" r:id="rId5"/>
    <sheet name="Fig 7.7. Comparison Histogram" sheetId="6" r:id="rId6"/>
    <sheet name="Fig 7.8. Dublin Histogram" sheetId="7" r:id="rId7"/>
    <sheet name="Data" sheetId="8" r:id="rId8"/>
  </sheets>
  <definedNames>
    <definedName name="_xlchart.v1.0" hidden="1">'Fig 7.1. Vienna Histogram'!$C$1</definedName>
    <definedName name="_xlchart.v1.1" hidden="1">'Fig 7.1. Vienna Histogram'!$C$2:$C$133</definedName>
    <definedName name="_xlchart.v1.10" hidden="1">'Fig 7.5. Vienna Histogram'!$C$1</definedName>
    <definedName name="_xlchart.v1.11" hidden="1">'Fig 7.5. Vienna Histogram'!$C$2:$C$133</definedName>
    <definedName name="_xlchart.v1.12" hidden="1">'Fig 7.7. Comparison Histogram'!$B$1</definedName>
    <definedName name="_xlchart.v1.13" hidden="1">'Fig 7.7. Comparison Histogram'!$B$2:$B$67</definedName>
    <definedName name="_xlchart.v1.14" hidden="1">'Fig 7.7. Comparison Histogram'!$C$1</definedName>
    <definedName name="_xlchart.v1.15" hidden="1">'Fig 7.7. Comparison Histogram'!$C$2:$C$67</definedName>
    <definedName name="_xlchart.v1.16" hidden="1">'Fig 7.8. Dublin Histogram'!$C$1</definedName>
    <definedName name="_xlchart.v1.17" hidden="1">'Fig 7.8. Dublin Histogram'!$C$2:$C$67</definedName>
    <definedName name="_xlchart.v1.2" hidden="1">'Fig 7.2. Vienna Histograms'!$C$1</definedName>
    <definedName name="_xlchart.v1.3" hidden="1">'Fig 7.2. Vienna Histograms'!$C$2:$C$133</definedName>
    <definedName name="_xlchart.v1.4" hidden="1">'Fig 7.2. Vienna Histograms'!$C$1</definedName>
    <definedName name="_xlchart.v1.5" hidden="1">'Fig 7.2. Vienna Histograms'!$C$2:$C$133</definedName>
    <definedName name="_xlchart.v1.6" hidden="1">'Fig 7.2. Vienna Histograms'!$C$1</definedName>
    <definedName name="_xlchart.v1.7" hidden="1">'Fig 7.2. Vienna Histograms'!$C$2:$C$133</definedName>
    <definedName name="_xlchart.v1.8" hidden="1">'Fig 7.2. Vienna Histograms'!$C$1</definedName>
    <definedName name="_xlchart.v1.9" hidden="1">'Fig 7.2. Vienna Histograms'!$C$2:$C$133</definedName>
    <definedName name="ExternalData_1" localSheetId="7" hidden="1">Data!$A$1:$F$133</definedName>
    <definedName name="ExternalData_1" localSheetId="1" hidden="1">'Fig 7.1. Vienna Histogram'!$A$1:$C$67</definedName>
    <definedName name="ExternalData_1" localSheetId="2" hidden="1">'Fig 7.2. Vienna Histograms'!$A$1:$C$67</definedName>
    <definedName name="ExternalData_1" localSheetId="4" hidden="1">'Fig 7.5. Vienna Histogram'!$A$1:$C$67</definedName>
    <definedName name="ExternalData_1" localSheetId="5" hidden="1">'Fig 7.7. Comparison Histogram'!$A$1:$C$67</definedName>
    <definedName name="ExternalData_1" localSheetId="6" hidden="1">'Fig 7.8. Dublin Histogram'!$A$1:$C$67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2"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H17" i="4"/>
  <c r="H13" i="4"/>
  <c r="H9" i="4"/>
  <c r="H5" i="4"/>
  <c r="H11" i="4"/>
  <c r="H7" i="4"/>
  <c r="H3" i="4"/>
  <c r="H12" i="4"/>
  <c r="H8" i="4"/>
  <c r="H4" i="4"/>
  <c r="H14" i="4"/>
  <c r="H10" i="4"/>
  <c r="H6" i="4"/>
  <c r="H2" i="4"/>
  <c r="H15" i="4"/>
  <c r="H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B7F29F-1E77-4AFB-900E-39291E4DF49E}" keepAlive="1" name="Query - death-to-birth-rates-by-hospital-1784-to-1849" description="Connection to the 'death-to-birth-rates-by-hospital-1784-to-1849' query in the workbook." type="5" refreshedVersion="8" background="1" saveData="1">
    <dbPr connection="Provider=Microsoft.Mashup.OleDb.1;Data Source=$Workbook$;Location=death-to-birth-rates-by-hospital-1784-to-1849;Extended Properties=&quot;&quot;" command="SELECT * FROM [death-to-birth-rates-by-hospital-1784-to-1849]"/>
  </connection>
  <connection id="2" xr16:uid="{4D2638E8-56D5-4621-83DE-33440FD43330}" keepAlive="1" name="Query - death-to-birth-rates-by-hospital-1784-to-1849 (2)" description="Connection to the 'death-to-birth-rates-by-hospital-1784-to-1849 (2)' query in the workbook." type="5" refreshedVersion="8" background="1" saveData="1">
    <dbPr connection="Provider=Microsoft.Mashup.OleDb.1;Data Source=$Workbook$;Location=&quot;death-to-birth-rates-by-hospital-1784-to-1849 (2)&quot;;Extended Properties=&quot;&quot;" command="SELECT * FROM [death-to-birth-rates-by-hospital-1784-to-1849 (2)]"/>
  </connection>
  <connection id="3" xr16:uid="{0B6ACB73-04B4-4F0F-8F63-B65A3AFA4A95}" keepAlive="1" name="Query - death-to-birth-rates-by-hospital-1784-to-1849 (3)" description="Connection to the 'death-to-birth-rates-by-hospital-1784-to-1849 (3)' query in the workbook." type="5" refreshedVersion="8" background="1" saveData="1">
    <dbPr connection="Provider=Microsoft.Mashup.OleDb.1;Data Source=$Workbook$;Location=&quot;death-to-birth-rates-by-hospital-1784-to-1849 (3)&quot;;Extended Properties=&quot;&quot;" command="SELECT * FROM [death-to-birth-rates-by-hospital-1784-to-1849 (3)]"/>
  </connection>
  <connection id="4" xr16:uid="{B2DDC808-D1DB-4F8F-9557-ED522D32CFBE}" keepAlive="1" name="Query - death-to-birth-rates-by-hospital-1784-to-1849 (4)" description="Connection to the 'death-to-birth-rates-by-hospital-1784-to-1849 (4)' query in the workbook." type="5" refreshedVersion="8" background="1" saveData="1">
    <dbPr connection="Provider=Microsoft.Mashup.OleDb.1;Data Source=$Workbook$;Location=&quot;death-to-birth-rates-by-hospital-1784-to-1849 (4)&quot;;Extended Properties=&quot;&quot;" command="SELECT * FROM [death-to-birth-rates-by-hospital-1784-to-1849 (4)]"/>
  </connection>
  <connection id="5" xr16:uid="{CE6B8A69-CBC9-4898-B170-BC77BD56A6D9}" keepAlive="1" name="Query - death-to-birth-rates-by-hospital-1784-to-1849 (5)" description="Connection to the 'death-to-birth-rates-by-hospital-1784-to-1849 (5)' query in the workbook." type="5" refreshedVersion="8" background="1" saveData="1">
    <dbPr connection="Provider=Microsoft.Mashup.OleDb.1;Data Source=$Workbook$;Location=&quot;death-to-birth-rates-by-hospital-1784-to-1849 (5)&quot;;Extended Properties=&quot;&quot;" command="SELECT * FROM [death-to-birth-rates-by-hospital-1784-to-1849 (5)]"/>
  </connection>
  <connection id="6" xr16:uid="{8904DBD1-D294-4A5B-A0BC-63EC73A6125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<sst xmlns="http://schemas.openxmlformats.org/spreadsheetml/2006/main" count="766" uniqueCount="97">
  <si>
    <t>Chapter 7. How to Build a Helpful Histogram</t>
  </si>
  <si>
    <t>Hospital</t>
  </si>
  <si>
    <t>Year</t>
  </si>
  <si>
    <t>Vienna General Hospital</t>
  </si>
  <si>
    <t>Rate</t>
  </si>
  <si>
    <t>Stem</t>
  </si>
  <si>
    <t>Leaf</t>
  </si>
  <si>
    <t>Unique Stems</t>
  </si>
  <si>
    <t>Leaves</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</si>
  <si>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</si>
  <si>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</si>
  <si>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</si>
  <si>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</si>
  <si>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</si>
  <si>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</si>
  <si>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</si>
  <si>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</si>
  <si>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</si>
  <si>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</si>
  <si>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</si>
  <si>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</si>
  <si>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</si>
  <si>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</si>
  <si>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</si>
  <si>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</si>
  <si>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</si>
  <si>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</si>
  <si>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</si>
  <si>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</si>
  <si>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</si>
  <si>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</si>
  <si>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</si>
  <si>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</si>
  <si>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</si>
  <si>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</si>
  <si>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</si>
  <si>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</si>
  <si>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</si>
  <si>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</si>
  <si>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</si>
  <si>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</si>
  <si>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</si>
  <si>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</si>
  <si>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</si>
  <si>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</si>
  <si>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</si>
  <si>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</si>
  <si>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</si>
  <si>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</si>
  <si>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</si>
  <si>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</si>
  <si>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</si>
  <si>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</si>
  <si>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</si>
  <si>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</si>
  <si>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</si>
  <si>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</si>
  <si>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</si>
  <si>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</si>
  <si>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</si>
  <si>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</si>
  <si>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</si>
  <si>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</si>
  <si>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</si>
  <si>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</si>
  <si>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</si>
  <si>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</si>
  <si>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</si>
  <si>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</si>
  <si>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</si>
  <si>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</si>
  <si>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</si>
  <si>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</si>
  <si>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</si>
  <si>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</si>
  <si>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Dublin Maternity Hospital</t>
  </si>
  <si>
    <t>Link to book:</t>
  </si>
  <si>
    <t>https://www.brokenquality.com/book</t>
  </si>
  <si>
    <t>Link to GitHub:</t>
  </si>
  <si>
    <t>https://github.com/jimlehner/virus-of-variation-book</t>
  </si>
  <si>
    <t>Contact:</t>
  </si>
  <si>
    <t>James.Lehner@gmail.com</t>
  </si>
  <si>
    <t>QualityIsBroken@gmail.com</t>
  </si>
  <si>
    <r>
      <rPr>
        <sz val="12"/>
        <color rgb="FF000000"/>
        <rFont val="Montserrat"/>
      </rPr>
      <t>This serves as a resource for building some of the figures in Chapter 7 of The Virus of Variation using Microsoft Excel or Google Sheets.
The figures included here are:
Figure 7.1. Histogram of Vienna General rates
Figure 7.2. Histograms of Vienna General rates (different buckets)
Figure 7.4. Stem-and-leaf of Vienna rates
Figure 7.5. Histogram of Vienna rates (buckets = 1)
Figure 7.7. Hisogram comparison
Figure 7.8. Histogram of Dublin rates
Each figure has its own tab. The data used in the figures can be found in the Data tab.
For additional details regarding each of these figures, see Chapter 7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</si>
  <si>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https://raw.githubusercontent.com/jimlehner/virus-of-variation-book/refs/heads/main/data/death-to-birth-rates-by-hospital-1784-to-1849.csv</t>
  </si>
  <si>
    <t>Raw GitHub Data URLs:</t>
  </si>
  <si>
    <t>Fig 7.1, 7.2, 7.4, 7.5, 7.7, 7.8</t>
  </si>
  <si>
    <t>Births</t>
  </si>
  <si>
    <t>Deaths</t>
  </si>
  <si>
    <t>Note</t>
  </si>
  <si>
    <t>No pathological anatomy</t>
  </si>
  <si>
    <t/>
  </si>
  <si>
    <t>Pathological anatomy begins</t>
  </si>
  <si>
    <t>Separation of clinics</t>
  </si>
  <si>
    <t>hereafter numbers refer to first clinic only</t>
  </si>
  <si>
    <t>Chlorine washings begin mid-May</t>
  </si>
  <si>
    <t>Semmelweis dismissed from hospital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</si>
</sst>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4">
    <font>
      <sz val="10"/>
      <color rgb="FF000000"/>
      <name val="Arial"/>
      <scheme val="minor"/>
    </font>
    <font>
      <b/>
      <sz val="16"/>
      <color rgb="FFD72323"/>
      <name val="Montserrat"/>
    </font>
    <font>
      <sz val="10"/>
      <color theme="1"/>
      <name val="Arial"/>
      <family val="2"/>
    </font>
    <font>
      <sz val="10"/>
      <color rgb="FF202122"/>
      <name val="Arial"/>
      <family val="2"/>
    </font>
    <font>
      <sz val="9"/>
      <color rgb="FF1F2328"/>
      <name val="Arial"/>
      <family val="2"/>
    </font>
    <font>
      <sz val="9"/>
      <color rgb="FF1F2328"/>
      <name val="-apple-system"/>
    </font>
    <font>
      <sz val="10"/>
      <color rgb="FF1F2328"/>
      <name val="Arial"/>
      <family val="2"/>
      <scheme val="minor"/>
    </font>
    <font>
      <sz val="10"/>
      <color theme="1"/>
      <name val="Arial"/>
      <family val="2"/>
      <scheme val="minor"/>
    </font>
    <font>
      <sz val="9"/>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4">
    <border>
      <left/>
      <right/>
      <top/>
      <bottom/>
      <diagonal/>
    </border>
    <border>
      <left style="thin">
        <color rgb="FFD1D9E0"/>
      </left>
      <right/>
      <top/>
      <bottom/>
      <diagonal/>
    </border>
    <border>
      <left style="thin">
        <color rgb="FFD1D9E0"/>
      </left>
      <right/>
      <top style="thin">
        <color rgb="FFD1D9E0"/>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9" fillId="0" borderId="0" applyNumberFormat="0" applyFill="0" applyBorder="0" applyAlignment="0" applyProtection="0"/>
    <xf numFmtId="0" fontId="10" fillId="0" borderId="0"/>
  </cellStyleXfs>
  <cellXfs count="51">
    <xf numFmtId="0" fontId="0" fillId="0" borderId="0" xfId="0"/>
    <xf numFmtId="0" fontId="2" fillId="0" borderId="0" xfId="0" applyFont="1"/>
    <xf numFmtId="0" fontId="2" fillId="0" borderId="0" xfId="0" applyFont="1" applyAlignment="1">
      <alignment horizontal="left"/>
    </xf>
    <xf numFmtId="164" fontId="2" fillId="0" borderId="0" xfId="0" applyNumberFormat="1" applyFont="1" applyAlignment="1">
      <alignment horizontal="right"/>
    </xf>
    <xf numFmtId="49" fontId="2" fillId="0" borderId="0" xfId="0" applyNumberFormat="1" applyFont="1" applyAlignment="1">
      <alignment horizontal="left"/>
    </xf>
    <xf numFmtId="0" fontId="4" fillId="0" borderId="2" xfId="0" applyFont="1" applyBorder="1" applyAlignment="1">
      <alignment horizontal="right"/>
    </xf>
    <xf numFmtId="165" fontId="5" fillId="0" borderId="2" xfId="0" applyNumberFormat="1" applyFont="1" applyBorder="1" applyAlignment="1">
      <alignment horizontal="right"/>
    </xf>
    <xf numFmtId="165" fontId="5" fillId="0" borderId="0" xfId="0" applyNumberFormat="1" applyFont="1" applyAlignment="1">
      <alignment horizontal="right"/>
    </xf>
    <xf numFmtId="0" fontId="6" fillId="0" borderId="1" xfId="0" applyFont="1" applyBorder="1" applyAlignment="1">
      <alignment horizontal="right"/>
    </xf>
    <xf numFmtId="0" fontId="7" fillId="0" borderId="0" xfId="0" applyFont="1" applyAlignment="1">
      <alignment horizontal="right"/>
    </xf>
    <xf numFmtId="0" fontId="7" fillId="0" borderId="0" xfId="0" applyFont="1" applyAlignment="1">
      <alignment horizontal="center"/>
    </xf>
    <xf numFmtId="0" fontId="7" fillId="0" borderId="0" xfId="0" applyFont="1"/>
    <xf numFmtId="0" fontId="4" fillId="0" borderId="0" xfId="0" applyFont="1" applyAlignment="1">
      <alignment horizontal="right"/>
    </xf>
    <xf numFmtId="1" fontId="4" fillId="0" borderId="0" xfId="0" applyNumberFormat="1" applyFont="1" applyAlignment="1">
      <alignment horizontal="right"/>
    </xf>
    <xf numFmtId="165" fontId="5" fillId="0" borderId="1" xfId="0" applyNumberFormat="1" applyFont="1" applyBorder="1" applyAlignment="1">
      <alignment horizontal="right"/>
    </xf>
    <xf numFmtId="164" fontId="3" fillId="0" borderId="0" xfId="0" applyNumberFormat="1" applyFont="1" applyAlignment="1">
      <alignment horizontal="right"/>
    </xf>
    <xf numFmtId="164" fontId="2" fillId="0" borderId="0" xfId="0" applyNumberFormat="1" applyFont="1" applyAlignment="1">
      <alignment horizontal="left"/>
    </xf>
    <xf numFmtId="164" fontId="3" fillId="0" borderId="0" xfId="0" applyNumberFormat="1" applyFont="1" applyAlignment="1">
      <alignment horizontal="left"/>
    </xf>
    <xf numFmtId="164" fontId="0" fillId="0" borderId="0" xfId="0" applyNumberFormat="1"/>
    <xf numFmtId="3" fontId="7" fillId="0" borderId="0" xfId="0" applyNumberFormat="1" applyFont="1"/>
    <xf numFmtId="0" fontId="8" fillId="0" borderId="0" xfId="0" applyFont="1" applyAlignment="1">
      <alignment horizontal="left"/>
    </xf>
    <xf numFmtId="0" fontId="0" fillId="0" borderId="0" xfId="0" applyAlignment="1">
      <alignment horizontal="left"/>
    </xf>
    <xf numFmtId="0" fontId="11" fillId="0" borderId="8" xfId="0" applyFont="1" applyBorder="1" applyAlignment="1">
      <alignment wrapText="1"/>
    </xf>
    <xf numFmtId="0" fontId="3" fillId="0" borderId="0" xfId="0" applyFont="1" applyAlignment="1">
      <alignment horizontal="left"/>
    </xf>
    <xf numFmtId="164" fontId="2" fillId="0" borderId="0" xfId="0" applyNumberFormat="1" applyFont="1"/>
    <xf numFmtId="0" fontId="12" fillId="0" borderId="3" xfId="0"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1"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9" fillId="0" borderId="6" xfId="1" applyBorder="1" applyAlignment="1">
      <alignment horizontal="center"/>
    </xf>
    <xf numFmtId="0" fontId="9" fillId="0" borderId="0" xfId="1" applyBorder="1" applyAlignment="1">
      <alignment horizontal="center"/>
    </xf>
    <xf numFmtId="0" fontId="9" fillId="0" borderId="7" xfId="1" applyBorder="1" applyAlignment="1">
      <alignment horizontal="center"/>
    </xf>
    <xf numFmtId="0" fontId="11" fillId="0" borderId="6" xfId="0" applyFont="1" applyBorder="1" applyAlignment="1">
      <alignment horizontal="center"/>
    </xf>
    <xf numFmtId="0" fontId="11" fillId="0" borderId="0" xfId="0" applyFont="1" applyAlignment="1">
      <alignment horizontal="center"/>
    </xf>
    <xf numFmtId="0" fontId="11" fillId="0" borderId="7" xfId="0" applyFont="1" applyBorder="1" applyAlignment="1">
      <alignment horizontal="center"/>
    </xf>
    <xf numFmtId="0" fontId="0" fillId="0" borderId="9" xfId="0" applyBorder="1" applyAlignment="1">
      <alignment horizontal="left" vertical="center"/>
    </xf>
    <xf numFmtId="0" fontId="0" fillId="0" borderId="10" xfId="0" applyBorder="1" applyAlignment="1">
      <alignment horizontal="left" vertical="center"/>
    </xf>
    <xf numFmtId="0" fontId="9" fillId="0" borderId="8" xfId="1" applyBorder="1" applyAlignment="1">
      <alignment horizontal="center"/>
    </xf>
    <xf numFmtId="0" fontId="9" fillId="0" borderId="9" xfId="1" applyBorder="1" applyAlignment="1">
      <alignment horizontal="center"/>
    </xf>
    <xf numFmtId="0" fontId="9" fillId="0" borderId="10" xfId="1" applyBorder="1" applyAlignment="1">
      <alignment horizontal="center"/>
    </xf>
    <xf numFmtId="0" fontId="1" fillId="0" borderId="11" xfId="0" applyFont="1" applyBorder="1" applyAlignment="1">
      <alignment horizontal="center"/>
    </xf>
    <xf numFmtId="0" fontId="0" fillId="0" borderId="12" xfId="0" applyBorder="1"/>
    <xf numFmtId="0" fontId="0" fillId="0" borderId="13" xfId="0" applyBorder="1"/>
  </cellXfs>
  <cellStyles count="3">
    <cellStyle name="Hyperlink" xfId="1" builtinId="8"/>
    <cellStyle name="Normal" xfId="0" builtinId="0"/>
    <cellStyle name="Normal 2" xfId="2" xr:uid="{DB922456-F6DF-4092-B638-5A027FB15B05}"/>
  </cellStyles>
  <dxfs count="14">
    <dxf>
      <numFmt numFmtId="0" formatCode="General"/>
    </dxf>
    <dxf>
      <numFmt numFmtId="0" formatCode="General"/>
    </dxf>
    <dxf>
      <alignment horizontal="general" vertical="bottom" textRotation="0" wrapText="0" indent="0" justifyLastLine="0" shrinkToFit="0" readingOrder="0"/>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0BA9A440-2B34-4FC8-B141-C042927C6F58}">
      <tableStyleElement type="wholeTable"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A6CA4125-BFF2-415D-A942-2DB1D3A6BFF7}">
          <cx:tx>
            <cx:txData>
              <cx:f>_xlchart.v1.0</cx:f>
              <cx:v>Rate</cx:v>
            </cx:txData>
          </cx:tx>
          <cx:dataId val="0"/>
          <cx:layoutPr>
            <cx:binning intervalClosed="r">
              <cx:binCount val="8"/>
            </cx:binning>
          </cx:layoutPr>
        </cx:series>
      </cx:plotAreaRegion>
      <cx:axis id="0">
        <cx:catScaling gapWidth="0"/>
        <cx:title>
          <cx:tx>
            <cx:txData>
              <cx:v>Death-to-Birth Rate (%)</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Death-to-Birth Rate (%)</a:t>
              </a:r>
            </a:p>
          </cx:txPr>
        </cx:title>
        <cx:tickLabels/>
      </cx:axis>
      <cx:axis id="1">
        <cx:valScaling/>
        <cx:title>
          <cx:tx>
            <cx:txData>
              <cx:v>Count</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Count</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8 Bins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8 Bins</a:t>
          </a:r>
        </a:p>
      </cx:txPr>
    </cx:title>
    <cx:plotArea>
      <cx:plotAreaRegion>
        <cx:series layoutId="clusteredColumn" uniqueId="{AF6B5700-55CB-4957-9ECC-B0D23F0E33CE}">
          <cx:tx>
            <cx:txData>
              <cx:f>_xlchart.v1.4</cx:f>
              <cx:v>Rate</cx:v>
            </cx:txData>
          </cx:tx>
          <cx:dataId val="0"/>
          <cx:layoutPr>
            <cx:binning intervalClosed="r"/>
          </cx:layoutPr>
        </cx:series>
      </cx:plotAreaRegion>
      <cx:axis id="0">
        <cx:catScaling gapWidth="0"/>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12 Bins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12 Bins</a:t>
          </a:r>
        </a:p>
      </cx:txPr>
    </cx:title>
    <cx:plotArea>
      <cx:plotAreaRegion>
        <cx:series layoutId="clusteredColumn" uniqueId="{AF6B5700-55CB-4957-9ECC-B0D23F0E33CE}">
          <cx:tx>
            <cx:txData>
              <cx:f>_xlchart.v1.6</cx:f>
              <cx:v>Rate</cx:v>
            </cx:txData>
          </cx:tx>
          <cx:dataId val="0"/>
          <cx:layoutPr>
            <cx:binning intervalClosed="r">
              <cx:binCount val="12"/>
            </cx:binning>
          </cx:layoutPr>
        </cx:series>
      </cx:plotAreaRegion>
      <cx:axis id="0">
        <cx:catScaling gapWidth="0"/>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16 Bins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16 Bins</a:t>
          </a:r>
        </a:p>
      </cx:txPr>
    </cx:title>
    <cx:plotArea>
      <cx:plotAreaRegion>
        <cx:series layoutId="clusteredColumn" uniqueId="{AF6B5700-55CB-4957-9ECC-B0D23F0E33CE}">
          <cx:tx>
            <cx:txData>
              <cx:f>_xlchart.v1.2</cx:f>
              <cx:v>Rate</cx:v>
            </cx:txData>
          </cx:tx>
          <cx:dataId val="0"/>
          <cx:layoutPr>
            <cx:binning intervalClosed="r">
              <cx:binCount val="16"/>
            </cx:binning>
          </cx:layoutPr>
        </cx:series>
      </cx:plotAreaRegion>
      <cx:axis id="0">
        <cx:catScaling gapWidth="0"/>
        <cx:tickLabels/>
      </cx:axis>
      <cx:axis id="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20 Bins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20 Bins</a:t>
          </a:r>
        </a:p>
      </cx:txPr>
    </cx:title>
    <cx:plotArea>
      <cx:plotAreaRegion>
        <cx:series layoutId="clusteredColumn" uniqueId="{AF6B5700-55CB-4957-9ECC-B0D23F0E33CE}">
          <cx:tx>
            <cx:txData>
              <cx:f>_xlchart.v1.8</cx:f>
              <cx:v>Rate</cx:v>
            </cx:txData>
          </cx:tx>
          <cx:dataId val="0"/>
          <cx:layoutPr>
            <cx:binning intervalClosed="r">
              <cx:binCount val="20"/>
            </cx:binning>
          </cx:layoutPr>
        </cx:series>
      </cx:plotAreaRegion>
      <cx:axis id="0">
        <cx:catScaling gapWidth="0"/>
        <cx:tickLabels/>
      </cx:axis>
      <cx:axis id="1">
        <cx:valScaling/>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plotArea>
      <cx:plotAreaRegion>
        <cx:series layoutId="clusteredColumn" uniqueId="{394D615F-8D65-47E6-9BF3-5DC404DCD5A9}">
          <cx:tx>
            <cx:txData>
              <cx:f>_xlchart.v1.10</cx:f>
              <cx:v>Rate</cx:v>
            </cx:txData>
          </cx:tx>
          <cx:dataId val="0"/>
          <cx:layoutPr>
            <cx:binning intervalClosed="r">
              <cx:binCount val="16"/>
            </cx:binning>
          </cx:layoutPr>
        </cx:series>
      </cx:plotAreaRegion>
      <cx:axis id="0">
        <cx:catScaling gapWidth="0"/>
        <cx:tickLabels/>
      </cx:axis>
      <cx:axis id="1">
        <cx:valScaling/>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Vienna General Hospital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Vienna General Hospital</a:t>
          </a:r>
        </a:p>
      </cx:txPr>
    </cx:title>
    <cx:plotArea>
      <cx:plotAreaRegion>
        <cx:series layoutId="clusteredColumn" uniqueId="{77B96775-803B-4C65-B051-B5B7A2140B90}">
          <cx:tx>
            <cx:txData>
              <cx:f>_xlchart.v1.12</cx:f>
              <cx:v>Vienna General Hospital</cx:v>
            </cx:txData>
          </cx:tx>
          <cx:dataId val="0"/>
          <cx:layoutPr>
            <cx:binning intervalClosed="r">
              <cx:binCount val="16"/>
            </cx:binning>
          </cx:layoutPr>
        </cx:series>
      </cx:plotAreaRegion>
      <cx:axis id="0">
        <cx:catScaling gapWidth="0"/>
        <cx:tickLabels/>
      </cx:axis>
      <cx:axis id="1">
        <cx:valScaling/>
        <cx:title>
          <cx:tx>
            <cx:txData>
              <cx:v>Count</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Count</a:t>
              </a:r>
            </a:p>
          </cx:txPr>
        </cx:title>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Dublin Maternity Hospital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Dublin Maternity Hospital</a:t>
          </a:r>
        </a:p>
      </cx:txPr>
    </cx:title>
    <cx:plotArea>
      <cx:plotAreaRegion>
        <cx:series layoutId="clusteredColumn" uniqueId="{E083C2ED-10DE-4508-BFE4-00D5C8C2D2A2}">
          <cx:tx>
            <cx:txData>
              <cx:f>_xlchart.v1.14</cx:f>
              <cx:v>Dublin Maternity Hospital</cx:v>
            </cx:txData>
          </cx:tx>
          <cx:spPr>
            <a:solidFill>
              <a:schemeClr val="accent2"/>
            </a:solidFill>
          </cx:spPr>
          <cx:dataId val="0"/>
          <cx:layoutPr>
            <cx:binning intervalClosed="r">
              <cx:binCount val="16"/>
            </cx:binning>
          </cx:layoutPr>
        </cx:series>
      </cx:plotAreaRegion>
      <cx:axis id="0">
        <cx:catScaling gapWidth="0"/>
        <cx:tickLabels/>
      </cx:axis>
      <cx:axis id="1">
        <cx:valScaling max="30"/>
        <cx:title>
          <cx:tx>
            <cx:txData>
              <cx:v>Count</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rial"/>
                  <a:cs typeface="Arial"/>
                </a:rPr>
                <a:t>Count</a:t>
              </a:r>
            </a:p>
          </cx:txPr>
        </cx:title>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plotArea>
      <cx:plotAreaRegion>
        <cx:series layoutId="clusteredColumn" uniqueId="{E5499C6C-7255-4456-A969-224E4AC17294}">
          <cx:tx>
            <cx:txData>
              <cx:f>_xlchart.v1.16</cx:f>
              <cx:v>Rate</cx:v>
            </cx:txData>
          </cx:tx>
          <cx:dataId val="0"/>
          <cx:layoutPr>
            <cx:binning intervalClosed="r">
              <cx:binCount val="16"/>
            </cx:binning>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4" Type="http://schemas.microsoft.com/office/2014/relationships/chartEx" Target="../charts/chartEx5.xml"/></Relationships>
</file>

<file path=xl/drawings/_rels/drawing4.xml.rels><?xml version="1.0" encoding="UTF-8" standalone="yes"?>
<Relationships xmlns="http://schemas.openxmlformats.org/package/2006/relationships"><Relationship Id="rId1" Type="http://schemas.microsoft.com/office/2014/relationships/chartEx" Target="../charts/chartEx6.xml"/></Relationships>
</file>

<file path=xl/drawings/_rels/drawing5.xml.rels><?xml version="1.0" encoding="UTF-8" standalone="yes"?>
<Relationships xmlns="http://schemas.openxmlformats.org/package/2006/relationships"><Relationship Id="rId2" Type="http://schemas.microsoft.com/office/2014/relationships/chartEx" Target="../charts/chartEx8.xml"/><Relationship Id="rId1" Type="http://schemas.microsoft.com/office/2014/relationships/chartEx" Target="../charts/chartEx7.xml"/></Relationships>
</file>

<file path=xl/drawings/_rels/drawing6.xml.rels><?xml version="1.0" encoding="UTF-8" standalone="yes"?>
<Relationships xmlns="http://schemas.openxmlformats.org/package/2006/relationships"><Relationship Id="rId1" Type="http://schemas.microsoft.com/office/2014/relationships/chartEx" Target="../charts/chartEx9.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18</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E26F592-C901-E504-B0D3-A9F733B070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7550" y="171450"/>
              <a:ext cx="6067425" cy="2914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0</xdr:colOff>
      <xdr:row>14</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92C3B7F-E6FE-D3EE-E0B9-E0C9901ECE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7550" y="171450"/>
              <a:ext cx="3467100" cy="2228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xdr:colOff>
      <xdr:row>1</xdr:row>
      <xdr:rowOff>0</xdr:rowOff>
    </xdr:from>
    <xdr:to>
      <xdr:col>12</xdr:col>
      <xdr:colOff>1</xdr:colOff>
      <xdr:row>16</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8442A7D-D177-4297-986E-7B3D9B8018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24651" y="171450"/>
              <a:ext cx="3467100"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1</xdr:row>
      <xdr:rowOff>0</xdr:rowOff>
    </xdr:from>
    <xdr:to>
      <xdr:col>16</xdr:col>
      <xdr:colOff>0</xdr:colOff>
      <xdr:row>16</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72790F3-38FF-413B-A0FC-9AD63379C3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191750" y="171450"/>
              <a:ext cx="3467100"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1</xdr:row>
      <xdr:rowOff>0</xdr:rowOff>
    </xdr:from>
    <xdr:to>
      <xdr:col>20</xdr:col>
      <xdr:colOff>0</xdr:colOff>
      <xdr:row>16</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F36F558-2311-43C5-A510-1D8E505312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658850" y="171450"/>
              <a:ext cx="3467100"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ED32FE1-C0FC-DFAF-3969-B573B4D1A6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7550" y="200025"/>
              <a:ext cx="6067425" cy="2800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17</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E0273DC-5AC5-783A-80BB-173F15BF3A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10125" y="171450"/>
              <a:ext cx="60674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17</xdr:row>
      <xdr:rowOff>0</xdr:rowOff>
    </xdr:from>
    <xdr:to>
      <xdr:col>11</xdr:col>
      <xdr:colOff>0</xdr:colOff>
      <xdr:row>33</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6A46524-CA8A-184D-4DA1-1BDA9676C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10125" y="2914650"/>
              <a:ext cx="60674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1F4E22B-66A6-3D04-7C8A-06AD7BF8ED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33750" y="171450"/>
              <a:ext cx="60674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12FEF8-ECB5-4E2C-801C-1A8539220576}"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BB4D689-831E-4973-B6F0-206795CF851A}"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F0386DF-D462-4FF5-979F-CEC74DF4EDDD}"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A8FC5F70-3FBE-4F71-BF75-901699654F9A}" autoFormatId="16" applyNumberFormats="0" applyBorderFormats="0" applyFontFormats="0" applyPatternFormats="0" applyAlignmentFormats="0" applyWidthHeightFormats="0">
  <queryTableRefresh nextId="4">
    <queryTableFields count="3">
      <queryTableField id="1" name="Year" tableColumnId="1"/>
      <queryTableField id="2" name="Vienna General Hospital" tableColumnId="2"/>
      <queryTableField id="3" name="Dublin Maternity Hospital"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0E07E7F1-17BA-4B78-BC50-ADB9E2665AD0}" autoFormatId="16" applyNumberFormats="0" applyBorderFormats="0" applyFontFormats="0" applyPatternFormats="0" applyAlignmentFormats="0" applyWidthHeightFormats="0">
  <queryTableRefresh nextId="4">
    <queryTableFields count="3">
      <queryTableField id="1" name="Hospital" tableColumnId="1"/>
      <queryTableField id="2" name="Year" tableColumnId="2"/>
      <queryTableField id="3" name="Rat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339176BE-4272-4FFF-AE6C-104CF01D166E}" autoFormatId="16" applyNumberFormats="0" applyBorderFormats="0" applyFontFormats="0" applyPatternFormats="0" applyAlignmentFormats="0" applyWidthHeightFormats="0">
  <queryTableRefresh nextId="7">
    <queryTableFields count="6">
      <queryTableField id="1" name="Hospital" tableColumnId="1"/>
      <queryTableField id="2" name="Year" tableColumnId="2"/>
      <queryTableField id="3" name="Births" tableColumnId="3"/>
      <queryTableField id="4" name="Deaths" tableColumnId="4"/>
      <queryTableField id="5" name="Rate" tableColumnId="5"/>
      <queryTableField id="6" name="Not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338509-662C-426C-8CBA-059CE03EBB8B}" name="death_to_birth_rates_by_hospital_1784_to_1849" displayName="death_to_birth_rates_by_hospital_1784_to_1849" ref="A1:C67" tableType="queryTable" totalsRowShown="0">
  <autoFilter ref="A1:C67" xr:uid="{66338509-662C-426C-8CBA-059CE03EBB8B}"/>
  <tableColumns count="3">
    <tableColumn id="1" xr3:uid="{61582D23-EB77-4829-97CD-2E28881ABE18}" uniqueName="1" name="Hospital" queryTableFieldId="1" dataDxfId="9"/>
    <tableColumn id="2" xr3:uid="{6691F80A-EBB3-4EBF-AB71-2D2DE520E276}" uniqueName="2" name="Year" queryTableFieldId="2"/>
    <tableColumn id="3" xr3:uid="{03D3AA94-066A-4621-9F67-76E88F564F14}" uniqueName="3" name="Rate" queryTableFieldId="3"/>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98568D-A7A5-4D83-A5F4-A288CE505A70}" name="death_to_birth_rates_by_hospital_1784_to_18494" displayName="death_to_birth_rates_by_hospital_1784_to_18494" ref="A1:C67" tableType="queryTable" totalsRowShown="0">
  <autoFilter ref="A1:C67" xr:uid="{66338509-662C-426C-8CBA-059CE03EBB8B}"/>
  <tableColumns count="3">
    <tableColumn id="1" xr3:uid="{128EB278-7706-4A50-94A0-B5F36DE1ACCE}" uniqueName="1" name="Hospital" queryTableFieldId="1" dataDxfId="8"/>
    <tableColumn id="2" xr3:uid="{3D2D3ED1-3389-46E4-A5B6-E4853458D555}" uniqueName="2" name="Year" queryTableFieldId="2"/>
    <tableColumn id="3" xr3:uid="{FD7BF29B-6D58-43E1-BDFE-3CAE502A1C79}" uniqueName="3" name="Rate" queryTableFieldId="3"/>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FC4C00-CB3F-4623-BEBC-81A873FBB4DB}" name="death_to_birth_rates_by_hospital_1784_to_18495" displayName="death_to_birth_rates_by_hospital_1784_to_18495" ref="A1:C67" tableType="queryTable" totalsRowShown="0">
  <autoFilter ref="A1:C67" xr:uid="{E7FC4C00-CB3F-4623-BEBC-81A873FBB4DB}"/>
  <tableColumns count="3">
    <tableColumn id="1" xr3:uid="{D783FFEF-177D-48BC-8C4F-2025513C01E6}" uniqueName="1" name="Hospital" queryTableFieldId="1" dataDxfId="7"/>
    <tableColumn id="2" xr3:uid="{BCECED38-28A2-4E56-8FBE-DFD27BDBB57F}" uniqueName="2" name="Year" queryTableFieldId="2"/>
    <tableColumn id="3" xr3:uid="{9911C09C-D9B4-414A-B435-BB5DA435CBFC}" uniqueName="3" name="Rate" queryTableFieldId="3"/>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2987E8-66C8-4CAA-B4ED-E44EB7DA3D8C}" name="death_to_birth_rates_by_hospital_1784_to_1849__5" displayName="death_to_birth_rates_by_hospital_1784_to_1849__5" ref="A1:C67" tableType="queryTable" totalsRowShown="0" headerRowDxfId="6">
  <autoFilter ref="A1:C67" xr:uid="{1C2987E8-66C8-4CAA-B4ED-E44EB7DA3D8C}"/>
  <tableColumns count="3">
    <tableColumn id="1" xr3:uid="{7E19F3D7-A383-47CF-AE63-EDA13E208494}" uniqueName="1" name="Year" queryTableFieldId="1" dataDxfId="5"/>
    <tableColumn id="2" xr3:uid="{C7D57636-D42E-41C0-9E5A-8AC2D9E64665}" uniqueName="2" name="Vienna General Hospital" queryTableFieldId="2"/>
    <tableColumn id="3" xr3:uid="{031359CF-EE9F-4E6B-8A47-ADFE7FCC7A3A}" uniqueName="3" name="Dublin Maternity Hospital" queryTableFieldId="3"/>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9C48A6-1430-41CF-AB94-C3E81DD61766}" name="death_to_birth_rates_by_hospital_1784_to_1849__4" displayName="death_to_birth_rates_by_hospital_1784_to_1849__4" ref="A1:C67" tableType="queryTable" totalsRowShown="0">
  <autoFilter ref="A1:C67" xr:uid="{339C48A6-1430-41CF-AB94-C3E81DD61766}"/>
  <tableColumns count="3">
    <tableColumn id="1" xr3:uid="{648816A8-6C99-4BAB-A807-882017611509}" uniqueName="1" name="Hospital" queryTableFieldId="1" dataDxfId="4"/>
    <tableColumn id="2" xr3:uid="{51E58939-A493-48D4-9633-9291A2CD737F}" uniqueName="2" name="Year" queryTableFieldId="2" dataDxfId="3"/>
    <tableColumn id="3" xr3:uid="{4CD8678B-D8D0-41AB-ABA0-BD9F07AACDDD}" uniqueName="3" name="Rate" queryTableFieldId="3"/>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76C7C-45AB-4859-840D-DC3B1200D5F3}" name="Query1" displayName="Query1" ref="A1:F133" tableType="queryTable" totalsRowShown="0" headerRowDxfId="2">
  <autoFilter ref="A1:F133" xr:uid="{99576C7C-45AB-4859-840D-DC3B1200D5F3}"/>
  <tableColumns count="6">
    <tableColumn id="1" xr3:uid="{443BFC4B-F8BC-4AD9-A44F-176AD13E9FBE}" uniqueName="1" name="Hospital" queryTableFieldId="1" dataDxfId="1"/>
    <tableColumn id="2" xr3:uid="{9331215E-01AB-4F1D-8AE7-60D13265A12F}" uniqueName="2" name="Year" queryTableFieldId="2"/>
    <tableColumn id="3" xr3:uid="{FF21D853-4A9A-45FC-B6D6-61B7E50CE1F7}" uniqueName="3" name="Births" queryTableFieldId="3"/>
    <tableColumn id="4" xr3:uid="{576F9D64-10D7-48A7-BC10-377C7F882352}" uniqueName="4" name="Deaths" queryTableFieldId="4"/>
    <tableColumn id="5" xr3:uid="{92B0DF05-5644-41C0-A4B7-B407B05025E1}" uniqueName="5" name="Rate" queryTableFieldId="5"/>
    <tableColumn id="6" xr3:uid="{5D61471E-EFE6-411A-AB62-9F18A843699D}" uniqueName="6" name="Note" queryTableFieldId="6"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0"/>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4.6">
      <c r="A1" s="48" t="s">
        <v>0</v>
      </c>
      <c r="B1" s="49"/>
      <c r="C1" s="49"/>
      <c r="D1" s="49"/>
      <c r="E1" s="49"/>
      <c r="F1" s="49"/>
      <c r="G1" s="50"/>
      <c r="H1" s="1"/>
      <c r="I1" s="1"/>
      <c r="J1" s="1"/>
      <c r="K1" s="1"/>
      <c r="L1" s="1"/>
    </row>
    <row r="2" spans="1:12" ht="15.75" customHeight="1">
      <c r="A2" s="25" t="s">
        <v>83</v>
      </c>
      <c r="B2" s="26"/>
      <c r="C2" s="26"/>
      <c r="D2" s="26"/>
      <c r="E2" s="26"/>
      <c r="F2" s="26"/>
      <c r="G2" s="27"/>
      <c r="H2" s="1"/>
      <c r="I2" s="1"/>
    </row>
    <row r="3" spans="1:12" ht="15.75" customHeight="1">
      <c r="A3" s="28"/>
      <c r="B3" s="29"/>
      <c r="C3" s="29"/>
      <c r="D3" s="29"/>
      <c r="E3" s="29"/>
      <c r="F3" s="29"/>
      <c r="G3" s="30"/>
      <c r="H3" s="1"/>
    </row>
    <row r="4" spans="1:12" ht="15.75" customHeight="1">
      <c r="A4" s="28"/>
      <c r="B4" s="29"/>
      <c r="C4" s="29"/>
      <c r="D4" s="29"/>
      <c r="E4" s="29"/>
      <c r="F4" s="29"/>
      <c r="G4" s="30"/>
      <c r="H4" s="1"/>
    </row>
    <row r="5" spans="1:12" ht="15.75" customHeight="1">
      <c r="A5" s="28"/>
      <c r="B5" s="29"/>
      <c r="C5" s="29"/>
      <c r="D5" s="29"/>
      <c r="E5" s="29"/>
      <c r="F5" s="29"/>
      <c r="G5" s="30"/>
      <c r="H5" s="1"/>
    </row>
    <row r="6" spans="1:12" ht="15.75" customHeight="1">
      <c r="A6" s="28"/>
      <c r="B6" s="29"/>
      <c r="C6" s="29"/>
      <c r="D6" s="29"/>
      <c r="E6" s="29"/>
      <c r="F6" s="29"/>
      <c r="G6" s="30"/>
      <c r="H6" s="1"/>
    </row>
    <row r="7" spans="1:12" ht="15.75" customHeight="1">
      <c r="A7" s="28"/>
      <c r="B7" s="29"/>
      <c r="C7" s="29"/>
      <c r="D7" s="29"/>
      <c r="E7" s="29"/>
      <c r="F7" s="29"/>
      <c r="G7" s="30"/>
      <c r="H7" s="1"/>
    </row>
    <row r="8" spans="1:12" ht="15.75" customHeight="1">
      <c r="A8" s="28"/>
      <c r="B8" s="29"/>
      <c r="C8" s="29"/>
      <c r="D8" s="29"/>
      <c r="E8" s="29"/>
      <c r="F8" s="29"/>
      <c r="G8" s="30"/>
      <c r="H8" s="1"/>
    </row>
    <row r="9" spans="1:12" ht="15.75" customHeight="1">
      <c r="A9" s="28"/>
      <c r="B9" s="29"/>
      <c r="C9" s="29"/>
      <c r="D9" s="29"/>
      <c r="E9" s="29"/>
      <c r="F9" s="29"/>
      <c r="G9" s="30"/>
      <c r="H9" s="1"/>
    </row>
    <row r="10" spans="1:12" ht="15.75" customHeight="1">
      <c r="A10" s="28"/>
      <c r="B10" s="29"/>
      <c r="C10" s="29"/>
      <c r="D10" s="29"/>
      <c r="E10" s="29"/>
      <c r="F10" s="29"/>
      <c r="G10" s="30"/>
      <c r="H10" s="1"/>
    </row>
    <row r="11" spans="1:12" ht="15.75" customHeight="1">
      <c r="A11" s="28"/>
      <c r="B11" s="29"/>
      <c r="C11" s="29"/>
      <c r="D11" s="29"/>
      <c r="E11" s="29"/>
      <c r="F11" s="29"/>
      <c r="G11" s="30"/>
      <c r="H11" s="1"/>
    </row>
    <row r="12" spans="1:12" ht="15.75" customHeight="1">
      <c r="A12" s="28"/>
      <c r="B12" s="29"/>
      <c r="C12" s="29"/>
      <c r="D12" s="29"/>
      <c r="E12" s="29"/>
      <c r="F12" s="29"/>
      <c r="G12" s="30"/>
      <c r="H12" s="1"/>
    </row>
    <row r="13" spans="1:12" ht="15.75" customHeight="1">
      <c r="A13" s="28"/>
      <c r="B13" s="29"/>
      <c r="C13" s="29"/>
      <c r="D13" s="29"/>
      <c r="E13" s="29"/>
      <c r="F13" s="29"/>
      <c r="G13" s="30"/>
      <c r="H13" s="1"/>
    </row>
    <row r="14" spans="1:12" ht="15.75" customHeight="1">
      <c r="A14" s="28"/>
      <c r="B14" s="29"/>
      <c r="C14" s="29"/>
      <c r="D14" s="29"/>
      <c r="E14" s="29"/>
      <c r="F14" s="29"/>
      <c r="G14" s="30"/>
      <c r="H14" s="1"/>
    </row>
    <row r="15" spans="1:12" ht="15.75" customHeight="1">
      <c r="A15" s="28"/>
      <c r="B15" s="29"/>
      <c r="C15" s="29"/>
      <c r="D15" s="29"/>
      <c r="E15" s="29"/>
      <c r="F15" s="29"/>
      <c r="G15" s="30"/>
      <c r="H15" s="1"/>
    </row>
    <row r="16" spans="1:12" ht="15.75" customHeight="1">
      <c r="A16" s="28"/>
      <c r="B16" s="29"/>
      <c r="C16" s="29"/>
      <c r="D16" s="29"/>
      <c r="E16" s="29"/>
      <c r="F16" s="29"/>
      <c r="G16" s="30"/>
      <c r="H16" s="1"/>
    </row>
    <row r="17" spans="1:8" ht="15.75" customHeight="1">
      <c r="A17" s="28"/>
      <c r="B17" s="29"/>
      <c r="C17" s="29"/>
      <c r="D17" s="29"/>
      <c r="E17" s="29"/>
      <c r="F17" s="29"/>
      <c r="G17" s="30"/>
      <c r="H17" s="1"/>
    </row>
    <row r="18" spans="1:8" ht="15.75" customHeight="1">
      <c r="A18" s="28"/>
      <c r="B18" s="29"/>
      <c r="C18" s="29"/>
      <c r="D18" s="29"/>
      <c r="E18" s="29"/>
      <c r="F18" s="29"/>
      <c r="G18" s="30"/>
      <c r="H18" s="1"/>
    </row>
    <row r="19" spans="1:8" ht="15.75" customHeight="1">
      <c r="A19" s="28"/>
      <c r="B19" s="29"/>
      <c r="C19" s="29"/>
      <c r="D19" s="29"/>
      <c r="E19" s="29"/>
      <c r="F19" s="29"/>
      <c r="G19" s="30"/>
      <c r="H19" s="1"/>
    </row>
    <row r="20" spans="1:8" ht="15.75" customHeight="1">
      <c r="A20" s="28"/>
      <c r="B20" s="29"/>
      <c r="C20" s="29"/>
      <c r="D20" s="29"/>
      <c r="E20" s="29"/>
      <c r="F20" s="29"/>
      <c r="G20" s="30"/>
      <c r="H20" s="1"/>
    </row>
    <row r="21" spans="1:8" ht="15.75" customHeight="1">
      <c r="A21" s="28"/>
      <c r="B21" s="29"/>
      <c r="C21" s="29"/>
      <c r="D21" s="29"/>
      <c r="E21" s="29"/>
      <c r="F21" s="29"/>
      <c r="G21" s="30"/>
      <c r="H21" s="1"/>
    </row>
    <row r="22" spans="1:8" ht="15.75" customHeight="1">
      <c r="A22" s="28"/>
      <c r="B22" s="29"/>
      <c r="C22" s="29"/>
      <c r="D22" s="29"/>
      <c r="E22" s="29"/>
      <c r="F22" s="29"/>
      <c r="G22" s="30"/>
      <c r="H22" s="1"/>
    </row>
    <row r="23" spans="1:8" ht="15.75" customHeight="1">
      <c r="A23" s="28"/>
      <c r="B23" s="29"/>
      <c r="C23" s="29"/>
      <c r="D23" s="29"/>
      <c r="E23" s="29"/>
      <c r="F23" s="29"/>
      <c r="G23" s="30"/>
      <c r="H23" s="1"/>
    </row>
    <row r="24" spans="1:8" ht="15.75" customHeight="1">
      <c r="A24" s="28"/>
      <c r="B24" s="29"/>
      <c r="C24" s="29"/>
      <c r="D24" s="29"/>
      <c r="E24" s="29"/>
      <c r="F24" s="29"/>
      <c r="G24" s="30"/>
      <c r="H24" s="1"/>
    </row>
    <row r="25" spans="1:8" ht="15.75" customHeight="1">
      <c r="A25" s="28"/>
      <c r="B25" s="29"/>
      <c r="C25" s="29"/>
      <c r="D25" s="29"/>
      <c r="E25" s="29"/>
      <c r="F25" s="29"/>
      <c r="G25" s="30"/>
      <c r="H25" s="1"/>
    </row>
    <row r="26" spans="1:8" ht="15.75" customHeight="1">
      <c r="A26" s="28"/>
      <c r="B26" s="29"/>
      <c r="C26" s="29"/>
      <c r="D26" s="29"/>
      <c r="E26" s="29"/>
      <c r="F26" s="29"/>
      <c r="G26" s="30"/>
      <c r="H26" s="1"/>
    </row>
    <row r="27" spans="1:8" ht="16.2" customHeight="1">
      <c r="A27" s="28"/>
      <c r="B27" s="29"/>
      <c r="C27" s="29"/>
      <c r="D27" s="29"/>
      <c r="E27" s="29"/>
      <c r="F27" s="29"/>
      <c r="G27" s="30"/>
      <c r="H27" s="1"/>
    </row>
    <row r="28" spans="1:8" ht="15.75" customHeight="1">
      <c r="A28" s="28"/>
      <c r="B28" s="29"/>
      <c r="C28" s="29"/>
      <c r="D28" s="29"/>
      <c r="E28" s="29"/>
      <c r="F28" s="29"/>
      <c r="G28" s="30"/>
    </row>
    <row r="29" spans="1:8" ht="15.75" customHeight="1">
      <c r="A29" s="28"/>
      <c r="B29" s="29"/>
      <c r="C29" s="29"/>
      <c r="D29" s="29"/>
      <c r="E29" s="29"/>
      <c r="F29" s="29"/>
      <c r="G29" s="30"/>
    </row>
    <row r="30" spans="1:8" ht="15.75" customHeight="1">
      <c r="A30" s="28"/>
      <c r="B30" s="29"/>
      <c r="C30" s="29"/>
      <c r="D30" s="29"/>
      <c r="E30" s="29"/>
      <c r="F30" s="29"/>
      <c r="G30" s="30"/>
    </row>
    <row r="31" spans="1:8" ht="15.75" customHeight="1">
      <c r="A31" s="31"/>
      <c r="B31" s="32"/>
      <c r="C31" s="32"/>
      <c r="D31" s="32"/>
      <c r="E31" s="32"/>
      <c r="F31" s="32"/>
      <c r="G31" s="33"/>
    </row>
    <row r="32" spans="1:8" ht="15.75" customHeight="1">
      <c r="A32" s="34" t="s">
        <v>76</v>
      </c>
      <c r="B32" s="35"/>
      <c r="C32" s="35"/>
      <c r="D32" s="35"/>
      <c r="E32" s="35"/>
      <c r="F32" s="35"/>
      <c r="G32" s="36"/>
    </row>
    <row r="33" spans="1:7" ht="15.75" customHeight="1">
      <c r="A33" s="37" t="s">
        <v>77</v>
      </c>
      <c r="B33" s="38"/>
      <c r="C33" s="38"/>
      <c r="D33" s="38"/>
      <c r="E33" s="38"/>
      <c r="F33" s="38"/>
      <c r="G33" s="39"/>
    </row>
    <row r="34" spans="1:7" ht="15.75" customHeight="1">
      <c r="A34" s="40" t="s">
        <v>78</v>
      </c>
      <c r="B34" s="41"/>
      <c r="C34" s="41"/>
      <c r="D34" s="41"/>
      <c r="E34" s="41"/>
      <c r="F34" s="41"/>
      <c r="G34" s="42"/>
    </row>
    <row r="35" spans="1:7" ht="15.75" customHeight="1">
      <c r="A35" s="37" t="s">
        <v>79</v>
      </c>
      <c r="B35" s="38"/>
      <c r="C35" s="38"/>
      <c r="D35" s="38"/>
      <c r="E35" s="38"/>
      <c r="F35" s="38"/>
      <c r="G35" s="39"/>
    </row>
    <row r="36" spans="1:7" ht="15.75" customHeight="1">
      <c r="A36" s="40" t="s">
        <v>80</v>
      </c>
      <c r="B36" s="41"/>
      <c r="C36" s="41"/>
      <c r="D36" s="41"/>
      <c r="E36" s="41"/>
      <c r="F36" s="41"/>
      <c r="G36" s="42"/>
    </row>
    <row r="37" spans="1:7" ht="15.75" customHeight="1">
      <c r="A37" s="37" t="s">
        <v>81</v>
      </c>
      <c r="B37" s="38"/>
      <c r="C37" s="38"/>
      <c r="D37" s="38"/>
      <c r="E37" s="38"/>
      <c r="F37" s="38"/>
      <c r="G37" s="39"/>
    </row>
    <row r="38" spans="1:7" ht="15.75" customHeight="1">
      <c r="A38" s="45" t="s">
        <v>82</v>
      </c>
      <c r="B38" s="46"/>
      <c r="C38" s="46"/>
      <c r="D38" s="46"/>
      <c r="E38" s="46"/>
      <c r="F38" s="46"/>
      <c r="G38" s="47"/>
    </row>
    <row r="39" spans="1:7" ht="15.75" customHeight="1">
      <c r="A39" s="34" t="s">
        <v>85</v>
      </c>
      <c r="B39" s="35"/>
      <c r="C39" s="35"/>
      <c r="D39" s="35"/>
      <c r="E39" s="35"/>
      <c r="F39" s="35"/>
      <c r="G39" s="36"/>
    </row>
    <row r="40" spans="1:7" ht="39.6">
      <c r="A40" s="22" t="s">
        <v>86</v>
      </c>
      <c r="B40" s="43" t="s">
        <v>84</v>
      </c>
      <c r="C40" s="43"/>
      <c r="D40" s="43"/>
      <c r="E40" s="43"/>
      <c r="F40" s="43"/>
      <c r="G40" s="44"/>
    </row>
  </sheetData>
  <mergeCells count="11">
    <mergeCell ref="A39:G39"/>
    <mergeCell ref="B40:G40"/>
    <mergeCell ref="A35:G35"/>
    <mergeCell ref="A36:G36"/>
    <mergeCell ref="A37:G37"/>
    <mergeCell ref="A38:G38"/>
    <mergeCell ref="A1:G1"/>
    <mergeCell ref="A2:G31"/>
    <mergeCell ref="A32:G32"/>
    <mergeCell ref="A33:G33"/>
    <mergeCell ref="A34:G34"/>
  </mergeCells>
  <hyperlinks>
    <hyperlink ref="A35" r:id="rId1" xr:uid="{97B5B576-0F19-4065-B4D8-1BCF04914BF3}"/>
    <hyperlink ref="A33" r:id="rId2" xr:uid="{9B5133EF-A30E-4AD1-9F00-9B35516E28C2}"/>
    <hyperlink ref="A37" r:id="rId3" xr:uid="{B4AFC328-F739-4AEB-A9A9-4D84B589F1A7}"/>
    <hyperlink ref="A38" r:id="rId4" xr:uid="{A2C0763A-9D7B-4658-8014-EBCA95EFCCE6}"/>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33"/>
  <sheetViews>
    <sheetView workbookViewId="0">
      <selection sqref="A1:C67"/>
    </sheetView>
  </sheetViews>
  <sheetFormatPr defaultColWidth="12.6640625" defaultRowHeight="15.75" customHeight="1"/>
  <cols>
    <col min="1" max="1" width="20.77734375" bestFit="1" customWidth="1"/>
    <col min="2" max="2" width="7.109375" bestFit="1" customWidth="1"/>
    <col min="3" max="3" width="6.88671875" bestFit="1" customWidth="1"/>
  </cols>
  <sheetData>
    <row r="1" spans="1:3" ht="13.2">
      <c r="A1" t="s">
        <v>1</v>
      </c>
      <c r="B1" t="s">
        <v>2</v>
      </c>
      <c r="C1" t="s">
        <v>4</v>
      </c>
    </row>
    <row r="2" spans="1:3" ht="13.2">
      <c r="A2" t="s">
        <v>3</v>
      </c>
      <c r="B2">
        <v>1784</v>
      </c>
      <c r="C2">
        <v>2.1</v>
      </c>
    </row>
    <row r="3" spans="1:3" ht="13.2">
      <c r="A3" t="s">
        <v>3</v>
      </c>
      <c r="B3">
        <v>1785</v>
      </c>
      <c r="C3">
        <v>1.4</v>
      </c>
    </row>
    <row r="4" spans="1:3" ht="13.2">
      <c r="A4" t="s">
        <v>3</v>
      </c>
      <c r="B4">
        <v>1786</v>
      </c>
      <c r="C4">
        <v>0.4</v>
      </c>
    </row>
    <row r="5" spans="1:3" ht="13.2">
      <c r="A5" t="s">
        <v>3</v>
      </c>
      <c r="B5">
        <v>1787</v>
      </c>
      <c r="C5">
        <v>0.4</v>
      </c>
    </row>
    <row r="6" spans="1:3" ht="13.2">
      <c r="A6" t="s">
        <v>3</v>
      </c>
      <c r="B6">
        <v>1788</v>
      </c>
      <c r="C6">
        <v>0.4</v>
      </c>
    </row>
    <row r="7" spans="1:3" ht="13.2">
      <c r="A7" t="s">
        <v>3</v>
      </c>
      <c r="B7">
        <v>1789</v>
      </c>
      <c r="C7">
        <v>0.6</v>
      </c>
    </row>
    <row r="8" spans="1:3" ht="13.2">
      <c r="A8" t="s">
        <v>3</v>
      </c>
      <c r="B8">
        <v>1790</v>
      </c>
      <c r="C8">
        <v>0.8</v>
      </c>
    </row>
    <row r="9" spans="1:3" ht="13.2">
      <c r="A9" t="s">
        <v>3</v>
      </c>
      <c r="B9">
        <v>1791</v>
      </c>
      <c r="C9">
        <v>0.6</v>
      </c>
    </row>
    <row r="10" spans="1:3" ht="13.2">
      <c r="A10" t="s">
        <v>3</v>
      </c>
      <c r="B10">
        <v>1792</v>
      </c>
      <c r="C10">
        <v>0.9</v>
      </c>
    </row>
    <row r="11" spans="1:3" ht="13.2">
      <c r="A11" t="s">
        <v>3</v>
      </c>
      <c r="B11">
        <v>1793</v>
      </c>
      <c r="C11">
        <v>2.6</v>
      </c>
    </row>
    <row r="12" spans="1:3" ht="13.2">
      <c r="A12" t="s">
        <v>3</v>
      </c>
      <c r="B12">
        <v>1794</v>
      </c>
      <c r="C12">
        <v>0.4</v>
      </c>
    </row>
    <row r="13" spans="1:3" ht="13.2">
      <c r="A13" t="s">
        <v>3</v>
      </c>
      <c r="B13">
        <v>1795</v>
      </c>
      <c r="C13">
        <v>2.1</v>
      </c>
    </row>
    <row r="14" spans="1:3" ht="13.2">
      <c r="A14" t="s">
        <v>3</v>
      </c>
      <c r="B14">
        <v>1796</v>
      </c>
      <c r="C14">
        <v>1.2</v>
      </c>
    </row>
    <row r="15" spans="1:3" ht="13.2">
      <c r="A15" t="s">
        <v>3</v>
      </c>
      <c r="B15">
        <v>1797</v>
      </c>
      <c r="C15">
        <v>0.2</v>
      </c>
    </row>
    <row r="16" spans="1:3" ht="13.2">
      <c r="A16" t="s">
        <v>3</v>
      </c>
      <c r="B16">
        <v>1798</v>
      </c>
      <c r="C16">
        <v>0.2</v>
      </c>
    </row>
    <row r="17" spans="1:3" ht="13.2">
      <c r="A17" t="s">
        <v>3</v>
      </c>
      <c r="B17">
        <v>1799</v>
      </c>
      <c r="C17">
        <v>1</v>
      </c>
    </row>
    <row r="18" spans="1:3" ht="13.2">
      <c r="A18" t="s">
        <v>3</v>
      </c>
      <c r="B18">
        <v>1800</v>
      </c>
      <c r="C18">
        <v>2</v>
      </c>
    </row>
    <row r="19" spans="1:3" ht="13.2">
      <c r="A19" t="s">
        <v>3</v>
      </c>
      <c r="B19">
        <v>1801</v>
      </c>
      <c r="C19">
        <v>0.8</v>
      </c>
    </row>
    <row r="20" spans="1:3" ht="13.2">
      <c r="A20" t="s">
        <v>3</v>
      </c>
      <c r="B20">
        <v>1802</v>
      </c>
      <c r="C20">
        <v>0.4</v>
      </c>
    </row>
    <row r="21" spans="1:3" ht="13.2">
      <c r="A21" t="s">
        <v>3</v>
      </c>
      <c r="B21">
        <v>1803</v>
      </c>
      <c r="C21">
        <v>0.7</v>
      </c>
    </row>
    <row r="22" spans="1:3" ht="13.2">
      <c r="A22" t="s">
        <v>3</v>
      </c>
      <c r="B22">
        <v>1804</v>
      </c>
      <c r="C22">
        <v>0.4</v>
      </c>
    </row>
    <row r="23" spans="1:3" ht="13.2">
      <c r="A23" t="s">
        <v>3</v>
      </c>
      <c r="B23">
        <v>1805</v>
      </c>
      <c r="C23">
        <v>0.4</v>
      </c>
    </row>
    <row r="24" spans="1:3" ht="13.2">
      <c r="A24" t="s">
        <v>3</v>
      </c>
      <c r="B24">
        <v>1806</v>
      </c>
      <c r="C24">
        <v>0.7</v>
      </c>
    </row>
    <row r="25" spans="1:3" ht="13.2">
      <c r="A25" t="s">
        <v>3</v>
      </c>
      <c r="B25">
        <v>1807</v>
      </c>
      <c r="C25">
        <v>0.6</v>
      </c>
    </row>
    <row r="26" spans="1:3" ht="13.2">
      <c r="A26" t="s">
        <v>3</v>
      </c>
      <c r="B26">
        <v>1808</v>
      </c>
      <c r="C26">
        <v>0.8</v>
      </c>
    </row>
    <row r="27" spans="1:3" ht="13.2">
      <c r="A27" t="s">
        <v>3</v>
      </c>
      <c r="B27">
        <v>1809</v>
      </c>
      <c r="C27">
        <v>1.4</v>
      </c>
    </row>
    <row r="28" spans="1:3" ht="13.2">
      <c r="A28" t="s">
        <v>3</v>
      </c>
      <c r="B28">
        <v>1810</v>
      </c>
      <c r="C28">
        <v>0.8</v>
      </c>
    </row>
    <row r="29" spans="1:3" ht="13.2">
      <c r="A29" t="s">
        <v>3</v>
      </c>
      <c r="B29">
        <v>1811</v>
      </c>
      <c r="C29">
        <v>1.9</v>
      </c>
    </row>
    <row r="30" spans="1:3" ht="13.2">
      <c r="A30" t="s">
        <v>3</v>
      </c>
      <c r="B30">
        <v>1812</v>
      </c>
      <c r="C30">
        <v>0.6</v>
      </c>
    </row>
    <row r="31" spans="1:3" ht="13.2">
      <c r="A31" t="s">
        <v>3</v>
      </c>
      <c r="B31">
        <v>1813</v>
      </c>
      <c r="C31">
        <v>1.1000000000000001</v>
      </c>
    </row>
    <row r="32" spans="1:3" ht="13.2">
      <c r="A32" t="s">
        <v>3</v>
      </c>
      <c r="B32">
        <v>1814</v>
      </c>
      <c r="C32">
        <v>3.2</v>
      </c>
    </row>
    <row r="33" spans="1:3" ht="13.2">
      <c r="A33" t="s">
        <v>3</v>
      </c>
      <c r="B33">
        <v>1815</v>
      </c>
      <c r="C33">
        <v>0.7</v>
      </c>
    </row>
    <row r="34" spans="1:3" ht="13.2">
      <c r="A34" t="s">
        <v>3</v>
      </c>
      <c r="B34">
        <v>1816</v>
      </c>
      <c r="C34">
        <v>0.5</v>
      </c>
    </row>
    <row r="35" spans="1:3" ht="13.2">
      <c r="A35" t="s">
        <v>3</v>
      </c>
      <c r="B35">
        <v>1817</v>
      </c>
      <c r="C35">
        <v>0.9</v>
      </c>
    </row>
    <row r="36" spans="1:3" ht="13.2">
      <c r="A36" t="s">
        <v>3</v>
      </c>
      <c r="B36">
        <v>1818</v>
      </c>
      <c r="C36">
        <v>2.2000000000000002</v>
      </c>
    </row>
    <row r="37" spans="1:3" ht="13.2">
      <c r="A37" t="s">
        <v>3</v>
      </c>
      <c r="B37">
        <v>1819</v>
      </c>
      <c r="C37">
        <v>5</v>
      </c>
    </row>
    <row r="38" spans="1:3" ht="13.2">
      <c r="A38" t="s">
        <v>3</v>
      </c>
      <c r="B38">
        <v>1820</v>
      </c>
      <c r="C38">
        <v>2.5</v>
      </c>
    </row>
    <row r="39" spans="1:3" ht="13.2">
      <c r="A39" t="s">
        <v>3</v>
      </c>
      <c r="B39">
        <v>1821</v>
      </c>
      <c r="C39">
        <v>1.7</v>
      </c>
    </row>
    <row r="40" spans="1:3" ht="13.2">
      <c r="A40" t="s">
        <v>3</v>
      </c>
      <c r="B40">
        <v>1822</v>
      </c>
      <c r="C40">
        <v>0.8</v>
      </c>
    </row>
    <row r="41" spans="1:3" ht="13.2">
      <c r="A41" t="s">
        <v>3</v>
      </c>
      <c r="B41">
        <v>1823</v>
      </c>
      <c r="C41">
        <v>7.5</v>
      </c>
    </row>
    <row r="42" spans="1:3" ht="13.2">
      <c r="A42" t="s">
        <v>3</v>
      </c>
      <c r="B42">
        <v>1824</v>
      </c>
      <c r="C42">
        <v>4.9000000000000004</v>
      </c>
    </row>
    <row r="43" spans="1:3" ht="13.2">
      <c r="A43" t="s">
        <v>3</v>
      </c>
      <c r="B43">
        <v>1825</v>
      </c>
      <c r="C43">
        <v>8.8000000000000007</v>
      </c>
    </row>
    <row r="44" spans="1:3" ht="13.2">
      <c r="A44" t="s">
        <v>3</v>
      </c>
      <c r="B44">
        <v>1826</v>
      </c>
      <c r="C44">
        <v>8.1</v>
      </c>
    </row>
    <row r="45" spans="1:3" ht="13.2">
      <c r="A45" t="s">
        <v>3</v>
      </c>
      <c r="B45">
        <v>1827</v>
      </c>
      <c r="C45">
        <v>2.2000000000000002</v>
      </c>
    </row>
    <row r="46" spans="1:3" ht="13.2">
      <c r="A46" t="s">
        <v>3</v>
      </c>
      <c r="B46">
        <v>1828</v>
      </c>
      <c r="C46">
        <v>3.6</v>
      </c>
    </row>
    <row r="47" spans="1:3" ht="13.2">
      <c r="A47" t="s">
        <v>3</v>
      </c>
      <c r="B47">
        <v>1829</v>
      </c>
      <c r="C47">
        <v>4.5999999999999996</v>
      </c>
    </row>
    <row r="48" spans="1:3" ht="13.2">
      <c r="A48" t="s">
        <v>3</v>
      </c>
      <c r="B48">
        <v>1830</v>
      </c>
      <c r="C48">
        <v>4</v>
      </c>
    </row>
    <row r="49" spans="1:3" ht="13.2">
      <c r="A49" t="s">
        <v>3</v>
      </c>
      <c r="B49">
        <v>1831</v>
      </c>
      <c r="C49">
        <v>6.6</v>
      </c>
    </row>
    <row r="50" spans="1:3" ht="13.2">
      <c r="A50" t="s">
        <v>3</v>
      </c>
      <c r="B50">
        <v>1832</v>
      </c>
      <c r="C50">
        <v>3.2</v>
      </c>
    </row>
    <row r="51" spans="1:3" ht="13.2">
      <c r="A51" t="s">
        <v>3</v>
      </c>
      <c r="B51">
        <v>1833</v>
      </c>
      <c r="C51">
        <v>5.3</v>
      </c>
    </row>
    <row r="52" spans="1:3" ht="13.2">
      <c r="A52" t="s">
        <v>3</v>
      </c>
      <c r="B52">
        <v>1834</v>
      </c>
      <c r="C52">
        <v>7.7</v>
      </c>
    </row>
    <row r="53" spans="1:3" ht="13.2">
      <c r="A53" t="s">
        <v>3</v>
      </c>
      <c r="B53">
        <v>1835</v>
      </c>
      <c r="C53">
        <v>5.6</v>
      </c>
    </row>
    <row r="54" spans="1:3" ht="13.2">
      <c r="A54" t="s">
        <v>3</v>
      </c>
      <c r="B54">
        <v>1836</v>
      </c>
      <c r="C54">
        <v>7.5</v>
      </c>
    </row>
    <row r="55" spans="1:3" ht="13.2">
      <c r="A55" t="s">
        <v>3</v>
      </c>
      <c r="B55">
        <v>1837</v>
      </c>
      <c r="C55">
        <v>9.1</v>
      </c>
    </row>
    <row r="56" spans="1:3" ht="13.2">
      <c r="A56" t="s">
        <v>3</v>
      </c>
      <c r="B56">
        <v>1838</v>
      </c>
      <c r="C56">
        <v>3</v>
      </c>
    </row>
    <row r="57" spans="1:3" ht="13.2">
      <c r="A57" t="s">
        <v>3</v>
      </c>
      <c r="B57">
        <v>1839</v>
      </c>
      <c r="C57">
        <v>5.4</v>
      </c>
    </row>
    <row r="58" spans="1:3" ht="13.2">
      <c r="A58" t="s">
        <v>3</v>
      </c>
      <c r="B58">
        <v>1840</v>
      </c>
      <c r="C58">
        <v>9.1999999999999993</v>
      </c>
    </row>
    <row r="59" spans="1:3" ht="13.2">
      <c r="A59" t="s">
        <v>3</v>
      </c>
      <c r="B59">
        <v>1841</v>
      </c>
      <c r="C59">
        <v>7.8</v>
      </c>
    </row>
    <row r="60" spans="1:3" ht="13.2">
      <c r="A60" t="s">
        <v>3</v>
      </c>
      <c r="B60">
        <v>1842</v>
      </c>
      <c r="C60">
        <v>15.8</v>
      </c>
    </row>
    <row r="61" spans="1:3" ht="13.2">
      <c r="A61" t="s">
        <v>3</v>
      </c>
      <c r="B61">
        <v>1843</v>
      </c>
      <c r="C61">
        <v>9</v>
      </c>
    </row>
    <row r="62" spans="1:3" ht="13.2">
      <c r="A62" t="s">
        <v>3</v>
      </c>
      <c r="B62">
        <v>1844</v>
      </c>
      <c r="C62">
        <v>8.1999999999999993</v>
      </c>
    </row>
    <row r="63" spans="1:3" ht="13.2">
      <c r="A63" t="s">
        <v>3</v>
      </c>
      <c r="B63">
        <v>1845</v>
      </c>
      <c r="C63">
        <v>6.9</v>
      </c>
    </row>
    <row r="64" spans="1:3" ht="13.2">
      <c r="A64" t="s">
        <v>3</v>
      </c>
      <c r="B64">
        <v>1846</v>
      </c>
      <c r="C64">
        <v>11.4</v>
      </c>
    </row>
    <row r="65" spans="1:3" ht="13.2">
      <c r="A65" t="s">
        <v>3</v>
      </c>
      <c r="B65">
        <v>1847</v>
      </c>
      <c r="C65">
        <v>5</v>
      </c>
    </row>
    <row r="66" spans="1:3" ht="13.2">
      <c r="A66" t="s">
        <v>3</v>
      </c>
      <c r="B66">
        <v>1848</v>
      </c>
      <c r="C66">
        <v>1.3</v>
      </c>
    </row>
    <row r="67" spans="1:3" ht="13.2">
      <c r="A67" t="s">
        <v>3</v>
      </c>
      <c r="B67">
        <v>1849</v>
      </c>
      <c r="C67">
        <v>2.7</v>
      </c>
    </row>
    <row r="68" spans="1:3" ht="13.2"/>
    <row r="69" spans="1:3" ht="13.2"/>
    <row r="70" spans="1:3" ht="13.2"/>
    <row r="71" spans="1:3" ht="13.2"/>
    <row r="72" spans="1:3" ht="13.2"/>
    <row r="73" spans="1:3" ht="13.2"/>
    <row r="74" spans="1:3" ht="13.2"/>
    <row r="75" spans="1:3" ht="13.2"/>
    <row r="76" spans="1:3" ht="13.2"/>
    <row r="77" spans="1:3" ht="13.2"/>
    <row r="78" spans="1:3" ht="13.2"/>
    <row r="79" spans="1:3" ht="13.2"/>
    <row r="80" spans="1:3"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A7ED-0295-43CB-B9C5-6EBE8252154F}">
  <sheetPr>
    <outlinePr summaryBelow="0" summaryRight="0"/>
  </sheetPr>
  <dimension ref="A1:C133"/>
  <sheetViews>
    <sheetView workbookViewId="0">
      <selection sqref="A1:C67"/>
    </sheetView>
  </sheetViews>
  <sheetFormatPr defaultColWidth="12.6640625" defaultRowHeight="15.75" customHeight="1"/>
  <cols>
    <col min="1" max="1" width="20.77734375" bestFit="1" customWidth="1"/>
    <col min="2" max="2" width="7.109375" bestFit="1" customWidth="1"/>
    <col min="3" max="3" width="6.88671875" bestFit="1" customWidth="1"/>
  </cols>
  <sheetData>
    <row r="1" spans="1:3" ht="13.2">
      <c r="A1" t="s">
        <v>1</v>
      </c>
      <c r="B1" t="s">
        <v>2</v>
      </c>
      <c r="C1" t="s">
        <v>4</v>
      </c>
    </row>
    <row r="2" spans="1:3" ht="13.2">
      <c r="A2" t="s">
        <v>3</v>
      </c>
      <c r="B2">
        <v>1784</v>
      </c>
      <c r="C2">
        <v>2.1</v>
      </c>
    </row>
    <row r="3" spans="1:3" ht="13.2">
      <c r="A3" t="s">
        <v>3</v>
      </c>
      <c r="B3">
        <v>1785</v>
      </c>
      <c r="C3">
        <v>1.4</v>
      </c>
    </row>
    <row r="4" spans="1:3" ht="13.2">
      <c r="A4" t="s">
        <v>3</v>
      </c>
      <c r="B4">
        <v>1786</v>
      </c>
      <c r="C4">
        <v>0.4</v>
      </c>
    </row>
    <row r="5" spans="1:3" ht="13.2">
      <c r="A5" t="s">
        <v>3</v>
      </c>
      <c r="B5">
        <v>1787</v>
      </c>
      <c r="C5">
        <v>0.4</v>
      </c>
    </row>
    <row r="6" spans="1:3" ht="13.2">
      <c r="A6" t="s">
        <v>3</v>
      </c>
      <c r="B6">
        <v>1788</v>
      </c>
      <c r="C6">
        <v>0.4</v>
      </c>
    </row>
    <row r="7" spans="1:3" ht="13.2">
      <c r="A7" t="s">
        <v>3</v>
      </c>
      <c r="B7">
        <v>1789</v>
      </c>
      <c r="C7">
        <v>0.6</v>
      </c>
    </row>
    <row r="8" spans="1:3" ht="13.2">
      <c r="A8" t="s">
        <v>3</v>
      </c>
      <c r="B8">
        <v>1790</v>
      </c>
      <c r="C8">
        <v>0.8</v>
      </c>
    </row>
    <row r="9" spans="1:3" ht="13.2">
      <c r="A9" t="s">
        <v>3</v>
      </c>
      <c r="B9">
        <v>1791</v>
      </c>
      <c r="C9">
        <v>0.6</v>
      </c>
    </row>
    <row r="10" spans="1:3" ht="13.2">
      <c r="A10" t="s">
        <v>3</v>
      </c>
      <c r="B10">
        <v>1792</v>
      </c>
      <c r="C10">
        <v>0.9</v>
      </c>
    </row>
    <row r="11" spans="1:3" ht="13.2">
      <c r="A11" t="s">
        <v>3</v>
      </c>
      <c r="B11">
        <v>1793</v>
      </c>
      <c r="C11">
        <v>2.6</v>
      </c>
    </row>
    <row r="12" spans="1:3" ht="13.2">
      <c r="A12" t="s">
        <v>3</v>
      </c>
      <c r="B12">
        <v>1794</v>
      </c>
      <c r="C12">
        <v>0.4</v>
      </c>
    </row>
    <row r="13" spans="1:3" ht="13.2">
      <c r="A13" t="s">
        <v>3</v>
      </c>
      <c r="B13">
        <v>1795</v>
      </c>
      <c r="C13">
        <v>2.1</v>
      </c>
    </row>
    <row r="14" spans="1:3" ht="13.2">
      <c r="A14" t="s">
        <v>3</v>
      </c>
      <c r="B14">
        <v>1796</v>
      </c>
      <c r="C14">
        <v>1.2</v>
      </c>
    </row>
    <row r="15" spans="1:3" ht="13.2">
      <c r="A15" t="s">
        <v>3</v>
      </c>
      <c r="B15">
        <v>1797</v>
      </c>
      <c r="C15">
        <v>0.2</v>
      </c>
    </row>
    <row r="16" spans="1:3" ht="13.2">
      <c r="A16" t="s">
        <v>3</v>
      </c>
      <c r="B16">
        <v>1798</v>
      </c>
      <c r="C16">
        <v>0.2</v>
      </c>
    </row>
    <row r="17" spans="1:3" ht="13.2">
      <c r="A17" t="s">
        <v>3</v>
      </c>
      <c r="B17">
        <v>1799</v>
      </c>
      <c r="C17">
        <v>1</v>
      </c>
    </row>
    <row r="18" spans="1:3" ht="13.2">
      <c r="A18" t="s">
        <v>3</v>
      </c>
      <c r="B18">
        <v>1800</v>
      </c>
      <c r="C18">
        <v>2</v>
      </c>
    </row>
    <row r="19" spans="1:3" ht="13.2">
      <c r="A19" t="s">
        <v>3</v>
      </c>
      <c r="B19">
        <v>1801</v>
      </c>
      <c r="C19">
        <v>0.8</v>
      </c>
    </row>
    <row r="20" spans="1:3" ht="13.2">
      <c r="A20" t="s">
        <v>3</v>
      </c>
      <c r="B20">
        <v>1802</v>
      </c>
      <c r="C20">
        <v>0.4</v>
      </c>
    </row>
    <row r="21" spans="1:3" ht="13.2">
      <c r="A21" t="s">
        <v>3</v>
      </c>
      <c r="B21">
        <v>1803</v>
      </c>
      <c r="C21">
        <v>0.7</v>
      </c>
    </row>
    <row r="22" spans="1:3" ht="13.2">
      <c r="A22" t="s">
        <v>3</v>
      </c>
      <c r="B22">
        <v>1804</v>
      </c>
      <c r="C22">
        <v>0.4</v>
      </c>
    </row>
    <row r="23" spans="1:3" ht="13.2">
      <c r="A23" t="s">
        <v>3</v>
      </c>
      <c r="B23">
        <v>1805</v>
      </c>
      <c r="C23">
        <v>0.4</v>
      </c>
    </row>
    <row r="24" spans="1:3" ht="13.2">
      <c r="A24" t="s">
        <v>3</v>
      </c>
      <c r="B24">
        <v>1806</v>
      </c>
      <c r="C24">
        <v>0.7</v>
      </c>
    </row>
    <row r="25" spans="1:3" ht="13.2">
      <c r="A25" t="s">
        <v>3</v>
      </c>
      <c r="B25">
        <v>1807</v>
      </c>
      <c r="C25">
        <v>0.6</v>
      </c>
    </row>
    <row r="26" spans="1:3" ht="13.2">
      <c r="A26" t="s">
        <v>3</v>
      </c>
      <c r="B26">
        <v>1808</v>
      </c>
      <c r="C26">
        <v>0.8</v>
      </c>
    </row>
    <row r="27" spans="1:3" ht="13.2">
      <c r="A27" t="s">
        <v>3</v>
      </c>
      <c r="B27">
        <v>1809</v>
      </c>
      <c r="C27">
        <v>1.4</v>
      </c>
    </row>
    <row r="28" spans="1:3" ht="13.2">
      <c r="A28" t="s">
        <v>3</v>
      </c>
      <c r="B28">
        <v>1810</v>
      </c>
      <c r="C28">
        <v>0.8</v>
      </c>
    </row>
    <row r="29" spans="1:3" ht="13.2">
      <c r="A29" t="s">
        <v>3</v>
      </c>
      <c r="B29">
        <v>1811</v>
      </c>
      <c r="C29">
        <v>1.9</v>
      </c>
    </row>
    <row r="30" spans="1:3" ht="13.2">
      <c r="A30" t="s">
        <v>3</v>
      </c>
      <c r="B30">
        <v>1812</v>
      </c>
      <c r="C30">
        <v>0.6</v>
      </c>
    </row>
    <row r="31" spans="1:3" ht="13.2">
      <c r="A31" t="s">
        <v>3</v>
      </c>
      <c r="B31">
        <v>1813</v>
      </c>
      <c r="C31">
        <v>1.1000000000000001</v>
      </c>
    </row>
    <row r="32" spans="1:3" ht="13.2">
      <c r="A32" t="s">
        <v>3</v>
      </c>
      <c r="B32">
        <v>1814</v>
      </c>
      <c r="C32">
        <v>3.2</v>
      </c>
    </row>
    <row r="33" spans="1:3" ht="13.2">
      <c r="A33" t="s">
        <v>3</v>
      </c>
      <c r="B33">
        <v>1815</v>
      </c>
      <c r="C33">
        <v>0.7</v>
      </c>
    </row>
    <row r="34" spans="1:3" ht="13.2">
      <c r="A34" t="s">
        <v>3</v>
      </c>
      <c r="B34">
        <v>1816</v>
      </c>
      <c r="C34">
        <v>0.5</v>
      </c>
    </row>
    <row r="35" spans="1:3" ht="13.2">
      <c r="A35" t="s">
        <v>3</v>
      </c>
      <c r="B35">
        <v>1817</v>
      </c>
      <c r="C35">
        <v>0.9</v>
      </c>
    </row>
    <row r="36" spans="1:3" ht="13.2">
      <c r="A36" t="s">
        <v>3</v>
      </c>
      <c r="B36">
        <v>1818</v>
      </c>
      <c r="C36">
        <v>2.2000000000000002</v>
      </c>
    </row>
    <row r="37" spans="1:3" ht="13.2">
      <c r="A37" t="s">
        <v>3</v>
      </c>
      <c r="B37">
        <v>1819</v>
      </c>
      <c r="C37">
        <v>5</v>
      </c>
    </row>
    <row r="38" spans="1:3" ht="13.2">
      <c r="A38" t="s">
        <v>3</v>
      </c>
      <c r="B38">
        <v>1820</v>
      </c>
      <c r="C38">
        <v>2.5</v>
      </c>
    </row>
    <row r="39" spans="1:3" ht="13.2">
      <c r="A39" t="s">
        <v>3</v>
      </c>
      <c r="B39">
        <v>1821</v>
      </c>
      <c r="C39">
        <v>1.7</v>
      </c>
    </row>
    <row r="40" spans="1:3" ht="13.2">
      <c r="A40" t="s">
        <v>3</v>
      </c>
      <c r="B40">
        <v>1822</v>
      </c>
      <c r="C40">
        <v>0.8</v>
      </c>
    </row>
    <row r="41" spans="1:3" ht="13.2">
      <c r="A41" t="s">
        <v>3</v>
      </c>
      <c r="B41">
        <v>1823</v>
      </c>
      <c r="C41">
        <v>7.5</v>
      </c>
    </row>
    <row r="42" spans="1:3" ht="13.2">
      <c r="A42" t="s">
        <v>3</v>
      </c>
      <c r="B42">
        <v>1824</v>
      </c>
      <c r="C42">
        <v>4.9000000000000004</v>
      </c>
    </row>
    <row r="43" spans="1:3" ht="13.2">
      <c r="A43" t="s">
        <v>3</v>
      </c>
      <c r="B43">
        <v>1825</v>
      </c>
      <c r="C43">
        <v>8.8000000000000007</v>
      </c>
    </row>
    <row r="44" spans="1:3" ht="13.2">
      <c r="A44" t="s">
        <v>3</v>
      </c>
      <c r="B44">
        <v>1826</v>
      </c>
      <c r="C44">
        <v>8.1</v>
      </c>
    </row>
    <row r="45" spans="1:3" ht="13.2">
      <c r="A45" t="s">
        <v>3</v>
      </c>
      <c r="B45">
        <v>1827</v>
      </c>
      <c r="C45">
        <v>2.2000000000000002</v>
      </c>
    </row>
    <row r="46" spans="1:3" ht="13.2">
      <c r="A46" t="s">
        <v>3</v>
      </c>
      <c r="B46">
        <v>1828</v>
      </c>
      <c r="C46">
        <v>3.6</v>
      </c>
    </row>
    <row r="47" spans="1:3" ht="13.2">
      <c r="A47" t="s">
        <v>3</v>
      </c>
      <c r="B47">
        <v>1829</v>
      </c>
      <c r="C47">
        <v>4.5999999999999996</v>
      </c>
    </row>
    <row r="48" spans="1:3" ht="13.2">
      <c r="A48" t="s">
        <v>3</v>
      </c>
      <c r="B48">
        <v>1830</v>
      </c>
      <c r="C48">
        <v>4</v>
      </c>
    </row>
    <row r="49" spans="1:3" ht="13.2">
      <c r="A49" t="s">
        <v>3</v>
      </c>
      <c r="B49">
        <v>1831</v>
      </c>
      <c r="C49">
        <v>6.6</v>
      </c>
    </row>
    <row r="50" spans="1:3" ht="13.2">
      <c r="A50" t="s">
        <v>3</v>
      </c>
      <c r="B50">
        <v>1832</v>
      </c>
      <c r="C50">
        <v>3.2</v>
      </c>
    </row>
    <row r="51" spans="1:3" ht="13.2">
      <c r="A51" t="s">
        <v>3</v>
      </c>
      <c r="B51">
        <v>1833</v>
      </c>
      <c r="C51">
        <v>5.3</v>
      </c>
    </row>
    <row r="52" spans="1:3" ht="13.2">
      <c r="A52" t="s">
        <v>3</v>
      </c>
      <c r="B52">
        <v>1834</v>
      </c>
      <c r="C52">
        <v>7.7</v>
      </c>
    </row>
    <row r="53" spans="1:3" ht="13.2">
      <c r="A53" t="s">
        <v>3</v>
      </c>
      <c r="B53">
        <v>1835</v>
      </c>
      <c r="C53">
        <v>5.6</v>
      </c>
    </row>
    <row r="54" spans="1:3" ht="13.2">
      <c r="A54" t="s">
        <v>3</v>
      </c>
      <c r="B54">
        <v>1836</v>
      </c>
      <c r="C54">
        <v>7.5</v>
      </c>
    </row>
    <row r="55" spans="1:3" ht="13.2">
      <c r="A55" t="s">
        <v>3</v>
      </c>
      <c r="B55">
        <v>1837</v>
      </c>
      <c r="C55">
        <v>9.1</v>
      </c>
    </row>
    <row r="56" spans="1:3" ht="13.2">
      <c r="A56" t="s">
        <v>3</v>
      </c>
      <c r="B56">
        <v>1838</v>
      </c>
      <c r="C56">
        <v>3</v>
      </c>
    </row>
    <row r="57" spans="1:3" ht="13.2">
      <c r="A57" t="s">
        <v>3</v>
      </c>
      <c r="B57">
        <v>1839</v>
      </c>
      <c r="C57">
        <v>5.4</v>
      </c>
    </row>
    <row r="58" spans="1:3" ht="13.2">
      <c r="A58" t="s">
        <v>3</v>
      </c>
      <c r="B58">
        <v>1840</v>
      </c>
      <c r="C58">
        <v>9.1999999999999993</v>
      </c>
    </row>
    <row r="59" spans="1:3" ht="13.2">
      <c r="A59" t="s">
        <v>3</v>
      </c>
      <c r="B59">
        <v>1841</v>
      </c>
      <c r="C59">
        <v>7.8</v>
      </c>
    </row>
    <row r="60" spans="1:3" ht="13.2">
      <c r="A60" t="s">
        <v>3</v>
      </c>
      <c r="B60">
        <v>1842</v>
      </c>
      <c r="C60">
        <v>15.8</v>
      </c>
    </row>
    <row r="61" spans="1:3" ht="13.2">
      <c r="A61" t="s">
        <v>3</v>
      </c>
      <c r="B61">
        <v>1843</v>
      </c>
      <c r="C61">
        <v>9</v>
      </c>
    </row>
    <row r="62" spans="1:3" ht="13.2">
      <c r="A62" t="s">
        <v>3</v>
      </c>
      <c r="B62">
        <v>1844</v>
      </c>
      <c r="C62">
        <v>8.1999999999999993</v>
      </c>
    </row>
    <row r="63" spans="1:3" ht="13.2">
      <c r="A63" t="s">
        <v>3</v>
      </c>
      <c r="B63">
        <v>1845</v>
      </c>
      <c r="C63">
        <v>6.9</v>
      </c>
    </row>
    <row r="64" spans="1:3" ht="13.2">
      <c r="A64" t="s">
        <v>3</v>
      </c>
      <c r="B64">
        <v>1846</v>
      </c>
      <c r="C64">
        <v>11.4</v>
      </c>
    </row>
    <row r="65" spans="1:3" ht="13.2">
      <c r="A65" t="s">
        <v>3</v>
      </c>
      <c r="B65">
        <v>1847</v>
      </c>
      <c r="C65">
        <v>5</v>
      </c>
    </row>
    <row r="66" spans="1:3" ht="13.2">
      <c r="A66" t="s">
        <v>3</v>
      </c>
      <c r="B66">
        <v>1848</v>
      </c>
      <c r="C66">
        <v>1.3</v>
      </c>
    </row>
    <row r="67" spans="1:3" ht="13.2">
      <c r="A67" t="s">
        <v>3</v>
      </c>
      <c r="B67">
        <v>1849</v>
      </c>
      <c r="C67">
        <v>2.7</v>
      </c>
    </row>
    <row r="68" spans="1:3" ht="13.2"/>
    <row r="69" spans="1:3" ht="13.2"/>
    <row r="70" spans="1:3" ht="13.2"/>
    <row r="71" spans="1:3" ht="13.2"/>
    <row r="72" spans="1:3" ht="13.2"/>
    <row r="73" spans="1:3" ht="13.2"/>
    <row r="74" spans="1:3" ht="13.2"/>
    <row r="75" spans="1:3" ht="13.2"/>
    <row r="76" spans="1:3" ht="13.2"/>
    <row r="77" spans="1:3" ht="13.2"/>
    <row r="78" spans="1:3" ht="13.2"/>
    <row r="79" spans="1:3" ht="13.2"/>
    <row r="80" spans="1:3"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7"/>
  <sheetViews>
    <sheetView workbookViewId="0">
      <pane ySplit="1" topLeftCell="A2" activePane="bottomLeft" state="frozen"/>
      <selection pane="bottomLeft" activeCell="D6" sqref="D6"/>
    </sheetView>
  </sheetViews>
  <sheetFormatPr defaultColWidth="12.6640625" defaultRowHeight="15.75" customHeight="1"/>
  <cols>
    <col min="1" max="1" width="20.21875" bestFit="1" customWidth="1"/>
    <col min="2" max="2" width="4.77734375" bestFit="1" customWidth="1"/>
    <col min="3" max="3" width="4.6640625" bestFit="1" customWidth="1"/>
    <col min="4" max="4" width="5" bestFit="1" customWidth="1"/>
    <col min="5" max="5" width="4.33203125" bestFit="1" customWidth="1"/>
    <col min="8" max="8" width="38.5546875" bestFit="1" customWidth="1"/>
  </cols>
  <sheetData>
    <row r="1" spans="1:10" ht="15.75" customHeight="1">
      <c r="A1" s="2" t="s">
        <v>1</v>
      </c>
      <c r="B1" s="2" t="s">
        <v>2</v>
      </c>
      <c r="C1" s="3" t="s">
        <v>4</v>
      </c>
      <c r="D1" s="8" t="s">
        <v>5</v>
      </c>
      <c r="E1" s="9" t="s">
        <v>6</v>
      </c>
      <c r="F1" s="9"/>
      <c r="G1" s="9" t="s">
        <v>7</v>
      </c>
      <c r="H1" s="10" t="s">
        <v>8</v>
      </c>
    </row>
    <row r="2" spans="1:10" ht="15.75" customHeight="1">
      <c r="A2" s="2" t="s">
        <v>3</v>
      </c>
      <c r="B2" s="2">
        <v>1784</v>
      </c>
      <c r="C2" s="3">
        <v>2.1</v>
      </c>
      <c r="D2" s="5">
        <f t="shared" ref="D2:D67" si="0">INT(C2)</f>
        <v>2</v>
      </c>
      <c r="E2" s="11">
        <f t="shared" ref="E2:E67" si="1">MOD(C2*10,10)</f>
        <v>1</v>
      </c>
      <c r="G2" s="19">
        <f>INT(MIN($C$2:$C$67)) + ROW(A1) - 1</f>
        <v>0</v>
      </c>
      <c r="H2" s="11" t="str">
        <f ca="1">IFERROR(__xludf.DUMMYFUNCTION("TEXTJOIN("" "", TRUE, SORT(FILTER(E$2:E67, D$2:D67 = G2), 1, TRUE))"),"2 2 4 4 4 4 4 4 4 5 6 6 6 6 7 7 7 8 8 8 8 8 9 9")</f>
        <v>2 2 4 4 4 4 4 4 4 5 6 6 6 6 7 7 7 8 8 8 8 8 9 9</v>
      </c>
      <c r="J2" s="18"/>
    </row>
    <row r="3" spans="1:10" ht="15.75" customHeight="1">
      <c r="A3" s="2" t="s">
        <v>3</v>
      </c>
      <c r="B3" s="2">
        <v>1785</v>
      </c>
      <c r="C3" s="3">
        <v>1.4</v>
      </c>
      <c r="D3" s="5">
        <f t="shared" si="0"/>
        <v>1</v>
      </c>
      <c r="E3" s="11">
        <f t="shared" si="1"/>
        <v>4</v>
      </c>
      <c r="G3" s="19">
        <f t="shared" ref="G3:G17" si="2">INT(MIN($C$2:$C$67)) + ROW(A2) - 1</f>
        <v>1</v>
      </c>
      <c r="H3" s="11" t="str">
        <f ca="1">IFERROR(__xludf.DUMMYFUNCTION("TEXTJOIN("" "", TRUE, SORT(FILTER(E$2:E67, D$2:D67 = G3), 1, TRUE))"),"0 1 2 3 4 4 7 9")</f>
        <v>0 1 2 3 4 4 7 9</v>
      </c>
    </row>
    <row r="4" spans="1:10" ht="15.75" customHeight="1">
      <c r="A4" s="2" t="s">
        <v>3</v>
      </c>
      <c r="B4" s="4">
        <v>1786</v>
      </c>
      <c r="C4" s="3">
        <v>0.4</v>
      </c>
      <c r="D4" s="5">
        <f t="shared" si="0"/>
        <v>0</v>
      </c>
      <c r="E4" s="11">
        <f t="shared" si="1"/>
        <v>4</v>
      </c>
      <c r="G4" s="19">
        <f t="shared" si="2"/>
        <v>2</v>
      </c>
      <c r="H4" s="11" t="str">
        <f ca="1">IFERROR(__xludf.DUMMYFUNCTION("TEXTJOIN("" "", TRUE, SORT(FILTER(E$2:E67, D$2:D67 = G4), 1, TRUE))"),"0 1 1 2 2 5 6 7")</f>
        <v>0 1 1 2 2 5 6 7</v>
      </c>
    </row>
    <row r="5" spans="1:10" ht="15.75" customHeight="1">
      <c r="A5" s="2" t="s">
        <v>3</v>
      </c>
      <c r="B5" s="4">
        <v>1787</v>
      </c>
      <c r="C5" s="3">
        <v>0.4</v>
      </c>
      <c r="D5" s="5">
        <f t="shared" si="0"/>
        <v>0</v>
      </c>
      <c r="E5" s="11">
        <f t="shared" si="1"/>
        <v>4</v>
      </c>
      <c r="G5" s="19">
        <f t="shared" si="2"/>
        <v>3</v>
      </c>
      <c r="H5" s="11" t="str">
        <f ca="1">IFERROR(__xludf.DUMMYFUNCTION("TEXTJOIN("" "", TRUE, SORT(FILTER(E$2:E67, D$2:D67 = G5), 1, TRUE))"),"0 2 2 6")</f>
        <v>0 2 2 6</v>
      </c>
    </row>
    <row r="6" spans="1:10" ht="15.75" customHeight="1">
      <c r="A6" s="2" t="s">
        <v>3</v>
      </c>
      <c r="B6" s="4">
        <v>1788</v>
      </c>
      <c r="C6" s="3">
        <v>0.4</v>
      </c>
      <c r="D6" s="5">
        <f t="shared" si="0"/>
        <v>0</v>
      </c>
      <c r="E6" s="11">
        <f t="shared" si="1"/>
        <v>4</v>
      </c>
      <c r="G6" s="19">
        <f t="shared" si="2"/>
        <v>4</v>
      </c>
      <c r="H6" s="11" t="str">
        <f ca="1">IFERROR(__xludf.DUMMYFUNCTION("TEXTJOIN("" "", TRUE, SORT(FILTER(E$2:E67, D$2:D67 = G6), 1, TRUE))"),"0 6 9")</f>
        <v>0 6 9</v>
      </c>
    </row>
    <row r="7" spans="1:10" ht="15.75" customHeight="1">
      <c r="A7" s="2" t="s">
        <v>3</v>
      </c>
      <c r="B7" s="4">
        <v>1789</v>
      </c>
      <c r="C7" s="3">
        <v>0.6</v>
      </c>
      <c r="D7" s="5">
        <f t="shared" si="0"/>
        <v>0</v>
      </c>
      <c r="E7" s="11">
        <f t="shared" si="1"/>
        <v>6</v>
      </c>
      <c r="G7" s="19">
        <f t="shared" si="2"/>
        <v>5</v>
      </c>
      <c r="H7" s="11" t="str">
        <f ca="1">IFERROR(__xludf.DUMMYFUNCTION("TEXTJOIN("" "", TRUE, SORT(FILTER(E$2:E67, D$2:D67 = G7), 1, TRUE))"),"0 0 3 4 6")</f>
        <v>0 0 3 4 6</v>
      </c>
    </row>
    <row r="8" spans="1:10" ht="15.75" customHeight="1">
      <c r="A8" s="2" t="s">
        <v>3</v>
      </c>
      <c r="B8" s="4">
        <v>1790</v>
      </c>
      <c r="C8" s="3">
        <v>0.8</v>
      </c>
      <c r="D8" s="5">
        <f t="shared" si="0"/>
        <v>0</v>
      </c>
      <c r="E8" s="11">
        <f t="shared" si="1"/>
        <v>8</v>
      </c>
      <c r="G8" s="19">
        <f t="shared" si="2"/>
        <v>6</v>
      </c>
      <c r="H8" s="11" t="str">
        <f ca="1">IFERROR(__xludf.DUMMYFUNCTION("TEXTJOIN("" "", TRUE, SORT(FILTER(E$2:E67, D$2:D67 = G8), 1, TRUE))"),"6 9")</f>
        <v>6 9</v>
      </c>
    </row>
    <row r="9" spans="1:10" ht="15.75" customHeight="1">
      <c r="A9" s="2" t="s">
        <v>3</v>
      </c>
      <c r="B9" s="4">
        <v>1791</v>
      </c>
      <c r="C9" s="3">
        <v>0.6</v>
      </c>
      <c r="D9" s="5">
        <f t="shared" si="0"/>
        <v>0</v>
      </c>
      <c r="E9" s="11">
        <f t="shared" si="1"/>
        <v>6</v>
      </c>
      <c r="G9" s="19">
        <f t="shared" si="2"/>
        <v>7</v>
      </c>
      <c r="H9" s="11" t="str">
        <f ca="1">IFERROR(__xludf.DUMMYFUNCTION("TEXTJOIN("" "", TRUE, SORT(FILTER(E$2:E67, D$2:D67 = G9), 1, TRUE))"),"5 5 7 8")</f>
        <v>5 5 7 8</v>
      </c>
    </row>
    <row r="10" spans="1:10" ht="15.75" customHeight="1">
      <c r="A10" s="2" t="s">
        <v>3</v>
      </c>
      <c r="B10" s="4">
        <v>1792</v>
      </c>
      <c r="C10" s="3">
        <v>0.9</v>
      </c>
      <c r="D10" s="5">
        <f t="shared" si="0"/>
        <v>0</v>
      </c>
      <c r="E10" s="11">
        <f t="shared" si="1"/>
        <v>9</v>
      </c>
      <c r="G10" s="19">
        <f t="shared" si="2"/>
        <v>8</v>
      </c>
      <c r="H10" s="11" t="str">
        <f ca="1">IFERROR(__xludf.DUMMYFUNCTION("TEXTJOIN("" "", TRUE, SORT(FILTER(E$2:E67, D$2:D67 = G10), 1, TRUE))"),"1 2 8")</f>
        <v>1 2 8</v>
      </c>
    </row>
    <row r="11" spans="1:10" ht="15.75" customHeight="1">
      <c r="A11" s="2" t="s">
        <v>3</v>
      </c>
      <c r="B11" s="4">
        <v>1793</v>
      </c>
      <c r="C11" s="3">
        <v>2.6</v>
      </c>
      <c r="D11" s="5">
        <f t="shared" si="0"/>
        <v>2</v>
      </c>
      <c r="E11" s="11">
        <f t="shared" si="1"/>
        <v>6</v>
      </c>
      <c r="G11" s="19">
        <f t="shared" si="2"/>
        <v>9</v>
      </c>
      <c r="H11" s="11" t="str">
        <f ca="1">IFERROR(__xludf.DUMMYFUNCTION("TEXTJOIN("" "", TRUE, SORT(FILTER(E$2:E67, D$2:D67 = G11), 1, TRUE))"),"0 1 2")</f>
        <v>0 1 2</v>
      </c>
    </row>
    <row r="12" spans="1:10" ht="15.75" customHeight="1">
      <c r="A12" s="2" t="s">
        <v>3</v>
      </c>
      <c r="B12" s="4">
        <v>1794</v>
      </c>
      <c r="C12" s="3">
        <v>0.4</v>
      </c>
      <c r="D12" s="5">
        <f t="shared" si="0"/>
        <v>0</v>
      </c>
      <c r="E12" s="11">
        <f t="shared" si="1"/>
        <v>4</v>
      </c>
      <c r="G12" s="19">
        <f t="shared" si="2"/>
        <v>10</v>
      </c>
      <c r="H12" s="11" t="str">
        <f ca="1">IFERROR(__xludf.DUMMYFUNCTION("TEXTJOIN("" "", TRUE, SORT(FILTER(E$2:E67, D$2:D67 = G12), 1, TRUE))"),"#N/A")</f>
        <v>#N/A</v>
      </c>
    </row>
    <row r="13" spans="1:10" ht="15.75" customHeight="1">
      <c r="A13" s="2" t="s">
        <v>3</v>
      </c>
      <c r="B13" s="4">
        <v>1795</v>
      </c>
      <c r="C13" s="3">
        <v>2.1</v>
      </c>
      <c r="D13" s="5">
        <f t="shared" si="0"/>
        <v>2</v>
      </c>
      <c r="E13" s="11">
        <f t="shared" si="1"/>
        <v>1</v>
      </c>
      <c r="G13" s="19">
        <f t="shared" si="2"/>
        <v>11</v>
      </c>
      <c r="H13" s="11" t="str">
        <f ca="1">IFERROR(__xludf.DUMMYFUNCTION("TEXTJOIN("" "", TRUE, SORT(FILTER(E$2:E67, D$2:D67 = G13), 1, TRUE))"),"4")</f>
        <v>4</v>
      </c>
    </row>
    <row r="14" spans="1:10" ht="15.75" customHeight="1">
      <c r="A14" s="2" t="s">
        <v>3</v>
      </c>
      <c r="B14" s="4">
        <v>1796</v>
      </c>
      <c r="C14" s="3">
        <v>1.2</v>
      </c>
      <c r="D14" s="5">
        <f t="shared" si="0"/>
        <v>1</v>
      </c>
      <c r="E14" s="11">
        <f t="shared" si="1"/>
        <v>2</v>
      </c>
      <c r="G14" s="19">
        <f t="shared" si="2"/>
        <v>12</v>
      </c>
      <c r="H14" s="11" t="str">
        <f ca="1">IFERROR(__xludf.DUMMYFUNCTION("TEXTJOIN("" "", TRUE, SORT(FILTER(E$2:E67, D$2:D67 = G14), 1, TRUE))"),"#N/A")</f>
        <v>#N/A</v>
      </c>
    </row>
    <row r="15" spans="1:10" ht="15.75" customHeight="1">
      <c r="A15" s="2" t="s">
        <v>3</v>
      </c>
      <c r="B15" s="4">
        <v>1797</v>
      </c>
      <c r="C15" s="3">
        <v>0.2</v>
      </c>
      <c r="D15" s="5">
        <f t="shared" si="0"/>
        <v>0</v>
      </c>
      <c r="E15" s="11">
        <f t="shared" si="1"/>
        <v>2</v>
      </c>
      <c r="G15" s="19">
        <f t="shared" si="2"/>
        <v>13</v>
      </c>
      <c r="H15" s="11" t="str">
        <f ca="1">IFERROR(__xludf.DUMMYFUNCTION("TEXTJOIN("" "", TRUE, SORT(FILTER(E$2:E67, D$2:D67 = G15), 1, TRUE))"),"#N/A")</f>
        <v>#N/A</v>
      </c>
    </row>
    <row r="16" spans="1:10" ht="15.75" customHeight="1">
      <c r="A16" s="2" t="s">
        <v>3</v>
      </c>
      <c r="B16" s="4">
        <v>1798</v>
      </c>
      <c r="C16" s="3">
        <v>0.2</v>
      </c>
      <c r="D16" s="5">
        <f t="shared" si="0"/>
        <v>0</v>
      </c>
      <c r="E16" s="11">
        <f t="shared" si="1"/>
        <v>2</v>
      </c>
      <c r="G16" s="19">
        <f t="shared" si="2"/>
        <v>14</v>
      </c>
      <c r="H16" s="11" t="str">
        <f ca="1">IFERROR(__xludf.DUMMYFUNCTION("TEXTJOIN("" "", TRUE, SORT(FILTER(E$2:E67, D$2:D67 = G16), 1, TRUE))"),"#N/A")</f>
        <v>#N/A</v>
      </c>
    </row>
    <row r="17" spans="1:8" ht="15.75" customHeight="1">
      <c r="A17" s="2" t="s">
        <v>3</v>
      </c>
      <c r="B17" s="4">
        <v>1799</v>
      </c>
      <c r="C17" s="3">
        <v>1</v>
      </c>
      <c r="D17" s="5">
        <f t="shared" si="0"/>
        <v>1</v>
      </c>
      <c r="E17" s="11">
        <f t="shared" si="1"/>
        <v>0</v>
      </c>
      <c r="G17" s="19">
        <f t="shared" si="2"/>
        <v>15</v>
      </c>
      <c r="H17" s="11" t="str">
        <f ca="1">IFERROR(__xludf.DUMMYFUNCTION("TEXTJOIN("" "", TRUE, SORT(FILTER(E$2:E67, D$2:D67 = G17), 1, TRUE))"),"8")</f>
        <v>8</v>
      </c>
    </row>
    <row r="18" spans="1:8" ht="15.75" customHeight="1">
      <c r="A18" s="2" t="s">
        <v>3</v>
      </c>
      <c r="B18" s="4">
        <v>1800</v>
      </c>
      <c r="C18" s="3">
        <v>2</v>
      </c>
      <c r="D18" s="5">
        <f t="shared" si="0"/>
        <v>2</v>
      </c>
      <c r="E18" s="11">
        <f t="shared" si="1"/>
        <v>0</v>
      </c>
    </row>
    <row r="19" spans="1:8" ht="15.75" customHeight="1">
      <c r="A19" s="2" t="s">
        <v>3</v>
      </c>
      <c r="B19" s="4">
        <v>1801</v>
      </c>
      <c r="C19" s="3">
        <v>0.8</v>
      </c>
      <c r="D19" s="5">
        <f t="shared" si="0"/>
        <v>0</v>
      </c>
      <c r="E19" s="11">
        <f t="shared" si="1"/>
        <v>8</v>
      </c>
    </row>
    <row r="20" spans="1:8" ht="15.75" customHeight="1">
      <c r="A20" s="2" t="s">
        <v>3</v>
      </c>
      <c r="B20" s="4">
        <v>1802</v>
      </c>
      <c r="C20" s="3">
        <v>0.4</v>
      </c>
      <c r="D20" s="5">
        <f t="shared" si="0"/>
        <v>0</v>
      </c>
      <c r="E20" s="11">
        <f t="shared" si="1"/>
        <v>4</v>
      </c>
    </row>
    <row r="21" spans="1:8" ht="15.75" customHeight="1">
      <c r="A21" s="2" t="s">
        <v>3</v>
      </c>
      <c r="B21" s="4">
        <v>1803</v>
      </c>
      <c r="C21" s="3">
        <v>0.7</v>
      </c>
      <c r="D21" s="5">
        <f t="shared" si="0"/>
        <v>0</v>
      </c>
      <c r="E21" s="11">
        <f t="shared" si="1"/>
        <v>7</v>
      </c>
    </row>
    <row r="22" spans="1:8" ht="15.75" customHeight="1">
      <c r="A22" s="2" t="s">
        <v>3</v>
      </c>
      <c r="B22" s="4">
        <v>1804</v>
      </c>
      <c r="C22" s="3">
        <v>0.4</v>
      </c>
      <c r="D22" s="5">
        <f t="shared" si="0"/>
        <v>0</v>
      </c>
      <c r="E22" s="11">
        <f t="shared" si="1"/>
        <v>4</v>
      </c>
    </row>
    <row r="23" spans="1:8" ht="15.75" customHeight="1">
      <c r="A23" s="2" t="s">
        <v>3</v>
      </c>
      <c r="B23" s="4">
        <v>1805</v>
      </c>
      <c r="C23" s="3">
        <v>0.4</v>
      </c>
      <c r="D23" s="5">
        <f t="shared" si="0"/>
        <v>0</v>
      </c>
      <c r="E23" s="11">
        <f t="shared" si="1"/>
        <v>4</v>
      </c>
    </row>
    <row r="24" spans="1:8" ht="15.75" customHeight="1">
      <c r="A24" s="2" t="s">
        <v>3</v>
      </c>
      <c r="B24" s="4">
        <v>1806</v>
      </c>
      <c r="C24" s="3">
        <v>0.7</v>
      </c>
      <c r="D24" s="5">
        <f t="shared" si="0"/>
        <v>0</v>
      </c>
      <c r="E24" s="11">
        <f t="shared" si="1"/>
        <v>7</v>
      </c>
    </row>
    <row r="25" spans="1:8" ht="15.75" customHeight="1">
      <c r="A25" s="2" t="s">
        <v>3</v>
      </c>
      <c r="B25" s="4">
        <v>1807</v>
      </c>
      <c r="C25" s="3">
        <v>0.6</v>
      </c>
      <c r="D25" s="5">
        <f t="shared" si="0"/>
        <v>0</v>
      </c>
      <c r="E25" s="11">
        <f t="shared" si="1"/>
        <v>6</v>
      </c>
    </row>
    <row r="26" spans="1:8" ht="15.75" customHeight="1">
      <c r="A26" s="2" t="s">
        <v>3</v>
      </c>
      <c r="B26" s="4">
        <v>1808</v>
      </c>
      <c r="C26" s="3">
        <v>0.8</v>
      </c>
      <c r="D26" s="5">
        <f t="shared" si="0"/>
        <v>0</v>
      </c>
      <c r="E26" s="11">
        <f t="shared" si="1"/>
        <v>8</v>
      </c>
    </row>
    <row r="27" spans="1:8" ht="15.75" customHeight="1">
      <c r="A27" s="2" t="s">
        <v>3</v>
      </c>
      <c r="B27" s="4">
        <v>1809</v>
      </c>
      <c r="C27" s="3">
        <v>1.4</v>
      </c>
      <c r="D27" s="5">
        <f t="shared" si="0"/>
        <v>1</v>
      </c>
      <c r="E27" s="11">
        <f t="shared" si="1"/>
        <v>4</v>
      </c>
    </row>
    <row r="28" spans="1:8" ht="15.75" customHeight="1">
      <c r="A28" s="2" t="s">
        <v>3</v>
      </c>
      <c r="B28" s="4">
        <v>1810</v>
      </c>
      <c r="C28" s="3">
        <v>0.8</v>
      </c>
      <c r="D28" s="5">
        <f t="shared" si="0"/>
        <v>0</v>
      </c>
      <c r="E28" s="11">
        <f t="shared" si="1"/>
        <v>8</v>
      </c>
    </row>
    <row r="29" spans="1:8" ht="13.2">
      <c r="A29" s="2" t="s">
        <v>3</v>
      </c>
      <c r="B29" s="4">
        <v>1811</v>
      </c>
      <c r="C29" s="3">
        <v>1.9</v>
      </c>
      <c r="D29" s="5">
        <f t="shared" si="0"/>
        <v>1</v>
      </c>
      <c r="E29" s="11">
        <f t="shared" si="1"/>
        <v>9</v>
      </c>
    </row>
    <row r="30" spans="1:8" ht="13.2">
      <c r="A30" s="2" t="s">
        <v>3</v>
      </c>
      <c r="B30" s="4">
        <v>1812</v>
      </c>
      <c r="C30" s="3">
        <v>0.6</v>
      </c>
      <c r="D30" s="5">
        <f t="shared" si="0"/>
        <v>0</v>
      </c>
      <c r="E30" s="11">
        <f t="shared" si="1"/>
        <v>6</v>
      </c>
    </row>
    <row r="31" spans="1:8" ht="13.2">
      <c r="A31" s="2" t="s">
        <v>3</v>
      </c>
      <c r="B31" s="4">
        <v>1813</v>
      </c>
      <c r="C31" s="3">
        <v>1.1000000000000001</v>
      </c>
      <c r="D31" s="5">
        <f t="shared" si="0"/>
        <v>1</v>
      </c>
      <c r="E31" s="11">
        <f t="shared" si="1"/>
        <v>1</v>
      </c>
    </row>
    <row r="32" spans="1:8" ht="13.2">
      <c r="A32" s="2" t="s">
        <v>3</v>
      </c>
      <c r="B32" s="4">
        <v>1814</v>
      </c>
      <c r="C32" s="3">
        <v>3.2</v>
      </c>
      <c r="D32" s="5">
        <f t="shared" si="0"/>
        <v>3</v>
      </c>
      <c r="E32" s="11">
        <f t="shared" si="1"/>
        <v>2</v>
      </c>
    </row>
    <row r="33" spans="1:5" ht="13.2">
      <c r="A33" s="2" t="s">
        <v>3</v>
      </c>
      <c r="B33" s="4">
        <v>1815</v>
      </c>
      <c r="C33" s="3">
        <v>0.7</v>
      </c>
      <c r="D33" s="5">
        <f t="shared" si="0"/>
        <v>0</v>
      </c>
      <c r="E33" s="11">
        <f t="shared" si="1"/>
        <v>7</v>
      </c>
    </row>
    <row r="34" spans="1:5" ht="13.2">
      <c r="A34" s="2" t="s">
        <v>3</v>
      </c>
      <c r="B34" s="4">
        <v>1816</v>
      </c>
      <c r="C34" s="3">
        <v>0.5</v>
      </c>
      <c r="D34" s="5">
        <f t="shared" si="0"/>
        <v>0</v>
      </c>
      <c r="E34" s="11">
        <f t="shared" si="1"/>
        <v>5</v>
      </c>
    </row>
    <row r="35" spans="1:5" ht="13.2">
      <c r="A35" s="2" t="s">
        <v>3</v>
      </c>
      <c r="B35" s="4">
        <v>1817</v>
      </c>
      <c r="C35" s="3">
        <v>0.9</v>
      </c>
      <c r="D35" s="5">
        <f t="shared" si="0"/>
        <v>0</v>
      </c>
      <c r="E35" s="11">
        <f t="shared" si="1"/>
        <v>9</v>
      </c>
    </row>
    <row r="36" spans="1:5" ht="13.2">
      <c r="A36" s="2" t="s">
        <v>3</v>
      </c>
      <c r="B36" s="4">
        <v>1818</v>
      </c>
      <c r="C36" s="3">
        <v>2.2000000000000002</v>
      </c>
      <c r="D36" s="5">
        <f t="shared" si="0"/>
        <v>2</v>
      </c>
      <c r="E36" s="11">
        <f t="shared" si="1"/>
        <v>2</v>
      </c>
    </row>
    <row r="37" spans="1:5" ht="13.2">
      <c r="A37" s="2" t="s">
        <v>3</v>
      </c>
      <c r="B37" s="4">
        <v>1819</v>
      </c>
      <c r="C37" s="3">
        <v>5</v>
      </c>
      <c r="D37" s="5">
        <f t="shared" si="0"/>
        <v>5</v>
      </c>
      <c r="E37" s="11">
        <f t="shared" si="1"/>
        <v>0</v>
      </c>
    </row>
    <row r="38" spans="1:5" ht="13.2">
      <c r="A38" s="2" t="s">
        <v>3</v>
      </c>
      <c r="B38" s="4">
        <v>1820</v>
      </c>
      <c r="C38" s="3">
        <v>2.5</v>
      </c>
      <c r="D38" s="5">
        <f t="shared" si="0"/>
        <v>2</v>
      </c>
      <c r="E38" s="11">
        <f t="shared" si="1"/>
        <v>5</v>
      </c>
    </row>
    <row r="39" spans="1:5" ht="13.2">
      <c r="A39" s="2" t="s">
        <v>3</v>
      </c>
      <c r="B39" s="4">
        <v>1821</v>
      </c>
      <c r="C39" s="3">
        <v>1.7</v>
      </c>
      <c r="D39" s="5">
        <f t="shared" si="0"/>
        <v>1</v>
      </c>
      <c r="E39" s="11">
        <f t="shared" si="1"/>
        <v>7</v>
      </c>
    </row>
    <row r="40" spans="1:5" ht="13.2">
      <c r="A40" s="2" t="s">
        <v>3</v>
      </c>
      <c r="B40" s="4">
        <v>1822</v>
      </c>
      <c r="C40" s="3">
        <v>0.8</v>
      </c>
      <c r="D40" s="5">
        <f t="shared" si="0"/>
        <v>0</v>
      </c>
      <c r="E40" s="11">
        <f t="shared" si="1"/>
        <v>8</v>
      </c>
    </row>
    <row r="41" spans="1:5" ht="13.2">
      <c r="A41" s="2" t="s">
        <v>3</v>
      </c>
      <c r="B41" s="4">
        <v>1823</v>
      </c>
      <c r="C41" s="3">
        <v>7.5</v>
      </c>
      <c r="D41" s="5">
        <f t="shared" si="0"/>
        <v>7</v>
      </c>
      <c r="E41" s="11">
        <f t="shared" si="1"/>
        <v>5</v>
      </c>
    </row>
    <row r="42" spans="1:5" ht="13.2">
      <c r="A42" s="2" t="s">
        <v>3</v>
      </c>
      <c r="B42" s="4">
        <v>1824</v>
      </c>
      <c r="C42" s="3">
        <v>4.9000000000000004</v>
      </c>
      <c r="D42" s="5">
        <f t="shared" si="0"/>
        <v>4</v>
      </c>
      <c r="E42" s="11">
        <f t="shared" si="1"/>
        <v>9</v>
      </c>
    </row>
    <row r="43" spans="1:5" ht="13.2">
      <c r="A43" s="2" t="s">
        <v>3</v>
      </c>
      <c r="B43" s="4">
        <v>1825</v>
      </c>
      <c r="C43" s="3">
        <v>8.8000000000000007</v>
      </c>
      <c r="D43" s="5">
        <f t="shared" si="0"/>
        <v>8</v>
      </c>
      <c r="E43" s="11">
        <f t="shared" si="1"/>
        <v>8</v>
      </c>
    </row>
    <row r="44" spans="1:5" ht="13.2">
      <c r="A44" s="2" t="s">
        <v>3</v>
      </c>
      <c r="B44" s="4">
        <v>1826</v>
      </c>
      <c r="C44" s="3">
        <v>8.1</v>
      </c>
      <c r="D44" s="5">
        <f t="shared" si="0"/>
        <v>8</v>
      </c>
      <c r="E44" s="11">
        <f t="shared" si="1"/>
        <v>1</v>
      </c>
    </row>
    <row r="45" spans="1:5" ht="13.2">
      <c r="A45" s="2" t="s">
        <v>3</v>
      </c>
      <c r="B45" s="4">
        <v>1827</v>
      </c>
      <c r="C45" s="3">
        <v>2.2000000000000002</v>
      </c>
      <c r="D45" s="5">
        <f t="shared" si="0"/>
        <v>2</v>
      </c>
      <c r="E45" s="11">
        <f t="shared" si="1"/>
        <v>2</v>
      </c>
    </row>
    <row r="46" spans="1:5" ht="13.2">
      <c r="A46" s="2" t="s">
        <v>3</v>
      </c>
      <c r="B46" s="4">
        <v>1828</v>
      </c>
      <c r="C46" s="3">
        <v>3.6</v>
      </c>
      <c r="D46" s="5">
        <f t="shared" si="0"/>
        <v>3</v>
      </c>
      <c r="E46" s="11">
        <f t="shared" si="1"/>
        <v>6</v>
      </c>
    </row>
    <row r="47" spans="1:5" ht="13.2">
      <c r="A47" s="2" t="s">
        <v>3</v>
      </c>
      <c r="B47" s="4">
        <v>1829</v>
      </c>
      <c r="C47" s="3">
        <v>4.5999999999999996</v>
      </c>
      <c r="D47" s="5">
        <f t="shared" si="0"/>
        <v>4</v>
      </c>
      <c r="E47" s="11">
        <f t="shared" si="1"/>
        <v>6</v>
      </c>
    </row>
    <row r="48" spans="1:5" ht="13.2">
      <c r="A48" s="2" t="s">
        <v>3</v>
      </c>
      <c r="B48" s="4">
        <v>1830</v>
      </c>
      <c r="C48" s="3">
        <v>4</v>
      </c>
      <c r="D48" s="5">
        <f t="shared" si="0"/>
        <v>4</v>
      </c>
      <c r="E48" s="11">
        <f t="shared" si="1"/>
        <v>0</v>
      </c>
    </row>
    <row r="49" spans="1:5" ht="13.2">
      <c r="A49" s="2" t="s">
        <v>3</v>
      </c>
      <c r="B49" s="4">
        <v>1831</v>
      </c>
      <c r="C49" s="3">
        <v>6.6</v>
      </c>
      <c r="D49" s="5">
        <f t="shared" si="0"/>
        <v>6</v>
      </c>
      <c r="E49" s="11">
        <f t="shared" si="1"/>
        <v>6</v>
      </c>
    </row>
    <row r="50" spans="1:5" ht="13.2">
      <c r="A50" s="2" t="s">
        <v>3</v>
      </c>
      <c r="B50" s="4">
        <v>1832</v>
      </c>
      <c r="C50" s="3">
        <v>3.2</v>
      </c>
      <c r="D50" s="5">
        <f t="shared" si="0"/>
        <v>3</v>
      </c>
      <c r="E50" s="11">
        <f t="shared" si="1"/>
        <v>2</v>
      </c>
    </row>
    <row r="51" spans="1:5" ht="13.2">
      <c r="A51" s="2" t="s">
        <v>3</v>
      </c>
      <c r="B51" s="4">
        <v>1833</v>
      </c>
      <c r="C51" s="3">
        <v>5.3</v>
      </c>
      <c r="D51" s="5">
        <f t="shared" si="0"/>
        <v>5</v>
      </c>
      <c r="E51" s="11">
        <f t="shared" si="1"/>
        <v>3</v>
      </c>
    </row>
    <row r="52" spans="1:5" ht="13.2">
      <c r="A52" s="2" t="s">
        <v>3</v>
      </c>
      <c r="B52" s="4">
        <v>1834</v>
      </c>
      <c r="C52" s="3">
        <v>7.7</v>
      </c>
      <c r="D52" s="5">
        <f t="shared" si="0"/>
        <v>7</v>
      </c>
      <c r="E52" s="11">
        <f t="shared" si="1"/>
        <v>7</v>
      </c>
    </row>
    <row r="53" spans="1:5" ht="13.2">
      <c r="A53" s="2" t="s">
        <v>3</v>
      </c>
      <c r="B53" s="4">
        <v>1835</v>
      </c>
      <c r="C53" s="3">
        <v>5.6</v>
      </c>
      <c r="D53" s="5">
        <f t="shared" si="0"/>
        <v>5</v>
      </c>
      <c r="E53" s="11">
        <f t="shared" si="1"/>
        <v>6</v>
      </c>
    </row>
    <row r="54" spans="1:5" ht="13.2">
      <c r="A54" s="2" t="s">
        <v>3</v>
      </c>
      <c r="B54" s="4">
        <v>1836</v>
      </c>
      <c r="C54" s="3">
        <v>7.5</v>
      </c>
      <c r="D54" s="5">
        <f t="shared" si="0"/>
        <v>7</v>
      </c>
      <c r="E54" s="11">
        <f t="shared" si="1"/>
        <v>5</v>
      </c>
    </row>
    <row r="55" spans="1:5" ht="13.2">
      <c r="A55" s="2" t="s">
        <v>3</v>
      </c>
      <c r="B55" s="4">
        <v>1837</v>
      </c>
      <c r="C55" s="3">
        <v>9.1</v>
      </c>
      <c r="D55" s="5">
        <f t="shared" si="0"/>
        <v>9</v>
      </c>
      <c r="E55" s="11">
        <f t="shared" si="1"/>
        <v>1</v>
      </c>
    </row>
    <row r="56" spans="1:5" ht="13.2">
      <c r="A56" s="2" t="s">
        <v>3</v>
      </c>
      <c r="B56" s="4">
        <v>1838</v>
      </c>
      <c r="C56" s="3">
        <v>3</v>
      </c>
      <c r="D56" s="5">
        <f t="shared" si="0"/>
        <v>3</v>
      </c>
      <c r="E56" s="11">
        <f t="shared" si="1"/>
        <v>0</v>
      </c>
    </row>
    <row r="57" spans="1:5" ht="13.2">
      <c r="A57" s="2" t="s">
        <v>3</v>
      </c>
      <c r="B57" s="4">
        <v>1839</v>
      </c>
      <c r="C57" s="3">
        <v>5.4</v>
      </c>
      <c r="D57" s="5">
        <f t="shared" si="0"/>
        <v>5</v>
      </c>
      <c r="E57" s="11">
        <f t="shared" si="1"/>
        <v>4</v>
      </c>
    </row>
    <row r="58" spans="1:5" ht="13.2">
      <c r="A58" s="2" t="s">
        <v>3</v>
      </c>
      <c r="B58" s="4">
        <v>1840</v>
      </c>
      <c r="C58" s="3">
        <v>9.1999999999999993</v>
      </c>
      <c r="D58" s="5">
        <f t="shared" si="0"/>
        <v>9</v>
      </c>
      <c r="E58" s="11">
        <f t="shared" si="1"/>
        <v>2</v>
      </c>
    </row>
    <row r="59" spans="1:5" ht="13.2">
      <c r="A59" s="2" t="s">
        <v>3</v>
      </c>
      <c r="B59" s="4">
        <v>1841</v>
      </c>
      <c r="C59" s="3">
        <v>7.8</v>
      </c>
      <c r="D59" s="5">
        <f t="shared" si="0"/>
        <v>7</v>
      </c>
      <c r="E59" s="11">
        <f t="shared" si="1"/>
        <v>8</v>
      </c>
    </row>
    <row r="60" spans="1:5" ht="13.2">
      <c r="A60" s="2" t="s">
        <v>3</v>
      </c>
      <c r="B60" s="4">
        <v>1842</v>
      </c>
      <c r="C60" s="3">
        <v>15.8</v>
      </c>
      <c r="D60" s="5">
        <f t="shared" si="0"/>
        <v>15</v>
      </c>
      <c r="E60" s="11">
        <f t="shared" si="1"/>
        <v>8</v>
      </c>
    </row>
    <row r="61" spans="1:5" ht="13.2">
      <c r="A61" s="2" t="s">
        <v>3</v>
      </c>
      <c r="B61" s="4">
        <v>1843</v>
      </c>
      <c r="C61" s="3">
        <v>9</v>
      </c>
      <c r="D61" s="5">
        <f t="shared" si="0"/>
        <v>9</v>
      </c>
      <c r="E61" s="11">
        <f t="shared" si="1"/>
        <v>0</v>
      </c>
    </row>
    <row r="62" spans="1:5" ht="13.2">
      <c r="A62" s="2" t="s">
        <v>3</v>
      </c>
      <c r="B62" s="4">
        <v>1844</v>
      </c>
      <c r="C62" s="3">
        <v>8.1999999999999993</v>
      </c>
      <c r="D62" s="5">
        <f t="shared" si="0"/>
        <v>8</v>
      </c>
      <c r="E62" s="11">
        <f t="shared" si="1"/>
        <v>2</v>
      </c>
    </row>
    <row r="63" spans="1:5" ht="13.2">
      <c r="A63" s="2" t="s">
        <v>3</v>
      </c>
      <c r="B63" s="4">
        <v>1845</v>
      </c>
      <c r="C63" s="3">
        <v>6.9</v>
      </c>
      <c r="D63" s="5">
        <f t="shared" si="0"/>
        <v>6</v>
      </c>
      <c r="E63" s="11">
        <f t="shared" si="1"/>
        <v>9</v>
      </c>
    </row>
    <row r="64" spans="1:5" ht="13.2">
      <c r="A64" s="2" t="s">
        <v>3</v>
      </c>
      <c r="B64" s="4">
        <v>1846</v>
      </c>
      <c r="C64" s="3">
        <v>11.4</v>
      </c>
      <c r="D64" s="5">
        <f t="shared" si="0"/>
        <v>11</v>
      </c>
      <c r="E64" s="11">
        <f t="shared" si="1"/>
        <v>4</v>
      </c>
    </row>
    <row r="65" spans="1:5" ht="13.2">
      <c r="A65" s="2" t="s">
        <v>3</v>
      </c>
      <c r="B65" s="4">
        <v>1847</v>
      </c>
      <c r="C65" s="3">
        <v>5</v>
      </c>
      <c r="D65" s="5">
        <f t="shared" si="0"/>
        <v>5</v>
      </c>
      <c r="E65" s="11">
        <f t="shared" si="1"/>
        <v>0</v>
      </c>
    </row>
    <row r="66" spans="1:5" ht="13.2">
      <c r="A66" s="2" t="s">
        <v>3</v>
      </c>
      <c r="B66" s="4">
        <v>1848</v>
      </c>
      <c r="C66" s="3">
        <v>1.3</v>
      </c>
      <c r="D66" s="5">
        <f t="shared" si="0"/>
        <v>1</v>
      </c>
      <c r="E66" s="11">
        <f t="shared" si="1"/>
        <v>3</v>
      </c>
    </row>
    <row r="67" spans="1:5" ht="13.2">
      <c r="A67" s="2" t="s">
        <v>3</v>
      </c>
      <c r="B67" s="4">
        <v>1849</v>
      </c>
      <c r="C67" s="3">
        <v>2.7</v>
      </c>
      <c r="D67" s="5">
        <f t="shared" si="0"/>
        <v>2</v>
      </c>
      <c r="E67" s="11">
        <f t="shared" si="1"/>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67"/>
  <sheetViews>
    <sheetView workbookViewId="0">
      <selection sqref="A1:C67"/>
    </sheetView>
  </sheetViews>
  <sheetFormatPr defaultColWidth="12.6640625" defaultRowHeight="15.75" customHeight="1"/>
  <cols>
    <col min="1" max="1" width="20.77734375" bestFit="1" customWidth="1"/>
    <col min="2" max="2" width="7.109375" bestFit="1" customWidth="1"/>
    <col min="3" max="3" width="6.88671875" bestFit="1" customWidth="1"/>
  </cols>
  <sheetData>
    <row r="1" spans="1:4" ht="15.75" customHeight="1">
      <c r="A1" t="s">
        <v>1</v>
      </c>
      <c r="B1" t="s">
        <v>2</v>
      </c>
      <c r="C1" t="s">
        <v>4</v>
      </c>
      <c r="D1" s="12"/>
    </row>
    <row r="2" spans="1:4" ht="15.75" customHeight="1">
      <c r="A2" t="s">
        <v>3</v>
      </c>
      <c r="B2">
        <v>1784</v>
      </c>
      <c r="C2">
        <v>2.1</v>
      </c>
      <c r="D2" s="13"/>
    </row>
    <row r="3" spans="1:4" ht="15.75" customHeight="1">
      <c r="A3" t="s">
        <v>3</v>
      </c>
      <c r="B3">
        <v>1785</v>
      </c>
      <c r="C3">
        <v>1.4</v>
      </c>
      <c r="D3" s="13"/>
    </row>
    <row r="4" spans="1:4" ht="15.75" customHeight="1">
      <c r="A4" t="s">
        <v>3</v>
      </c>
      <c r="B4">
        <v>1786</v>
      </c>
      <c r="C4">
        <v>0.4</v>
      </c>
      <c r="D4" s="7"/>
    </row>
    <row r="5" spans="1:4" ht="15.75" customHeight="1">
      <c r="A5" t="s">
        <v>3</v>
      </c>
      <c r="B5">
        <v>1787</v>
      </c>
      <c r="C5">
        <v>0.4</v>
      </c>
      <c r="D5" s="14"/>
    </row>
    <row r="6" spans="1:4" ht="15.75" customHeight="1">
      <c r="A6" t="s">
        <v>3</v>
      </c>
      <c r="B6">
        <v>1788</v>
      </c>
      <c r="C6">
        <v>0.4</v>
      </c>
      <c r="D6" s="6"/>
    </row>
    <row r="7" spans="1:4" ht="15.75" customHeight="1">
      <c r="A7" t="s">
        <v>3</v>
      </c>
      <c r="B7">
        <v>1789</v>
      </c>
      <c r="C7">
        <v>0.6</v>
      </c>
      <c r="D7" s="6"/>
    </row>
    <row r="8" spans="1:4" ht="15.75" customHeight="1">
      <c r="A8" t="s">
        <v>3</v>
      </c>
      <c r="B8">
        <v>1790</v>
      </c>
      <c r="C8">
        <v>0.8</v>
      </c>
      <c r="D8" s="6"/>
    </row>
    <row r="9" spans="1:4" ht="15.75" customHeight="1">
      <c r="A9" t="s">
        <v>3</v>
      </c>
      <c r="B9">
        <v>1791</v>
      </c>
      <c r="C9">
        <v>0.6</v>
      </c>
      <c r="D9" s="6"/>
    </row>
    <row r="10" spans="1:4" ht="15.75" customHeight="1">
      <c r="A10" t="s">
        <v>3</v>
      </c>
      <c r="B10">
        <v>1792</v>
      </c>
      <c r="C10">
        <v>0.9</v>
      </c>
      <c r="D10" s="6"/>
    </row>
    <row r="11" spans="1:4" ht="15.75" customHeight="1">
      <c r="A11" t="s">
        <v>3</v>
      </c>
      <c r="B11">
        <v>1793</v>
      </c>
      <c r="C11">
        <v>2.6</v>
      </c>
      <c r="D11" s="6"/>
    </row>
    <row r="12" spans="1:4" ht="15.75" customHeight="1">
      <c r="A12" t="s">
        <v>3</v>
      </c>
      <c r="B12">
        <v>1794</v>
      </c>
      <c r="C12">
        <v>0.4</v>
      </c>
      <c r="D12" s="6"/>
    </row>
    <row r="13" spans="1:4" ht="15.75" customHeight="1">
      <c r="A13" t="s">
        <v>3</v>
      </c>
      <c r="B13">
        <v>1795</v>
      </c>
      <c r="C13">
        <v>2.1</v>
      </c>
      <c r="D13" s="6"/>
    </row>
    <row r="14" spans="1:4" ht="15.75" customHeight="1">
      <c r="A14" t="s">
        <v>3</v>
      </c>
      <c r="B14">
        <v>1796</v>
      </c>
      <c r="C14">
        <v>1.2</v>
      </c>
      <c r="D14" s="6"/>
    </row>
    <row r="15" spans="1:4" ht="15.75" customHeight="1">
      <c r="A15" t="s">
        <v>3</v>
      </c>
      <c r="B15">
        <v>1797</v>
      </c>
      <c r="C15">
        <v>0.2</v>
      </c>
      <c r="D15" s="6"/>
    </row>
    <row r="16" spans="1:4" ht="15.75" customHeight="1">
      <c r="A16" t="s">
        <v>3</v>
      </c>
      <c r="B16">
        <v>1798</v>
      </c>
      <c r="C16">
        <v>0.2</v>
      </c>
      <c r="D16" s="6"/>
    </row>
    <row r="17" spans="1:4" ht="15.75" customHeight="1">
      <c r="A17" t="s">
        <v>3</v>
      </c>
      <c r="B17">
        <v>1799</v>
      </c>
      <c r="C17">
        <v>1</v>
      </c>
      <c r="D17" s="6"/>
    </row>
    <row r="18" spans="1:4" ht="15.75" customHeight="1">
      <c r="A18" t="s">
        <v>3</v>
      </c>
      <c r="B18">
        <v>1800</v>
      </c>
      <c r="C18">
        <v>2</v>
      </c>
      <c r="D18" s="6"/>
    </row>
    <row r="19" spans="1:4" ht="15.75" customHeight="1">
      <c r="A19" t="s">
        <v>3</v>
      </c>
      <c r="B19">
        <v>1801</v>
      </c>
      <c r="C19">
        <v>0.8</v>
      </c>
      <c r="D19" s="6"/>
    </row>
    <row r="20" spans="1:4" ht="15.75" customHeight="1">
      <c r="A20" t="s">
        <v>3</v>
      </c>
      <c r="B20">
        <v>1802</v>
      </c>
      <c r="C20">
        <v>0.4</v>
      </c>
      <c r="D20" s="6"/>
    </row>
    <row r="21" spans="1:4" ht="15.75" customHeight="1">
      <c r="A21" t="s">
        <v>3</v>
      </c>
      <c r="B21">
        <v>1803</v>
      </c>
      <c r="C21">
        <v>0.7</v>
      </c>
      <c r="D21" s="7"/>
    </row>
    <row r="22" spans="1:4" ht="15.75" customHeight="1">
      <c r="A22" t="s">
        <v>3</v>
      </c>
      <c r="B22">
        <v>1804</v>
      </c>
      <c r="C22">
        <v>0.4</v>
      </c>
      <c r="D22" s="7"/>
    </row>
    <row r="23" spans="1:4" ht="15.75" customHeight="1">
      <c r="A23" t="s">
        <v>3</v>
      </c>
      <c r="B23">
        <v>1805</v>
      </c>
      <c r="C23">
        <v>0.4</v>
      </c>
      <c r="D23" s="7"/>
    </row>
    <row r="24" spans="1:4" ht="15.75" customHeight="1">
      <c r="A24" t="s">
        <v>3</v>
      </c>
      <c r="B24">
        <v>1806</v>
      </c>
      <c r="C24">
        <v>0.7</v>
      </c>
      <c r="D24" s="7"/>
    </row>
    <row r="25" spans="1:4" ht="15.75" customHeight="1">
      <c r="A25" t="s">
        <v>3</v>
      </c>
      <c r="B25">
        <v>1807</v>
      </c>
      <c r="C25">
        <v>0.6</v>
      </c>
      <c r="D25" s="7"/>
    </row>
    <row r="26" spans="1:4" ht="15.75" customHeight="1">
      <c r="A26" t="s">
        <v>3</v>
      </c>
      <c r="B26">
        <v>1808</v>
      </c>
      <c r="C26">
        <v>0.8</v>
      </c>
      <c r="D26" s="7"/>
    </row>
    <row r="27" spans="1:4" ht="15.75" customHeight="1">
      <c r="A27" t="s">
        <v>3</v>
      </c>
      <c r="B27">
        <v>1809</v>
      </c>
      <c r="C27">
        <v>1.4</v>
      </c>
      <c r="D27" s="7"/>
    </row>
    <row r="28" spans="1:4" ht="15.75" customHeight="1">
      <c r="A28" t="s">
        <v>3</v>
      </c>
      <c r="B28">
        <v>1810</v>
      </c>
      <c r="C28">
        <v>0.8</v>
      </c>
      <c r="D28" s="7"/>
    </row>
    <row r="29" spans="1:4" ht="13.2">
      <c r="A29" t="s">
        <v>3</v>
      </c>
      <c r="B29">
        <v>1811</v>
      </c>
      <c r="C29">
        <v>1.9</v>
      </c>
      <c r="D29" s="7"/>
    </row>
    <row r="30" spans="1:4" ht="13.2">
      <c r="A30" t="s">
        <v>3</v>
      </c>
      <c r="B30">
        <v>1812</v>
      </c>
      <c r="C30">
        <v>0.6</v>
      </c>
      <c r="D30" s="7"/>
    </row>
    <row r="31" spans="1:4" ht="13.2">
      <c r="A31" t="s">
        <v>3</v>
      </c>
      <c r="B31">
        <v>1813</v>
      </c>
      <c r="C31">
        <v>1.1000000000000001</v>
      </c>
      <c r="D31" s="7"/>
    </row>
    <row r="32" spans="1:4" ht="13.2">
      <c r="A32" t="s">
        <v>3</v>
      </c>
      <c r="B32">
        <v>1814</v>
      </c>
      <c r="C32">
        <v>3.2</v>
      </c>
      <c r="D32" s="7"/>
    </row>
    <row r="33" spans="1:4" ht="13.2">
      <c r="A33" t="s">
        <v>3</v>
      </c>
      <c r="B33">
        <v>1815</v>
      </c>
      <c r="C33">
        <v>0.7</v>
      </c>
      <c r="D33" s="7"/>
    </row>
    <row r="34" spans="1:4" ht="13.2">
      <c r="A34" t="s">
        <v>3</v>
      </c>
      <c r="B34">
        <v>1816</v>
      </c>
      <c r="C34">
        <v>0.5</v>
      </c>
      <c r="D34" s="7"/>
    </row>
    <row r="35" spans="1:4" ht="13.2">
      <c r="A35" t="s">
        <v>3</v>
      </c>
      <c r="B35">
        <v>1817</v>
      </c>
      <c r="C35">
        <v>0.9</v>
      </c>
      <c r="D35" s="7"/>
    </row>
    <row r="36" spans="1:4" ht="13.2">
      <c r="A36" t="s">
        <v>3</v>
      </c>
      <c r="B36">
        <v>1818</v>
      </c>
      <c r="C36">
        <v>2.2000000000000002</v>
      </c>
      <c r="D36" s="7"/>
    </row>
    <row r="37" spans="1:4" ht="13.2">
      <c r="A37" t="s">
        <v>3</v>
      </c>
      <c r="B37">
        <v>1819</v>
      </c>
      <c r="C37">
        <v>5</v>
      </c>
      <c r="D37" s="7"/>
    </row>
    <row r="38" spans="1:4" ht="13.2">
      <c r="A38" t="s">
        <v>3</v>
      </c>
      <c r="B38">
        <v>1820</v>
      </c>
      <c r="C38">
        <v>2.5</v>
      </c>
      <c r="D38" s="7"/>
    </row>
    <row r="39" spans="1:4" ht="13.2">
      <c r="A39" t="s">
        <v>3</v>
      </c>
      <c r="B39">
        <v>1821</v>
      </c>
      <c r="C39">
        <v>1.7</v>
      </c>
      <c r="D39" s="7"/>
    </row>
    <row r="40" spans="1:4" ht="13.2">
      <c r="A40" t="s">
        <v>3</v>
      </c>
      <c r="B40">
        <v>1822</v>
      </c>
      <c r="C40">
        <v>0.8</v>
      </c>
      <c r="D40" s="7"/>
    </row>
    <row r="41" spans="1:4" ht="13.2">
      <c r="A41" t="s">
        <v>3</v>
      </c>
      <c r="B41">
        <v>1823</v>
      </c>
      <c r="C41">
        <v>7.5</v>
      </c>
      <c r="D41" s="7"/>
    </row>
    <row r="42" spans="1:4" ht="13.2">
      <c r="A42" t="s">
        <v>3</v>
      </c>
      <c r="B42">
        <v>1824</v>
      </c>
      <c r="C42">
        <v>4.9000000000000004</v>
      </c>
      <c r="D42" s="7"/>
    </row>
    <row r="43" spans="1:4" ht="13.2">
      <c r="A43" t="s">
        <v>3</v>
      </c>
      <c r="B43">
        <v>1825</v>
      </c>
      <c r="C43">
        <v>8.8000000000000007</v>
      </c>
      <c r="D43" s="7"/>
    </row>
    <row r="44" spans="1:4" ht="13.2">
      <c r="A44" t="s">
        <v>3</v>
      </c>
      <c r="B44">
        <v>1826</v>
      </c>
      <c r="C44">
        <v>8.1</v>
      </c>
      <c r="D44" s="7"/>
    </row>
    <row r="45" spans="1:4" ht="13.2">
      <c r="A45" t="s">
        <v>3</v>
      </c>
      <c r="B45">
        <v>1827</v>
      </c>
      <c r="C45">
        <v>2.2000000000000002</v>
      </c>
      <c r="D45" s="7"/>
    </row>
    <row r="46" spans="1:4" ht="13.2">
      <c r="A46" t="s">
        <v>3</v>
      </c>
      <c r="B46">
        <v>1828</v>
      </c>
      <c r="C46">
        <v>3.6</v>
      </c>
      <c r="D46" s="7"/>
    </row>
    <row r="47" spans="1:4" ht="13.2">
      <c r="A47" t="s">
        <v>3</v>
      </c>
      <c r="B47">
        <v>1829</v>
      </c>
      <c r="C47">
        <v>4.5999999999999996</v>
      </c>
      <c r="D47" s="7"/>
    </row>
    <row r="48" spans="1:4" ht="13.2">
      <c r="A48" t="s">
        <v>3</v>
      </c>
      <c r="B48">
        <v>1830</v>
      </c>
      <c r="C48">
        <v>4</v>
      </c>
      <c r="D48" s="7"/>
    </row>
    <row r="49" spans="1:4" ht="13.2">
      <c r="A49" t="s">
        <v>3</v>
      </c>
      <c r="B49">
        <v>1831</v>
      </c>
      <c r="C49">
        <v>6.6</v>
      </c>
      <c r="D49" s="7"/>
    </row>
    <row r="50" spans="1:4" ht="13.2">
      <c r="A50" t="s">
        <v>3</v>
      </c>
      <c r="B50">
        <v>1832</v>
      </c>
      <c r="C50">
        <v>3.2</v>
      </c>
      <c r="D50" s="7"/>
    </row>
    <row r="51" spans="1:4" ht="13.2">
      <c r="A51" t="s">
        <v>3</v>
      </c>
      <c r="B51">
        <v>1833</v>
      </c>
      <c r="C51">
        <v>5.3</v>
      </c>
      <c r="D51" s="7"/>
    </row>
    <row r="52" spans="1:4" ht="13.2">
      <c r="A52" t="s">
        <v>3</v>
      </c>
      <c r="B52">
        <v>1834</v>
      </c>
      <c r="C52">
        <v>7.7</v>
      </c>
      <c r="D52" s="7"/>
    </row>
    <row r="53" spans="1:4" ht="13.2">
      <c r="A53" t="s">
        <v>3</v>
      </c>
      <c r="B53">
        <v>1835</v>
      </c>
      <c r="C53">
        <v>5.6</v>
      </c>
      <c r="D53" s="7"/>
    </row>
    <row r="54" spans="1:4" ht="13.2">
      <c r="A54" t="s">
        <v>3</v>
      </c>
      <c r="B54">
        <v>1836</v>
      </c>
      <c r="C54">
        <v>7.5</v>
      </c>
      <c r="D54" s="7"/>
    </row>
    <row r="55" spans="1:4" ht="13.2">
      <c r="A55" t="s">
        <v>3</v>
      </c>
      <c r="B55">
        <v>1837</v>
      </c>
      <c r="C55">
        <v>9.1</v>
      </c>
      <c r="D55" s="7"/>
    </row>
    <row r="56" spans="1:4" ht="13.2">
      <c r="A56" t="s">
        <v>3</v>
      </c>
      <c r="B56">
        <v>1838</v>
      </c>
      <c r="C56">
        <v>3</v>
      </c>
      <c r="D56" s="7"/>
    </row>
    <row r="57" spans="1:4" ht="13.2">
      <c r="A57" t="s">
        <v>3</v>
      </c>
      <c r="B57">
        <v>1839</v>
      </c>
      <c r="C57">
        <v>5.4</v>
      </c>
      <c r="D57" s="7"/>
    </row>
    <row r="58" spans="1:4" ht="13.2">
      <c r="A58" t="s">
        <v>3</v>
      </c>
      <c r="B58">
        <v>1840</v>
      </c>
      <c r="C58">
        <v>9.1999999999999993</v>
      </c>
      <c r="D58" s="7"/>
    </row>
    <row r="59" spans="1:4" ht="13.2">
      <c r="A59" t="s">
        <v>3</v>
      </c>
      <c r="B59">
        <v>1841</v>
      </c>
      <c r="C59">
        <v>7.8</v>
      </c>
      <c r="D59" s="7"/>
    </row>
    <row r="60" spans="1:4" ht="13.2">
      <c r="A60" t="s">
        <v>3</v>
      </c>
      <c r="B60">
        <v>1842</v>
      </c>
      <c r="C60">
        <v>15.8</v>
      </c>
      <c r="D60" s="7"/>
    </row>
    <row r="61" spans="1:4" ht="13.2">
      <c r="A61" t="s">
        <v>3</v>
      </c>
      <c r="B61">
        <v>1843</v>
      </c>
      <c r="C61">
        <v>9</v>
      </c>
      <c r="D61" s="7"/>
    </row>
    <row r="62" spans="1:4" ht="13.2">
      <c r="A62" t="s">
        <v>3</v>
      </c>
      <c r="B62">
        <v>1844</v>
      </c>
      <c r="C62">
        <v>8.1999999999999993</v>
      </c>
      <c r="D62" s="7"/>
    </row>
    <row r="63" spans="1:4" ht="13.2">
      <c r="A63" t="s">
        <v>3</v>
      </c>
      <c r="B63">
        <v>1845</v>
      </c>
      <c r="C63">
        <v>6.9</v>
      </c>
      <c r="D63" s="7"/>
    </row>
    <row r="64" spans="1:4" ht="13.2">
      <c r="A64" t="s">
        <v>3</v>
      </c>
      <c r="B64">
        <v>1846</v>
      </c>
      <c r="C64">
        <v>11.4</v>
      </c>
      <c r="D64" s="7"/>
    </row>
    <row r="65" spans="1:4" ht="13.2">
      <c r="A65" t="s">
        <v>3</v>
      </c>
      <c r="B65">
        <v>1847</v>
      </c>
      <c r="C65">
        <v>5</v>
      </c>
      <c r="D65" s="7"/>
    </row>
    <row r="66" spans="1:4" ht="13.2">
      <c r="A66" t="s">
        <v>3</v>
      </c>
      <c r="B66">
        <v>1848</v>
      </c>
      <c r="C66">
        <v>1.3</v>
      </c>
      <c r="D66" s="7"/>
    </row>
    <row r="67" spans="1:4" ht="13.2">
      <c r="A67" t="s">
        <v>3</v>
      </c>
      <c r="B67">
        <v>1849</v>
      </c>
      <c r="C67">
        <v>2.7</v>
      </c>
      <c r="D67" s="7"/>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67"/>
  <sheetViews>
    <sheetView workbookViewId="0">
      <selection sqref="A1:C67"/>
    </sheetView>
  </sheetViews>
  <sheetFormatPr defaultColWidth="12.6640625" defaultRowHeight="15.75" customHeight="1"/>
  <cols>
    <col min="1" max="1" width="6.6640625" bestFit="1" customWidth="1"/>
    <col min="2" max="2" width="25.109375" bestFit="1" customWidth="1"/>
    <col min="3" max="3" width="25.6640625" bestFit="1" customWidth="1"/>
  </cols>
  <sheetData>
    <row r="1" spans="1:3" ht="13.2">
      <c r="A1" s="20" t="s">
        <v>2</v>
      </c>
      <c r="B1" s="21" t="s">
        <v>3</v>
      </c>
      <c r="C1" s="21" t="s">
        <v>75</v>
      </c>
    </row>
    <row r="2" spans="1:3" ht="13.2">
      <c r="A2" s="11" t="s">
        <v>9</v>
      </c>
      <c r="B2">
        <v>2.1</v>
      </c>
      <c r="C2">
        <v>0.9</v>
      </c>
    </row>
    <row r="3" spans="1:3" ht="13.2">
      <c r="A3" s="11" t="s">
        <v>10</v>
      </c>
      <c r="B3">
        <v>1.4</v>
      </c>
      <c r="C3">
        <v>0.6</v>
      </c>
    </row>
    <row r="4" spans="1:3" ht="13.2">
      <c r="A4" t="s">
        <v>11</v>
      </c>
      <c r="B4">
        <v>0.4</v>
      </c>
      <c r="C4">
        <v>0.6</v>
      </c>
    </row>
    <row r="5" spans="1:3" ht="13.2">
      <c r="A5" t="s">
        <v>12</v>
      </c>
      <c r="B5">
        <v>0.4</v>
      </c>
      <c r="C5">
        <v>0.7</v>
      </c>
    </row>
    <row r="6" spans="1:3" ht="13.2">
      <c r="A6" t="s">
        <v>13</v>
      </c>
      <c r="B6">
        <v>0.4</v>
      </c>
      <c r="C6">
        <v>1.6</v>
      </c>
    </row>
    <row r="7" spans="1:3" ht="13.2">
      <c r="A7" t="s">
        <v>14</v>
      </c>
      <c r="B7">
        <v>0.6</v>
      </c>
      <c r="C7">
        <v>1.7</v>
      </c>
    </row>
    <row r="8" spans="1:3" ht="13.2">
      <c r="A8" t="s">
        <v>15</v>
      </c>
      <c r="B8">
        <v>0.8</v>
      </c>
      <c r="C8">
        <v>0.8</v>
      </c>
    </row>
    <row r="9" spans="1:3" ht="13.2">
      <c r="A9" t="s">
        <v>16</v>
      </c>
      <c r="B9">
        <v>0.6</v>
      </c>
      <c r="C9">
        <v>1.6</v>
      </c>
    </row>
    <row r="10" spans="1:3" ht="13.2">
      <c r="A10" t="s">
        <v>17</v>
      </c>
      <c r="B10">
        <v>0.9</v>
      </c>
      <c r="C10">
        <v>0.6</v>
      </c>
    </row>
    <row r="11" spans="1:3" ht="13.2">
      <c r="A11" t="s">
        <v>18</v>
      </c>
      <c r="B11">
        <v>2.6</v>
      </c>
      <c r="C11">
        <v>1.1000000000000001</v>
      </c>
    </row>
    <row r="12" spans="1:3" ht="13.2">
      <c r="A12" t="s">
        <v>19</v>
      </c>
      <c r="B12">
        <v>0.4</v>
      </c>
      <c r="C12">
        <v>1.3</v>
      </c>
    </row>
    <row r="13" spans="1:3" ht="13.2">
      <c r="A13" t="s">
        <v>20</v>
      </c>
      <c r="B13">
        <v>2.1</v>
      </c>
      <c r="C13">
        <v>0.5</v>
      </c>
    </row>
    <row r="14" spans="1:3" ht="13.2">
      <c r="A14" t="s">
        <v>21</v>
      </c>
      <c r="B14">
        <v>1.2</v>
      </c>
      <c r="C14">
        <v>0.6</v>
      </c>
    </row>
    <row r="15" spans="1:3" ht="13.2">
      <c r="A15" t="s">
        <v>22</v>
      </c>
      <c r="B15">
        <v>0.2</v>
      </c>
      <c r="C15">
        <v>0.8</v>
      </c>
    </row>
    <row r="16" spans="1:3" ht="13.2">
      <c r="A16" t="s">
        <v>23</v>
      </c>
      <c r="B16">
        <v>0.2</v>
      </c>
      <c r="C16">
        <v>0.5</v>
      </c>
    </row>
    <row r="17" spans="1:3" ht="13.2">
      <c r="A17" t="s">
        <v>24</v>
      </c>
      <c r="B17">
        <v>1</v>
      </c>
      <c r="C17">
        <v>0.7</v>
      </c>
    </row>
    <row r="18" spans="1:3" ht="13.2">
      <c r="A18" t="s">
        <v>25</v>
      </c>
      <c r="B18">
        <v>2</v>
      </c>
      <c r="C18">
        <v>1</v>
      </c>
    </row>
    <row r="19" spans="1:3" ht="13.2">
      <c r="A19" t="s">
        <v>26</v>
      </c>
      <c r="B19">
        <v>0.8</v>
      </c>
      <c r="C19">
        <v>1.7</v>
      </c>
    </row>
    <row r="20" spans="1:3" ht="13.2">
      <c r="A20" t="s">
        <v>27</v>
      </c>
      <c r="B20">
        <v>0.4</v>
      </c>
      <c r="C20">
        <v>1.3</v>
      </c>
    </row>
    <row r="21" spans="1:3" ht="13.2">
      <c r="A21" t="s">
        <v>28</v>
      </c>
      <c r="B21">
        <v>0.7</v>
      </c>
      <c r="C21">
        <v>2.2000000000000002</v>
      </c>
    </row>
    <row r="22" spans="1:3" ht="13.2">
      <c r="A22" t="s">
        <v>29</v>
      </c>
      <c r="B22">
        <v>0.4</v>
      </c>
      <c r="C22">
        <v>0.8</v>
      </c>
    </row>
    <row r="23" spans="1:3" ht="13.2">
      <c r="A23" t="s">
        <v>30</v>
      </c>
      <c r="B23">
        <v>0.4</v>
      </c>
      <c r="C23">
        <v>0.5</v>
      </c>
    </row>
    <row r="24" spans="1:3" ht="13.2">
      <c r="A24" t="s">
        <v>31</v>
      </c>
      <c r="B24">
        <v>0.7</v>
      </c>
      <c r="C24">
        <v>1</v>
      </c>
    </row>
    <row r="25" spans="1:3" ht="13.2">
      <c r="A25" t="s">
        <v>32</v>
      </c>
      <c r="B25">
        <v>0.6</v>
      </c>
      <c r="C25">
        <v>0.5</v>
      </c>
    </row>
    <row r="26" spans="1:3" ht="13.2">
      <c r="A26" t="s">
        <v>33</v>
      </c>
      <c r="B26">
        <v>0.8</v>
      </c>
      <c r="C26">
        <v>0.5</v>
      </c>
    </row>
    <row r="27" spans="1:3" ht="13.2">
      <c r="A27" t="s">
        <v>34</v>
      </c>
      <c r="B27">
        <v>1.4</v>
      </c>
      <c r="C27">
        <v>0.7</v>
      </c>
    </row>
    <row r="28" spans="1:3" ht="13.2">
      <c r="A28" t="s">
        <v>35</v>
      </c>
      <c r="B28">
        <v>0.8</v>
      </c>
      <c r="C28">
        <v>1</v>
      </c>
    </row>
    <row r="29" spans="1:3" ht="13.2">
      <c r="A29" t="s">
        <v>36</v>
      </c>
      <c r="B29">
        <v>1.9</v>
      </c>
      <c r="C29">
        <v>0.9</v>
      </c>
    </row>
    <row r="30" spans="1:3" ht="13.2">
      <c r="A30" t="s">
        <v>37</v>
      </c>
      <c r="B30">
        <v>0.6</v>
      </c>
      <c r="C30">
        <v>1.6</v>
      </c>
    </row>
    <row r="31" spans="1:3" ht="13.2">
      <c r="A31" t="s">
        <v>38</v>
      </c>
      <c r="B31">
        <v>1.1000000000000001</v>
      </c>
      <c r="C31">
        <v>2.5</v>
      </c>
    </row>
    <row r="32" spans="1:3" ht="13.2">
      <c r="A32" t="s">
        <v>39</v>
      </c>
      <c r="B32">
        <v>3.2</v>
      </c>
      <c r="C32">
        <v>1</v>
      </c>
    </row>
    <row r="33" spans="1:3" ht="13.2">
      <c r="A33" t="s">
        <v>40</v>
      </c>
      <c r="B33">
        <v>0.7</v>
      </c>
      <c r="C33">
        <v>0.6</v>
      </c>
    </row>
    <row r="34" spans="1:3" ht="13.2">
      <c r="A34" t="s">
        <v>41</v>
      </c>
      <c r="B34">
        <v>0.5</v>
      </c>
      <c r="C34">
        <v>0.5</v>
      </c>
    </row>
    <row r="35" spans="1:3" ht="13.2">
      <c r="A35" t="s">
        <v>42</v>
      </c>
      <c r="B35">
        <v>0.9</v>
      </c>
      <c r="C35">
        <v>0.9</v>
      </c>
    </row>
    <row r="36" spans="1:3" ht="13.2">
      <c r="A36" t="s">
        <v>43</v>
      </c>
      <c r="B36">
        <v>2.2000000000000002</v>
      </c>
      <c r="C36">
        <v>1.6</v>
      </c>
    </row>
    <row r="37" spans="1:3" ht="13.2">
      <c r="A37" t="s">
        <v>44</v>
      </c>
      <c r="B37">
        <v>5</v>
      </c>
      <c r="C37">
        <v>2.9</v>
      </c>
    </row>
    <row r="38" spans="1:3" ht="13.2">
      <c r="A38" t="s">
        <v>45</v>
      </c>
      <c r="B38">
        <v>2.5</v>
      </c>
      <c r="C38">
        <v>2.8</v>
      </c>
    </row>
    <row r="39" spans="1:3" ht="13.2">
      <c r="A39" t="s">
        <v>46</v>
      </c>
      <c r="B39">
        <v>1.7</v>
      </c>
      <c r="C39">
        <v>0.8</v>
      </c>
    </row>
    <row r="40" spans="1:3" ht="13.2">
      <c r="A40" t="s">
        <v>47</v>
      </c>
      <c r="B40">
        <v>0.8</v>
      </c>
      <c r="C40">
        <v>0.4</v>
      </c>
    </row>
    <row r="41" spans="1:3" ht="13.2">
      <c r="A41" t="s">
        <v>48</v>
      </c>
      <c r="B41">
        <v>7.5</v>
      </c>
      <c r="C41">
        <v>2.2999999999999998</v>
      </c>
    </row>
    <row r="42" spans="1:3" ht="13.2">
      <c r="A42" t="s">
        <v>49</v>
      </c>
      <c r="B42">
        <v>4.9000000000000004</v>
      </c>
      <c r="C42">
        <v>0.8</v>
      </c>
    </row>
    <row r="43" spans="1:3" ht="13.2">
      <c r="A43" t="s">
        <v>50</v>
      </c>
      <c r="B43">
        <v>8.8000000000000007</v>
      </c>
      <c r="C43">
        <v>0.9</v>
      </c>
    </row>
    <row r="44" spans="1:3" ht="13.2">
      <c r="A44" t="s">
        <v>51</v>
      </c>
      <c r="B44">
        <v>8.1</v>
      </c>
      <c r="C44">
        <v>3.3</v>
      </c>
    </row>
    <row r="45" spans="1:3" ht="13.2">
      <c r="A45" t="s">
        <v>52</v>
      </c>
      <c r="B45">
        <v>2.2000000000000002</v>
      </c>
      <c r="C45">
        <v>1.3</v>
      </c>
    </row>
    <row r="46" spans="1:3" ht="13.2">
      <c r="A46" t="s">
        <v>53</v>
      </c>
      <c r="B46">
        <v>3.6</v>
      </c>
      <c r="C46">
        <v>1.5</v>
      </c>
    </row>
    <row r="47" spans="1:3" ht="13.2">
      <c r="A47" t="s">
        <v>54</v>
      </c>
      <c r="B47">
        <v>4.5999999999999996</v>
      </c>
      <c r="C47">
        <v>1.6</v>
      </c>
    </row>
    <row r="48" spans="1:3" ht="13.2">
      <c r="A48" t="s">
        <v>55</v>
      </c>
      <c r="B48">
        <v>4</v>
      </c>
      <c r="C48">
        <v>0.5</v>
      </c>
    </row>
    <row r="49" spans="1:3" ht="13.2">
      <c r="A49" t="s">
        <v>56</v>
      </c>
      <c r="B49">
        <v>6.6</v>
      </c>
      <c r="C49">
        <v>0.6</v>
      </c>
    </row>
    <row r="50" spans="1:3" ht="13.2">
      <c r="A50" t="s">
        <v>57</v>
      </c>
      <c r="B50">
        <v>3.2</v>
      </c>
      <c r="C50">
        <v>0.5</v>
      </c>
    </row>
    <row r="51" spans="1:3" ht="13.2">
      <c r="A51" t="s">
        <v>58</v>
      </c>
      <c r="B51">
        <v>5.3</v>
      </c>
      <c r="C51">
        <v>0.6</v>
      </c>
    </row>
    <row r="52" spans="1:3" ht="13.2">
      <c r="A52" t="s">
        <v>59</v>
      </c>
      <c r="B52">
        <v>7.7</v>
      </c>
      <c r="C52">
        <v>1.7</v>
      </c>
    </row>
    <row r="53" spans="1:3" ht="13.2">
      <c r="A53" t="s">
        <v>60</v>
      </c>
      <c r="B53">
        <v>5.6</v>
      </c>
      <c r="C53">
        <v>1.8</v>
      </c>
    </row>
    <row r="54" spans="1:3" ht="13.2">
      <c r="A54" t="s">
        <v>61</v>
      </c>
      <c r="B54">
        <v>7.5</v>
      </c>
      <c r="C54">
        <v>2</v>
      </c>
    </row>
    <row r="55" spans="1:3" ht="13.2">
      <c r="A55" t="s">
        <v>62</v>
      </c>
      <c r="B55">
        <v>9.1</v>
      </c>
      <c r="C55">
        <v>1.3</v>
      </c>
    </row>
    <row r="56" spans="1:3" ht="13.2">
      <c r="A56" t="s">
        <v>63</v>
      </c>
      <c r="B56">
        <v>3</v>
      </c>
      <c r="C56">
        <v>2.1</v>
      </c>
    </row>
    <row r="57" spans="1:3" ht="13.2">
      <c r="A57" t="s">
        <v>64</v>
      </c>
      <c r="B57">
        <v>5.4</v>
      </c>
      <c r="C57">
        <v>1.3</v>
      </c>
    </row>
    <row r="58" spans="1:3" ht="13.2">
      <c r="A58" t="s">
        <v>65</v>
      </c>
      <c r="B58">
        <v>9.1999999999999993</v>
      </c>
      <c r="C58">
        <v>1.7</v>
      </c>
    </row>
    <row r="59" spans="1:3" ht="13.2">
      <c r="A59" t="s">
        <v>66</v>
      </c>
      <c r="B59">
        <v>7.8</v>
      </c>
      <c r="C59">
        <v>1.1000000000000001</v>
      </c>
    </row>
    <row r="60" spans="1:3" ht="13.2">
      <c r="A60" t="s">
        <v>67</v>
      </c>
      <c r="B60">
        <v>15.8</v>
      </c>
      <c r="C60">
        <v>1</v>
      </c>
    </row>
    <row r="61" spans="1:3" ht="13.2">
      <c r="A61" t="s">
        <v>68</v>
      </c>
      <c r="B61">
        <v>9</v>
      </c>
      <c r="C61">
        <v>1</v>
      </c>
    </row>
    <row r="62" spans="1:3" ht="13.2">
      <c r="A62" t="s">
        <v>69</v>
      </c>
      <c r="B62">
        <v>8.1999999999999993</v>
      </c>
      <c r="C62">
        <v>0.6</v>
      </c>
    </row>
    <row r="63" spans="1:3" ht="13.2">
      <c r="A63" t="s">
        <v>70</v>
      </c>
      <c r="B63">
        <v>6.9</v>
      </c>
      <c r="C63">
        <v>2.5</v>
      </c>
    </row>
    <row r="64" spans="1:3" ht="13.2">
      <c r="A64" t="s">
        <v>71</v>
      </c>
      <c r="B64">
        <v>11.4</v>
      </c>
      <c r="C64">
        <v>0.8</v>
      </c>
    </row>
    <row r="65" spans="1:3" ht="13.2">
      <c r="A65" t="s">
        <v>72</v>
      </c>
      <c r="B65">
        <v>5</v>
      </c>
      <c r="C65">
        <v>2.8</v>
      </c>
    </row>
    <row r="66" spans="1:3" ht="13.2">
      <c r="A66" t="s">
        <v>73</v>
      </c>
      <c r="B66">
        <v>1.3</v>
      </c>
      <c r="C66">
        <v>1.9</v>
      </c>
    </row>
    <row r="67" spans="1:3" ht="13.2">
      <c r="A67" t="s">
        <v>74</v>
      </c>
      <c r="B67">
        <v>2.7</v>
      </c>
      <c r="C67">
        <v>1.8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67"/>
  <sheetViews>
    <sheetView workbookViewId="0">
      <selection sqref="A1:C67"/>
    </sheetView>
  </sheetViews>
  <sheetFormatPr defaultColWidth="12.6640625" defaultRowHeight="15.75" customHeight="1"/>
  <cols>
    <col min="1" max="1" width="21.5546875" bestFit="1" customWidth="1"/>
    <col min="2" max="3" width="7.21875" bestFit="1" customWidth="1"/>
  </cols>
  <sheetData>
    <row r="1" spans="1:3" ht="13.2">
      <c r="A1" t="s">
        <v>1</v>
      </c>
      <c r="B1" t="s">
        <v>2</v>
      </c>
      <c r="C1" t="s">
        <v>4</v>
      </c>
    </row>
    <row r="2" spans="1:3" ht="13.2">
      <c r="A2" t="s">
        <v>75</v>
      </c>
      <c r="B2" t="s">
        <v>9</v>
      </c>
      <c r="C2">
        <v>0.9</v>
      </c>
    </row>
    <row r="3" spans="1:3" ht="13.2">
      <c r="A3" t="s">
        <v>75</v>
      </c>
      <c r="B3" t="s">
        <v>10</v>
      </c>
      <c r="C3">
        <v>0.6</v>
      </c>
    </row>
    <row r="4" spans="1:3" ht="13.2">
      <c r="A4" t="s">
        <v>75</v>
      </c>
      <c r="B4" t="s">
        <v>11</v>
      </c>
      <c r="C4">
        <v>0.6</v>
      </c>
    </row>
    <row r="5" spans="1:3" ht="13.2">
      <c r="A5" t="s">
        <v>75</v>
      </c>
      <c r="B5" t="s">
        <v>12</v>
      </c>
      <c r="C5">
        <v>0.7</v>
      </c>
    </row>
    <row r="6" spans="1:3" ht="13.2">
      <c r="A6" t="s">
        <v>75</v>
      </c>
      <c r="B6" t="s">
        <v>13</v>
      </c>
      <c r="C6">
        <v>1.6</v>
      </c>
    </row>
    <row r="7" spans="1:3" ht="13.2">
      <c r="A7" t="s">
        <v>75</v>
      </c>
      <c r="B7" t="s">
        <v>14</v>
      </c>
      <c r="C7">
        <v>1.7</v>
      </c>
    </row>
    <row r="8" spans="1:3" ht="13.2">
      <c r="A8" t="s">
        <v>75</v>
      </c>
      <c r="B8" t="s">
        <v>15</v>
      </c>
      <c r="C8">
        <v>0.8</v>
      </c>
    </row>
    <row r="9" spans="1:3" ht="13.2">
      <c r="A9" t="s">
        <v>75</v>
      </c>
      <c r="B9" t="s">
        <v>16</v>
      </c>
      <c r="C9">
        <v>1.6</v>
      </c>
    </row>
    <row r="10" spans="1:3" ht="13.2">
      <c r="A10" t="s">
        <v>75</v>
      </c>
      <c r="B10" t="s">
        <v>17</v>
      </c>
      <c r="C10">
        <v>0.6</v>
      </c>
    </row>
    <row r="11" spans="1:3" ht="13.2">
      <c r="A11" t="s">
        <v>75</v>
      </c>
      <c r="B11" t="s">
        <v>18</v>
      </c>
      <c r="C11">
        <v>1.1000000000000001</v>
      </c>
    </row>
    <row r="12" spans="1:3" ht="13.2">
      <c r="A12" t="s">
        <v>75</v>
      </c>
      <c r="B12" t="s">
        <v>19</v>
      </c>
      <c r="C12">
        <v>1.3</v>
      </c>
    </row>
    <row r="13" spans="1:3" ht="13.2">
      <c r="A13" t="s">
        <v>75</v>
      </c>
      <c r="B13" t="s">
        <v>20</v>
      </c>
      <c r="C13">
        <v>0.5</v>
      </c>
    </row>
    <row r="14" spans="1:3" ht="13.2">
      <c r="A14" t="s">
        <v>75</v>
      </c>
      <c r="B14" t="s">
        <v>21</v>
      </c>
      <c r="C14">
        <v>0.6</v>
      </c>
    </row>
    <row r="15" spans="1:3" ht="13.2">
      <c r="A15" t="s">
        <v>75</v>
      </c>
      <c r="B15" t="s">
        <v>22</v>
      </c>
      <c r="C15">
        <v>0.8</v>
      </c>
    </row>
    <row r="16" spans="1:3" ht="13.2">
      <c r="A16" t="s">
        <v>75</v>
      </c>
      <c r="B16" t="s">
        <v>23</v>
      </c>
      <c r="C16">
        <v>0.5</v>
      </c>
    </row>
    <row r="17" spans="1:3" ht="13.2">
      <c r="A17" t="s">
        <v>75</v>
      </c>
      <c r="B17" t="s">
        <v>24</v>
      </c>
      <c r="C17">
        <v>0.7</v>
      </c>
    </row>
    <row r="18" spans="1:3" ht="13.2">
      <c r="A18" t="s">
        <v>75</v>
      </c>
      <c r="B18" t="s">
        <v>25</v>
      </c>
      <c r="C18">
        <v>1</v>
      </c>
    </row>
    <row r="19" spans="1:3" ht="13.2">
      <c r="A19" t="s">
        <v>75</v>
      </c>
      <c r="B19" t="s">
        <v>26</v>
      </c>
      <c r="C19">
        <v>1.7</v>
      </c>
    </row>
    <row r="20" spans="1:3" ht="13.2">
      <c r="A20" t="s">
        <v>75</v>
      </c>
      <c r="B20" t="s">
        <v>27</v>
      </c>
      <c r="C20">
        <v>1.3</v>
      </c>
    </row>
    <row r="21" spans="1:3" ht="13.2">
      <c r="A21" t="s">
        <v>75</v>
      </c>
      <c r="B21" t="s">
        <v>28</v>
      </c>
      <c r="C21">
        <v>2.2000000000000002</v>
      </c>
    </row>
    <row r="22" spans="1:3" ht="13.2">
      <c r="A22" t="s">
        <v>75</v>
      </c>
      <c r="B22" t="s">
        <v>29</v>
      </c>
      <c r="C22">
        <v>0.8</v>
      </c>
    </row>
    <row r="23" spans="1:3" ht="13.2">
      <c r="A23" t="s">
        <v>75</v>
      </c>
      <c r="B23" t="s">
        <v>30</v>
      </c>
      <c r="C23">
        <v>0.5</v>
      </c>
    </row>
    <row r="24" spans="1:3" ht="13.2">
      <c r="A24" t="s">
        <v>75</v>
      </c>
      <c r="B24" t="s">
        <v>31</v>
      </c>
      <c r="C24">
        <v>1</v>
      </c>
    </row>
    <row r="25" spans="1:3" ht="13.2">
      <c r="A25" t="s">
        <v>75</v>
      </c>
      <c r="B25" t="s">
        <v>32</v>
      </c>
      <c r="C25">
        <v>0.5</v>
      </c>
    </row>
    <row r="26" spans="1:3" ht="13.2">
      <c r="A26" t="s">
        <v>75</v>
      </c>
      <c r="B26" t="s">
        <v>33</v>
      </c>
      <c r="C26">
        <v>0.5</v>
      </c>
    </row>
    <row r="27" spans="1:3" ht="13.2">
      <c r="A27" t="s">
        <v>75</v>
      </c>
      <c r="B27" t="s">
        <v>34</v>
      </c>
      <c r="C27">
        <v>0.7</v>
      </c>
    </row>
    <row r="28" spans="1:3" ht="13.2">
      <c r="A28" t="s">
        <v>75</v>
      </c>
      <c r="B28" t="s">
        <v>35</v>
      </c>
      <c r="C28">
        <v>1</v>
      </c>
    </row>
    <row r="29" spans="1:3" ht="13.2">
      <c r="A29" t="s">
        <v>75</v>
      </c>
      <c r="B29" t="s">
        <v>36</v>
      </c>
      <c r="C29">
        <v>0.9</v>
      </c>
    </row>
    <row r="30" spans="1:3" ht="13.2">
      <c r="A30" t="s">
        <v>75</v>
      </c>
      <c r="B30" t="s">
        <v>37</v>
      </c>
      <c r="C30">
        <v>1.6</v>
      </c>
    </row>
    <row r="31" spans="1:3" ht="13.2">
      <c r="A31" t="s">
        <v>75</v>
      </c>
      <c r="B31" t="s">
        <v>38</v>
      </c>
      <c r="C31">
        <v>2.5</v>
      </c>
    </row>
    <row r="32" spans="1:3" ht="13.2">
      <c r="A32" t="s">
        <v>75</v>
      </c>
      <c r="B32" t="s">
        <v>39</v>
      </c>
      <c r="C32">
        <v>1</v>
      </c>
    </row>
    <row r="33" spans="1:3" ht="13.2">
      <c r="A33" t="s">
        <v>75</v>
      </c>
      <c r="B33" t="s">
        <v>40</v>
      </c>
      <c r="C33">
        <v>0.6</v>
      </c>
    </row>
    <row r="34" spans="1:3" ht="13.2">
      <c r="A34" t="s">
        <v>75</v>
      </c>
      <c r="B34" t="s">
        <v>41</v>
      </c>
      <c r="C34">
        <v>0.5</v>
      </c>
    </row>
    <row r="35" spans="1:3" ht="13.2">
      <c r="A35" t="s">
        <v>75</v>
      </c>
      <c r="B35" t="s">
        <v>42</v>
      </c>
      <c r="C35">
        <v>0.9</v>
      </c>
    </row>
    <row r="36" spans="1:3" ht="13.2">
      <c r="A36" t="s">
        <v>75</v>
      </c>
      <c r="B36" t="s">
        <v>43</v>
      </c>
      <c r="C36">
        <v>1.6</v>
      </c>
    </row>
    <row r="37" spans="1:3" ht="13.2">
      <c r="A37" t="s">
        <v>75</v>
      </c>
      <c r="B37" t="s">
        <v>44</v>
      </c>
      <c r="C37">
        <v>2.9</v>
      </c>
    </row>
    <row r="38" spans="1:3" ht="13.2">
      <c r="A38" t="s">
        <v>75</v>
      </c>
      <c r="B38" t="s">
        <v>45</v>
      </c>
      <c r="C38">
        <v>2.8</v>
      </c>
    </row>
    <row r="39" spans="1:3" ht="13.2">
      <c r="A39" t="s">
        <v>75</v>
      </c>
      <c r="B39" t="s">
        <v>46</v>
      </c>
      <c r="C39">
        <v>0.8</v>
      </c>
    </row>
    <row r="40" spans="1:3" ht="13.2">
      <c r="A40" t="s">
        <v>75</v>
      </c>
      <c r="B40" t="s">
        <v>47</v>
      </c>
      <c r="C40">
        <v>0.4</v>
      </c>
    </row>
    <row r="41" spans="1:3" ht="13.2">
      <c r="A41" t="s">
        <v>75</v>
      </c>
      <c r="B41" t="s">
        <v>48</v>
      </c>
      <c r="C41">
        <v>2.2999999999999998</v>
      </c>
    </row>
    <row r="42" spans="1:3" ht="13.2">
      <c r="A42" t="s">
        <v>75</v>
      </c>
      <c r="B42" t="s">
        <v>49</v>
      </c>
      <c r="C42">
        <v>0.8</v>
      </c>
    </row>
    <row r="43" spans="1:3" ht="13.2">
      <c r="A43" t="s">
        <v>75</v>
      </c>
      <c r="B43" t="s">
        <v>50</v>
      </c>
      <c r="C43">
        <v>0.9</v>
      </c>
    </row>
    <row r="44" spans="1:3" ht="13.2">
      <c r="A44" t="s">
        <v>75</v>
      </c>
      <c r="B44" t="s">
        <v>51</v>
      </c>
      <c r="C44">
        <v>3.3</v>
      </c>
    </row>
    <row r="45" spans="1:3" ht="13.2">
      <c r="A45" t="s">
        <v>75</v>
      </c>
      <c r="B45" t="s">
        <v>52</v>
      </c>
      <c r="C45">
        <v>1.3</v>
      </c>
    </row>
    <row r="46" spans="1:3" ht="13.2">
      <c r="A46" t="s">
        <v>75</v>
      </c>
      <c r="B46" t="s">
        <v>53</v>
      </c>
      <c r="C46">
        <v>1.5</v>
      </c>
    </row>
    <row r="47" spans="1:3" ht="13.2">
      <c r="A47" t="s">
        <v>75</v>
      </c>
      <c r="B47" t="s">
        <v>54</v>
      </c>
      <c r="C47">
        <v>1.6</v>
      </c>
    </row>
    <row r="48" spans="1:3" ht="13.2">
      <c r="A48" t="s">
        <v>75</v>
      </c>
      <c r="B48" t="s">
        <v>55</v>
      </c>
      <c r="C48">
        <v>0.5</v>
      </c>
    </row>
    <row r="49" spans="1:3" ht="13.2">
      <c r="A49" t="s">
        <v>75</v>
      </c>
      <c r="B49" t="s">
        <v>56</v>
      </c>
      <c r="C49">
        <v>0.6</v>
      </c>
    </row>
    <row r="50" spans="1:3" ht="13.2">
      <c r="A50" t="s">
        <v>75</v>
      </c>
      <c r="B50" t="s">
        <v>57</v>
      </c>
      <c r="C50">
        <v>0.5</v>
      </c>
    </row>
    <row r="51" spans="1:3" ht="13.2">
      <c r="A51" t="s">
        <v>75</v>
      </c>
      <c r="B51" t="s">
        <v>58</v>
      </c>
      <c r="C51">
        <v>0.6</v>
      </c>
    </row>
    <row r="52" spans="1:3" ht="13.2">
      <c r="A52" t="s">
        <v>75</v>
      </c>
      <c r="B52" t="s">
        <v>59</v>
      </c>
      <c r="C52">
        <v>1.7</v>
      </c>
    </row>
    <row r="53" spans="1:3" ht="13.2">
      <c r="A53" t="s">
        <v>75</v>
      </c>
      <c r="B53" t="s">
        <v>60</v>
      </c>
      <c r="C53">
        <v>1.8</v>
      </c>
    </row>
    <row r="54" spans="1:3" ht="13.2">
      <c r="A54" t="s">
        <v>75</v>
      </c>
      <c r="B54" t="s">
        <v>61</v>
      </c>
      <c r="C54">
        <v>2</v>
      </c>
    </row>
    <row r="55" spans="1:3" ht="13.2">
      <c r="A55" t="s">
        <v>75</v>
      </c>
      <c r="B55" t="s">
        <v>62</v>
      </c>
      <c r="C55">
        <v>1.3</v>
      </c>
    </row>
    <row r="56" spans="1:3" ht="13.2">
      <c r="A56" t="s">
        <v>75</v>
      </c>
      <c r="B56" t="s">
        <v>63</v>
      </c>
      <c r="C56">
        <v>2.1</v>
      </c>
    </row>
    <row r="57" spans="1:3" ht="13.2">
      <c r="A57" t="s">
        <v>75</v>
      </c>
      <c r="B57" t="s">
        <v>64</v>
      </c>
      <c r="C57">
        <v>1.3</v>
      </c>
    </row>
    <row r="58" spans="1:3" ht="13.2">
      <c r="A58" t="s">
        <v>75</v>
      </c>
      <c r="B58" t="s">
        <v>65</v>
      </c>
      <c r="C58">
        <v>1.7</v>
      </c>
    </row>
    <row r="59" spans="1:3" ht="13.2">
      <c r="A59" t="s">
        <v>75</v>
      </c>
      <c r="B59" t="s">
        <v>66</v>
      </c>
      <c r="C59">
        <v>1.1000000000000001</v>
      </c>
    </row>
    <row r="60" spans="1:3" ht="13.2">
      <c r="A60" t="s">
        <v>75</v>
      </c>
      <c r="B60" t="s">
        <v>67</v>
      </c>
      <c r="C60">
        <v>1</v>
      </c>
    </row>
    <row r="61" spans="1:3" ht="13.2">
      <c r="A61" t="s">
        <v>75</v>
      </c>
      <c r="B61" t="s">
        <v>68</v>
      </c>
      <c r="C61">
        <v>1</v>
      </c>
    </row>
    <row r="62" spans="1:3" ht="13.2">
      <c r="A62" t="s">
        <v>75</v>
      </c>
      <c r="B62" t="s">
        <v>69</v>
      </c>
      <c r="C62">
        <v>0.6</v>
      </c>
    </row>
    <row r="63" spans="1:3" ht="13.2">
      <c r="A63" t="s">
        <v>75</v>
      </c>
      <c r="B63" t="s">
        <v>70</v>
      </c>
      <c r="C63">
        <v>2.5</v>
      </c>
    </row>
    <row r="64" spans="1:3" ht="13.2">
      <c r="A64" t="s">
        <v>75</v>
      </c>
      <c r="B64" t="s">
        <v>71</v>
      </c>
      <c r="C64">
        <v>0.8</v>
      </c>
    </row>
    <row r="65" spans="1:3" ht="13.2">
      <c r="A65" t="s">
        <v>75</v>
      </c>
      <c r="B65" t="s">
        <v>72</v>
      </c>
      <c r="C65">
        <v>2.8</v>
      </c>
    </row>
    <row r="66" spans="1:3" ht="13.2">
      <c r="A66" t="s">
        <v>75</v>
      </c>
      <c r="B66" t="s">
        <v>73</v>
      </c>
      <c r="C66">
        <v>1.9</v>
      </c>
    </row>
    <row r="67" spans="1:3" ht="13.2">
      <c r="A67" t="s">
        <v>75</v>
      </c>
      <c r="B67" t="s">
        <v>74</v>
      </c>
      <c r="C67">
        <v>1.8</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33"/>
  <sheetViews>
    <sheetView showGridLines="0" workbookViewId="0">
      <selection activeCell="H13" sqref="H13"/>
    </sheetView>
  </sheetViews>
  <sheetFormatPr defaultColWidth="12.6640625" defaultRowHeight="15.75" customHeight="1"/>
  <cols>
    <col min="1" max="1" width="21.5546875" bestFit="1" customWidth="1"/>
    <col min="2" max="2" width="7.21875" bestFit="1" customWidth="1"/>
    <col min="3" max="3" width="8.5546875" bestFit="1" customWidth="1"/>
    <col min="4" max="4" width="8.88671875" bestFit="1" customWidth="1"/>
    <col min="5" max="5" width="6.88671875" bestFit="1" customWidth="1"/>
    <col min="6" max="6" width="39.33203125" bestFit="1" customWidth="1"/>
    <col min="7" max="7" width="5" bestFit="1" customWidth="1"/>
    <col min="8" max="8" width="18.88671875" bestFit="1" customWidth="1"/>
    <col min="9" max="9" width="19.5546875" bestFit="1" customWidth="1"/>
    <col min="10" max="10" width="17.88671875" customWidth="1"/>
    <col min="11" max="11" width="7.21875" bestFit="1" customWidth="1"/>
    <col min="12" max="12" width="21.5546875" bestFit="1" customWidth="1"/>
    <col min="13" max="13" width="5" bestFit="1" customWidth="1"/>
    <col min="14" max="14" width="4.6640625" customWidth="1"/>
  </cols>
  <sheetData>
    <row r="1" spans="1:14" ht="13.2">
      <c r="A1" s="1" t="s">
        <v>1</v>
      </c>
      <c r="B1" s="1" t="s">
        <v>2</v>
      </c>
      <c r="C1" s="1" t="s">
        <v>87</v>
      </c>
      <c r="D1" s="24" t="s">
        <v>88</v>
      </c>
      <c r="E1" s="24" t="s">
        <v>4</v>
      </c>
      <c r="F1" s="24" t="s">
        <v>89</v>
      </c>
      <c r="G1" s="2"/>
      <c r="H1" s="3"/>
      <c r="I1" s="3"/>
      <c r="J1" s="3"/>
      <c r="K1" s="16"/>
      <c r="L1" s="2"/>
      <c r="M1" s="2"/>
      <c r="N1" s="3"/>
    </row>
    <row r="2" spans="1:14" ht="13.2">
      <c r="A2" s="2" t="s">
        <v>3</v>
      </c>
      <c r="B2">
        <v>1784</v>
      </c>
      <c r="C2">
        <v>284</v>
      </c>
      <c r="D2">
        <v>6</v>
      </c>
      <c r="E2">
        <v>2.1</v>
      </c>
      <c r="F2" s="23" t="s">
        <v>90</v>
      </c>
      <c r="G2" s="4"/>
      <c r="H2" s="3"/>
      <c r="I2" s="15"/>
      <c r="J2" s="15"/>
      <c r="K2" s="17"/>
      <c r="L2" s="4"/>
      <c r="M2" s="4"/>
      <c r="N2" s="15"/>
    </row>
    <row r="3" spans="1:14" ht="13.2">
      <c r="A3" s="2" t="s">
        <v>3</v>
      </c>
      <c r="B3">
        <v>1785</v>
      </c>
      <c r="C3">
        <v>899</v>
      </c>
      <c r="D3">
        <v>13</v>
      </c>
      <c r="E3">
        <v>1.4</v>
      </c>
      <c r="F3" s="23" t="s">
        <v>91</v>
      </c>
      <c r="G3" s="4"/>
      <c r="H3" s="3"/>
      <c r="I3" s="15"/>
      <c r="J3" s="15"/>
      <c r="K3" s="17"/>
      <c r="L3" s="4"/>
      <c r="M3" s="4"/>
      <c r="N3" s="15"/>
    </row>
    <row r="4" spans="1:14" ht="13.2">
      <c r="A4" s="2" t="s">
        <v>3</v>
      </c>
      <c r="B4">
        <v>1786</v>
      </c>
      <c r="C4">
        <v>1151</v>
      </c>
      <c r="D4">
        <v>5</v>
      </c>
      <c r="E4">
        <v>0.4</v>
      </c>
      <c r="F4" s="23" t="s">
        <v>91</v>
      </c>
      <c r="G4" s="4"/>
      <c r="H4" s="3"/>
      <c r="I4" s="15"/>
      <c r="J4" s="15"/>
      <c r="K4" s="17"/>
      <c r="L4" s="4"/>
      <c r="M4" s="4"/>
      <c r="N4" s="15"/>
    </row>
    <row r="5" spans="1:14" ht="13.2">
      <c r="A5" s="2" t="s">
        <v>3</v>
      </c>
      <c r="B5">
        <v>1787</v>
      </c>
      <c r="C5">
        <v>1407</v>
      </c>
      <c r="D5">
        <v>5</v>
      </c>
      <c r="E5">
        <v>0.4</v>
      </c>
      <c r="F5" s="23" t="s">
        <v>91</v>
      </c>
      <c r="G5" s="4"/>
      <c r="H5" s="3"/>
      <c r="I5" s="15"/>
      <c r="J5" s="15"/>
      <c r="K5" s="17"/>
      <c r="L5" s="4"/>
      <c r="M5" s="4"/>
      <c r="N5" s="15"/>
    </row>
    <row r="6" spans="1:14" ht="13.2">
      <c r="A6" s="2" t="s">
        <v>3</v>
      </c>
      <c r="B6">
        <v>1788</v>
      </c>
      <c r="C6">
        <v>1425</v>
      </c>
      <c r="D6">
        <v>5</v>
      </c>
      <c r="E6">
        <v>0.4</v>
      </c>
      <c r="F6" s="23" t="s">
        <v>91</v>
      </c>
      <c r="G6" s="4"/>
      <c r="H6" s="3"/>
      <c r="I6" s="15"/>
      <c r="J6" s="15"/>
      <c r="K6" s="17"/>
      <c r="L6" s="4"/>
      <c r="M6" s="4"/>
      <c r="N6" s="15"/>
    </row>
    <row r="7" spans="1:14" ht="13.2">
      <c r="A7" s="2" t="s">
        <v>3</v>
      </c>
      <c r="B7">
        <v>1789</v>
      </c>
      <c r="C7">
        <v>1246</v>
      </c>
      <c r="D7">
        <v>7</v>
      </c>
      <c r="E7">
        <v>0.6</v>
      </c>
      <c r="F7" s="23" t="s">
        <v>91</v>
      </c>
      <c r="G7" s="4"/>
      <c r="H7" s="3"/>
      <c r="I7" s="15"/>
      <c r="J7" s="15"/>
      <c r="K7" s="17"/>
      <c r="L7" s="4"/>
      <c r="M7" s="4"/>
      <c r="N7" s="15"/>
    </row>
    <row r="8" spans="1:14" ht="13.2">
      <c r="A8" s="2" t="s">
        <v>3</v>
      </c>
      <c r="B8">
        <v>1790</v>
      </c>
      <c r="C8">
        <v>1326</v>
      </c>
      <c r="D8">
        <v>10</v>
      </c>
      <c r="E8">
        <v>0.8</v>
      </c>
      <c r="F8" s="23" t="s">
        <v>91</v>
      </c>
      <c r="G8" s="4"/>
      <c r="H8" s="3"/>
      <c r="I8" s="15"/>
      <c r="J8" s="15"/>
      <c r="K8" s="17"/>
      <c r="L8" s="4"/>
      <c r="M8" s="4"/>
      <c r="N8" s="15"/>
    </row>
    <row r="9" spans="1:14" ht="13.2">
      <c r="A9" s="2" t="s">
        <v>3</v>
      </c>
      <c r="B9">
        <v>1791</v>
      </c>
      <c r="C9">
        <v>1395</v>
      </c>
      <c r="D9">
        <v>8</v>
      </c>
      <c r="E9">
        <v>0.6</v>
      </c>
      <c r="F9" s="23" t="s">
        <v>91</v>
      </c>
      <c r="G9" s="4"/>
      <c r="H9" s="3"/>
      <c r="I9" s="15"/>
      <c r="J9" s="15"/>
      <c r="K9" s="17"/>
      <c r="L9" s="4"/>
      <c r="M9" s="4"/>
      <c r="N9" s="15"/>
    </row>
    <row r="10" spans="1:14" ht="13.2">
      <c r="A10" s="2" t="s">
        <v>3</v>
      </c>
      <c r="B10">
        <v>1792</v>
      </c>
      <c r="C10">
        <v>1579</v>
      </c>
      <c r="D10">
        <v>14</v>
      </c>
      <c r="E10">
        <v>0.9</v>
      </c>
      <c r="F10" s="23" t="s">
        <v>91</v>
      </c>
      <c r="G10" s="4"/>
      <c r="H10" s="3"/>
      <c r="I10" s="15"/>
      <c r="J10" s="15"/>
      <c r="K10" s="17"/>
      <c r="L10" s="4"/>
      <c r="M10" s="4"/>
      <c r="N10" s="15"/>
    </row>
    <row r="11" spans="1:14" ht="13.2">
      <c r="A11" s="2" t="s">
        <v>3</v>
      </c>
      <c r="B11">
        <v>1793</v>
      </c>
      <c r="C11">
        <v>1684</v>
      </c>
      <c r="D11">
        <v>44</v>
      </c>
      <c r="E11">
        <v>2.6</v>
      </c>
      <c r="F11" s="23" t="s">
        <v>91</v>
      </c>
      <c r="G11" s="4"/>
      <c r="H11" s="3"/>
      <c r="I11" s="15"/>
      <c r="J11" s="15"/>
      <c r="K11" s="17"/>
      <c r="L11" s="4"/>
      <c r="M11" s="4"/>
      <c r="N11" s="15"/>
    </row>
    <row r="12" spans="1:14" ht="13.2">
      <c r="A12" s="2" t="s">
        <v>3</v>
      </c>
      <c r="B12">
        <v>1794</v>
      </c>
      <c r="C12">
        <v>1768</v>
      </c>
      <c r="D12">
        <v>7</v>
      </c>
      <c r="E12">
        <v>0.4</v>
      </c>
      <c r="F12" s="23" t="s">
        <v>91</v>
      </c>
      <c r="G12" s="4"/>
      <c r="H12" s="3"/>
      <c r="I12" s="15"/>
      <c r="J12" s="15"/>
      <c r="K12" s="17"/>
      <c r="L12" s="4"/>
      <c r="M12" s="4"/>
      <c r="N12" s="15"/>
    </row>
    <row r="13" spans="1:14" ht="13.2">
      <c r="A13" s="2" t="s">
        <v>3</v>
      </c>
      <c r="B13">
        <v>1795</v>
      </c>
      <c r="C13">
        <v>1798</v>
      </c>
      <c r="D13">
        <v>38</v>
      </c>
      <c r="E13">
        <v>2.1</v>
      </c>
      <c r="F13" s="23" t="s">
        <v>91</v>
      </c>
      <c r="G13" s="4"/>
      <c r="H13" s="3"/>
      <c r="I13" s="15"/>
      <c r="J13" s="15"/>
      <c r="K13" s="17"/>
      <c r="L13" s="4"/>
      <c r="M13" s="4"/>
      <c r="N13" s="15"/>
    </row>
    <row r="14" spans="1:14" ht="13.2">
      <c r="A14" s="2" t="s">
        <v>3</v>
      </c>
      <c r="B14">
        <v>1796</v>
      </c>
      <c r="C14">
        <v>1904</v>
      </c>
      <c r="D14">
        <v>22</v>
      </c>
      <c r="E14">
        <v>1.2</v>
      </c>
      <c r="F14" s="23" t="s">
        <v>91</v>
      </c>
      <c r="G14" s="4"/>
      <c r="H14" s="3"/>
      <c r="I14" s="15"/>
      <c r="J14" s="15"/>
      <c r="K14" s="17"/>
      <c r="L14" s="4"/>
      <c r="M14" s="4"/>
      <c r="N14" s="15"/>
    </row>
    <row r="15" spans="1:14" ht="13.2">
      <c r="A15" s="2" t="s">
        <v>3</v>
      </c>
      <c r="B15">
        <v>1797</v>
      </c>
      <c r="C15">
        <v>2012</v>
      </c>
      <c r="D15">
        <v>5</v>
      </c>
      <c r="E15">
        <v>0.2</v>
      </c>
      <c r="F15" s="23" t="s">
        <v>91</v>
      </c>
      <c r="G15" s="4"/>
      <c r="H15" s="3"/>
      <c r="I15" s="15"/>
      <c r="J15" s="15"/>
      <c r="K15" s="17"/>
      <c r="L15" s="4"/>
      <c r="M15" s="4"/>
      <c r="N15" s="15"/>
    </row>
    <row r="16" spans="1:14" ht="13.2">
      <c r="A16" s="2" t="s">
        <v>3</v>
      </c>
      <c r="B16">
        <v>1798</v>
      </c>
      <c r="C16">
        <v>2046</v>
      </c>
      <c r="D16">
        <v>5</v>
      </c>
      <c r="E16">
        <v>0.2</v>
      </c>
      <c r="F16" s="23" t="s">
        <v>91</v>
      </c>
      <c r="G16" s="4"/>
      <c r="H16" s="3"/>
      <c r="I16" s="15"/>
      <c r="J16" s="15"/>
      <c r="K16" s="17"/>
      <c r="L16" s="4"/>
      <c r="M16" s="4"/>
      <c r="N16" s="15"/>
    </row>
    <row r="17" spans="1:14" ht="13.2">
      <c r="A17" s="2" t="s">
        <v>3</v>
      </c>
      <c r="B17">
        <v>1799</v>
      </c>
      <c r="C17">
        <v>2067</v>
      </c>
      <c r="D17">
        <v>20</v>
      </c>
      <c r="E17">
        <v>1</v>
      </c>
      <c r="F17" s="23" t="s">
        <v>91</v>
      </c>
      <c r="G17" s="4"/>
      <c r="H17" s="3"/>
      <c r="I17" s="15"/>
      <c r="J17" s="15"/>
      <c r="K17" s="17"/>
      <c r="L17" s="4"/>
      <c r="M17" s="4"/>
      <c r="N17" s="15"/>
    </row>
    <row r="18" spans="1:14" ht="13.2">
      <c r="A18" s="2" t="s">
        <v>3</v>
      </c>
      <c r="B18">
        <v>1800</v>
      </c>
      <c r="C18">
        <v>2070</v>
      </c>
      <c r="D18">
        <v>41</v>
      </c>
      <c r="E18">
        <v>2</v>
      </c>
      <c r="F18" s="23" t="s">
        <v>91</v>
      </c>
      <c r="G18" s="4"/>
      <c r="H18" s="3"/>
      <c r="I18" s="15"/>
      <c r="J18" s="15"/>
      <c r="K18" s="17"/>
      <c r="L18" s="4"/>
      <c r="M18" s="4"/>
      <c r="N18" s="15"/>
    </row>
    <row r="19" spans="1:14" ht="13.2">
      <c r="A19" s="2" t="s">
        <v>3</v>
      </c>
      <c r="B19">
        <v>1801</v>
      </c>
      <c r="C19">
        <v>2106</v>
      </c>
      <c r="D19">
        <v>17</v>
      </c>
      <c r="E19">
        <v>0.8</v>
      </c>
      <c r="F19" s="23" t="s">
        <v>91</v>
      </c>
      <c r="G19" s="4"/>
      <c r="H19" s="3"/>
      <c r="I19" s="15"/>
      <c r="J19" s="15"/>
      <c r="K19" s="17"/>
      <c r="L19" s="4"/>
      <c r="M19" s="4"/>
      <c r="N19" s="15"/>
    </row>
    <row r="20" spans="1:14" ht="13.2">
      <c r="A20" s="2" t="s">
        <v>3</v>
      </c>
      <c r="B20">
        <v>1802</v>
      </c>
      <c r="C20">
        <v>2346</v>
      </c>
      <c r="D20">
        <v>9</v>
      </c>
      <c r="E20">
        <v>0.4</v>
      </c>
      <c r="F20" s="23" t="s">
        <v>91</v>
      </c>
      <c r="G20" s="4"/>
      <c r="H20" s="3"/>
      <c r="I20" s="15"/>
      <c r="J20" s="15"/>
      <c r="K20" s="17"/>
      <c r="L20" s="4"/>
      <c r="M20" s="4"/>
      <c r="N20" s="15"/>
    </row>
    <row r="21" spans="1:14" ht="13.2">
      <c r="A21" s="2" t="s">
        <v>3</v>
      </c>
      <c r="B21">
        <v>1803</v>
      </c>
      <c r="C21">
        <v>2215</v>
      </c>
      <c r="D21">
        <v>16</v>
      </c>
      <c r="E21">
        <v>0.7</v>
      </c>
      <c r="F21" s="23" t="s">
        <v>91</v>
      </c>
      <c r="G21" s="4"/>
      <c r="H21" s="3"/>
      <c r="I21" s="15"/>
      <c r="J21" s="15"/>
      <c r="K21" s="17"/>
      <c r="L21" s="4"/>
      <c r="M21" s="4"/>
      <c r="N21" s="15"/>
    </row>
    <row r="22" spans="1:14" ht="13.2">
      <c r="A22" s="2" t="s">
        <v>3</v>
      </c>
      <c r="B22">
        <v>1804</v>
      </c>
      <c r="C22">
        <v>2022</v>
      </c>
      <c r="D22">
        <v>8</v>
      </c>
      <c r="E22">
        <v>0.4</v>
      </c>
      <c r="F22" s="23" t="s">
        <v>91</v>
      </c>
      <c r="G22" s="4"/>
      <c r="H22" s="3"/>
      <c r="I22" s="15"/>
      <c r="J22" s="15"/>
      <c r="K22" s="17"/>
      <c r="L22" s="4"/>
      <c r="M22" s="4"/>
      <c r="N22" s="15"/>
    </row>
    <row r="23" spans="1:14" ht="13.2">
      <c r="A23" s="2" t="s">
        <v>3</v>
      </c>
      <c r="B23">
        <v>1805</v>
      </c>
      <c r="C23">
        <v>2112</v>
      </c>
      <c r="D23">
        <v>9</v>
      </c>
      <c r="E23">
        <v>0.4</v>
      </c>
      <c r="F23" s="23" t="s">
        <v>91</v>
      </c>
      <c r="G23" s="4"/>
      <c r="H23" s="3"/>
      <c r="I23" s="15"/>
      <c r="J23" s="15"/>
      <c r="K23" s="17"/>
      <c r="L23" s="4"/>
      <c r="M23" s="4"/>
      <c r="N23" s="15"/>
    </row>
    <row r="24" spans="1:14" ht="13.2">
      <c r="A24" s="2" t="s">
        <v>3</v>
      </c>
      <c r="B24">
        <v>1806</v>
      </c>
      <c r="C24">
        <v>1875</v>
      </c>
      <c r="D24">
        <v>13</v>
      </c>
      <c r="E24">
        <v>0.7</v>
      </c>
      <c r="F24" s="23" t="s">
        <v>91</v>
      </c>
      <c r="G24" s="4"/>
      <c r="H24" s="3"/>
      <c r="I24" s="15"/>
      <c r="J24" s="15"/>
      <c r="K24" s="17"/>
      <c r="L24" s="4"/>
      <c r="M24" s="4"/>
      <c r="N24" s="15"/>
    </row>
    <row r="25" spans="1:14" ht="13.2">
      <c r="A25" s="2" t="s">
        <v>3</v>
      </c>
      <c r="B25">
        <v>1807</v>
      </c>
      <c r="C25">
        <v>925</v>
      </c>
      <c r="D25">
        <v>6</v>
      </c>
      <c r="E25">
        <v>0.6</v>
      </c>
      <c r="F25" s="23" t="s">
        <v>91</v>
      </c>
      <c r="G25" s="4"/>
      <c r="H25" s="3"/>
      <c r="I25" s="15"/>
      <c r="J25" s="15"/>
      <c r="K25" s="17"/>
      <c r="L25" s="4"/>
      <c r="M25" s="4"/>
      <c r="N25" s="15"/>
    </row>
    <row r="26" spans="1:14" ht="13.2">
      <c r="A26" s="2" t="s">
        <v>3</v>
      </c>
      <c r="B26">
        <v>1808</v>
      </c>
      <c r="C26">
        <v>855</v>
      </c>
      <c r="D26">
        <v>7</v>
      </c>
      <c r="E26">
        <v>0.8</v>
      </c>
      <c r="F26" s="23" t="s">
        <v>91</v>
      </c>
      <c r="G26" s="4"/>
      <c r="H26" s="3"/>
      <c r="I26" s="15"/>
      <c r="J26" s="15"/>
      <c r="K26" s="17"/>
      <c r="L26" s="4"/>
      <c r="M26" s="4"/>
      <c r="N26" s="15"/>
    </row>
    <row r="27" spans="1:14" ht="13.2">
      <c r="A27" s="2" t="s">
        <v>3</v>
      </c>
      <c r="B27">
        <v>1809</v>
      </c>
      <c r="C27">
        <v>912</v>
      </c>
      <c r="D27">
        <v>13</v>
      </c>
      <c r="E27">
        <v>1.4</v>
      </c>
      <c r="F27" s="23" t="s">
        <v>91</v>
      </c>
      <c r="G27" s="4"/>
      <c r="H27" s="3"/>
      <c r="I27" s="15"/>
      <c r="J27" s="15"/>
      <c r="K27" s="17"/>
      <c r="L27" s="4"/>
      <c r="M27" s="4"/>
      <c r="N27" s="15"/>
    </row>
    <row r="28" spans="1:14" ht="13.2">
      <c r="A28" s="2" t="s">
        <v>3</v>
      </c>
      <c r="B28">
        <v>1810</v>
      </c>
      <c r="C28">
        <v>744</v>
      </c>
      <c r="D28">
        <v>6</v>
      </c>
      <c r="E28">
        <v>0.8</v>
      </c>
      <c r="F28" s="23" t="s">
        <v>91</v>
      </c>
      <c r="G28" s="4"/>
      <c r="H28" s="3"/>
      <c r="I28" s="15"/>
      <c r="J28" s="15"/>
      <c r="K28" s="17"/>
      <c r="L28" s="4"/>
      <c r="M28" s="4"/>
      <c r="N28" s="15"/>
    </row>
    <row r="29" spans="1:14" ht="13.2">
      <c r="A29" s="2" t="s">
        <v>3</v>
      </c>
      <c r="B29">
        <v>1811</v>
      </c>
      <c r="C29">
        <v>1050</v>
      </c>
      <c r="D29">
        <v>20</v>
      </c>
      <c r="E29">
        <v>1.9</v>
      </c>
      <c r="F29" s="23" t="s">
        <v>91</v>
      </c>
      <c r="G29" s="4"/>
      <c r="H29" s="3"/>
      <c r="I29" s="15"/>
      <c r="J29" s="15"/>
      <c r="K29" s="17"/>
      <c r="L29" s="4"/>
      <c r="M29" s="4"/>
      <c r="N29" s="15"/>
    </row>
    <row r="30" spans="1:14" ht="13.2">
      <c r="A30" s="2" t="s">
        <v>3</v>
      </c>
      <c r="B30">
        <v>1812</v>
      </c>
      <c r="C30">
        <v>1419</v>
      </c>
      <c r="D30">
        <v>9</v>
      </c>
      <c r="E30">
        <v>0.6</v>
      </c>
      <c r="F30" s="23" t="s">
        <v>91</v>
      </c>
      <c r="G30" s="4"/>
      <c r="H30" s="3"/>
      <c r="I30" s="15"/>
      <c r="J30" s="15"/>
      <c r="K30" s="17"/>
      <c r="L30" s="4"/>
      <c r="M30" s="4"/>
      <c r="N30" s="15"/>
    </row>
    <row r="31" spans="1:14" ht="13.2">
      <c r="A31" s="2" t="s">
        <v>3</v>
      </c>
      <c r="B31">
        <v>1813</v>
      </c>
      <c r="C31">
        <v>1945</v>
      </c>
      <c r="D31">
        <v>21</v>
      </c>
      <c r="E31">
        <v>1.1000000000000001</v>
      </c>
      <c r="F31" s="23" t="s">
        <v>91</v>
      </c>
      <c r="G31" s="4"/>
      <c r="H31" s="3"/>
      <c r="I31" s="15"/>
      <c r="J31" s="15"/>
      <c r="K31" s="17"/>
      <c r="L31" s="4"/>
      <c r="M31" s="4"/>
      <c r="N31" s="15"/>
    </row>
    <row r="32" spans="1:14" ht="13.2">
      <c r="A32" s="2" t="s">
        <v>3</v>
      </c>
      <c r="B32">
        <v>1814</v>
      </c>
      <c r="C32">
        <v>2062</v>
      </c>
      <c r="D32">
        <v>66</v>
      </c>
      <c r="E32">
        <v>3.2</v>
      </c>
      <c r="F32" s="23" t="s">
        <v>91</v>
      </c>
      <c r="G32" s="4"/>
      <c r="H32" s="3"/>
      <c r="I32" s="15"/>
      <c r="J32" s="15"/>
      <c r="K32" s="17"/>
      <c r="L32" s="4"/>
      <c r="M32" s="4"/>
      <c r="N32" s="15"/>
    </row>
    <row r="33" spans="1:14" ht="13.2">
      <c r="A33" s="2" t="s">
        <v>3</v>
      </c>
      <c r="B33">
        <v>1815</v>
      </c>
      <c r="C33">
        <v>2591</v>
      </c>
      <c r="D33">
        <v>19</v>
      </c>
      <c r="E33">
        <v>0.7</v>
      </c>
      <c r="F33" s="23" t="s">
        <v>91</v>
      </c>
      <c r="G33" s="4"/>
      <c r="H33" s="3"/>
      <c r="I33" s="15"/>
      <c r="J33" s="15"/>
      <c r="K33" s="17"/>
      <c r="L33" s="4"/>
      <c r="M33" s="4"/>
      <c r="N33" s="15"/>
    </row>
    <row r="34" spans="1:14" ht="13.2">
      <c r="A34" s="2" t="s">
        <v>3</v>
      </c>
      <c r="B34">
        <v>1816</v>
      </c>
      <c r="C34">
        <v>2410</v>
      </c>
      <c r="D34">
        <v>12</v>
      </c>
      <c r="E34">
        <v>0.5</v>
      </c>
      <c r="F34" s="23" t="s">
        <v>91</v>
      </c>
      <c r="G34" s="4"/>
      <c r="H34" s="3"/>
      <c r="I34" s="15"/>
      <c r="J34" s="15"/>
      <c r="K34" s="17"/>
      <c r="L34" s="4"/>
      <c r="M34" s="4"/>
      <c r="N34" s="15"/>
    </row>
    <row r="35" spans="1:14" ht="13.2">
      <c r="A35" s="2" t="s">
        <v>3</v>
      </c>
      <c r="B35">
        <v>1817</v>
      </c>
      <c r="C35">
        <v>2735</v>
      </c>
      <c r="D35">
        <v>25</v>
      </c>
      <c r="E35">
        <v>0.9</v>
      </c>
      <c r="F35" s="23" t="s">
        <v>91</v>
      </c>
      <c r="G35" s="4"/>
      <c r="H35" s="3"/>
      <c r="I35" s="15"/>
      <c r="J35" s="15"/>
      <c r="K35" s="17"/>
      <c r="L35" s="4"/>
      <c r="M35" s="4"/>
      <c r="N35" s="15"/>
    </row>
    <row r="36" spans="1:14" ht="13.2">
      <c r="A36" s="2" t="s">
        <v>3</v>
      </c>
      <c r="B36">
        <v>1818</v>
      </c>
      <c r="C36">
        <v>2568</v>
      </c>
      <c r="D36">
        <v>56</v>
      </c>
      <c r="E36">
        <v>2.2000000000000002</v>
      </c>
      <c r="F36" s="23" t="s">
        <v>91</v>
      </c>
      <c r="G36" s="4"/>
      <c r="H36" s="3"/>
      <c r="I36" s="15"/>
      <c r="J36" s="15"/>
      <c r="K36" s="17"/>
      <c r="L36" s="4"/>
      <c r="M36" s="4"/>
      <c r="N36" s="15"/>
    </row>
    <row r="37" spans="1:14" ht="13.2">
      <c r="A37" s="2" t="s">
        <v>3</v>
      </c>
      <c r="B37">
        <v>1819</v>
      </c>
      <c r="C37">
        <v>3089</v>
      </c>
      <c r="D37">
        <v>154</v>
      </c>
      <c r="E37">
        <v>5</v>
      </c>
      <c r="F37" s="23" t="s">
        <v>91</v>
      </c>
      <c r="G37" s="4"/>
      <c r="H37" s="3"/>
      <c r="I37" s="15"/>
      <c r="J37" s="15"/>
      <c r="K37" s="17"/>
      <c r="L37" s="4"/>
      <c r="M37" s="4"/>
      <c r="N37" s="15"/>
    </row>
    <row r="38" spans="1:14" ht="13.2">
      <c r="A38" s="2" t="s">
        <v>3</v>
      </c>
      <c r="B38">
        <v>1820</v>
      </c>
      <c r="C38">
        <v>2998</v>
      </c>
      <c r="D38">
        <v>75</v>
      </c>
      <c r="E38">
        <v>2.5</v>
      </c>
      <c r="F38" s="23" t="s">
        <v>91</v>
      </c>
      <c r="G38" s="4"/>
      <c r="H38" s="3"/>
      <c r="I38" s="15"/>
      <c r="J38" s="15"/>
      <c r="K38" s="17"/>
      <c r="L38" s="4"/>
      <c r="M38" s="4"/>
      <c r="N38" s="15"/>
    </row>
    <row r="39" spans="1:14" ht="13.2">
      <c r="A39" s="2" t="s">
        <v>3</v>
      </c>
      <c r="B39">
        <v>1821</v>
      </c>
      <c r="C39">
        <v>3294</v>
      </c>
      <c r="D39">
        <v>55</v>
      </c>
      <c r="E39">
        <v>1.7</v>
      </c>
      <c r="F39" s="23" t="s">
        <v>91</v>
      </c>
      <c r="G39" s="4"/>
      <c r="H39" s="3"/>
      <c r="I39" s="15"/>
      <c r="J39" s="15"/>
      <c r="K39" s="17"/>
      <c r="L39" s="4"/>
      <c r="M39" s="4"/>
      <c r="N39" s="15"/>
    </row>
    <row r="40" spans="1:14" ht="13.2">
      <c r="A40" s="2" t="s">
        <v>3</v>
      </c>
      <c r="B40">
        <v>1822</v>
      </c>
      <c r="C40">
        <v>3066</v>
      </c>
      <c r="D40">
        <v>26</v>
      </c>
      <c r="E40">
        <v>0.8</v>
      </c>
      <c r="F40" s="23" t="s">
        <v>91</v>
      </c>
      <c r="G40" s="4"/>
      <c r="H40" s="3"/>
      <c r="I40" s="15"/>
      <c r="J40" s="15"/>
      <c r="K40" s="17"/>
      <c r="L40" s="4"/>
      <c r="M40" s="4"/>
      <c r="N40" s="15"/>
    </row>
    <row r="41" spans="1:14" ht="13.2">
      <c r="A41" s="2" t="s">
        <v>3</v>
      </c>
      <c r="B41">
        <v>1823</v>
      </c>
      <c r="C41">
        <v>2872</v>
      </c>
      <c r="D41">
        <v>214</v>
      </c>
      <c r="E41">
        <v>7.5</v>
      </c>
      <c r="F41" s="23" t="s">
        <v>92</v>
      </c>
      <c r="G41" s="4"/>
      <c r="H41" s="3"/>
      <c r="I41" s="15"/>
      <c r="J41" s="15"/>
      <c r="K41" s="17"/>
      <c r="L41" s="4"/>
      <c r="M41" s="4"/>
      <c r="N41" s="15"/>
    </row>
    <row r="42" spans="1:14" ht="13.2">
      <c r="A42" s="2" t="s">
        <v>3</v>
      </c>
      <c r="B42">
        <v>1824</v>
      </c>
      <c r="C42">
        <v>2911</v>
      </c>
      <c r="D42">
        <v>144</v>
      </c>
      <c r="E42">
        <v>4.9000000000000004</v>
      </c>
      <c r="F42" s="23" t="s">
        <v>91</v>
      </c>
      <c r="G42" s="4"/>
      <c r="H42" s="3"/>
      <c r="I42" s="15"/>
      <c r="J42" s="15"/>
      <c r="K42" s="17"/>
      <c r="L42" s="4"/>
      <c r="M42" s="4"/>
      <c r="N42" s="15"/>
    </row>
    <row r="43" spans="1:14" ht="13.2">
      <c r="A43" s="2" t="s">
        <v>3</v>
      </c>
      <c r="B43">
        <v>1825</v>
      </c>
      <c r="C43">
        <v>2594</v>
      </c>
      <c r="D43">
        <v>229</v>
      </c>
      <c r="E43">
        <v>8.8000000000000007</v>
      </c>
      <c r="F43" s="23" t="s">
        <v>91</v>
      </c>
      <c r="G43" s="4"/>
      <c r="H43" s="3"/>
      <c r="I43" s="15"/>
      <c r="J43" s="15"/>
      <c r="K43" s="17"/>
      <c r="L43" s="4"/>
      <c r="M43" s="4"/>
      <c r="N43" s="15"/>
    </row>
    <row r="44" spans="1:14" ht="13.2">
      <c r="A44" s="2" t="s">
        <v>3</v>
      </c>
      <c r="B44">
        <v>1826</v>
      </c>
      <c r="C44">
        <v>2359</v>
      </c>
      <c r="D44">
        <v>192</v>
      </c>
      <c r="E44">
        <v>8.1</v>
      </c>
      <c r="F44" s="23" t="s">
        <v>91</v>
      </c>
      <c r="G44" s="4"/>
      <c r="H44" s="3"/>
      <c r="I44" s="15"/>
      <c r="J44" s="15"/>
      <c r="K44" s="17"/>
      <c r="L44" s="4"/>
      <c r="M44" s="4"/>
      <c r="N44" s="15"/>
    </row>
    <row r="45" spans="1:14" ht="13.2">
      <c r="A45" s="2" t="s">
        <v>3</v>
      </c>
      <c r="B45">
        <v>1827</v>
      </c>
      <c r="C45">
        <v>2367</v>
      </c>
      <c r="D45">
        <v>51</v>
      </c>
      <c r="E45">
        <v>2.2000000000000002</v>
      </c>
      <c r="F45" s="23" t="s">
        <v>91</v>
      </c>
      <c r="G45" s="4"/>
      <c r="H45" s="3"/>
      <c r="I45" s="15"/>
      <c r="J45" s="15"/>
      <c r="K45" s="17"/>
      <c r="L45" s="4"/>
      <c r="M45" s="4"/>
      <c r="N45" s="15"/>
    </row>
    <row r="46" spans="1:14" ht="13.2">
      <c r="A46" s="2" t="s">
        <v>3</v>
      </c>
      <c r="B46">
        <v>1828</v>
      </c>
      <c r="C46">
        <v>2833</v>
      </c>
      <c r="D46">
        <v>101</v>
      </c>
      <c r="E46">
        <v>3.6</v>
      </c>
      <c r="F46" s="23" t="s">
        <v>91</v>
      </c>
      <c r="G46" s="4"/>
      <c r="H46" s="3"/>
      <c r="I46" s="15"/>
      <c r="J46" s="15"/>
      <c r="K46" s="17"/>
      <c r="L46" s="4"/>
      <c r="M46" s="4"/>
      <c r="N46" s="15"/>
    </row>
    <row r="47" spans="1:14" ht="13.2">
      <c r="A47" s="2" t="s">
        <v>3</v>
      </c>
      <c r="B47">
        <v>1829</v>
      </c>
      <c r="C47">
        <v>3012</v>
      </c>
      <c r="D47">
        <v>140</v>
      </c>
      <c r="E47">
        <v>4.5999999999999996</v>
      </c>
      <c r="F47" s="23" t="s">
        <v>91</v>
      </c>
      <c r="G47" s="4"/>
      <c r="H47" s="3"/>
      <c r="I47" s="15"/>
      <c r="J47" s="15"/>
      <c r="K47" s="17"/>
      <c r="L47" s="4"/>
      <c r="M47" s="4"/>
      <c r="N47" s="15"/>
    </row>
    <row r="48" spans="1:14" ht="13.2">
      <c r="A48" s="2" t="s">
        <v>3</v>
      </c>
      <c r="B48">
        <v>1830</v>
      </c>
      <c r="C48">
        <v>2797</v>
      </c>
      <c r="D48">
        <v>111</v>
      </c>
      <c r="E48">
        <v>4</v>
      </c>
      <c r="F48" s="23" t="s">
        <v>91</v>
      </c>
      <c r="G48" s="4"/>
      <c r="H48" s="3"/>
      <c r="I48" s="15"/>
      <c r="J48" s="15"/>
      <c r="K48" s="17"/>
      <c r="L48" s="4"/>
      <c r="M48" s="4"/>
      <c r="N48" s="15"/>
    </row>
    <row r="49" spans="1:14" ht="13.2">
      <c r="A49" s="2" t="s">
        <v>3</v>
      </c>
      <c r="B49">
        <v>1831</v>
      </c>
      <c r="C49">
        <v>3353</v>
      </c>
      <c r="D49">
        <v>222</v>
      </c>
      <c r="E49">
        <v>6.6</v>
      </c>
      <c r="F49" s="23" t="s">
        <v>91</v>
      </c>
      <c r="G49" s="4"/>
      <c r="H49" s="3"/>
      <c r="I49" s="15"/>
      <c r="J49" s="15"/>
      <c r="K49" s="17"/>
      <c r="L49" s="4"/>
      <c r="M49" s="4"/>
      <c r="N49" s="15"/>
    </row>
    <row r="50" spans="1:14" ht="13.2">
      <c r="A50" s="2" t="s">
        <v>3</v>
      </c>
      <c r="B50">
        <v>1832</v>
      </c>
      <c r="C50">
        <v>3331</v>
      </c>
      <c r="D50">
        <v>105</v>
      </c>
      <c r="E50">
        <v>3.2</v>
      </c>
      <c r="F50" s="23" t="s">
        <v>91</v>
      </c>
      <c r="G50" s="4"/>
      <c r="H50" s="3"/>
      <c r="I50" s="15"/>
      <c r="J50" s="15"/>
      <c r="K50" s="17"/>
      <c r="L50" s="4"/>
      <c r="M50" s="4"/>
      <c r="N50" s="15"/>
    </row>
    <row r="51" spans="1:14" ht="13.2">
      <c r="A51" s="2" t="s">
        <v>3</v>
      </c>
      <c r="B51">
        <v>1833</v>
      </c>
      <c r="C51">
        <v>3737</v>
      </c>
      <c r="D51">
        <v>197</v>
      </c>
      <c r="E51">
        <v>5.3</v>
      </c>
      <c r="F51" s="23" t="s">
        <v>91</v>
      </c>
      <c r="G51" s="4"/>
      <c r="H51" s="3"/>
      <c r="I51" s="15"/>
      <c r="J51" s="15"/>
      <c r="K51" s="17"/>
      <c r="L51" s="4"/>
      <c r="M51" s="4"/>
      <c r="N51" s="15"/>
    </row>
    <row r="52" spans="1:14" ht="13.2">
      <c r="A52" s="2" t="s">
        <v>3</v>
      </c>
      <c r="B52">
        <v>1834</v>
      </c>
      <c r="C52">
        <v>2657</v>
      </c>
      <c r="D52">
        <v>205</v>
      </c>
      <c r="E52">
        <v>7.7</v>
      </c>
      <c r="F52" s="23" t="s">
        <v>91</v>
      </c>
      <c r="G52" s="4"/>
      <c r="H52" s="3"/>
      <c r="I52" s="15"/>
      <c r="J52" s="15"/>
      <c r="K52" s="17"/>
      <c r="L52" s="4"/>
      <c r="M52" s="4"/>
      <c r="N52" s="15"/>
    </row>
    <row r="53" spans="1:14" ht="13.2">
      <c r="A53" s="2" t="s">
        <v>3</v>
      </c>
      <c r="B53">
        <v>1835</v>
      </c>
      <c r="C53">
        <v>2573</v>
      </c>
      <c r="D53">
        <v>143</v>
      </c>
      <c r="E53">
        <v>5.6</v>
      </c>
      <c r="F53" s="23" t="s">
        <v>91</v>
      </c>
      <c r="G53" s="4"/>
      <c r="H53" s="3"/>
      <c r="I53" s="15"/>
      <c r="J53" s="15"/>
      <c r="K53" s="17"/>
      <c r="L53" s="4"/>
      <c r="M53" s="4"/>
      <c r="N53" s="15"/>
    </row>
    <row r="54" spans="1:14" ht="13.2">
      <c r="A54" s="2" t="s">
        <v>3</v>
      </c>
      <c r="B54">
        <v>1836</v>
      </c>
      <c r="C54">
        <v>2677</v>
      </c>
      <c r="D54">
        <v>200</v>
      </c>
      <c r="E54">
        <v>7.5</v>
      </c>
      <c r="F54" s="23" t="s">
        <v>91</v>
      </c>
      <c r="G54" s="4"/>
      <c r="H54" s="3"/>
      <c r="I54" s="15"/>
      <c r="J54" s="15"/>
      <c r="K54" s="17"/>
      <c r="L54" s="4"/>
      <c r="M54" s="4"/>
      <c r="N54" s="15"/>
    </row>
    <row r="55" spans="1:14" ht="13.2">
      <c r="A55" s="2" t="s">
        <v>3</v>
      </c>
      <c r="B55">
        <v>1837</v>
      </c>
      <c r="C55">
        <v>2765</v>
      </c>
      <c r="D55">
        <v>251</v>
      </c>
      <c r="E55">
        <v>9.1</v>
      </c>
      <c r="F55" s="23" t="s">
        <v>91</v>
      </c>
      <c r="G55" s="4"/>
      <c r="H55" s="3"/>
      <c r="I55" s="15"/>
      <c r="J55" s="15"/>
      <c r="K55" s="17"/>
      <c r="L55" s="4"/>
      <c r="M55" s="4"/>
      <c r="N55" s="15"/>
    </row>
    <row r="56" spans="1:14" ht="13.2">
      <c r="A56" s="2" t="s">
        <v>3</v>
      </c>
      <c r="B56">
        <v>1838</v>
      </c>
      <c r="C56">
        <v>2987</v>
      </c>
      <c r="D56">
        <v>91</v>
      </c>
      <c r="E56">
        <v>3</v>
      </c>
      <c r="F56" s="23" t="s">
        <v>91</v>
      </c>
      <c r="G56" s="4"/>
      <c r="H56" s="3"/>
      <c r="I56" s="15"/>
      <c r="J56" s="15"/>
      <c r="K56" s="17"/>
      <c r="L56" s="4"/>
      <c r="M56" s="4"/>
      <c r="N56" s="15"/>
    </row>
    <row r="57" spans="1:14" ht="13.2">
      <c r="A57" s="2" t="s">
        <v>3</v>
      </c>
      <c r="B57">
        <v>1839</v>
      </c>
      <c r="C57">
        <v>2781</v>
      </c>
      <c r="D57">
        <v>151</v>
      </c>
      <c r="E57">
        <v>5.4</v>
      </c>
      <c r="F57" s="23" t="s">
        <v>91</v>
      </c>
      <c r="G57" s="4"/>
      <c r="H57" s="3"/>
      <c r="I57" s="15"/>
      <c r="J57" s="15"/>
      <c r="K57" s="17"/>
      <c r="L57" s="4"/>
      <c r="M57" s="4"/>
      <c r="N57" s="15"/>
    </row>
    <row r="58" spans="1:14" ht="13.2">
      <c r="A58" s="2" t="s">
        <v>3</v>
      </c>
      <c r="B58">
        <v>1840</v>
      </c>
      <c r="C58">
        <v>2889</v>
      </c>
      <c r="D58">
        <v>267</v>
      </c>
      <c r="E58">
        <v>9.1999999999999993</v>
      </c>
      <c r="F58" s="23" t="s">
        <v>91</v>
      </c>
      <c r="G58" s="4"/>
      <c r="H58" s="3"/>
      <c r="I58" s="15"/>
      <c r="J58" s="15"/>
      <c r="K58" s="17"/>
      <c r="L58" s="4"/>
      <c r="M58" s="4"/>
      <c r="N58" s="15"/>
    </row>
    <row r="59" spans="1:14" ht="13.2">
      <c r="A59" s="2" t="s">
        <v>3</v>
      </c>
      <c r="B59">
        <v>1841</v>
      </c>
      <c r="C59">
        <v>3036</v>
      </c>
      <c r="D59">
        <v>237</v>
      </c>
      <c r="E59">
        <v>7.8</v>
      </c>
      <c r="F59" s="23" t="s">
        <v>93</v>
      </c>
      <c r="G59" s="4"/>
      <c r="H59" s="3"/>
      <c r="I59" s="15"/>
      <c r="J59" s="15"/>
      <c r="K59" s="17"/>
      <c r="L59" s="4"/>
      <c r="M59" s="4"/>
      <c r="N59" s="15"/>
    </row>
    <row r="60" spans="1:14" ht="13.2">
      <c r="A60" s="2" t="s">
        <v>3</v>
      </c>
      <c r="B60">
        <v>1842</v>
      </c>
      <c r="C60">
        <v>3287</v>
      </c>
      <c r="D60">
        <v>518</v>
      </c>
      <c r="E60">
        <v>15.8</v>
      </c>
      <c r="F60" s="23" t="s">
        <v>94</v>
      </c>
      <c r="G60" s="4"/>
      <c r="H60" s="3"/>
      <c r="I60" s="15"/>
      <c r="J60" s="15"/>
      <c r="K60" s="17"/>
      <c r="L60" s="4"/>
      <c r="M60" s="4"/>
      <c r="N60" s="15"/>
    </row>
    <row r="61" spans="1:14" ht="13.2">
      <c r="A61" s="2" t="s">
        <v>3</v>
      </c>
      <c r="B61">
        <v>1843</v>
      </c>
      <c r="C61">
        <v>3060</v>
      </c>
      <c r="D61">
        <v>274</v>
      </c>
      <c r="E61">
        <v>9</v>
      </c>
      <c r="F61" s="23" t="s">
        <v>91</v>
      </c>
      <c r="G61" s="4"/>
      <c r="H61" s="3"/>
      <c r="I61" s="15"/>
      <c r="J61" s="15"/>
      <c r="K61" s="17"/>
      <c r="L61" s="4"/>
      <c r="M61" s="4"/>
      <c r="N61" s="15"/>
    </row>
    <row r="62" spans="1:14" ht="13.2">
      <c r="A62" s="2" t="s">
        <v>3</v>
      </c>
      <c r="B62">
        <v>1844</v>
      </c>
      <c r="C62">
        <v>3157</v>
      </c>
      <c r="D62">
        <v>260</v>
      </c>
      <c r="E62">
        <v>8.1999999999999993</v>
      </c>
      <c r="F62" s="23" t="s">
        <v>91</v>
      </c>
      <c r="G62" s="4"/>
      <c r="H62" s="3"/>
      <c r="I62" s="15"/>
      <c r="J62" s="15"/>
      <c r="K62" s="17"/>
      <c r="L62" s="4"/>
      <c r="M62" s="4"/>
      <c r="N62" s="15"/>
    </row>
    <row r="63" spans="1:14" ht="13.2">
      <c r="A63" s="2" t="s">
        <v>3</v>
      </c>
      <c r="B63">
        <v>1845</v>
      </c>
      <c r="C63">
        <v>3492</v>
      </c>
      <c r="D63">
        <v>241</v>
      </c>
      <c r="E63">
        <v>6.9</v>
      </c>
      <c r="F63" s="23" t="s">
        <v>91</v>
      </c>
      <c r="G63" s="4"/>
      <c r="H63" s="3"/>
      <c r="I63" s="15"/>
      <c r="J63" s="15"/>
      <c r="K63" s="17"/>
      <c r="L63" s="4"/>
      <c r="M63" s="4"/>
      <c r="N63" s="15"/>
    </row>
    <row r="64" spans="1:14" ht="13.2">
      <c r="A64" s="2" t="s">
        <v>3</v>
      </c>
      <c r="B64">
        <v>1846</v>
      </c>
      <c r="C64">
        <v>4010</v>
      </c>
      <c r="D64">
        <v>459</v>
      </c>
      <c r="E64">
        <v>11.4</v>
      </c>
      <c r="F64" s="23" t="s">
        <v>91</v>
      </c>
      <c r="G64" s="4"/>
      <c r="H64" s="3"/>
      <c r="I64" s="15"/>
      <c r="J64" s="15"/>
      <c r="K64" s="17"/>
      <c r="L64" s="4"/>
      <c r="M64" s="4"/>
      <c r="N64" s="15"/>
    </row>
    <row r="65" spans="1:14" ht="13.2">
      <c r="A65" s="2" t="s">
        <v>3</v>
      </c>
      <c r="B65">
        <v>1847</v>
      </c>
      <c r="C65">
        <v>3490</v>
      </c>
      <c r="D65">
        <v>176</v>
      </c>
      <c r="E65">
        <v>5</v>
      </c>
      <c r="F65" s="23" t="s">
        <v>95</v>
      </c>
      <c r="G65" s="4"/>
      <c r="H65" s="3"/>
      <c r="I65" s="15"/>
      <c r="J65" s="15"/>
      <c r="K65" s="17"/>
      <c r="L65" s="4"/>
      <c r="M65" s="4"/>
      <c r="N65" s="15"/>
    </row>
    <row r="66" spans="1:14" ht="13.2">
      <c r="A66" s="2" t="s">
        <v>3</v>
      </c>
      <c r="B66">
        <v>1848</v>
      </c>
      <c r="C66">
        <v>3556</v>
      </c>
      <c r="D66">
        <v>45</v>
      </c>
      <c r="E66">
        <v>1.3</v>
      </c>
      <c r="F66" s="23" t="s">
        <v>91</v>
      </c>
      <c r="G66" s="4"/>
      <c r="H66" s="3"/>
      <c r="I66" s="15"/>
      <c r="J66" s="15"/>
      <c r="K66" s="17"/>
      <c r="L66" s="4"/>
      <c r="M66" s="4"/>
      <c r="N66" s="15"/>
    </row>
    <row r="67" spans="1:14" ht="13.2">
      <c r="A67" s="2" t="s">
        <v>3</v>
      </c>
      <c r="B67">
        <v>1849</v>
      </c>
      <c r="C67">
        <v>3858</v>
      </c>
      <c r="D67">
        <v>103</v>
      </c>
      <c r="E67">
        <v>2.7</v>
      </c>
      <c r="F67" s="23" t="s">
        <v>96</v>
      </c>
      <c r="G67" s="4"/>
      <c r="H67" s="3"/>
      <c r="I67" s="15"/>
      <c r="J67" s="15"/>
      <c r="K67" s="17"/>
      <c r="L67" s="4"/>
      <c r="M67" s="4"/>
      <c r="N67" s="15"/>
    </row>
    <row r="68" spans="1:14" ht="13.2">
      <c r="A68" t="s">
        <v>75</v>
      </c>
      <c r="B68">
        <v>1784</v>
      </c>
      <c r="C68">
        <v>1261</v>
      </c>
      <c r="D68">
        <v>11</v>
      </c>
      <c r="E68">
        <v>0.9</v>
      </c>
      <c r="F68" t="s">
        <v>91</v>
      </c>
    </row>
    <row r="69" spans="1:14" ht="13.2">
      <c r="A69" t="s">
        <v>75</v>
      </c>
      <c r="B69">
        <v>1785</v>
      </c>
      <c r="C69">
        <v>1292</v>
      </c>
      <c r="D69">
        <v>8</v>
      </c>
      <c r="E69">
        <v>0.6</v>
      </c>
      <c r="F69" t="s">
        <v>91</v>
      </c>
    </row>
    <row r="70" spans="1:14" ht="13.2">
      <c r="A70" t="s">
        <v>75</v>
      </c>
      <c r="B70">
        <v>1786</v>
      </c>
      <c r="C70">
        <v>1351</v>
      </c>
      <c r="D70">
        <v>8</v>
      </c>
      <c r="E70">
        <v>0.6</v>
      </c>
      <c r="F70" t="s">
        <v>91</v>
      </c>
    </row>
    <row r="71" spans="1:14" ht="13.2">
      <c r="A71" t="s">
        <v>75</v>
      </c>
      <c r="B71">
        <v>1787</v>
      </c>
      <c r="C71">
        <v>1347</v>
      </c>
      <c r="D71">
        <v>10</v>
      </c>
      <c r="E71">
        <v>0.7</v>
      </c>
      <c r="F71" t="s">
        <v>91</v>
      </c>
    </row>
    <row r="72" spans="1:14" ht="13.2">
      <c r="A72" t="s">
        <v>75</v>
      </c>
      <c r="B72">
        <v>1788</v>
      </c>
      <c r="C72">
        <v>1469</v>
      </c>
      <c r="D72">
        <v>23</v>
      </c>
      <c r="E72">
        <v>1.6</v>
      </c>
      <c r="F72" t="s">
        <v>91</v>
      </c>
    </row>
    <row r="73" spans="1:14" ht="13.2">
      <c r="A73" t="s">
        <v>75</v>
      </c>
      <c r="B73">
        <v>1789</v>
      </c>
      <c r="C73">
        <v>1435</v>
      </c>
      <c r="D73">
        <v>25</v>
      </c>
      <c r="E73">
        <v>1.7</v>
      </c>
      <c r="F73" t="s">
        <v>91</v>
      </c>
    </row>
    <row r="74" spans="1:14" ht="13.2">
      <c r="A74" t="s">
        <v>75</v>
      </c>
      <c r="B74">
        <v>1790</v>
      </c>
      <c r="C74">
        <v>1546</v>
      </c>
      <c r="D74">
        <v>12</v>
      </c>
      <c r="E74">
        <v>0.8</v>
      </c>
      <c r="F74" t="s">
        <v>91</v>
      </c>
    </row>
    <row r="75" spans="1:14" ht="13.2">
      <c r="A75" t="s">
        <v>75</v>
      </c>
      <c r="B75">
        <v>1791</v>
      </c>
      <c r="C75">
        <v>1602</v>
      </c>
      <c r="D75">
        <v>25</v>
      </c>
      <c r="E75">
        <v>1.6</v>
      </c>
      <c r="F75" t="s">
        <v>91</v>
      </c>
    </row>
    <row r="76" spans="1:14" ht="13.2">
      <c r="A76" t="s">
        <v>75</v>
      </c>
      <c r="B76">
        <v>1792</v>
      </c>
      <c r="C76">
        <v>1631</v>
      </c>
      <c r="D76">
        <v>10</v>
      </c>
      <c r="E76">
        <v>0.6</v>
      </c>
      <c r="F76" t="s">
        <v>91</v>
      </c>
    </row>
    <row r="77" spans="1:14" ht="13.2">
      <c r="A77" t="s">
        <v>75</v>
      </c>
      <c r="B77">
        <v>1793</v>
      </c>
      <c r="C77">
        <v>1747</v>
      </c>
      <c r="D77">
        <v>19</v>
      </c>
      <c r="E77">
        <v>1.1000000000000001</v>
      </c>
      <c r="F77" t="s">
        <v>91</v>
      </c>
    </row>
    <row r="78" spans="1:14" ht="13.2">
      <c r="A78" t="s">
        <v>75</v>
      </c>
      <c r="B78">
        <v>1794</v>
      </c>
      <c r="C78">
        <v>1543</v>
      </c>
      <c r="D78">
        <v>20</v>
      </c>
      <c r="E78">
        <v>1.3</v>
      </c>
      <c r="F78" t="s">
        <v>91</v>
      </c>
    </row>
    <row r="79" spans="1:14" ht="13.2">
      <c r="A79" t="s">
        <v>75</v>
      </c>
      <c r="B79">
        <v>1795</v>
      </c>
      <c r="C79">
        <v>1503</v>
      </c>
      <c r="D79">
        <v>7</v>
      </c>
      <c r="E79">
        <v>0.5</v>
      </c>
      <c r="F79" t="s">
        <v>91</v>
      </c>
    </row>
    <row r="80" spans="1:14" ht="13.2">
      <c r="A80" t="s">
        <v>75</v>
      </c>
      <c r="B80">
        <v>1796</v>
      </c>
      <c r="C80">
        <v>1621</v>
      </c>
      <c r="D80">
        <v>10</v>
      </c>
      <c r="E80">
        <v>0.6</v>
      </c>
      <c r="F80" t="s">
        <v>91</v>
      </c>
    </row>
    <row r="81" spans="1:6" ht="13.2">
      <c r="A81" t="s">
        <v>75</v>
      </c>
      <c r="B81">
        <v>1797</v>
      </c>
      <c r="C81">
        <v>1712</v>
      </c>
      <c r="D81">
        <v>13</v>
      </c>
      <c r="E81">
        <v>0.8</v>
      </c>
      <c r="F81" t="s">
        <v>91</v>
      </c>
    </row>
    <row r="82" spans="1:6" ht="13.2">
      <c r="A82" t="s">
        <v>75</v>
      </c>
      <c r="B82">
        <v>1798</v>
      </c>
      <c r="C82">
        <v>1604</v>
      </c>
      <c r="D82">
        <v>8</v>
      </c>
      <c r="E82">
        <v>0.5</v>
      </c>
      <c r="F82" t="s">
        <v>91</v>
      </c>
    </row>
    <row r="83" spans="1:6" ht="13.2">
      <c r="A83" t="s">
        <v>75</v>
      </c>
      <c r="B83">
        <v>1799</v>
      </c>
      <c r="C83">
        <v>1537</v>
      </c>
      <c r="D83">
        <v>10</v>
      </c>
      <c r="E83">
        <v>0.7</v>
      </c>
      <c r="F83" t="s">
        <v>91</v>
      </c>
    </row>
    <row r="84" spans="1:6" ht="13.2">
      <c r="A84" t="s">
        <v>75</v>
      </c>
      <c r="B84">
        <v>1800</v>
      </c>
      <c r="C84">
        <v>1837</v>
      </c>
      <c r="D84">
        <v>18</v>
      </c>
      <c r="E84">
        <v>1</v>
      </c>
      <c r="F84" t="s">
        <v>91</v>
      </c>
    </row>
    <row r="85" spans="1:6" ht="13.2">
      <c r="A85" t="s">
        <v>75</v>
      </c>
      <c r="B85">
        <v>1801</v>
      </c>
      <c r="C85">
        <v>1725</v>
      </c>
      <c r="D85">
        <v>30</v>
      </c>
      <c r="E85">
        <v>1.7</v>
      </c>
      <c r="F85" t="s">
        <v>91</v>
      </c>
    </row>
    <row r="86" spans="1:6" ht="13.2">
      <c r="A86" t="s">
        <v>75</v>
      </c>
      <c r="B86">
        <v>1802</v>
      </c>
      <c r="C86">
        <v>1985</v>
      </c>
      <c r="D86">
        <v>26</v>
      </c>
      <c r="E86">
        <v>1.3</v>
      </c>
      <c r="F86" t="s">
        <v>91</v>
      </c>
    </row>
    <row r="87" spans="1:6" ht="13.2">
      <c r="A87" t="s">
        <v>75</v>
      </c>
      <c r="B87">
        <v>1803</v>
      </c>
      <c r="C87">
        <v>2028</v>
      </c>
      <c r="D87">
        <v>44</v>
      </c>
      <c r="E87">
        <v>2.2000000000000002</v>
      </c>
      <c r="F87" t="s">
        <v>91</v>
      </c>
    </row>
    <row r="88" spans="1:6" ht="13.2">
      <c r="A88" t="s">
        <v>75</v>
      </c>
      <c r="B88">
        <v>1804</v>
      </c>
      <c r="C88">
        <v>1915</v>
      </c>
      <c r="D88">
        <v>16</v>
      </c>
      <c r="E88">
        <v>0.8</v>
      </c>
      <c r="F88" t="s">
        <v>91</v>
      </c>
    </row>
    <row r="89" spans="1:6" ht="13.2">
      <c r="A89" t="s">
        <v>75</v>
      </c>
      <c r="B89">
        <v>1805</v>
      </c>
      <c r="C89">
        <v>2220</v>
      </c>
      <c r="D89">
        <v>12</v>
      </c>
      <c r="E89">
        <v>0.5</v>
      </c>
      <c r="F89" t="s">
        <v>91</v>
      </c>
    </row>
    <row r="90" spans="1:6" ht="13.2">
      <c r="A90" t="s">
        <v>75</v>
      </c>
      <c r="B90">
        <v>1806</v>
      </c>
      <c r="C90">
        <v>2406</v>
      </c>
      <c r="D90">
        <v>23</v>
      </c>
      <c r="E90">
        <v>1</v>
      </c>
      <c r="F90" t="s">
        <v>91</v>
      </c>
    </row>
    <row r="91" spans="1:6" ht="13.2">
      <c r="A91" t="s">
        <v>75</v>
      </c>
      <c r="B91">
        <v>1807</v>
      </c>
      <c r="C91">
        <v>2511</v>
      </c>
      <c r="D91">
        <v>12</v>
      </c>
      <c r="E91">
        <v>0.5</v>
      </c>
      <c r="F91" t="s">
        <v>91</v>
      </c>
    </row>
    <row r="92" spans="1:6" ht="13.2">
      <c r="A92" t="s">
        <v>75</v>
      </c>
      <c r="B92">
        <v>1808</v>
      </c>
      <c r="C92">
        <v>2665</v>
      </c>
      <c r="D92">
        <v>13</v>
      </c>
      <c r="E92">
        <v>0.5</v>
      </c>
      <c r="F92" t="s">
        <v>91</v>
      </c>
    </row>
    <row r="93" spans="1:6" ht="13.2">
      <c r="A93" t="s">
        <v>75</v>
      </c>
      <c r="B93">
        <v>1809</v>
      </c>
      <c r="C93">
        <v>2889</v>
      </c>
      <c r="D93">
        <v>21</v>
      </c>
      <c r="E93">
        <v>0.7</v>
      </c>
      <c r="F93" t="s">
        <v>91</v>
      </c>
    </row>
    <row r="94" spans="1:6" ht="13.2">
      <c r="A94" t="s">
        <v>75</v>
      </c>
      <c r="B94">
        <v>1810</v>
      </c>
      <c r="C94">
        <v>2854</v>
      </c>
      <c r="D94">
        <v>29</v>
      </c>
      <c r="E94">
        <v>1</v>
      </c>
      <c r="F94" t="s">
        <v>91</v>
      </c>
    </row>
    <row r="95" spans="1:6" ht="13.2">
      <c r="A95" t="s">
        <v>75</v>
      </c>
      <c r="B95">
        <v>1811</v>
      </c>
      <c r="C95">
        <v>2561</v>
      </c>
      <c r="D95">
        <v>24</v>
      </c>
      <c r="E95">
        <v>0.9</v>
      </c>
      <c r="F95" t="s">
        <v>91</v>
      </c>
    </row>
    <row r="96" spans="1:6" ht="13.2">
      <c r="A96" t="s">
        <v>75</v>
      </c>
      <c r="B96">
        <v>1812</v>
      </c>
      <c r="C96">
        <v>2676</v>
      </c>
      <c r="D96">
        <v>43</v>
      </c>
      <c r="E96">
        <v>1.6</v>
      </c>
      <c r="F96" t="s">
        <v>91</v>
      </c>
    </row>
    <row r="97" spans="1:6" ht="13.2">
      <c r="A97" t="s">
        <v>75</v>
      </c>
      <c r="B97">
        <v>1813</v>
      </c>
      <c r="C97">
        <v>2484</v>
      </c>
      <c r="D97">
        <v>62</v>
      </c>
      <c r="E97">
        <v>2.5</v>
      </c>
      <c r="F97" t="s">
        <v>91</v>
      </c>
    </row>
    <row r="98" spans="1:6" ht="13.2">
      <c r="A98" t="s">
        <v>75</v>
      </c>
      <c r="B98">
        <v>1814</v>
      </c>
      <c r="C98">
        <v>2508</v>
      </c>
      <c r="D98">
        <v>25</v>
      </c>
      <c r="E98">
        <v>1</v>
      </c>
      <c r="F98" t="s">
        <v>91</v>
      </c>
    </row>
    <row r="99" spans="1:6" ht="13.2">
      <c r="A99" t="s">
        <v>75</v>
      </c>
      <c r="B99">
        <v>1815</v>
      </c>
      <c r="C99">
        <v>3075</v>
      </c>
      <c r="D99">
        <v>17</v>
      </c>
      <c r="E99">
        <v>0.6</v>
      </c>
      <c r="F99" t="s">
        <v>91</v>
      </c>
    </row>
    <row r="100" spans="1:6" ht="13.2">
      <c r="A100" t="s">
        <v>75</v>
      </c>
      <c r="B100">
        <v>1816</v>
      </c>
      <c r="C100">
        <v>3314</v>
      </c>
      <c r="D100">
        <v>18</v>
      </c>
      <c r="E100">
        <v>0.5</v>
      </c>
      <c r="F100" t="s">
        <v>91</v>
      </c>
    </row>
    <row r="101" spans="1:6" ht="13.2">
      <c r="A101" t="s">
        <v>75</v>
      </c>
      <c r="B101">
        <v>1817</v>
      </c>
      <c r="C101">
        <v>3473</v>
      </c>
      <c r="D101">
        <v>32</v>
      </c>
      <c r="E101">
        <v>0.9</v>
      </c>
      <c r="F101" t="s">
        <v>91</v>
      </c>
    </row>
    <row r="102" spans="1:6" ht="13.2">
      <c r="A102" t="s">
        <v>75</v>
      </c>
      <c r="B102">
        <v>1818</v>
      </c>
      <c r="C102">
        <v>3539</v>
      </c>
      <c r="D102">
        <v>56</v>
      </c>
      <c r="E102">
        <v>1.6</v>
      </c>
      <c r="F102" t="s">
        <v>91</v>
      </c>
    </row>
    <row r="103" spans="1:6" ht="13.2">
      <c r="A103" t="s">
        <v>75</v>
      </c>
      <c r="B103">
        <v>1819</v>
      </c>
      <c r="C103">
        <v>3197</v>
      </c>
      <c r="D103">
        <v>94</v>
      </c>
      <c r="E103">
        <v>2.9</v>
      </c>
      <c r="F103" t="s">
        <v>91</v>
      </c>
    </row>
    <row r="104" spans="1:6" ht="13.2">
      <c r="A104" t="s">
        <v>75</v>
      </c>
      <c r="B104">
        <v>1820</v>
      </c>
      <c r="C104">
        <v>2458</v>
      </c>
      <c r="D104">
        <v>70</v>
      </c>
      <c r="E104">
        <v>2.8</v>
      </c>
      <c r="F104" t="s">
        <v>91</v>
      </c>
    </row>
    <row r="105" spans="1:6" ht="13.2">
      <c r="A105" t="s">
        <v>75</v>
      </c>
      <c r="B105">
        <v>1821</v>
      </c>
      <c r="C105">
        <v>2849</v>
      </c>
      <c r="D105">
        <v>22</v>
      </c>
      <c r="E105">
        <v>0.8</v>
      </c>
      <c r="F105" t="s">
        <v>91</v>
      </c>
    </row>
    <row r="106" spans="1:6" ht="13.2">
      <c r="A106" t="s">
        <v>75</v>
      </c>
      <c r="B106">
        <v>1822</v>
      </c>
      <c r="C106">
        <v>2675</v>
      </c>
      <c r="D106">
        <v>12</v>
      </c>
      <c r="E106">
        <v>0.4</v>
      </c>
      <c r="F106" t="s">
        <v>91</v>
      </c>
    </row>
    <row r="107" spans="1:6" ht="13.2">
      <c r="A107" t="s">
        <v>75</v>
      </c>
      <c r="B107">
        <v>1823</v>
      </c>
      <c r="C107">
        <v>2584</v>
      </c>
      <c r="D107">
        <v>59</v>
      </c>
      <c r="E107">
        <v>2.2999999999999998</v>
      </c>
      <c r="F107" t="s">
        <v>91</v>
      </c>
    </row>
    <row r="108" spans="1:6" ht="13.2">
      <c r="A108" t="s">
        <v>75</v>
      </c>
      <c r="B108">
        <v>1824</v>
      </c>
      <c r="C108">
        <v>2446</v>
      </c>
      <c r="D108">
        <v>20</v>
      </c>
      <c r="E108">
        <v>0.8</v>
      </c>
      <c r="F108" t="s">
        <v>91</v>
      </c>
    </row>
    <row r="109" spans="1:6" ht="13.2">
      <c r="A109" t="s">
        <v>75</v>
      </c>
      <c r="B109">
        <v>1825</v>
      </c>
      <c r="C109">
        <v>2740</v>
      </c>
      <c r="D109">
        <v>26</v>
      </c>
      <c r="E109">
        <v>0.9</v>
      </c>
      <c r="F109" t="s">
        <v>91</v>
      </c>
    </row>
    <row r="110" spans="1:6" ht="13.2">
      <c r="A110" t="s">
        <v>75</v>
      </c>
      <c r="B110">
        <v>1826</v>
      </c>
      <c r="C110">
        <v>2440</v>
      </c>
      <c r="D110">
        <v>81</v>
      </c>
      <c r="E110">
        <v>3.3</v>
      </c>
      <c r="F110" t="s">
        <v>91</v>
      </c>
    </row>
    <row r="111" spans="1:6" ht="13.2">
      <c r="A111" t="s">
        <v>75</v>
      </c>
      <c r="B111">
        <v>1827</v>
      </c>
      <c r="C111">
        <v>2550</v>
      </c>
      <c r="D111">
        <v>33</v>
      </c>
      <c r="E111">
        <v>1.3</v>
      </c>
      <c r="F111" t="s">
        <v>91</v>
      </c>
    </row>
    <row r="112" spans="1:6" ht="13.2">
      <c r="A112" t="s">
        <v>75</v>
      </c>
      <c r="B112">
        <v>1828</v>
      </c>
      <c r="C112">
        <v>2856</v>
      </c>
      <c r="D112">
        <v>43</v>
      </c>
      <c r="E112">
        <v>1.5</v>
      </c>
      <c r="F112" t="s">
        <v>91</v>
      </c>
    </row>
    <row r="113" spans="1:6" ht="13.2">
      <c r="A113" t="s">
        <v>75</v>
      </c>
      <c r="B113">
        <v>1829</v>
      </c>
      <c r="C113">
        <v>2141</v>
      </c>
      <c r="D113">
        <v>34</v>
      </c>
      <c r="E113">
        <v>1.6</v>
      </c>
      <c r="F113" t="s">
        <v>91</v>
      </c>
    </row>
    <row r="114" spans="1:6" ht="13.2">
      <c r="A114" t="s">
        <v>75</v>
      </c>
      <c r="B114">
        <v>1830</v>
      </c>
      <c r="C114">
        <v>2288</v>
      </c>
      <c r="D114">
        <v>12</v>
      </c>
      <c r="E114">
        <v>0.5</v>
      </c>
      <c r="F114" t="s">
        <v>91</v>
      </c>
    </row>
    <row r="115" spans="1:6" ht="13.2">
      <c r="A115" t="s">
        <v>75</v>
      </c>
      <c r="B115">
        <v>1831</v>
      </c>
      <c r="C115">
        <v>2176</v>
      </c>
      <c r="D115">
        <v>12</v>
      </c>
      <c r="E115">
        <v>0.6</v>
      </c>
      <c r="F115" t="s">
        <v>91</v>
      </c>
    </row>
    <row r="116" spans="1:6" ht="13.2">
      <c r="A116" t="s">
        <v>75</v>
      </c>
      <c r="B116">
        <v>1832</v>
      </c>
      <c r="C116">
        <v>2242</v>
      </c>
      <c r="D116">
        <v>12</v>
      </c>
      <c r="E116">
        <v>0.5</v>
      </c>
      <c r="F116" t="s">
        <v>91</v>
      </c>
    </row>
    <row r="117" spans="1:6" ht="13.2">
      <c r="A117" t="s">
        <v>75</v>
      </c>
      <c r="B117">
        <v>1833</v>
      </c>
      <c r="C117">
        <v>2138</v>
      </c>
      <c r="D117">
        <v>12</v>
      </c>
      <c r="E117">
        <v>0.6</v>
      </c>
      <c r="F117" t="s">
        <v>91</v>
      </c>
    </row>
    <row r="118" spans="1:6" ht="13.2">
      <c r="A118" t="s">
        <v>75</v>
      </c>
      <c r="B118">
        <v>1834</v>
      </c>
      <c r="C118">
        <v>2024</v>
      </c>
      <c r="D118">
        <v>34</v>
      </c>
      <c r="E118">
        <v>1.7</v>
      </c>
      <c r="F118" t="s">
        <v>91</v>
      </c>
    </row>
    <row r="119" spans="1:6" ht="13.2">
      <c r="A119" t="s">
        <v>75</v>
      </c>
      <c r="B119">
        <v>1835</v>
      </c>
      <c r="C119">
        <v>1902</v>
      </c>
      <c r="D119">
        <v>34</v>
      </c>
      <c r="E119">
        <v>1.8</v>
      </c>
      <c r="F119" t="s">
        <v>91</v>
      </c>
    </row>
    <row r="120" spans="1:6" ht="13.2">
      <c r="A120" t="s">
        <v>75</v>
      </c>
      <c r="B120">
        <v>1836</v>
      </c>
      <c r="C120">
        <v>1810</v>
      </c>
      <c r="D120">
        <v>36</v>
      </c>
      <c r="E120">
        <v>2</v>
      </c>
      <c r="F120" t="s">
        <v>91</v>
      </c>
    </row>
    <row r="121" spans="1:6" ht="13.2">
      <c r="A121" t="s">
        <v>75</v>
      </c>
      <c r="B121">
        <v>1837</v>
      </c>
      <c r="C121">
        <v>1833</v>
      </c>
      <c r="D121">
        <v>24</v>
      </c>
      <c r="E121">
        <v>1.3</v>
      </c>
      <c r="F121" t="s">
        <v>91</v>
      </c>
    </row>
    <row r="122" spans="1:6" ht="13.2">
      <c r="A122" t="s">
        <v>75</v>
      </c>
      <c r="B122">
        <v>1838</v>
      </c>
      <c r="C122">
        <v>2126</v>
      </c>
      <c r="D122">
        <v>45</v>
      </c>
      <c r="E122">
        <v>2.1</v>
      </c>
      <c r="F122" t="s">
        <v>91</v>
      </c>
    </row>
    <row r="123" spans="1:6" ht="13.2">
      <c r="A123" t="s">
        <v>75</v>
      </c>
      <c r="B123">
        <v>1839</v>
      </c>
      <c r="C123">
        <v>1951</v>
      </c>
      <c r="D123">
        <v>25</v>
      </c>
      <c r="E123">
        <v>1.3</v>
      </c>
      <c r="F123" t="s">
        <v>91</v>
      </c>
    </row>
    <row r="124" spans="1:6" ht="13.2">
      <c r="A124" t="s">
        <v>75</v>
      </c>
      <c r="B124">
        <v>1840</v>
      </c>
      <c r="C124">
        <v>1521</v>
      </c>
      <c r="D124">
        <v>26</v>
      </c>
      <c r="E124">
        <v>1.7</v>
      </c>
      <c r="F124" t="s">
        <v>91</v>
      </c>
    </row>
    <row r="125" spans="1:6" ht="13.2">
      <c r="A125" t="s">
        <v>75</v>
      </c>
      <c r="B125">
        <v>1841</v>
      </c>
      <c r="C125">
        <v>2003</v>
      </c>
      <c r="D125">
        <v>23</v>
      </c>
      <c r="E125">
        <v>1.1000000000000001</v>
      </c>
      <c r="F125" t="s">
        <v>91</v>
      </c>
    </row>
    <row r="126" spans="1:6" ht="13.2">
      <c r="A126" t="s">
        <v>75</v>
      </c>
      <c r="B126">
        <v>1842</v>
      </c>
      <c r="C126">
        <v>2171</v>
      </c>
      <c r="D126">
        <v>21</v>
      </c>
      <c r="E126">
        <v>1</v>
      </c>
      <c r="F126" t="s">
        <v>91</v>
      </c>
    </row>
    <row r="127" spans="1:6" ht="13.2">
      <c r="A127" t="s">
        <v>75</v>
      </c>
      <c r="B127">
        <v>1843</v>
      </c>
      <c r="C127">
        <v>2210</v>
      </c>
      <c r="D127">
        <v>22</v>
      </c>
      <c r="E127">
        <v>1</v>
      </c>
      <c r="F127" t="s">
        <v>91</v>
      </c>
    </row>
    <row r="128" spans="1:6" ht="13.2">
      <c r="A128" t="s">
        <v>75</v>
      </c>
      <c r="B128">
        <v>1844</v>
      </c>
      <c r="C128">
        <v>2288</v>
      </c>
      <c r="D128">
        <v>14</v>
      </c>
      <c r="E128">
        <v>0.6</v>
      </c>
      <c r="F128" t="s">
        <v>91</v>
      </c>
    </row>
    <row r="129" spans="1:6" ht="13.2">
      <c r="A129" t="s">
        <v>75</v>
      </c>
      <c r="B129">
        <v>1845</v>
      </c>
      <c r="C129">
        <v>1411</v>
      </c>
      <c r="D129">
        <v>35</v>
      </c>
      <c r="E129">
        <v>2.5</v>
      </c>
      <c r="F129" t="s">
        <v>91</v>
      </c>
    </row>
    <row r="130" spans="1:6" ht="13.2">
      <c r="A130" t="s">
        <v>75</v>
      </c>
      <c r="B130">
        <v>1846</v>
      </c>
      <c r="C130">
        <v>2025</v>
      </c>
      <c r="D130">
        <v>17</v>
      </c>
      <c r="E130">
        <v>0.8</v>
      </c>
      <c r="F130" t="s">
        <v>91</v>
      </c>
    </row>
    <row r="131" spans="1:6" ht="13.2">
      <c r="A131" t="s">
        <v>75</v>
      </c>
      <c r="B131">
        <v>1847</v>
      </c>
      <c r="C131">
        <v>1703</v>
      </c>
      <c r="D131">
        <v>47</v>
      </c>
      <c r="E131">
        <v>2.8</v>
      </c>
      <c r="F131" t="s">
        <v>91</v>
      </c>
    </row>
    <row r="132" spans="1:6" ht="13.2">
      <c r="A132" t="s">
        <v>75</v>
      </c>
      <c r="B132">
        <v>1848</v>
      </c>
      <c r="C132">
        <v>1816</v>
      </c>
      <c r="D132">
        <v>35</v>
      </c>
      <c r="E132">
        <v>1.9</v>
      </c>
      <c r="F132" t="s">
        <v>91</v>
      </c>
    </row>
    <row r="133" spans="1:6" ht="13.2">
      <c r="A133" t="s">
        <v>75</v>
      </c>
      <c r="B133">
        <v>1849</v>
      </c>
      <c r="C133">
        <v>2063</v>
      </c>
      <c r="D133">
        <v>38</v>
      </c>
      <c r="E133">
        <v>1.8</v>
      </c>
      <c r="F133" t="s">
        <v>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2E1E4D-57FE-4EF3-9B99-61638A1209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Fig 7.1. Vienna Histogram</vt:lpstr>
      <vt:lpstr>Fig 7.2. Vienna Histograms</vt:lpstr>
      <vt:lpstr>Fig 7.4. Vienna Stem-and-leaf</vt:lpstr>
      <vt:lpstr>Fig 7.5. Vienna Histogram</vt:lpstr>
      <vt:lpstr>Fig 7.7. Comparison Histogram</vt:lpstr>
      <vt:lpstr>Fig 7.8. Dublin Histogram</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2026-05-07T16:27:43Z</dcterms:modified>
</cp:coreProperties>
</file>