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ames\OneDrive\Documents\GitHub\the-virus-of-variation\excel_files_2\"/>
    </mc:Choice>
  </mc:AlternateContent>
  <xr:revisionPtr revIDLastSave="0" documentId="13_ncr:1_{C7055F52-8A3D-49DC-829E-9A1FAC3E1025}" xr6:coauthVersionLast="47" xr6:coauthVersionMax="47" xr10:uidLastSave="{00000000-0000-0000-0000-000000000000}"/>
  <bookViews>
    <workbookView xWindow="-120" yWindow="-16320" windowWidth="29040" windowHeight="15720" xr2:uid="{00000000-000D-0000-FFFF-FFFF00000000}"/>
  </bookViews>
  <sheets>
    <sheet name="Overview" sheetId="1" r:id="rId1"/>
    <sheet name="Fig 20.1" sheetId="5" r:id="rId2"/>
    <sheet name="Data" sheetId="6" r:id="rId3"/>
  </sheets>
  <definedNames>
    <definedName name="ExternalData_1" localSheetId="2" hidden="1">Data!$A$1:$E$17</definedName>
    <definedName name="ExternalData_1" localSheetId="1" hidden="1">'Fig 20.1'!$A$1:$H$17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5" l="1"/>
  <c r="G3" i="5"/>
  <c r="G4" i="5"/>
  <c r="G5" i="5"/>
  <c r="G6" i="5"/>
  <c r="G7" i="5"/>
  <c r="G8" i="5"/>
  <c r="G9" i="5"/>
  <c r="G10" i="5"/>
  <c r="G11" i="5"/>
  <c r="G12" i="5"/>
  <c r="G13" i="5"/>
  <c r="G14" i="5"/>
  <c r="G15" i="5"/>
  <c r="G16" i="5"/>
  <c r="G17" i="5"/>
  <c r="F2" i="5"/>
  <c r="F3" i="5"/>
  <c r="F4" i="5"/>
  <c r="F5" i="5"/>
  <c r="F6" i="5"/>
  <c r="F7" i="5"/>
  <c r="F8" i="5"/>
  <c r="F9" i="5"/>
  <c r="F10" i="5"/>
  <c r="F11" i="5"/>
  <c r="F12" i="5"/>
  <c r="F13" i="5"/>
  <c r="F14" i="5"/>
  <c r="F15" i="5"/>
  <c r="F16" i="5"/>
  <c r="F17" i="5"/>
  <c r="E2" i="5"/>
  <c r="E3" i="5"/>
  <c r="E4" i="5"/>
  <c r="E5" i="5"/>
  <c r="E6" i="5"/>
  <c r="E7" i="5"/>
  <c r="E8" i="5"/>
  <c r="E9" i="5"/>
  <c r="E10" i="5"/>
  <c r="E11" i="5"/>
  <c r="E12" i="5"/>
  <c r="E13" i="5"/>
  <c r="E14" i="5"/>
  <c r="E15" i="5"/>
  <c r="E16" i="5"/>
  <c r="E17" i="5"/>
  <c r="J2" i="5"/>
  <c r="J3" i="5"/>
  <c r="J4" i="5"/>
  <c r="J5" i="5"/>
  <c r="J6" i="5"/>
  <c r="J7" i="5"/>
  <c r="J8" i="5"/>
  <c r="J9" i="5"/>
  <c r="J10" i="5"/>
  <c r="J11" i="5"/>
  <c r="J12" i="5"/>
  <c r="J13" i="5"/>
  <c r="J14" i="5"/>
  <c r="J15" i="5"/>
  <c r="J16" i="5"/>
  <c r="J17" i="5"/>
  <c r="I2" i="5"/>
  <c r="I3" i="5"/>
  <c r="I4" i="5"/>
  <c r="I5" i="5"/>
  <c r="I6" i="5"/>
  <c r="I7" i="5"/>
  <c r="I8" i="5"/>
  <c r="I9" i="5"/>
  <c r="I10" i="5"/>
  <c r="I11" i="5"/>
  <c r="I12" i="5"/>
  <c r="I13" i="5"/>
  <c r="I14" i="5"/>
  <c r="I15" i="5"/>
  <c r="I16" i="5"/>
  <c r="I17" i="5"/>
  <c r="H4" i="5"/>
  <c r="H5" i="5"/>
  <c r="H6" i="5"/>
  <c r="H7" i="5"/>
  <c r="H8" i="5"/>
  <c r="H9" i="5"/>
  <c r="H10" i="5"/>
  <c r="H11" i="5"/>
  <c r="H12" i="5"/>
  <c r="H13" i="5"/>
  <c r="H14" i="5"/>
  <c r="H15" i="5"/>
  <c r="H16" i="5"/>
  <c r="H17" i="5"/>
  <c r="H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C2C802-8169-4126-93E4-624C5D7CC984}" keepAlive="1" name="Query - software-verification-death-to-birth-rates" description="Connection to the 'software-verification-death-to-birth-rates' query in the workbook." type="5" refreshedVersion="8" background="1" saveData="1">
    <dbPr connection="Provider=Microsoft.Mashup.OleDb.1;Data Source=$Workbook$;Location=software-verification-death-to-birth-rates;Extended Properties=&quot;&quot;" command="SELECT * FROM [software-verification-death-to-birth-rates]"/>
  </connection>
  <connection id="2" xr16:uid="{E1FBD7E7-02D7-458D-9B07-48009F489A76}" keepAlive="1" name="Query - software-verification-death-to-birth-rates (2)" description="Connection to the 'software-verification-death-to-birth-rates (2)' query in the workbook." type="5" refreshedVersion="8" background="1" saveData="1">
    <dbPr connection="Provider=Microsoft.Mashup.OleDb.1;Data Source=$Workbook$;Location=&quot;software-verification-death-to-birth-rates (2)&quot;;Extended Properties=&quot;&quot;" command="SELECT * FROM [software-verification-death-to-birth-rates (2)]"/>
  </connection>
</connections>
</file>

<file path=xl/sharedStrings.xml><?xml version="1.0" encoding="utf-8"?>
<sst xmlns="http://schemas.openxmlformats.org/spreadsheetml/2006/main" count="75" uniqueCount="40">
  <si>
    <t>Chapter 20. Insights into Actions</t>
  </si>
  <si>
    <t>Hospital</t>
  </si>
  <si>
    <t>Year</t>
  </si>
  <si>
    <t>Rate</t>
  </si>
  <si>
    <t>Mean</t>
  </si>
  <si>
    <t>UPL</t>
  </si>
  <si>
    <t>LPL</t>
  </si>
  <si>
    <t>mR</t>
  </si>
  <si>
    <t>Ave. mR</t>
  </si>
  <si>
    <t>URL</t>
  </si>
  <si>
    <t>Vienna General Hospital</t>
  </si>
  <si>
    <t>1810</t>
  </si>
  <si>
    <t>1811</t>
  </si>
  <si>
    <t>1812</t>
  </si>
  <si>
    <t>1813</t>
  </si>
  <si>
    <t>1814</t>
  </si>
  <si>
    <t>1815</t>
  </si>
  <si>
    <t>1816</t>
  </si>
  <si>
    <t>1817</t>
  </si>
  <si>
    <t>1818</t>
  </si>
  <si>
    <t>1819</t>
  </si>
  <si>
    <t>1820</t>
  </si>
  <si>
    <t>1821</t>
  </si>
  <si>
    <t>1822</t>
  </si>
  <si>
    <t>1823</t>
  </si>
  <si>
    <t>1824</t>
  </si>
  <si>
    <t>1825</t>
  </si>
  <si>
    <t>Sample</t>
  </si>
  <si>
    <t>Link to book:</t>
  </si>
  <si>
    <t>https://www.brokenquality.com/book</t>
  </si>
  <si>
    <t>Link to GitHub:</t>
  </si>
  <si>
    <t>https://github.com/jimlehner/virus-of-variation-book</t>
  </si>
  <si>
    <t>Contact:</t>
  </si>
  <si>
    <t>James.Lehner@gmail.com</t>
  </si>
  <si>
    <t>QualityIsBroken@gmail.com</t>
  </si>
  <si>
    <t>Raw Data GitHub URLs</t>
  </si>
  <si>
    <t>https://raw.githubusercontent.com/jimlehner/virus-of-variation-book/refs/heads/main/data/software-verification-death-to-birth-rates.csv</t>
  </si>
  <si>
    <t>Fig 20.1</t>
  </si>
  <si>
    <r>
      <rPr>
        <sz val="12"/>
        <color rgb="FF000000"/>
        <rFont val="Montserrat"/>
      </rPr>
      <t>This file serves as a resource for building some of the figures in Chapter 20 of in The Virus of Variation using Mircosoft Excel or Google Sheets.
Only Figure 20.1 is included here. 
This figure is the XmR chart of the software verification dataset presented in Chapter 20.2. 
For step-by-step instructions of how to build the XmR chart in Figure 20.1, see the file:
CHP_20_2_a_warning_about_software.
For additional details see Chapter 20 of The Virus of Variation 
(</t>
    </r>
    <r>
      <rPr>
        <b/>
        <sz val="12"/>
        <color rgb="FF000000"/>
        <rFont val="Montserrat"/>
      </rPr>
      <t>BrokenQuality.com/book</t>
    </r>
    <r>
      <rPr>
        <sz val="12"/>
        <color rgb="FF000000"/>
        <rFont val="Montserrat"/>
      </rPr>
      <t xml:space="preserve">).
If you are familiar with Python (or would like to learn), the Python code used to generate Figure 20.1, as it appears in The Virus of Variation, can be found at:
</t>
    </r>
    <r>
      <rPr>
        <b/>
        <sz val="12"/>
        <color rgb="FF000000"/>
        <rFont val="Montserrat"/>
      </rPr>
      <t>github.com/jimlehner/the-virus-of-variation</t>
    </r>
    <r>
      <rPr>
        <sz val="12"/>
        <color rgb="FF000000"/>
        <rFont val="Montserrat"/>
      </rPr>
      <t xml:space="preserve">
If you have question or feedback email us at:
</t>
    </r>
    <r>
      <rPr>
        <b/>
        <sz val="12"/>
        <color rgb="FF000000"/>
        <rFont val="Montserrat"/>
      </rPr>
      <t>James.Lehner@gmail.com</t>
    </r>
    <r>
      <rPr>
        <sz val="12"/>
        <color rgb="FF000000"/>
        <rFont val="Montserrat"/>
      </rPr>
      <t xml:space="preserve"> or </t>
    </r>
    <r>
      <rPr>
        <b/>
        <sz val="12"/>
        <color rgb="FF000000"/>
        <rFont val="Montserrat"/>
      </rPr>
      <t>QualityIsBroken@gmail.com</t>
    </r>
    <r>
      <rPr>
        <sz val="12"/>
        <color rgb="FF000000"/>
        <rFont val="Montserrat"/>
      </rPr>
      <t>.</t>
    </r>
  </si>
  <si>
    <t>Moving 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</si>
</sst>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0"/>
      <color rgb="FF000000"/>
      <name val="Arial"/>
      <scheme val="minor"/>
    </font>
    <font>
      <sz val="10"/>
      <color theme="1"/>
      <name val="Arial"/>
      <family val="2"/>
    </font>
    <font>
      <b/>
      <sz val="16"/>
      <color rgb="FFD72323"/>
      <name val="Montserrat"/>
    </font>
    <font>
      <sz val="10"/>
      <name val="Arial"/>
      <family val="2"/>
    </font>
    <font>
      <sz val="10"/>
      <color theme="1"/>
      <name val="Arial"/>
      <family val="2"/>
      <scheme val="minor"/>
    </font>
    <font>
      <u/>
      <sz val="10"/>
      <color theme="10"/>
      <name val="Arial"/>
      <family val="2"/>
      <scheme val="minor"/>
    </font>
    <font>
      <sz val="10"/>
      <color rgb="FF000000"/>
      <name val="Arial"/>
      <family val="2"/>
      <scheme val="minor"/>
    </font>
    <font>
      <b/>
      <sz val="10"/>
      <color rgb="FF000000"/>
      <name val="Arial"/>
      <family val="2"/>
      <scheme val="minor"/>
    </font>
    <font>
      <sz val="12"/>
      <color rgb="FF000000"/>
      <name val="Montserrat"/>
    </font>
    <font>
      <b/>
      <sz val="12"/>
      <color rgb="FF000000"/>
      <name val="Montserrat"/>
    </font>
  </fonts>
  <fills count="2">
    <fill>
      <patternFill patternType="none"/>
    </fill>
    <fill>
      <patternFill patternType="gray125"/>
    </fill>
  </fills>
  <borders count="12">
    <border>
      <left/>
      <right/>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s>
  <cellStyleXfs count="3">
    <xf numFmtId="0" fontId="0" fillId="0" borderId="0"/>
    <xf numFmtId="0" fontId="5" fillId="0" borderId="0" applyNumberFormat="0" applyFill="0" applyBorder="0" applyAlignment="0" applyProtection="0"/>
    <xf numFmtId="0" fontId="6" fillId="0" borderId="0"/>
  </cellStyleXfs>
  <cellXfs count="29">
    <xf numFmtId="0" fontId="0" fillId="0" borderId="0" xfId="0"/>
    <xf numFmtId="0" fontId="1" fillId="0" borderId="0" xfId="0" applyFont="1"/>
    <xf numFmtId="0" fontId="4" fillId="0" borderId="0" xfId="0" applyFont="1"/>
    <xf numFmtId="0" fontId="6" fillId="0" borderId="0" xfId="0" applyFont="1"/>
    <xf numFmtId="0" fontId="7" fillId="0" borderId="6" xfId="0" applyFont="1" applyBorder="1" applyAlignment="1">
      <alignment horizontal="left" wrapText="1"/>
    </xf>
    <xf numFmtId="0" fontId="0" fillId="0" borderId="7" xfId="0" applyBorder="1" applyAlignment="1">
      <alignment horizontal="left"/>
    </xf>
    <xf numFmtId="0" fontId="0" fillId="0" borderId="8" xfId="0" applyBorder="1" applyAlignment="1">
      <alignment horizontal="left"/>
    </xf>
    <xf numFmtId="0" fontId="8" fillId="0" borderId="4" xfId="0" applyFont="1" applyBorder="1" applyAlignment="1">
      <alignment horizontal="center" vertical="center" wrapText="1"/>
    </xf>
    <xf numFmtId="0" fontId="0" fillId="0" borderId="0" xfId="0"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7" fillId="0" borderId="1" xfId="0" applyFont="1" applyBorder="1" applyAlignment="1">
      <alignment horizontal="center" wrapText="1"/>
    </xf>
    <xf numFmtId="0" fontId="7" fillId="0" borderId="2" xfId="0" applyFont="1" applyBorder="1" applyAlignment="1">
      <alignment horizontal="center" wrapText="1"/>
    </xf>
    <xf numFmtId="0" fontId="7" fillId="0" borderId="3" xfId="0" applyFont="1" applyBorder="1" applyAlignment="1">
      <alignment horizontal="center" wrapText="1"/>
    </xf>
    <xf numFmtId="0" fontId="5" fillId="0" borderId="4" xfId="1" applyBorder="1" applyAlignment="1">
      <alignment horizontal="center"/>
    </xf>
    <xf numFmtId="0" fontId="5" fillId="0" borderId="0" xfId="1" applyBorder="1" applyAlignment="1">
      <alignment horizontal="center"/>
    </xf>
    <xf numFmtId="0" fontId="5" fillId="0" borderId="5" xfId="1" applyBorder="1" applyAlignment="1">
      <alignment horizontal="center"/>
    </xf>
    <xf numFmtId="0" fontId="7" fillId="0" borderId="4" xfId="0" applyFont="1" applyBorder="1" applyAlignment="1">
      <alignment horizontal="center"/>
    </xf>
    <xf numFmtId="0" fontId="7" fillId="0" borderId="0" xfId="0" applyFont="1" applyAlignment="1">
      <alignment horizontal="center"/>
    </xf>
    <xf numFmtId="0" fontId="7" fillId="0" borderId="5" xfId="0" applyFont="1" applyBorder="1" applyAlignment="1">
      <alignment horizontal="center"/>
    </xf>
    <xf numFmtId="0" fontId="5" fillId="0" borderId="6" xfId="1" applyBorder="1" applyAlignment="1">
      <alignment horizontal="center"/>
    </xf>
    <xf numFmtId="0" fontId="5" fillId="0" borderId="7" xfId="1" applyBorder="1" applyAlignment="1">
      <alignment horizontal="center"/>
    </xf>
    <xf numFmtId="0" fontId="5" fillId="0" borderId="8" xfId="1" applyBorder="1" applyAlignment="1">
      <alignment horizontal="center"/>
    </xf>
    <xf numFmtId="0" fontId="2" fillId="0" borderId="9" xfId="0" applyFont="1" applyBorder="1" applyAlignment="1">
      <alignment horizontal="center"/>
    </xf>
    <xf numFmtId="0" fontId="3" fillId="0" borderId="11" xfId="0" applyFont="1" applyBorder="1"/>
    <xf numFmtId="0" fontId="3" fillId="0" borderId="10" xfId="0" applyFont="1" applyBorder="1"/>
  </cellXfs>
  <cellStyles count="3">
    <cellStyle name="Hyperlink" xfId="1" builtinId="8"/>
    <cellStyle name="Normal" xfId="0" builtinId="0"/>
    <cellStyle name="Normal 2" xfId="2" xr:uid="{C31CB406-35AF-450A-BFBF-BA8ACE562AD7}"/>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FFFFF"/>
        </patternFill>
      </fill>
    </dxf>
    <dxf>
      <fill>
        <patternFill>
          <bgColor rgb="FFE8F3F7"/>
        </patternFill>
      </fill>
    </dxf>
    <dxf>
      <fill>
        <patternFill>
          <bgColor rgb="FF3688A4"/>
        </patternFill>
      </fill>
    </dxf>
    <dxf>
      <border>
        <left style="thin">
          <color rgb="FF8BB4C5"/>
        </left>
        <right style="thin">
          <color rgb="FF8BB4C5"/>
        </right>
        <top style="thin">
          <color rgb="FF8BB4C5"/>
        </top>
        <bottom style="thin">
          <color rgb="FF8BB4C5"/>
        </bottom>
        <vertical style="thin">
          <color rgb="FFC8DDE6"/>
        </vertical>
        <horizontal style="thin">
          <color rgb="FF8BB4C5"/>
        </horizontal>
      </border>
    </dxf>
  </dxfs>
  <tableStyles count="1" defaultTableStyle="TableStyleMedium2" defaultPivotStyle="PivotStyleLight16">
    <tableStyle name="The Virus of Variation" pivot="0" count="4" xr9:uid="{0D0AE138-E32A-477A-BA95-651A76D86846}">
      <tableStyleElement type="wholeTable" dxfId="11"/>
      <tableStyleElement type="header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20.1'!$D$1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20.1'!$C$2:$C$17</c:f>
              <c:strCache>
                <c:ptCount val="16"/>
                <c:pt idx="0">
                  <c:v>1810</c:v>
                </c:pt>
                <c:pt idx="1">
                  <c:v>1811</c:v>
                </c:pt>
                <c:pt idx="2">
                  <c:v>1812</c:v>
                </c:pt>
                <c:pt idx="3">
                  <c:v>1813</c:v>
                </c:pt>
                <c:pt idx="4">
                  <c:v>1814</c:v>
                </c:pt>
                <c:pt idx="5">
                  <c:v>1815</c:v>
                </c:pt>
                <c:pt idx="6">
                  <c:v>1816</c:v>
                </c:pt>
                <c:pt idx="7">
                  <c:v>1817</c:v>
                </c:pt>
                <c:pt idx="8">
                  <c:v>1818</c:v>
                </c:pt>
                <c:pt idx="9">
                  <c:v>1819</c:v>
                </c:pt>
                <c:pt idx="10">
                  <c:v>1820</c:v>
                </c:pt>
                <c:pt idx="11">
                  <c:v>1821</c:v>
                </c:pt>
                <c:pt idx="12">
                  <c:v>1822</c:v>
                </c:pt>
                <c:pt idx="13">
                  <c:v>1823</c:v>
                </c:pt>
                <c:pt idx="14">
                  <c:v>1824</c:v>
                </c:pt>
                <c:pt idx="15">
                  <c:v>1825</c:v>
                </c:pt>
              </c:strCache>
            </c:strRef>
          </c:cat>
          <c:val>
            <c:numRef>
              <c:f>'Fig 20.1'!$D$2:$D$17</c:f>
              <c:numCache>
                <c:formatCode>General</c:formatCode>
                <c:ptCount val="16"/>
                <c:pt idx="0">
                  <c:v>0.8</c:v>
                </c:pt>
                <c:pt idx="1">
                  <c:v>1.9</c:v>
                </c:pt>
                <c:pt idx="2">
                  <c:v>0.6</c:v>
                </c:pt>
                <c:pt idx="3">
                  <c:v>1.1000000000000001</c:v>
                </c:pt>
                <c:pt idx="4">
                  <c:v>3.2</c:v>
                </c:pt>
                <c:pt idx="5">
                  <c:v>0.7</c:v>
                </c:pt>
                <c:pt idx="6">
                  <c:v>0.5</c:v>
                </c:pt>
                <c:pt idx="7">
                  <c:v>0.9</c:v>
                </c:pt>
                <c:pt idx="8">
                  <c:v>2.2000000000000002</c:v>
                </c:pt>
                <c:pt idx="9">
                  <c:v>5</c:v>
                </c:pt>
                <c:pt idx="10">
                  <c:v>2.5</c:v>
                </c:pt>
                <c:pt idx="11">
                  <c:v>1.7</c:v>
                </c:pt>
                <c:pt idx="12">
                  <c:v>0.8</c:v>
                </c:pt>
                <c:pt idx="13">
                  <c:v>7.5</c:v>
                </c:pt>
                <c:pt idx="14">
                  <c:v>4.9000000000000004</c:v>
                </c:pt>
                <c:pt idx="15">
                  <c:v>8.8000000000000007</c:v>
                </c:pt>
              </c:numCache>
            </c:numRef>
          </c:val>
          <c:smooth val="0"/>
          <c:extLst>
            <c:ext xmlns:c16="http://schemas.microsoft.com/office/drawing/2014/chart" uri="{C3380CC4-5D6E-409C-BE32-E72D297353CC}">
              <c16:uniqueId val="{00000000-329B-41D6-8340-43856FD2F6C5}"/>
            </c:ext>
          </c:extLst>
        </c:ser>
        <c:ser>
          <c:idx val="1"/>
          <c:order val="1"/>
          <c:tx>
            <c:strRef>
              <c:f>'Fig 20.1'!$E$1</c:f>
              <c:strCache>
                <c:ptCount val="1"/>
                <c:pt idx="0">
                  <c:v>Mean</c:v>
                </c:pt>
              </c:strCache>
            </c:strRef>
          </c:tx>
          <c:spPr>
            <a:ln w="28575" cap="rnd">
              <a:solidFill>
                <a:schemeClr val="tx1"/>
              </a:solidFill>
              <a:round/>
            </a:ln>
            <a:effectLst/>
          </c:spPr>
          <c:marker>
            <c:symbol val="none"/>
          </c:marker>
          <c:cat>
            <c:strRef>
              <c:f>'Fig 20.1'!$C$2:$C$17</c:f>
              <c:strCache>
                <c:ptCount val="16"/>
                <c:pt idx="0">
                  <c:v>1810</c:v>
                </c:pt>
                <c:pt idx="1">
                  <c:v>1811</c:v>
                </c:pt>
                <c:pt idx="2">
                  <c:v>1812</c:v>
                </c:pt>
                <c:pt idx="3">
                  <c:v>1813</c:v>
                </c:pt>
                <c:pt idx="4">
                  <c:v>1814</c:v>
                </c:pt>
                <c:pt idx="5">
                  <c:v>1815</c:v>
                </c:pt>
                <c:pt idx="6">
                  <c:v>1816</c:v>
                </c:pt>
                <c:pt idx="7">
                  <c:v>1817</c:v>
                </c:pt>
                <c:pt idx="8">
                  <c:v>1818</c:v>
                </c:pt>
                <c:pt idx="9">
                  <c:v>1819</c:v>
                </c:pt>
                <c:pt idx="10">
                  <c:v>1820</c:v>
                </c:pt>
                <c:pt idx="11">
                  <c:v>1821</c:v>
                </c:pt>
                <c:pt idx="12">
                  <c:v>1822</c:v>
                </c:pt>
                <c:pt idx="13">
                  <c:v>1823</c:v>
                </c:pt>
                <c:pt idx="14">
                  <c:v>1824</c:v>
                </c:pt>
                <c:pt idx="15">
                  <c:v>1825</c:v>
                </c:pt>
              </c:strCache>
            </c:strRef>
          </c:cat>
          <c:val>
            <c:numRef>
              <c:f>'Fig 20.1'!$E$2:$E$17</c:f>
              <c:numCache>
                <c:formatCode>General</c:formatCode>
                <c:ptCount val="16"/>
                <c:pt idx="0">
                  <c:v>2.69</c:v>
                </c:pt>
                <c:pt idx="1">
                  <c:v>2.69</c:v>
                </c:pt>
                <c:pt idx="2">
                  <c:v>2.69</c:v>
                </c:pt>
                <c:pt idx="3">
                  <c:v>2.69</c:v>
                </c:pt>
                <c:pt idx="4">
                  <c:v>2.69</c:v>
                </c:pt>
                <c:pt idx="5">
                  <c:v>2.69</c:v>
                </c:pt>
                <c:pt idx="6">
                  <c:v>2.69</c:v>
                </c:pt>
                <c:pt idx="7">
                  <c:v>2.69</c:v>
                </c:pt>
                <c:pt idx="8">
                  <c:v>2.69</c:v>
                </c:pt>
                <c:pt idx="9">
                  <c:v>2.69</c:v>
                </c:pt>
                <c:pt idx="10">
                  <c:v>2.69</c:v>
                </c:pt>
                <c:pt idx="11">
                  <c:v>2.69</c:v>
                </c:pt>
                <c:pt idx="12">
                  <c:v>2.69</c:v>
                </c:pt>
                <c:pt idx="13">
                  <c:v>2.69</c:v>
                </c:pt>
                <c:pt idx="14">
                  <c:v>2.69</c:v>
                </c:pt>
                <c:pt idx="15">
                  <c:v>2.69</c:v>
                </c:pt>
              </c:numCache>
            </c:numRef>
          </c:val>
          <c:smooth val="0"/>
          <c:extLst>
            <c:ext xmlns:c16="http://schemas.microsoft.com/office/drawing/2014/chart" uri="{C3380CC4-5D6E-409C-BE32-E72D297353CC}">
              <c16:uniqueId val="{00000001-329B-41D6-8340-43856FD2F6C5}"/>
            </c:ext>
          </c:extLst>
        </c:ser>
        <c:ser>
          <c:idx val="2"/>
          <c:order val="2"/>
          <c:tx>
            <c:strRef>
              <c:f>'Fig 20.1'!$F$1</c:f>
              <c:strCache>
                <c:ptCount val="1"/>
                <c:pt idx="0">
                  <c:v>UPL</c:v>
                </c:pt>
              </c:strCache>
            </c:strRef>
          </c:tx>
          <c:spPr>
            <a:ln w="28575" cap="rnd">
              <a:solidFill>
                <a:srgbClr val="D72323"/>
              </a:solidFill>
              <a:prstDash val="dash"/>
              <a:round/>
            </a:ln>
            <a:effectLst/>
          </c:spPr>
          <c:marker>
            <c:symbol val="none"/>
          </c:marker>
          <c:cat>
            <c:strRef>
              <c:f>'Fig 20.1'!$C$2:$C$17</c:f>
              <c:strCache>
                <c:ptCount val="16"/>
                <c:pt idx="0">
                  <c:v>1810</c:v>
                </c:pt>
                <c:pt idx="1">
                  <c:v>1811</c:v>
                </c:pt>
                <c:pt idx="2">
                  <c:v>1812</c:v>
                </c:pt>
                <c:pt idx="3">
                  <c:v>1813</c:v>
                </c:pt>
                <c:pt idx="4">
                  <c:v>1814</c:v>
                </c:pt>
                <c:pt idx="5">
                  <c:v>1815</c:v>
                </c:pt>
                <c:pt idx="6">
                  <c:v>1816</c:v>
                </c:pt>
                <c:pt idx="7">
                  <c:v>1817</c:v>
                </c:pt>
                <c:pt idx="8">
                  <c:v>1818</c:v>
                </c:pt>
                <c:pt idx="9">
                  <c:v>1819</c:v>
                </c:pt>
                <c:pt idx="10">
                  <c:v>1820</c:v>
                </c:pt>
                <c:pt idx="11">
                  <c:v>1821</c:v>
                </c:pt>
                <c:pt idx="12">
                  <c:v>1822</c:v>
                </c:pt>
                <c:pt idx="13">
                  <c:v>1823</c:v>
                </c:pt>
                <c:pt idx="14">
                  <c:v>1824</c:v>
                </c:pt>
                <c:pt idx="15">
                  <c:v>1825</c:v>
                </c:pt>
              </c:strCache>
            </c:strRef>
          </c:cat>
          <c:val>
            <c:numRef>
              <c:f>'Fig 20.1'!$F$2:$F$17</c:f>
              <c:numCache>
                <c:formatCode>General</c:formatCode>
                <c:ptCount val="16"/>
                <c:pt idx="0">
                  <c:v>7.93</c:v>
                </c:pt>
                <c:pt idx="1">
                  <c:v>7.93</c:v>
                </c:pt>
                <c:pt idx="2">
                  <c:v>7.93</c:v>
                </c:pt>
                <c:pt idx="3">
                  <c:v>7.93</c:v>
                </c:pt>
                <c:pt idx="4">
                  <c:v>7.93</c:v>
                </c:pt>
                <c:pt idx="5">
                  <c:v>7.93</c:v>
                </c:pt>
                <c:pt idx="6">
                  <c:v>7.93</c:v>
                </c:pt>
                <c:pt idx="7">
                  <c:v>7.93</c:v>
                </c:pt>
                <c:pt idx="8">
                  <c:v>7.93</c:v>
                </c:pt>
                <c:pt idx="9">
                  <c:v>7.93</c:v>
                </c:pt>
                <c:pt idx="10">
                  <c:v>7.93</c:v>
                </c:pt>
                <c:pt idx="11">
                  <c:v>7.93</c:v>
                </c:pt>
                <c:pt idx="12">
                  <c:v>7.93</c:v>
                </c:pt>
                <c:pt idx="13">
                  <c:v>7.93</c:v>
                </c:pt>
                <c:pt idx="14">
                  <c:v>7.93</c:v>
                </c:pt>
                <c:pt idx="15">
                  <c:v>7.93</c:v>
                </c:pt>
              </c:numCache>
            </c:numRef>
          </c:val>
          <c:smooth val="0"/>
          <c:extLst>
            <c:ext xmlns:c16="http://schemas.microsoft.com/office/drawing/2014/chart" uri="{C3380CC4-5D6E-409C-BE32-E72D297353CC}">
              <c16:uniqueId val="{00000002-329B-41D6-8340-43856FD2F6C5}"/>
            </c:ext>
          </c:extLst>
        </c:ser>
        <c:ser>
          <c:idx val="3"/>
          <c:order val="3"/>
          <c:tx>
            <c:strRef>
              <c:f>'Fig 20.1'!$G$1</c:f>
              <c:strCache>
                <c:ptCount val="1"/>
                <c:pt idx="0">
                  <c:v>LPL</c:v>
                </c:pt>
              </c:strCache>
            </c:strRef>
          </c:tx>
          <c:spPr>
            <a:ln w="28575" cap="rnd">
              <a:solidFill>
                <a:srgbClr val="D72323"/>
              </a:solidFill>
              <a:prstDash val="dash"/>
              <a:round/>
            </a:ln>
            <a:effectLst/>
          </c:spPr>
          <c:marker>
            <c:symbol val="none"/>
          </c:marker>
          <c:cat>
            <c:strRef>
              <c:f>'Fig 20.1'!$C$2:$C$17</c:f>
              <c:strCache>
                <c:ptCount val="16"/>
                <c:pt idx="0">
                  <c:v>1810</c:v>
                </c:pt>
                <c:pt idx="1">
                  <c:v>1811</c:v>
                </c:pt>
                <c:pt idx="2">
                  <c:v>1812</c:v>
                </c:pt>
                <c:pt idx="3">
                  <c:v>1813</c:v>
                </c:pt>
                <c:pt idx="4">
                  <c:v>1814</c:v>
                </c:pt>
                <c:pt idx="5">
                  <c:v>1815</c:v>
                </c:pt>
                <c:pt idx="6">
                  <c:v>1816</c:v>
                </c:pt>
                <c:pt idx="7">
                  <c:v>1817</c:v>
                </c:pt>
                <c:pt idx="8">
                  <c:v>1818</c:v>
                </c:pt>
                <c:pt idx="9">
                  <c:v>1819</c:v>
                </c:pt>
                <c:pt idx="10">
                  <c:v>1820</c:v>
                </c:pt>
                <c:pt idx="11">
                  <c:v>1821</c:v>
                </c:pt>
                <c:pt idx="12">
                  <c:v>1822</c:v>
                </c:pt>
                <c:pt idx="13">
                  <c:v>1823</c:v>
                </c:pt>
                <c:pt idx="14">
                  <c:v>1824</c:v>
                </c:pt>
                <c:pt idx="15">
                  <c:v>1825</c:v>
                </c:pt>
              </c:strCache>
            </c:strRef>
          </c:cat>
          <c:val>
            <c:numRef>
              <c:f>'Fig 20.1'!$G$2:$G$17</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20.1'!$H$1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20.1'!$H$2:$H$17</c:f>
              <c:numCache>
                <c:formatCode>General</c:formatCode>
                <c:ptCount val="16"/>
                <c:pt idx="1">
                  <c:v>1.0999999999999999</c:v>
                </c:pt>
                <c:pt idx="2">
                  <c:v>1.2999999999999998</c:v>
                </c:pt>
                <c:pt idx="3">
                  <c:v>0.50000000000000011</c:v>
                </c:pt>
                <c:pt idx="4">
                  <c:v>2.1</c:v>
                </c:pt>
                <c:pt idx="5">
                  <c:v>2.5</c:v>
                </c:pt>
                <c:pt idx="6">
                  <c:v>0.19999999999999996</c:v>
                </c:pt>
                <c:pt idx="7">
                  <c:v>0.4</c:v>
                </c:pt>
                <c:pt idx="8">
                  <c:v>1.3000000000000003</c:v>
                </c:pt>
                <c:pt idx="9">
                  <c:v>2.8</c:v>
                </c:pt>
                <c:pt idx="10">
                  <c:v>2.5</c:v>
                </c:pt>
                <c:pt idx="11">
                  <c:v>0.8</c:v>
                </c:pt>
                <c:pt idx="12">
                  <c:v>0.89999999999999991</c:v>
                </c:pt>
                <c:pt idx="13">
                  <c:v>6.7</c:v>
                </c:pt>
                <c:pt idx="14">
                  <c:v>2.5999999999999996</c:v>
                </c:pt>
                <c:pt idx="15">
                  <c:v>3.9000000000000004</c:v>
                </c:pt>
              </c:numCache>
            </c:numRef>
          </c:val>
          <c:smooth val="0"/>
          <c:extLst>
            <c:ext xmlns:c16="http://schemas.microsoft.com/office/drawing/2014/chart" uri="{C3380CC4-5D6E-409C-BE32-E72D297353CC}">
              <c16:uniqueId val="{00000000-5D18-47FA-93F7-2AB89D044415}"/>
            </c:ext>
          </c:extLst>
        </c:ser>
        <c:ser>
          <c:idx val="1"/>
          <c:order val="1"/>
          <c:tx>
            <c:strRef>
              <c:f>'Fig 20.1'!$I$1</c:f>
              <c:strCache>
                <c:ptCount val="1"/>
                <c:pt idx="0">
                  <c:v>Ave. mR</c:v>
                </c:pt>
              </c:strCache>
            </c:strRef>
          </c:tx>
          <c:spPr>
            <a:ln w="28575" cap="rnd">
              <a:solidFill>
                <a:schemeClr val="tx1"/>
              </a:solidFill>
              <a:round/>
            </a:ln>
            <a:effectLst/>
          </c:spPr>
          <c:marker>
            <c:symbol val="none"/>
          </c:marker>
          <c:val>
            <c:numRef>
              <c:f>'Fig 20.1'!$I$2:$I$17</c:f>
              <c:numCache>
                <c:formatCode>General</c:formatCode>
                <c:ptCount val="16"/>
                <c:pt idx="0">
                  <c:v>1.97</c:v>
                </c:pt>
                <c:pt idx="1">
                  <c:v>1.97</c:v>
                </c:pt>
                <c:pt idx="2">
                  <c:v>1.97</c:v>
                </c:pt>
                <c:pt idx="3">
                  <c:v>1.97</c:v>
                </c:pt>
                <c:pt idx="4">
                  <c:v>1.97</c:v>
                </c:pt>
                <c:pt idx="5">
                  <c:v>1.97</c:v>
                </c:pt>
                <c:pt idx="6">
                  <c:v>1.97</c:v>
                </c:pt>
                <c:pt idx="7">
                  <c:v>1.97</c:v>
                </c:pt>
                <c:pt idx="8">
                  <c:v>1.97</c:v>
                </c:pt>
                <c:pt idx="9">
                  <c:v>1.97</c:v>
                </c:pt>
                <c:pt idx="10">
                  <c:v>1.97</c:v>
                </c:pt>
                <c:pt idx="11">
                  <c:v>1.97</c:v>
                </c:pt>
                <c:pt idx="12">
                  <c:v>1.97</c:v>
                </c:pt>
                <c:pt idx="13">
                  <c:v>1.97</c:v>
                </c:pt>
                <c:pt idx="14">
                  <c:v>1.97</c:v>
                </c:pt>
                <c:pt idx="15">
                  <c:v>1.97</c:v>
                </c:pt>
              </c:numCache>
            </c:numRef>
          </c:val>
          <c:smooth val="0"/>
          <c:extLst>
            <c:ext xmlns:c16="http://schemas.microsoft.com/office/drawing/2014/chart" uri="{C3380CC4-5D6E-409C-BE32-E72D297353CC}">
              <c16:uniqueId val="{00000001-5D18-47FA-93F7-2AB89D044415}"/>
            </c:ext>
          </c:extLst>
        </c:ser>
        <c:ser>
          <c:idx val="2"/>
          <c:order val="2"/>
          <c:tx>
            <c:strRef>
              <c:f>'Fig 20.1'!$J$1</c:f>
              <c:strCache>
                <c:ptCount val="1"/>
                <c:pt idx="0">
                  <c:v>URL</c:v>
                </c:pt>
              </c:strCache>
            </c:strRef>
          </c:tx>
          <c:spPr>
            <a:ln w="28575" cap="rnd">
              <a:solidFill>
                <a:srgbClr val="D72323"/>
              </a:solidFill>
              <a:prstDash val="dash"/>
              <a:round/>
            </a:ln>
            <a:effectLst/>
          </c:spPr>
          <c:marker>
            <c:symbol val="none"/>
          </c:marker>
          <c:val>
            <c:numRef>
              <c:f>'Fig 20.1'!$J$2:$J$17</c:f>
              <c:numCache>
                <c:formatCode>General</c:formatCode>
                <c:ptCount val="16"/>
                <c:pt idx="0">
                  <c:v>6.44</c:v>
                </c:pt>
                <c:pt idx="1">
                  <c:v>6.44</c:v>
                </c:pt>
                <c:pt idx="2">
                  <c:v>6.44</c:v>
                </c:pt>
                <c:pt idx="3">
                  <c:v>6.44</c:v>
                </c:pt>
                <c:pt idx="4">
                  <c:v>6.44</c:v>
                </c:pt>
                <c:pt idx="5">
                  <c:v>6.44</c:v>
                </c:pt>
                <c:pt idx="6">
                  <c:v>6.44</c:v>
                </c:pt>
                <c:pt idx="7">
                  <c:v>6.44</c:v>
                </c:pt>
                <c:pt idx="8">
                  <c:v>6.44</c:v>
                </c:pt>
                <c:pt idx="9">
                  <c:v>6.44</c:v>
                </c:pt>
                <c:pt idx="10">
                  <c:v>6.44</c:v>
                </c:pt>
                <c:pt idx="11">
                  <c:v>6.44</c:v>
                </c:pt>
                <c:pt idx="12">
                  <c:v>6.44</c:v>
                </c:pt>
                <c:pt idx="13">
                  <c:v>6.44</c:v>
                </c:pt>
                <c:pt idx="14">
                  <c:v>6.44</c:v>
                </c:pt>
                <c:pt idx="15">
                  <c:v>6.44</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1</xdr:row>
      <xdr:rowOff>0</xdr:rowOff>
    </xdr:from>
    <xdr:to>
      <xdr:col>12</xdr:col>
      <xdr:colOff>41698</xdr:colOff>
      <xdr:row>21</xdr:row>
      <xdr:rowOff>58420</xdr:rowOff>
    </xdr:to>
    <xdr:pic>
      <xdr:nvPicPr>
        <xdr:cNvPr id="3" name="image1.jpg">
          <a:extLst>
            <a:ext uri="{FF2B5EF4-FFF2-40B4-BE49-F238E27FC236}">
              <a16:creationId xmlns:a16="http://schemas.microsoft.com/office/drawing/2014/main" id="{991BCB67-CDAB-4592-A462-D3F228844C6E}"/>
            </a:ext>
          </a:extLst>
        </xdr:cNvPr>
        <xdr:cNvPicPr preferRelativeResize="0"/>
      </xdr:nvPicPr>
      <xdr:blipFill>
        <a:blip xmlns:r="http://schemas.openxmlformats.org/officeDocument/2006/relationships" r:embed="rId1" cstate="print"/>
        <a:stretch>
          <a:fillRect/>
        </a:stretch>
      </xdr:blipFill>
      <xdr:spPr>
        <a:xfrm>
          <a:off x="6257925" y="200025"/>
          <a:ext cx="2642023" cy="405892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1</xdr:row>
      <xdr:rowOff>0</xdr:rowOff>
    </xdr:from>
    <xdr:to>
      <xdr:col>21</xdr:col>
      <xdr:colOff>0</xdr:colOff>
      <xdr:row>13</xdr:row>
      <xdr:rowOff>0</xdr:rowOff>
    </xdr:to>
    <xdr:graphicFrame macro="">
      <xdr:nvGraphicFramePr>
        <xdr:cNvPr id="2" name="Chart 1">
          <a:extLst>
            <a:ext uri="{FF2B5EF4-FFF2-40B4-BE49-F238E27FC236}">
              <a16:creationId xmlns:a16="http://schemas.microsoft.com/office/drawing/2014/main" id="{611C8390-C7A3-A9C1-C3BE-561BCC2C2A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13</xdr:row>
      <xdr:rowOff>0</xdr:rowOff>
    </xdr:from>
    <xdr:to>
      <xdr:col>21</xdr:col>
      <xdr:colOff>0</xdr:colOff>
      <xdr:row>23</xdr:row>
      <xdr:rowOff>0</xdr:rowOff>
    </xdr:to>
    <xdr:graphicFrame macro="">
      <xdr:nvGraphicFramePr>
        <xdr:cNvPr id="3" name="Chart 2">
          <a:extLst>
            <a:ext uri="{FF2B5EF4-FFF2-40B4-BE49-F238E27FC236}">
              <a16:creationId xmlns:a16="http://schemas.microsoft.com/office/drawing/2014/main" id="{33F1CB46-C358-C9D4-B0B2-0D188E703B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951DDAE-4CB1-4CC2-8154-61EB9871E408}" autoFormatId="16" applyNumberFormats="0" applyBorderFormats="0" applyFontFormats="0" applyPatternFormats="0" applyAlignmentFormats="0" applyWidthHeightFormats="0">
  <queryTableRefresh nextId="11" unboundColumnsRight="2">
    <queryTableFields count="10">
      <queryTableField id="1" name="Sample" tableColumnId="1"/>
      <queryTableField id="2" name="Hospital" tableColumnId="2"/>
      <queryTableField id="3" name="Year" tableColumnId="3"/>
      <queryTableField id="4" name="Rate" tableColumnId="4"/>
      <queryTableField id="8" dataBound="0" tableColumnId="8"/>
      <queryTableField id="7" dataBound="0" tableColumnId="7"/>
      <queryTableField id="6" dataBound="0" tableColumnId="6"/>
      <queryTableField id="5" name="Moving Range" tableColumnId="5"/>
      <queryTableField id="9" dataBound="0" tableColumnId="9"/>
      <queryTableField id="10" dataBound="0"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D01A2BBE-EC65-4D89-9D4A-D127FA67C2C9}" autoFormatId="16" applyNumberFormats="0" applyBorderFormats="0" applyFontFormats="0" applyPatternFormats="0" applyAlignmentFormats="0" applyWidthHeightFormats="0">
  <queryTableRefresh nextId="6">
    <queryTableFields count="5">
      <queryTableField id="1" name="Sample" tableColumnId="1"/>
      <queryTableField id="2" name="Hospital" tableColumnId="2"/>
      <queryTableField id="3" name="Year" tableColumnId="3"/>
      <queryTableField id="4" name="Rate" tableColumnId="4"/>
      <queryTableField id="5" name="Moving Range"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E5D986-2D6E-4A2F-BC49-91B871C8FFBB}" name="software_verification_death_to_birth_rates" displayName="software_verification_death_to_birth_rates" ref="A1:J17" tableType="queryTable" totalsRowShown="0">
  <autoFilter ref="A1:J17" xr:uid="{C4E5D986-2D6E-4A2F-BC49-91B871C8FFBB}"/>
  <tableColumns count="10">
    <tableColumn id="1" xr3:uid="{0D3C286B-4589-41AB-BDD9-106999DFDB1A}" uniqueName="1" name="Sample" queryTableFieldId="1"/>
    <tableColumn id="2" xr3:uid="{BF002351-7B4A-4862-A6AC-AB67EB428D25}" uniqueName="2" name="Hospital" queryTableFieldId="2" dataDxfId="7"/>
    <tableColumn id="3" xr3:uid="{01A53DB8-E2E1-4582-B487-1AD0F1145C44}" uniqueName="3" name="Year" queryTableFieldId="3" dataDxfId="6"/>
    <tableColumn id="4" xr3:uid="{01E88A90-FBBA-4111-B683-C01EB2A2DEFD}" uniqueName="4" name="Rate" queryTableFieldId="4"/>
    <tableColumn id="8" xr3:uid="{F68228D8-751D-4D3D-B491-991CE847F46E}" uniqueName="8" name="Mean" queryTableFieldId="8" dataDxfId="5">
      <calculatedColumnFormula>ROUND(AVERAGE($D$2:$D$17),2)</calculatedColumnFormula>
    </tableColumn>
    <tableColumn id="7" xr3:uid="{F5CB86F4-3EED-4A5B-9BAF-6046ACD1D525}" uniqueName="7" name="UPL" queryTableFieldId="7" dataDxfId="4">
      <calculatedColumnFormula>ROUND(E2+(2.66*I2),2)</calculatedColumnFormula>
    </tableColumn>
    <tableColumn id="6" xr3:uid="{793C143A-DEF1-40A9-966E-EAA1242DAD89}" uniqueName="6" name="LPL" queryTableFieldId="6" dataDxfId="3">
      <calculatedColumnFormula>ROUND(MAX(0,E2-(2.66*I2)),2)</calculatedColumnFormula>
    </tableColumn>
    <tableColumn id="5" xr3:uid="{B0BE8CB3-A115-47A7-81CA-B6D2D7DB5884}" uniqueName="5" name="mR" queryTableFieldId="5"/>
    <tableColumn id="9" xr3:uid="{2511E8E1-C288-4D91-9615-24AABC24772C}" uniqueName="9" name="Ave. mR" queryTableFieldId="9" dataDxfId="2">
      <calculatedColumnFormula>ROUND(AVERAGE($H$3:$H$17),2)</calculatedColumnFormula>
    </tableColumn>
    <tableColumn id="10" xr3:uid="{78B82245-C777-4F13-B474-B533C54F056E}" uniqueName="10" name="URL" queryTableFieldId="10" dataDxfId="1">
      <calculatedColumnFormula>ROUND(3.268*I2,2)</calculatedColumnFormula>
    </tableColumn>
  </tableColumns>
  <tableStyleInfo name="The Virus of Variatio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2BE897-0ABB-4D17-8AAA-52EAE2F06E5D}" name="software_verification_death_to_birth_rates__2" displayName="software_verification_death_to_birth_rates__2" ref="A1:E17" tableType="queryTable" totalsRowShown="0">
  <autoFilter ref="A1:E17" xr:uid="{312BE897-0ABB-4D17-8AAA-52EAE2F06E5D}"/>
  <tableColumns count="5">
    <tableColumn id="1" xr3:uid="{A011DBA5-8440-4006-9D74-8204AFE12334}" uniqueName="1" name="Sample" queryTableFieldId="1"/>
    <tableColumn id="2" xr3:uid="{84FED927-CBB8-4136-97CB-44DA3ADDA13B}" uniqueName="2" name="Hospital" queryTableFieldId="2" dataDxfId="0"/>
    <tableColumn id="3" xr3:uid="{1B1E8EA1-77D0-4D70-910D-13DB0A795498}" uniqueName="3" name="Year" queryTableFieldId="3"/>
    <tableColumn id="4" xr3:uid="{16FD2693-84D6-44DB-AC7B-B5946114DB2C}" uniqueName="4" name="Rate" queryTableFieldId="4"/>
    <tableColumn id="5" xr3:uid="{0A231DD7-BA13-467A-BA0E-12BFCED78BC2}" uniqueName="5" name="Moving Range" queryTableFieldId="5"/>
  </tableColumns>
  <tableStyleInfo name="The Virus of Variation"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mailto:James.Lehner@gmail.com" TargetMode="External"/><Relationship Id="rId2" Type="http://schemas.openxmlformats.org/officeDocument/2006/relationships/hyperlink" Target="https://www.brokenquality.com/book" TargetMode="External"/><Relationship Id="rId1" Type="http://schemas.openxmlformats.org/officeDocument/2006/relationships/hyperlink" Target="https://github.com/jimlehner/virus-of-variation-book" TargetMode="External"/><Relationship Id="rId5" Type="http://schemas.openxmlformats.org/officeDocument/2006/relationships/drawing" Target="../drawings/drawing1.xml"/><Relationship Id="rId4" Type="http://schemas.openxmlformats.org/officeDocument/2006/relationships/hyperlink" Target="mailto:QualityIsBroken@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37"/>
  <sheetViews>
    <sheetView showGridLines="0" tabSelected="1" workbookViewId="0">
      <selection activeCell="L34" sqref="L34"/>
    </sheetView>
  </sheetViews>
  <sheetFormatPr defaultColWidth="12.6640625" defaultRowHeight="15.75" customHeight="1" x14ac:dyDescent="0.25"/>
  <cols>
    <col min="1" max="1" width="1.33203125" customWidth="1"/>
    <col min="9" max="9" width="1.33203125" customWidth="1"/>
    <col min="13" max="13" width="9.44140625" customWidth="1"/>
  </cols>
  <sheetData>
    <row r="1" spans="1:10" ht="24.6" x14ac:dyDescent="0.55000000000000004">
      <c r="A1" s="1"/>
      <c r="B1" s="26" t="s">
        <v>0</v>
      </c>
      <c r="C1" s="27"/>
      <c r="D1" s="27"/>
      <c r="E1" s="27"/>
      <c r="F1" s="27"/>
      <c r="G1" s="27"/>
      <c r="H1" s="28"/>
    </row>
    <row r="2" spans="1:10" ht="15.75" customHeight="1" x14ac:dyDescent="0.25">
      <c r="A2" s="1"/>
      <c r="B2" s="7" t="s">
        <v>38</v>
      </c>
      <c r="C2" s="8"/>
      <c r="D2" s="8"/>
      <c r="E2" s="8"/>
      <c r="F2" s="8"/>
      <c r="G2" s="8"/>
      <c r="H2" s="9"/>
      <c r="J2" s="2"/>
    </row>
    <row r="3" spans="1:10" ht="15.75" customHeight="1" x14ac:dyDescent="0.25">
      <c r="A3" s="1"/>
      <c r="B3" s="10"/>
      <c r="C3" s="8"/>
      <c r="D3" s="8"/>
      <c r="E3" s="8"/>
      <c r="F3" s="8"/>
      <c r="G3" s="8"/>
      <c r="H3" s="9"/>
    </row>
    <row r="4" spans="1:10" ht="15.75" customHeight="1" x14ac:dyDescent="0.25">
      <c r="A4" s="1"/>
      <c r="B4" s="10"/>
      <c r="C4" s="8"/>
      <c r="D4" s="8"/>
      <c r="E4" s="8"/>
      <c r="F4" s="8"/>
      <c r="G4" s="8"/>
      <c r="H4" s="9"/>
    </row>
    <row r="5" spans="1:10" ht="15.75" customHeight="1" x14ac:dyDescent="0.25">
      <c r="A5" s="1"/>
      <c r="B5" s="10"/>
      <c r="C5" s="8"/>
      <c r="D5" s="8"/>
      <c r="E5" s="8"/>
      <c r="F5" s="8"/>
      <c r="G5" s="8"/>
      <c r="H5" s="9"/>
    </row>
    <row r="6" spans="1:10" ht="15.75" customHeight="1" x14ac:dyDescent="0.25">
      <c r="A6" s="1"/>
      <c r="B6" s="10"/>
      <c r="C6" s="8"/>
      <c r="D6" s="8"/>
      <c r="E6" s="8"/>
      <c r="F6" s="8"/>
      <c r="G6" s="8"/>
      <c r="H6" s="9"/>
    </row>
    <row r="7" spans="1:10" ht="15.75" customHeight="1" x14ac:dyDescent="0.25">
      <c r="A7" s="1"/>
      <c r="B7" s="10"/>
      <c r="C7" s="8"/>
      <c r="D7" s="8"/>
      <c r="E7" s="8"/>
      <c r="F7" s="8"/>
      <c r="G7" s="8"/>
      <c r="H7" s="9"/>
    </row>
    <row r="8" spans="1:10" ht="15.75" customHeight="1" x14ac:dyDescent="0.25">
      <c r="A8" s="1"/>
      <c r="B8" s="10"/>
      <c r="C8" s="8"/>
      <c r="D8" s="8"/>
      <c r="E8" s="8"/>
      <c r="F8" s="8"/>
      <c r="G8" s="8"/>
      <c r="H8" s="9"/>
    </row>
    <row r="9" spans="1:10" ht="15.75" customHeight="1" x14ac:dyDescent="0.25">
      <c r="A9" s="1"/>
      <c r="B9" s="10"/>
      <c r="C9" s="8"/>
      <c r="D9" s="8"/>
      <c r="E9" s="8"/>
      <c r="F9" s="8"/>
      <c r="G9" s="8"/>
      <c r="H9" s="9"/>
    </row>
    <row r="10" spans="1:10" ht="15.75" customHeight="1" x14ac:dyDescent="0.25">
      <c r="A10" s="1"/>
      <c r="B10" s="10"/>
      <c r="C10" s="8"/>
      <c r="D10" s="8"/>
      <c r="E10" s="8"/>
      <c r="F10" s="8"/>
      <c r="G10" s="8"/>
      <c r="H10" s="9"/>
    </row>
    <row r="11" spans="1:10" ht="15.75" customHeight="1" x14ac:dyDescent="0.25">
      <c r="A11" s="1"/>
      <c r="B11" s="10"/>
      <c r="C11" s="8"/>
      <c r="D11" s="8"/>
      <c r="E11" s="8"/>
      <c r="F11" s="8"/>
      <c r="G11" s="8"/>
      <c r="H11" s="9"/>
    </row>
    <row r="12" spans="1:10" ht="15.75" customHeight="1" x14ac:dyDescent="0.25">
      <c r="A12" s="1"/>
      <c r="B12" s="10"/>
      <c r="C12" s="8"/>
      <c r="D12" s="8"/>
      <c r="E12" s="8"/>
      <c r="F12" s="8"/>
      <c r="G12" s="8"/>
      <c r="H12" s="9"/>
    </row>
    <row r="13" spans="1:10" ht="15.75" customHeight="1" x14ac:dyDescent="0.25">
      <c r="A13" s="1"/>
      <c r="B13" s="10"/>
      <c r="C13" s="8"/>
      <c r="D13" s="8"/>
      <c r="E13" s="8"/>
      <c r="F13" s="8"/>
      <c r="G13" s="8"/>
      <c r="H13" s="9"/>
    </row>
    <row r="14" spans="1:10" ht="15.75" customHeight="1" x14ac:dyDescent="0.25">
      <c r="A14" s="1"/>
      <c r="B14" s="10"/>
      <c r="C14" s="8"/>
      <c r="D14" s="8"/>
      <c r="E14" s="8"/>
      <c r="F14" s="8"/>
      <c r="G14" s="8"/>
      <c r="H14" s="9"/>
    </row>
    <row r="15" spans="1:10" ht="15.75" customHeight="1" x14ac:dyDescent="0.25">
      <c r="A15" s="1"/>
      <c r="B15" s="10"/>
      <c r="C15" s="8"/>
      <c r="D15" s="8"/>
      <c r="E15" s="8"/>
      <c r="F15" s="8"/>
      <c r="G15" s="8"/>
      <c r="H15" s="9"/>
    </row>
    <row r="16" spans="1:10" ht="15.75" customHeight="1" x14ac:dyDescent="0.25">
      <c r="A16" s="1"/>
      <c r="B16" s="10"/>
      <c r="C16" s="8"/>
      <c r="D16" s="8"/>
      <c r="E16" s="8"/>
      <c r="F16" s="8"/>
      <c r="G16" s="8"/>
      <c r="H16" s="9"/>
    </row>
    <row r="17" spans="1:8" ht="15.75" customHeight="1" x14ac:dyDescent="0.25">
      <c r="A17" s="1"/>
      <c r="B17" s="10"/>
      <c r="C17" s="8"/>
      <c r="D17" s="8"/>
      <c r="E17" s="8"/>
      <c r="F17" s="8"/>
      <c r="G17" s="8"/>
      <c r="H17" s="9"/>
    </row>
    <row r="18" spans="1:8" ht="15.75" customHeight="1" x14ac:dyDescent="0.25">
      <c r="A18" s="1"/>
      <c r="B18" s="10"/>
      <c r="C18" s="8"/>
      <c r="D18" s="8"/>
      <c r="E18" s="8"/>
      <c r="F18" s="8"/>
      <c r="G18" s="8"/>
      <c r="H18" s="9"/>
    </row>
    <row r="19" spans="1:8" ht="15.75" customHeight="1" x14ac:dyDescent="0.25">
      <c r="A19" s="1"/>
      <c r="B19" s="10"/>
      <c r="C19" s="8"/>
      <c r="D19" s="8"/>
      <c r="E19" s="8"/>
      <c r="F19" s="8"/>
      <c r="G19" s="8"/>
      <c r="H19" s="9"/>
    </row>
    <row r="20" spans="1:8" ht="15.75" customHeight="1" x14ac:dyDescent="0.25">
      <c r="A20" s="1"/>
      <c r="B20" s="10"/>
      <c r="C20" s="8"/>
      <c r="D20" s="8"/>
      <c r="E20" s="8"/>
      <c r="F20" s="8"/>
      <c r="G20" s="8"/>
      <c r="H20" s="9"/>
    </row>
    <row r="21" spans="1:8" ht="15.75" customHeight="1" x14ac:dyDescent="0.25">
      <c r="A21" s="1"/>
      <c r="B21" s="10"/>
      <c r="C21" s="8"/>
      <c r="D21" s="8"/>
      <c r="E21" s="8"/>
      <c r="F21" s="8"/>
      <c r="G21" s="8"/>
      <c r="H21" s="9"/>
    </row>
    <row r="22" spans="1:8" ht="15.75" customHeight="1" x14ac:dyDescent="0.25">
      <c r="A22" s="1"/>
      <c r="B22" s="10"/>
      <c r="C22" s="8"/>
      <c r="D22" s="8"/>
      <c r="E22" s="8"/>
      <c r="F22" s="8"/>
      <c r="G22" s="8"/>
      <c r="H22" s="9"/>
    </row>
    <row r="23" spans="1:8" ht="15.75" customHeight="1" x14ac:dyDescent="0.25">
      <c r="A23" s="1"/>
      <c r="B23" s="10"/>
      <c r="C23" s="8"/>
      <c r="D23" s="8"/>
      <c r="E23" s="8"/>
      <c r="F23" s="8"/>
      <c r="G23" s="8"/>
      <c r="H23" s="9"/>
    </row>
    <row r="24" spans="1:8" ht="15.75" customHeight="1" x14ac:dyDescent="0.25">
      <c r="A24" s="1"/>
      <c r="B24" s="10"/>
      <c r="C24" s="8"/>
      <c r="D24" s="8"/>
      <c r="E24" s="8"/>
      <c r="F24" s="8"/>
      <c r="G24" s="8"/>
      <c r="H24" s="9"/>
    </row>
    <row r="25" spans="1:8" ht="15.75" customHeight="1" x14ac:dyDescent="0.25">
      <c r="A25" s="1"/>
      <c r="B25" s="10"/>
      <c r="C25" s="8"/>
      <c r="D25" s="8"/>
      <c r="E25" s="8"/>
      <c r="F25" s="8"/>
      <c r="G25" s="8"/>
      <c r="H25" s="9"/>
    </row>
    <row r="26" spans="1:8" ht="15.75" customHeight="1" x14ac:dyDescent="0.25">
      <c r="A26" s="1"/>
      <c r="B26" s="10"/>
      <c r="C26" s="8"/>
      <c r="D26" s="8"/>
      <c r="E26" s="8"/>
      <c r="F26" s="8"/>
      <c r="G26" s="8"/>
      <c r="H26" s="9"/>
    </row>
    <row r="27" spans="1:8" ht="15.75" customHeight="1" x14ac:dyDescent="0.25">
      <c r="B27" s="10"/>
      <c r="C27" s="8"/>
      <c r="D27" s="8"/>
      <c r="E27" s="8"/>
      <c r="F27" s="8"/>
      <c r="G27" s="8"/>
      <c r="H27" s="9"/>
    </row>
    <row r="28" spans="1:8" ht="15.75" customHeight="1" x14ac:dyDescent="0.25">
      <c r="B28" s="11"/>
      <c r="C28" s="12"/>
      <c r="D28" s="12"/>
      <c r="E28" s="12"/>
      <c r="F28" s="12"/>
      <c r="G28" s="12"/>
      <c r="H28" s="13"/>
    </row>
    <row r="29" spans="1:8" ht="15.75" customHeight="1" x14ac:dyDescent="0.25">
      <c r="B29" s="14" t="s">
        <v>28</v>
      </c>
      <c r="C29" s="15"/>
      <c r="D29" s="15"/>
      <c r="E29" s="15"/>
      <c r="F29" s="15"/>
      <c r="G29" s="15"/>
      <c r="H29" s="16"/>
    </row>
    <row r="30" spans="1:8" ht="15.75" customHeight="1" x14ac:dyDescent="0.25">
      <c r="B30" s="17" t="s">
        <v>29</v>
      </c>
      <c r="C30" s="18"/>
      <c r="D30" s="18"/>
      <c r="E30" s="18"/>
      <c r="F30" s="18"/>
      <c r="G30" s="18"/>
      <c r="H30" s="19"/>
    </row>
    <row r="31" spans="1:8" ht="15.75" customHeight="1" x14ac:dyDescent="0.25">
      <c r="B31" s="20" t="s">
        <v>30</v>
      </c>
      <c r="C31" s="21"/>
      <c r="D31" s="21"/>
      <c r="E31" s="21"/>
      <c r="F31" s="21"/>
      <c r="G31" s="21"/>
      <c r="H31" s="22"/>
    </row>
    <row r="32" spans="1:8" ht="15.75" customHeight="1" x14ac:dyDescent="0.25">
      <c r="B32" s="17" t="s">
        <v>31</v>
      </c>
      <c r="C32" s="18"/>
      <c r="D32" s="18"/>
      <c r="E32" s="18"/>
      <c r="F32" s="18"/>
      <c r="G32" s="18"/>
      <c r="H32" s="19"/>
    </row>
    <row r="33" spans="2:8" ht="15.75" customHeight="1" x14ac:dyDescent="0.25">
      <c r="B33" s="20" t="s">
        <v>32</v>
      </c>
      <c r="C33" s="21"/>
      <c r="D33" s="21"/>
      <c r="E33" s="21"/>
      <c r="F33" s="21"/>
      <c r="G33" s="21"/>
      <c r="H33" s="22"/>
    </row>
    <row r="34" spans="2:8" ht="15.75" customHeight="1" x14ac:dyDescent="0.25">
      <c r="B34" s="17" t="s">
        <v>33</v>
      </c>
      <c r="C34" s="18"/>
      <c r="D34" s="18"/>
      <c r="E34" s="18"/>
      <c r="F34" s="18"/>
      <c r="G34" s="18"/>
      <c r="H34" s="19"/>
    </row>
    <row r="35" spans="2:8" ht="15.75" customHeight="1" x14ac:dyDescent="0.25">
      <c r="B35" s="23" t="s">
        <v>34</v>
      </c>
      <c r="C35" s="24"/>
      <c r="D35" s="24"/>
      <c r="E35" s="24"/>
      <c r="F35" s="24"/>
      <c r="G35" s="24"/>
      <c r="H35" s="25"/>
    </row>
    <row r="36" spans="2:8" ht="15.75" customHeight="1" x14ac:dyDescent="0.25">
      <c r="B36" s="14" t="s">
        <v>35</v>
      </c>
      <c r="C36" s="15"/>
      <c r="D36" s="15"/>
      <c r="E36" s="15"/>
      <c r="F36" s="15"/>
      <c r="G36" s="15"/>
      <c r="H36" s="16"/>
    </row>
    <row r="37" spans="2:8" ht="15.75" customHeight="1" x14ac:dyDescent="0.25">
      <c r="B37" s="4" t="s">
        <v>37</v>
      </c>
      <c r="C37" s="5" t="s">
        <v>36</v>
      </c>
      <c r="D37" s="5"/>
      <c r="E37" s="5"/>
      <c r="F37" s="5"/>
      <c r="G37" s="5"/>
      <c r="H37" s="6"/>
    </row>
  </sheetData>
  <mergeCells count="11">
    <mergeCell ref="C37:H37"/>
    <mergeCell ref="B1:H1"/>
    <mergeCell ref="B2:H28"/>
    <mergeCell ref="B29:H29"/>
    <mergeCell ref="B30:H30"/>
    <mergeCell ref="B31:H31"/>
    <mergeCell ref="B32:H32"/>
    <mergeCell ref="B33:H33"/>
    <mergeCell ref="B34:H34"/>
    <mergeCell ref="B35:H35"/>
    <mergeCell ref="B36:H36"/>
  </mergeCells>
  <hyperlinks>
    <hyperlink ref="B32" r:id="rId1" xr:uid="{3289A35D-4F2B-46E0-B2E8-8209A2A20651}"/>
    <hyperlink ref="B30" r:id="rId2" xr:uid="{32AA5352-3F84-43BA-A23A-FF3D0C7EEF27}"/>
    <hyperlink ref="B34" r:id="rId3" xr:uid="{359A2438-C854-4DFE-AA01-367722A9437C}"/>
    <hyperlink ref="B35" r:id="rId4" xr:uid="{B0E28F0A-11B4-4470-B199-26371A63420B}"/>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46308-18FA-4867-9F2E-89F1CA270C0B}">
  <dimension ref="A1:J17"/>
  <sheetViews>
    <sheetView workbookViewId="0">
      <selection activeCell="J27" sqref="J27"/>
    </sheetView>
  </sheetViews>
  <sheetFormatPr defaultRowHeight="13.2" x14ac:dyDescent="0.25"/>
  <cols>
    <col min="1" max="1" width="10" bestFit="1" customWidth="1"/>
    <col min="2" max="2" width="20.77734375" bestFit="1" customWidth="1"/>
    <col min="3" max="4" width="7.21875" bestFit="1" customWidth="1"/>
    <col min="5" max="5" width="7.6640625" bestFit="1" customWidth="1"/>
    <col min="6" max="7" width="7.21875" customWidth="1"/>
    <col min="8" max="8" width="6" bestFit="1" customWidth="1"/>
    <col min="9" max="9" width="10" bestFit="1" customWidth="1"/>
  </cols>
  <sheetData>
    <row r="1" spans="1:10" x14ac:dyDescent="0.25">
      <c r="A1" t="s">
        <v>27</v>
      </c>
      <c r="B1" t="s">
        <v>1</v>
      </c>
      <c r="C1" t="s">
        <v>2</v>
      </c>
      <c r="D1" t="s">
        <v>3</v>
      </c>
      <c r="E1" s="3" t="s">
        <v>4</v>
      </c>
      <c r="F1" s="3" t="s">
        <v>5</v>
      </c>
      <c r="G1" s="3" t="s">
        <v>6</v>
      </c>
      <c r="H1" s="3" t="s">
        <v>7</v>
      </c>
      <c r="I1" s="3" t="s">
        <v>8</v>
      </c>
      <c r="J1" s="3" t="s">
        <v>9</v>
      </c>
    </row>
    <row r="2" spans="1:10" x14ac:dyDescent="0.25">
      <c r="A2">
        <v>1</v>
      </c>
      <c r="B2" t="s">
        <v>10</v>
      </c>
      <c r="C2" t="s">
        <v>11</v>
      </c>
      <c r="D2">
        <v>0.8</v>
      </c>
      <c r="E2">
        <f t="shared" ref="E2:E17" si="0">ROUND(AVERAGE($D$2:$D$17),2)</f>
        <v>2.69</v>
      </c>
      <c r="F2">
        <f t="shared" ref="F2:F17" si="1">ROUND(E2+(2.66*I2),2)</f>
        <v>7.93</v>
      </c>
      <c r="G2">
        <f t="shared" ref="G2:G17" si="2">ROUND(MAX(0,E2-(2.66*I2)),2)</f>
        <v>0</v>
      </c>
      <c r="I2">
        <f t="shared" ref="I2:I17" si="3">ROUND(AVERAGE($H$3:$H$17),2)</f>
        <v>1.97</v>
      </c>
      <c r="J2">
        <f t="shared" ref="J2:J17" si="4">ROUND(3.268*I2,2)</f>
        <v>6.44</v>
      </c>
    </row>
    <row r="3" spans="1:10" x14ac:dyDescent="0.25">
      <c r="A3">
        <v>2</v>
      </c>
      <c r="B3" t="s">
        <v>10</v>
      </c>
      <c r="C3" t="s">
        <v>12</v>
      </c>
      <c r="D3">
        <v>1.9</v>
      </c>
      <c r="E3">
        <f t="shared" si="0"/>
        <v>2.69</v>
      </c>
      <c r="F3">
        <f t="shared" si="1"/>
        <v>7.93</v>
      </c>
      <c r="G3">
        <f t="shared" si="2"/>
        <v>0</v>
      </c>
      <c r="H3">
        <f>ABS(D2-D3)</f>
        <v>1.0999999999999999</v>
      </c>
      <c r="I3">
        <f t="shared" si="3"/>
        <v>1.97</v>
      </c>
      <c r="J3">
        <f t="shared" si="4"/>
        <v>6.44</v>
      </c>
    </row>
    <row r="4" spans="1:10" x14ac:dyDescent="0.25">
      <c r="A4">
        <v>3</v>
      </c>
      <c r="B4" t="s">
        <v>10</v>
      </c>
      <c r="C4" t="s">
        <v>13</v>
      </c>
      <c r="D4">
        <v>0.6</v>
      </c>
      <c r="E4">
        <f t="shared" si="0"/>
        <v>2.69</v>
      </c>
      <c r="F4">
        <f t="shared" si="1"/>
        <v>7.93</v>
      </c>
      <c r="G4">
        <f t="shared" si="2"/>
        <v>0</v>
      </c>
      <c r="H4">
        <f t="shared" ref="H4:H17" si="5">ABS(D3-D4)</f>
        <v>1.2999999999999998</v>
      </c>
      <c r="I4">
        <f t="shared" si="3"/>
        <v>1.97</v>
      </c>
      <c r="J4">
        <f t="shared" si="4"/>
        <v>6.44</v>
      </c>
    </row>
    <row r="5" spans="1:10" x14ac:dyDescent="0.25">
      <c r="A5">
        <v>4</v>
      </c>
      <c r="B5" t="s">
        <v>10</v>
      </c>
      <c r="C5" t="s">
        <v>14</v>
      </c>
      <c r="D5">
        <v>1.1000000000000001</v>
      </c>
      <c r="E5">
        <f t="shared" si="0"/>
        <v>2.69</v>
      </c>
      <c r="F5">
        <f t="shared" si="1"/>
        <v>7.93</v>
      </c>
      <c r="G5">
        <f t="shared" si="2"/>
        <v>0</v>
      </c>
      <c r="H5">
        <f t="shared" si="5"/>
        <v>0.50000000000000011</v>
      </c>
      <c r="I5">
        <f t="shared" si="3"/>
        <v>1.97</v>
      </c>
      <c r="J5">
        <f t="shared" si="4"/>
        <v>6.44</v>
      </c>
    </row>
    <row r="6" spans="1:10" x14ac:dyDescent="0.25">
      <c r="A6">
        <v>5</v>
      </c>
      <c r="B6" t="s">
        <v>10</v>
      </c>
      <c r="C6" t="s">
        <v>15</v>
      </c>
      <c r="D6">
        <v>3.2</v>
      </c>
      <c r="E6">
        <f t="shared" si="0"/>
        <v>2.69</v>
      </c>
      <c r="F6">
        <f t="shared" si="1"/>
        <v>7.93</v>
      </c>
      <c r="G6">
        <f t="shared" si="2"/>
        <v>0</v>
      </c>
      <c r="H6">
        <f t="shared" si="5"/>
        <v>2.1</v>
      </c>
      <c r="I6">
        <f t="shared" si="3"/>
        <v>1.97</v>
      </c>
      <c r="J6">
        <f t="shared" si="4"/>
        <v>6.44</v>
      </c>
    </row>
    <row r="7" spans="1:10" x14ac:dyDescent="0.25">
      <c r="A7">
        <v>6</v>
      </c>
      <c r="B7" t="s">
        <v>10</v>
      </c>
      <c r="C7" t="s">
        <v>16</v>
      </c>
      <c r="D7">
        <v>0.7</v>
      </c>
      <c r="E7">
        <f t="shared" si="0"/>
        <v>2.69</v>
      </c>
      <c r="F7">
        <f t="shared" si="1"/>
        <v>7.93</v>
      </c>
      <c r="G7">
        <f t="shared" si="2"/>
        <v>0</v>
      </c>
      <c r="H7">
        <f t="shared" si="5"/>
        <v>2.5</v>
      </c>
      <c r="I7">
        <f t="shared" si="3"/>
        <v>1.97</v>
      </c>
      <c r="J7">
        <f t="shared" si="4"/>
        <v>6.44</v>
      </c>
    </row>
    <row r="8" spans="1:10" x14ac:dyDescent="0.25">
      <c r="A8">
        <v>7</v>
      </c>
      <c r="B8" t="s">
        <v>10</v>
      </c>
      <c r="C8" t="s">
        <v>17</v>
      </c>
      <c r="D8">
        <v>0.5</v>
      </c>
      <c r="E8">
        <f t="shared" si="0"/>
        <v>2.69</v>
      </c>
      <c r="F8">
        <f t="shared" si="1"/>
        <v>7.93</v>
      </c>
      <c r="G8">
        <f t="shared" si="2"/>
        <v>0</v>
      </c>
      <c r="H8">
        <f t="shared" si="5"/>
        <v>0.19999999999999996</v>
      </c>
      <c r="I8">
        <f t="shared" si="3"/>
        <v>1.97</v>
      </c>
      <c r="J8">
        <f t="shared" si="4"/>
        <v>6.44</v>
      </c>
    </row>
    <row r="9" spans="1:10" x14ac:dyDescent="0.25">
      <c r="A9">
        <v>8</v>
      </c>
      <c r="B9" t="s">
        <v>10</v>
      </c>
      <c r="C9" t="s">
        <v>18</v>
      </c>
      <c r="D9">
        <v>0.9</v>
      </c>
      <c r="E9">
        <f t="shared" si="0"/>
        <v>2.69</v>
      </c>
      <c r="F9">
        <f t="shared" si="1"/>
        <v>7.93</v>
      </c>
      <c r="G9">
        <f t="shared" si="2"/>
        <v>0</v>
      </c>
      <c r="H9">
        <f t="shared" si="5"/>
        <v>0.4</v>
      </c>
      <c r="I9">
        <f t="shared" si="3"/>
        <v>1.97</v>
      </c>
      <c r="J9">
        <f t="shared" si="4"/>
        <v>6.44</v>
      </c>
    </row>
    <row r="10" spans="1:10" x14ac:dyDescent="0.25">
      <c r="A10">
        <v>9</v>
      </c>
      <c r="B10" t="s">
        <v>10</v>
      </c>
      <c r="C10" t="s">
        <v>19</v>
      </c>
      <c r="D10">
        <v>2.2000000000000002</v>
      </c>
      <c r="E10">
        <f t="shared" si="0"/>
        <v>2.69</v>
      </c>
      <c r="F10">
        <f t="shared" si="1"/>
        <v>7.93</v>
      </c>
      <c r="G10">
        <f t="shared" si="2"/>
        <v>0</v>
      </c>
      <c r="H10">
        <f t="shared" si="5"/>
        <v>1.3000000000000003</v>
      </c>
      <c r="I10">
        <f t="shared" si="3"/>
        <v>1.97</v>
      </c>
      <c r="J10">
        <f t="shared" si="4"/>
        <v>6.44</v>
      </c>
    </row>
    <row r="11" spans="1:10" x14ac:dyDescent="0.25">
      <c r="A11">
        <v>10</v>
      </c>
      <c r="B11" t="s">
        <v>10</v>
      </c>
      <c r="C11" t="s">
        <v>20</v>
      </c>
      <c r="D11">
        <v>5</v>
      </c>
      <c r="E11">
        <f t="shared" si="0"/>
        <v>2.69</v>
      </c>
      <c r="F11">
        <f t="shared" si="1"/>
        <v>7.93</v>
      </c>
      <c r="G11">
        <f t="shared" si="2"/>
        <v>0</v>
      </c>
      <c r="H11">
        <f t="shared" si="5"/>
        <v>2.8</v>
      </c>
      <c r="I11">
        <f t="shared" si="3"/>
        <v>1.97</v>
      </c>
      <c r="J11">
        <f t="shared" si="4"/>
        <v>6.44</v>
      </c>
    </row>
    <row r="12" spans="1:10" x14ac:dyDescent="0.25">
      <c r="A12">
        <v>11</v>
      </c>
      <c r="B12" t="s">
        <v>10</v>
      </c>
      <c r="C12" t="s">
        <v>21</v>
      </c>
      <c r="D12">
        <v>2.5</v>
      </c>
      <c r="E12">
        <f t="shared" si="0"/>
        <v>2.69</v>
      </c>
      <c r="F12">
        <f t="shared" si="1"/>
        <v>7.93</v>
      </c>
      <c r="G12">
        <f t="shared" si="2"/>
        <v>0</v>
      </c>
      <c r="H12">
        <f t="shared" si="5"/>
        <v>2.5</v>
      </c>
      <c r="I12">
        <f t="shared" si="3"/>
        <v>1.97</v>
      </c>
      <c r="J12">
        <f t="shared" si="4"/>
        <v>6.44</v>
      </c>
    </row>
    <row r="13" spans="1:10" x14ac:dyDescent="0.25">
      <c r="A13">
        <v>12</v>
      </c>
      <c r="B13" t="s">
        <v>10</v>
      </c>
      <c r="C13" t="s">
        <v>22</v>
      </c>
      <c r="D13">
        <v>1.7</v>
      </c>
      <c r="E13">
        <f t="shared" si="0"/>
        <v>2.69</v>
      </c>
      <c r="F13">
        <f t="shared" si="1"/>
        <v>7.93</v>
      </c>
      <c r="G13">
        <f t="shared" si="2"/>
        <v>0</v>
      </c>
      <c r="H13">
        <f t="shared" si="5"/>
        <v>0.8</v>
      </c>
      <c r="I13">
        <f t="shared" si="3"/>
        <v>1.97</v>
      </c>
      <c r="J13">
        <f t="shared" si="4"/>
        <v>6.44</v>
      </c>
    </row>
    <row r="14" spans="1:10" x14ac:dyDescent="0.25">
      <c r="A14">
        <v>13</v>
      </c>
      <c r="B14" t="s">
        <v>10</v>
      </c>
      <c r="C14" t="s">
        <v>23</v>
      </c>
      <c r="D14">
        <v>0.8</v>
      </c>
      <c r="E14">
        <f t="shared" si="0"/>
        <v>2.69</v>
      </c>
      <c r="F14">
        <f t="shared" si="1"/>
        <v>7.93</v>
      </c>
      <c r="G14">
        <f t="shared" si="2"/>
        <v>0</v>
      </c>
      <c r="H14">
        <f t="shared" si="5"/>
        <v>0.89999999999999991</v>
      </c>
      <c r="I14">
        <f t="shared" si="3"/>
        <v>1.97</v>
      </c>
      <c r="J14">
        <f t="shared" si="4"/>
        <v>6.44</v>
      </c>
    </row>
    <row r="15" spans="1:10" x14ac:dyDescent="0.25">
      <c r="A15">
        <v>14</v>
      </c>
      <c r="B15" t="s">
        <v>10</v>
      </c>
      <c r="C15" t="s">
        <v>24</v>
      </c>
      <c r="D15">
        <v>7.5</v>
      </c>
      <c r="E15">
        <f t="shared" si="0"/>
        <v>2.69</v>
      </c>
      <c r="F15">
        <f t="shared" si="1"/>
        <v>7.93</v>
      </c>
      <c r="G15">
        <f t="shared" si="2"/>
        <v>0</v>
      </c>
      <c r="H15">
        <f t="shared" si="5"/>
        <v>6.7</v>
      </c>
      <c r="I15">
        <f t="shared" si="3"/>
        <v>1.97</v>
      </c>
      <c r="J15">
        <f t="shared" si="4"/>
        <v>6.44</v>
      </c>
    </row>
    <row r="16" spans="1:10" x14ac:dyDescent="0.25">
      <c r="A16">
        <v>15</v>
      </c>
      <c r="B16" t="s">
        <v>10</v>
      </c>
      <c r="C16" t="s">
        <v>25</v>
      </c>
      <c r="D16">
        <v>4.9000000000000004</v>
      </c>
      <c r="E16">
        <f t="shared" si="0"/>
        <v>2.69</v>
      </c>
      <c r="F16">
        <f t="shared" si="1"/>
        <v>7.93</v>
      </c>
      <c r="G16">
        <f t="shared" si="2"/>
        <v>0</v>
      </c>
      <c r="H16">
        <f t="shared" si="5"/>
        <v>2.5999999999999996</v>
      </c>
      <c r="I16">
        <f t="shared" si="3"/>
        <v>1.97</v>
      </c>
      <c r="J16">
        <f t="shared" si="4"/>
        <v>6.44</v>
      </c>
    </row>
    <row r="17" spans="1:10" x14ac:dyDescent="0.25">
      <c r="A17">
        <v>16</v>
      </c>
      <c r="B17" t="s">
        <v>10</v>
      </c>
      <c r="C17" t="s">
        <v>26</v>
      </c>
      <c r="D17">
        <v>8.8000000000000007</v>
      </c>
      <c r="E17">
        <f t="shared" si="0"/>
        <v>2.69</v>
      </c>
      <c r="F17">
        <f t="shared" si="1"/>
        <v>7.93</v>
      </c>
      <c r="G17">
        <f t="shared" si="2"/>
        <v>0</v>
      </c>
      <c r="H17">
        <f t="shared" si="5"/>
        <v>3.9000000000000004</v>
      </c>
      <c r="I17">
        <f t="shared" si="3"/>
        <v>1.97</v>
      </c>
      <c r="J17">
        <f t="shared" si="4"/>
        <v>6.44</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071D4-573C-4022-97DA-F10D036DB2BB}">
  <dimension ref="A1:E17"/>
  <sheetViews>
    <sheetView showGridLines="0" workbookViewId="0">
      <selection activeCell="J9" sqref="J9"/>
    </sheetView>
  </sheetViews>
  <sheetFormatPr defaultRowHeight="13.2" x14ac:dyDescent="0.25"/>
  <cols>
    <col min="1" max="1" width="10" bestFit="1" customWidth="1"/>
    <col min="2" max="2" width="20.77734375" bestFit="1" customWidth="1"/>
    <col min="3" max="4" width="7.21875" bestFit="1" customWidth="1"/>
    <col min="5" max="5" width="16" bestFit="1" customWidth="1"/>
  </cols>
  <sheetData>
    <row r="1" spans="1:5" x14ac:dyDescent="0.25">
      <c r="A1" t="s">
        <v>27</v>
      </c>
      <c r="B1" t="s">
        <v>1</v>
      </c>
      <c r="C1" t="s">
        <v>2</v>
      </c>
      <c r="D1" t="s">
        <v>3</v>
      </c>
      <c r="E1" t="s">
        <v>39</v>
      </c>
    </row>
    <row r="2" spans="1:5" x14ac:dyDescent="0.25">
      <c r="A2">
        <v>1</v>
      </c>
      <c r="B2" t="s">
        <v>10</v>
      </c>
      <c r="C2">
        <v>1810</v>
      </c>
      <c r="D2">
        <v>0.8</v>
      </c>
    </row>
    <row r="3" spans="1:5" x14ac:dyDescent="0.25">
      <c r="A3">
        <v>2</v>
      </c>
      <c r="B3" t="s">
        <v>10</v>
      </c>
      <c r="C3">
        <v>1811</v>
      </c>
      <c r="D3">
        <v>1.9</v>
      </c>
      <c r="E3">
        <v>1.1000000000000001</v>
      </c>
    </row>
    <row r="4" spans="1:5" x14ac:dyDescent="0.25">
      <c r="A4">
        <v>3</v>
      </c>
      <c r="B4" t="s">
        <v>10</v>
      </c>
      <c r="C4">
        <v>1812</v>
      </c>
      <c r="D4">
        <v>0.6</v>
      </c>
      <c r="E4">
        <v>1.3</v>
      </c>
    </row>
    <row r="5" spans="1:5" x14ac:dyDescent="0.25">
      <c r="A5">
        <v>4</v>
      </c>
      <c r="B5" t="s">
        <v>10</v>
      </c>
      <c r="C5">
        <v>1813</v>
      </c>
      <c r="D5">
        <v>1.1000000000000001</v>
      </c>
      <c r="E5">
        <v>0.5</v>
      </c>
    </row>
    <row r="6" spans="1:5" x14ac:dyDescent="0.25">
      <c r="A6">
        <v>5</v>
      </c>
      <c r="B6" t="s">
        <v>10</v>
      </c>
      <c r="C6">
        <v>1814</v>
      </c>
      <c r="D6">
        <v>3.2</v>
      </c>
      <c r="E6">
        <v>2.1</v>
      </c>
    </row>
    <row r="7" spans="1:5" x14ac:dyDescent="0.25">
      <c r="A7">
        <v>6</v>
      </c>
      <c r="B7" t="s">
        <v>10</v>
      </c>
      <c r="C7">
        <v>1815</v>
      </c>
      <c r="D7">
        <v>0.7</v>
      </c>
      <c r="E7">
        <v>2.5</v>
      </c>
    </row>
    <row r="8" spans="1:5" x14ac:dyDescent="0.25">
      <c r="A8">
        <v>7</v>
      </c>
      <c r="B8" t="s">
        <v>10</v>
      </c>
      <c r="C8">
        <v>1816</v>
      </c>
      <c r="D8">
        <v>0.5</v>
      </c>
      <c r="E8">
        <v>0.2</v>
      </c>
    </row>
    <row r="9" spans="1:5" x14ac:dyDescent="0.25">
      <c r="A9">
        <v>8</v>
      </c>
      <c r="B9" t="s">
        <v>10</v>
      </c>
      <c r="C9">
        <v>1817</v>
      </c>
      <c r="D9">
        <v>0.9</v>
      </c>
      <c r="E9">
        <v>0.4</v>
      </c>
    </row>
    <row r="10" spans="1:5" x14ac:dyDescent="0.25">
      <c r="A10">
        <v>9</v>
      </c>
      <c r="B10" t="s">
        <v>10</v>
      </c>
      <c r="C10">
        <v>1818</v>
      </c>
      <c r="D10">
        <v>2.2000000000000002</v>
      </c>
      <c r="E10">
        <v>1.3</v>
      </c>
    </row>
    <row r="11" spans="1:5" x14ac:dyDescent="0.25">
      <c r="A11">
        <v>10</v>
      </c>
      <c r="B11" t="s">
        <v>10</v>
      </c>
      <c r="C11">
        <v>1819</v>
      </c>
      <c r="D11">
        <v>5</v>
      </c>
      <c r="E11">
        <v>2.8</v>
      </c>
    </row>
    <row r="12" spans="1:5" x14ac:dyDescent="0.25">
      <c r="A12">
        <v>11</v>
      </c>
      <c r="B12" t="s">
        <v>10</v>
      </c>
      <c r="C12">
        <v>1820</v>
      </c>
      <c r="D12">
        <v>2.5</v>
      </c>
      <c r="E12">
        <v>2.5</v>
      </c>
    </row>
    <row r="13" spans="1:5" x14ac:dyDescent="0.25">
      <c r="A13">
        <v>12</v>
      </c>
      <c r="B13" t="s">
        <v>10</v>
      </c>
      <c r="C13">
        <v>1821</v>
      </c>
      <c r="D13">
        <v>1.7</v>
      </c>
      <c r="E13">
        <v>0.8</v>
      </c>
    </row>
    <row r="14" spans="1:5" x14ac:dyDescent="0.25">
      <c r="A14">
        <v>13</v>
      </c>
      <c r="B14" t="s">
        <v>10</v>
      </c>
      <c r="C14">
        <v>1822</v>
      </c>
      <c r="D14">
        <v>0.8</v>
      </c>
      <c r="E14">
        <v>0.9</v>
      </c>
    </row>
    <row r="15" spans="1:5" x14ac:dyDescent="0.25">
      <c r="A15">
        <v>14</v>
      </c>
      <c r="B15" t="s">
        <v>10</v>
      </c>
      <c r="C15">
        <v>1823</v>
      </c>
      <c r="D15">
        <v>7.5</v>
      </c>
      <c r="E15">
        <v>6.7</v>
      </c>
    </row>
    <row r="16" spans="1:5" x14ac:dyDescent="0.25">
      <c r="A16">
        <v>15</v>
      </c>
      <c r="B16" t="s">
        <v>10</v>
      </c>
      <c r="C16">
        <v>1824</v>
      </c>
      <c r="D16">
        <v>4.9000000000000004</v>
      </c>
      <c r="E16">
        <v>2.6</v>
      </c>
    </row>
    <row r="17" spans="1:5" x14ac:dyDescent="0.25">
      <c r="A17">
        <v>16</v>
      </c>
      <c r="B17" t="s">
        <v>10</v>
      </c>
      <c r="C17">
        <v>1825</v>
      </c>
      <c r="D17">
        <v>8.8000000000000007</v>
      </c>
      <c r="E17">
        <v>3.9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CD82B0-3B07-4725-9447-C39D21C5639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Fig 20.1</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2026-05-07T17:25:08Z</dcterms:modified>
</cp:coreProperties>
</file>