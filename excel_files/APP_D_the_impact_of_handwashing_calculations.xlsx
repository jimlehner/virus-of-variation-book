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69294B9A-9FFF-4234-8F72-5209BD8AB7FD}" xr6:coauthVersionLast="47" xr6:coauthVersionMax="47" xr10:uidLastSave="{00000000-0000-0000-0000-000000000000}"/>
  <bookViews>
    <workbookView xWindow="5820" yWindow="-14565" windowWidth="21600" windowHeight="11235" xr2:uid="{00000000-000D-0000-FFFF-FFFF00000000}"/>
  </bookViews>
  <sheets>
    <sheet name="Overview" sheetId="1" r:id="rId1"/>
    <sheet name="Fig. D.1. Before handwashing" sheetId="2" r:id="rId2"/>
    <sheet name="Fig. D.2. After handwashing" sheetId="3" r:id="rId3"/>
  </sheets>
  <definedNames>
    <definedName name="ExternalData_1" localSheetId="1" hidden="1">'Fig. D.1. Before handwashing'!$A$1:$D$78</definedName>
    <definedName name="ExternalData_1" localSheetId="2" hidden="1">'Fig. D.2. After handwashing'!$A$1:$D$23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5" i="3"/>
  <c r="H6" i="3"/>
  <c r="H7" i="3"/>
  <c r="H8" i="3"/>
  <c r="H9" i="3"/>
  <c r="H10" i="3"/>
  <c r="H11" i="3"/>
  <c r="H12" i="3"/>
  <c r="H13" i="3"/>
  <c r="H14" i="3"/>
  <c r="H15" i="3"/>
  <c r="H16" i="3"/>
  <c r="H17" i="3"/>
  <c r="H18" i="3"/>
  <c r="H19" i="3"/>
  <c r="H20" i="3"/>
  <c r="H21" i="3"/>
  <c r="H22" i="3"/>
  <c r="H23" i="3"/>
  <c r="E2" i="3"/>
  <c r="E3" i="3"/>
  <c r="E4" i="3"/>
  <c r="E5" i="3"/>
  <c r="E6" i="3"/>
  <c r="E7" i="3"/>
  <c r="E8" i="3"/>
  <c r="E9" i="3"/>
  <c r="E10" i="3"/>
  <c r="E11" i="3"/>
  <c r="E12" i="3"/>
  <c r="E13" i="3"/>
  <c r="E14" i="3"/>
  <c r="E15" i="3"/>
  <c r="E16" i="3"/>
  <c r="E17" i="3"/>
  <c r="E18" i="3"/>
  <c r="E19" i="3"/>
  <c r="E20" i="3"/>
  <c r="E21" i="3"/>
  <c r="E22" i="3"/>
  <c r="E23" i="3"/>
  <c r="H3" i="2"/>
  <c r="H4" i="2"/>
  <c r="H5" i="2"/>
  <c r="H6" i="2"/>
  <c r="H7" i="2"/>
  <c r="H8" i="2"/>
  <c r="H9" i="2"/>
  <c r="H10" i="2"/>
  <c r="H11" i="2"/>
  <c r="H12"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I12" i="3" l="1"/>
  <c r="J12" i="3" s="1"/>
  <c r="I7" i="3"/>
  <c r="J7" i="3" s="1"/>
  <c r="I3" i="3"/>
  <c r="J3" i="3" s="1"/>
  <c r="I4" i="3"/>
  <c r="J4" i="3" s="1"/>
  <c r="I5" i="3"/>
  <c r="J5" i="3" s="1"/>
  <c r="I8" i="3"/>
  <c r="J8" i="3" s="1"/>
  <c r="I10" i="3"/>
  <c r="J10" i="3" s="1"/>
  <c r="I13" i="3"/>
  <c r="J13" i="3" s="1"/>
  <c r="I21" i="3"/>
  <c r="J21" i="3" s="1"/>
  <c r="I17" i="3"/>
  <c r="J17" i="3" s="1"/>
  <c r="I20" i="3"/>
  <c r="J20" i="3" s="1"/>
  <c r="I23" i="3"/>
  <c r="J23" i="3" s="1"/>
  <c r="I19" i="3"/>
  <c r="J19" i="3" s="1"/>
  <c r="I16" i="3"/>
  <c r="J16" i="3" s="1"/>
  <c r="I14" i="3"/>
  <c r="J14" i="3" s="1"/>
  <c r="I11" i="3"/>
  <c r="J11" i="3" s="1"/>
  <c r="I9" i="3"/>
  <c r="J9" i="3" s="1"/>
  <c r="I6" i="3"/>
  <c r="J6" i="3" s="1"/>
  <c r="I2" i="3"/>
  <c r="J2" i="3" s="1"/>
  <c r="I22" i="3"/>
  <c r="J22" i="3" s="1"/>
  <c r="I18" i="3"/>
  <c r="J18" i="3" s="1"/>
  <c r="I15" i="3"/>
  <c r="J15" i="3" s="1"/>
  <c r="G2" i="3"/>
  <c r="F2" i="3"/>
  <c r="F3" i="3"/>
  <c r="G3" i="3"/>
  <c r="G4" i="3"/>
  <c r="F4" i="3"/>
  <c r="G5" i="3"/>
  <c r="F5" i="3"/>
  <c r="G6" i="3"/>
  <c r="F6" i="3"/>
  <c r="G7" i="3"/>
  <c r="F7" i="3"/>
  <c r="G8" i="3"/>
  <c r="F8" i="3"/>
  <c r="G9" i="3"/>
  <c r="F9" i="3"/>
  <c r="G10" i="3"/>
  <c r="F10" i="3"/>
  <c r="F11" i="3"/>
  <c r="G11" i="3"/>
  <c r="F12" i="3"/>
  <c r="G12" i="3"/>
  <c r="G13" i="3"/>
  <c r="F13" i="3"/>
  <c r="F14" i="3"/>
  <c r="G14" i="3"/>
  <c r="G15" i="3"/>
  <c r="F15" i="3"/>
  <c r="F16" i="3"/>
  <c r="G16" i="3"/>
  <c r="G17" i="3"/>
  <c r="F17" i="3"/>
  <c r="G18" i="3"/>
  <c r="F18" i="3"/>
  <c r="G19" i="3"/>
  <c r="F19" i="3"/>
  <c r="G20" i="3"/>
  <c r="F20" i="3"/>
  <c r="G21" i="3"/>
  <c r="F21" i="3"/>
  <c r="G22" i="3"/>
  <c r="F22" i="3"/>
  <c r="F23" i="3"/>
  <c r="G23" i="3"/>
  <c r="I75" i="2"/>
  <c r="J75" i="2" s="1"/>
  <c r="I20" i="2"/>
  <c r="J20" i="2" s="1"/>
  <c r="I41" i="2"/>
  <c r="J41" i="2" s="1"/>
  <c r="I46" i="2"/>
  <c r="J46" i="2" s="1"/>
  <c r="I50" i="2"/>
  <c r="J50" i="2" s="1"/>
  <c r="I55" i="2"/>
  <c r="J55" i="2" s="1"/>
  <c r="I60" i="2"/>
  <c r="J60" i="2" s="1"/>
  <c r="I64" i="2"/>
  <c r="J64" i="2" s="1"/>
  <c r="I68" i="2"/>
  <c r="J68" i="2" s="1"/>
  <c r="I72" i="2"/>
  <c r="J72" i="2" s="1"/>
  <c r="I76" i="2"/>
  <c r="I2" i="2"/>
  <c r="I3" i="2"/>
  <c r="I7" i="2"/>
  <c r="I8" i="2"/>
  <c r="I9" i="2"/>
  <c r="I10" i="2"/>
  <c r="I12" i="2"/>
  <c r="I13" i="2"/>
  <c r="I17" i="2"/>
  <c r="I22" i="2"/>
  <c r="J22" i="2" s="1"/>
  <c r="I28" i="2"/>
  <c r="J28" i="2" s="1"/>
  <c r="I32" i="2"/>
  <c r="J32" i="2" s="1"/>
  <c r="I37" i="2"/>
  <c r="J37" i="2" s="1"/>
  <c r="I42" i="2"/>
  <c r="J42" i="2" s="1"/>
  <c r="I49" i="2"/>
  <c r="J49" i="2" s="1"/>
  <c r="I56" i="2"/>
  <c r="J56" i="2" s="1"/>
  <c r="I63" i="2"/>
  <c r="J63" i="2" s="1"/>
  <c r="I69" i="2"/>
  <c r="J69" i="2" s="1"/>
  <c r="I74" i="2"/>
  <c r="I51" i="2"/>
  <c r="J51" i="2" s="1"/>
  <c r="I33" i="2"/>
  <c r="J33" i="2" s="1"/>
  <c r="I36" i="2"/>
  <c r="J36" i="2" s="1"/>
  <c r="I39" i="2"/>
  <c r="J39" i="2" s="1"/>
  <c r="I44" i="2"/>
  <c r="J44" i="2" s="1"/>
  <c r="I48" i="2"/>
  <c r="J48" i="2" s="1"/>
  <c r="I54" i="2"/>
  <c r="J54" i="2" s="1"/>
  <c r="I58" i="2"/>
  <c r="J58" i="2" s="1"/>
  <c r="I62" i="2"/>
  <c r="J62" i="2" s="1"/>
  <c r="I67" i="2"/>
  <c r="J67" i="2" s="1"/>
  <c r="I71" i="2"/>
  <c r="J71" i="2" s="1"/>
  <c r="I4" i="2"/>
  <c r="I11" i="2"/>
  <c r="I14" i="2"/>
  <c r="I21" i="2"/>
  <c r="I6" i="2"/>
  <c r="I16" i="2"/>
  <c r="I19" i="2"/>
  <c r="I24" i="2"/>
  <c r="I26" i="2"/>
  <c r="I31" i="2"/>
  <c r="I34" i="2"/>
  <c r="I38" i="2"/>
  <c r="I43" i="2"/>
  <c r="J43" i="2" s="1"/>
  <c r="I47" i="2"/>
  <c r="J47" i="2" s="1"/>
  <c r="I53" i="2"/>
  <c r="J53" i="2" s="1"/>
  <c r="I57" i="2"/>
  <c r="J57" i="2" s="1"/>
  <c r="I61" i="2"/>
  <c r="J61" i="2" s="1"/>
  <c r="I66" i="2"/>
  <c r="J66" i="2" s="1"/>
  <c r="I73" i="2"/>
  <c r="J73" i="2" s="1"/>
  <c r="I77" i="2"/>
  <c r="I25" i="2"/>
  <c r="I30" i="2"/>
  <c r="I35" i="2"/>
  <c r="I40" i="2"/>
  <c r="I45" i="2"/>
  <c r="J45" i="2" s="1"/>
  <c r="I52" i="2"/>
  <c r="J52" i="2" s="1"/>
  <c r="I59" i="2"/>
  <c r="J59" i="2" s="1"/>
  <c r="I65" i="2"/>
  <c r="J65" i="2" s="1"/>
  <c r="I70" i="2"/>
  <c r="J70" i="2" s="1"/>
  <c r="I78" i="2"/>
  <c r="I5" i="2"/>
  <c r="I15" i="2"/>
  <c r="I18" i="2"/>
  <c r="I23" i="2"/>
  <c r="I27" i="2"/>
  <c r="I29" i="2"/>
  <c r="J29" i="2" s="1"/>
  <c r="F20" i="2"/>
  <c r="G20" i="2"/>
  <c r="F22" i="2"/>
  <c r="G22" i="2"/>
  <c r="G28" i="2"/>
  <c r="F28" i="2"/>
  <c r="G29" i="2"/>
  <c r="F29" i="2"/>
  <c r="G32" i="2"/>
  <c r="F32" i="2"/>
  <c r="F33" i="2"/>
  <c r="G33" i="2"/>
  <c r="F36" i="2"/>
  <c r="G36" i="2"/>
  <c r="F37" i="2"/>
  <c r="G37" i="2"/>
  <c r="G39" i="2"/>
  <c r="F39" i="2"/>
  <c r="F41" i="2"/>
  <c r="G41" i="2"/>
  <c r="F42" i="2"/>
  <c r="G42" i="2"/>
  <c r="F43" i="2"/>
  <c r="G43" i="2"/>
  <c r="F44" i="2"/>
  <c r="G44" i="2"/>
  <c r="G45" i="2"/>
  <c r="F45" i="2"/>
  <c r="G46" i="2"/>
  <c r="F46" i="2"/>
  <c r="F47" i="2"/>
  <c r="G47" i="2"/>
  <c r="G48" i="2"/>
  <c r="F48" i="2"/>
  <c r="F49" i="2"/>
  <c r="G49" i="2"/>
  <c r="G50" i="2"/>
  <c r="F50" i="2"/>
  <c r="G51" i="2"/>
  <c r="F51" i="2"/>
  <c r="F52" i="2"/>
  <c r="G52" i="2"/>
  <c r="F53" i="2"/>
  <c r="G53" i="2"/>
  <c r="F54" i="2"/>
  <c r="G54" i="2"/>
  <c r="F55" i="2"/>
  <c r="G55" i="2"/>
  <c r="G56" i="2"/>
  <c r="F56" i="2"/>
  <c r="F57" i="2"/>
  <c r="G57" i="2"/>
  <c r="G58" i="2"/>
  <c r="F58" i="2"/>
  <c r="F59" i="2"/>
  <c r="G59" i="2"/>
  <c r="G60" i="2"/>
  <c r="F60" i="2"/>
  <c r="F61" i="2"/>
  <c r="G61" i="2"/>
  <c r="G62" i="2"/>
  <c r="F62" i="2"/>
  <c r="F63" i="2"/>
  <c r="G63" i="2"/>
  <c r="G64" i="2"/>
  <c r="F64" i="2"/>
  <c r="F65" i="2"/>
  <c r="G65" i="2"/>
  <c r="F66" i="2"/>
  <c r="G66" i="2"/>
  <c r="G67" i="2"/>
  <c r="F67" i="2"/>
  <c r="F68" i="2"/>
  <c r="G68" i="2"/>
  <c r="G69" i="2"/>
  <c r="F69" i="2"/>
  <c r="G70" i="2"/>
  <c r="F70" i="2"/>
  <c r="G71" i="2"/>
  <c r="F71" i="2"/>
  <c r="G72" i="2"/>
  <c r="F72" i="2"/>
  <c r="G73" i="2"/>
  <c r="F73" i="2"/>
  <c r="G74" i="2"/>
  <c r="G75" i="2"/>
  <c r="F75" i="2"/>
  <c r="J2" i="2" l="1"/>
  <c r="G2" i="2"/>
  <c r="F2" i="2"/>
  <c r="J3" i="2"/>
  <c r="G3" i="2"/>
  <c r="F3" i="2"/>
  <c r="J7" i="2"/>
  <c r="F7" i="2"/>
  <c r="G7" i="2"/>
  <c r="J8" i="2"/>
  <c r="G8" i="2"/>
  <c r="F8" i="2"/>
  <c r="J9" i="2"/>
  <c r="F9" i="2"/>
  <c r="G9" i="2"/>
  <c r="J10" i="2"/>
  <c r="G10" i="2"/>
  <c r="F10" i="2"/>
  <c r="J12" i="2"/>
  <c r="G12" i="2"/>
  <c r="F12" i="2"/>
  <c r="J13" i="2"/>
  <c r="G13" i="2"/>
  <c r="F13" i="2"/>
  <c r="J17" i="2"/>
  <c r="F17" i="2"/>
  <c r="G17" i="2"/>
  <c r="J74" i="2"/>
  <c r="F74" i="2"/>
  <c r="J4" i="2"/>
  <c r="G4" i="2"/>
  <c r="F4" i="2"/>
  <c r="J11" i="2"/>
  <c r="F11" i="2"/>
  <c r="G11" i="2"/>
  <c r="J14" i="2"/>
  <c r="G14" i="2"/>
  <c r="F14" i="2"/>
  <c r="J21" i="2"/>
  <c r="G21" i="2"/>
  <c r="F21" i="2"/>
  <c r="J6" i="2"/>
  <c r="G6" i="2"/>
  <c r="F6" i="2"/>
  <c r="J16" i="2"/>
  <c r="G16" i="2"/>
  <c r="F16" i="2"/>
  <c r="J19" i="2"/>
  <c r="G19" i="2"/>
  <c r="F19" i="2"/>
  <c r="J24" i="2"/>
  <c r="F24" i="2"/>
  <c r="G24" i="2"/>
  <c r="J26" i="2"/>
  <c r="F26" i="2"/>
  <c r="G26" i="2"/>
  <c r="J31" i="2"/>
  <c r="G31" i="2"/>
  <c r="F31" i="2"/>
  <c r="J34" i="2"/>
  <c r="G34" i="2"/>
  <c r="F34" i="2"/>
  <c r="J38" i="2"/>
  <c r="F38" i="2"/>
  <c r="G38" i="2"/>
  <c r="J25" i="2"/>
  <c r="F25" i="2"/>
  <c r="G25" i="2"/>
  <c r="J30" i="2"/>
  <c r="G30" i="2"/>
  <c r="F30" i="2"/>
  <c r="J35" i="2"/>
  <c r="F35" i="2"/>
  <c r="G35" i="2"/>
  <c r="J40" i="2"/>
  <c r="G40" i="2"/>
  <c r="F40" i="2"/>
  <c r="J5" i="2"/>
  <c r="G5" i="2"/>
  <c r="F5" i="2"/>
  <c r="J15" i="2"/>
  <c r="F15" i="2"/>
  <c r="G15" i="2"/>
  <c r="J18" i="2"/>
  <c r="G18" i="2"/>
  <c r="F18" i="2"/>
  <c r="J23" i="2"/>
  <c r="G23" i="2"/>
  <c r="F23" i="2"/>
  <c r="J27" i="2"/>
  <c r="F27" i="2"/>
  <c r="G27" i="2"/>
  <c r="J76" i="2"/>
  <c r="F76" i="2"/>
  <c r="G76" i="2"/>
  <c r="J77" i="2"/>
  <c r="F77" i="2"/>
  <c r="G77" i="2"/>
  <c r="J78" i="2"/>
  <c r="F78" i="2"/>
  <c r="G7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CC3211-C753-4AD7-A4C2-4B7C404CE0C6}" keepAlive="1" name="Query - impact-of-handwashing-death-to-birth-rates" description="Connection to the 'impact-of-handwashing-death-to-birth-rates' query in the workbook." type="5" refreshedVersion="8" background="1" saveData="1">
    <dbPr connection="Provider=Microsoft.Mashup.OleDb.1;Data Source=$Workbook$;Location=impact-of-handwashing-death-to-birth-rates;Extended Properties=&quot;&quot;" command="SELECT * FROM [impact-of-handwashing-death-to-birth-rates]"/>
  </connection>
  <connection id="2" xr16:uid="{8252DB97-DBE8-42C8-BDED-F641D024DA19}"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<sst xmlns="http://schemas.openxmlformats.org/spreadsheetml/2006/main" count="329" uniqueCount="124">
  <si>
    <t>Appendix D. The Impact of Handwashing Calculations</t>
  </si>
  <si>
    <t>Stage</t>
  </si>
  <si>
    <t>MonthYear</t>
  </si>
  <si>
    <t>Rate</t>
  </si>
  <si>
    <t>Mean</t>
  </si>
  <si>
    <t>UPL</t>
  </si>
  <si>
    <t>LPL</t>
  </si>
  <si>
    <t>mR</t>
  </si>
  <si>
    <t>Ave. mR</t>
  </si>
  <si>
    <t>URL</t>
  </si>
  <si>
    <t>Before handwashing</t>
  </si>
  <si>
    <t>Jan-41</t>
  </si>
  <si>
    <t>Feb-41</t>
  </si>
  <si>
    <t>Mar-41</t>
  </si>
  <si>
    <t>Apr-41</t>
  </si>
  <si>
    <t>May-41</t>
  </si>
  <si>
    <t>Jun-41</t>
  </si>
  <si>
    <t>Jul-41</t>
  </si>
  <si>
    <t>Aug-41</t>
  </si>
  <si>
    <t>Sep-41</t>
  </si>
  <si>
    <t>Oct-41</t>
  </si>
  <si>
    <t>Nov-41</t>
  </si>
  <si>
    <t>Dec-41</t>
  </si>
  <si>
    <t>Jan-42</t>
  </si>
  <si>
    <t>Feb-42</t>
  </si>
  <si>
    <t>Mar-42</t>
  </si>
  <si>
    <t>Apr-42</t>
  </si>
  <si>
    <t>May-42</t>
  </si>
  <si>
    <t>Jun-42</t>
  </si>
  <si>
    <t>Jul-42</t>
  </si>
  <si>
    <t>Aug-42</t>
  </si>
  <si>
    <t>Sep-42</t>
  </si>
  <si>
    <t>Oct-42</t>
  </si>
  <si>
    <t>Nov-42</t>
  </si>
  <si>
    <t>Dec-42</t>
  </si>
  <si>
    <t>Jan-43</t>
  </si>
  <si>
    <t>Feb-43</t>
  </si>
  <si>
    <t>Mar-43</t>
  </si>
  <si>
    <t>Apr-43</t>
  </si>
  <si>
    <t>May-43</t>
  </si>
  <si>
    <t>Jun-43</t>
  </si>
  <si>
    <t>Jul-43</t>
  </si>
  <si>
    <t>Aug-43</t>
  </si>
  <si>
    <t>Sep-43</t>
  </si>
  <si>
    <t>Oct-43</t>
  </si>
  <si>
    <t>Nov-43</t>
  </si>
  <si>
    <t>Dec-43</t>
  </si>
  <si>
    <t>Jan-44</t>
  </si>
  <si>
    <t>Feb-44</t>
  </si>
  <si>
    <t>Mar-44</t>
  </si>
  <si>
    <t>Apr-44</t>
  </si>
  <si>
    <t>May-44</t>
  </si>
  <si>
    <t>Jun-44</t>
  </si>
  <si>
    <t>Jul-44</t>
  </si>
  <si>
    <t>Aug-44</t>
  </si>
  <si>
    <t>Sep-44</t>
  </si>
  <si>
    <t>Oct-44</t>
  </si>
  <si>
    <t>Nov-44</t>
  </si>
  <si>
    <t>Dec-44</t>
  </si>
  <si>
    <t>Jan-45</t>
  </si>
  <si>
    <t>Feb-45</t>
  </si>
  <si>
    <t>Mar-45</t>
  </si>
  <si>
    <t>Apr-45</t>
  </si>
  <si>
    <t>May-45</t>
  </si>
  <si>
    <t>Jun-45</t>
  </si>
  <si>
    <t>Jul-45</t>
  </si>
  <si>
    <t>Aug-45</t>
  </si>
  <si>
    <t>Sep-45</t>
  </si>
  <si>
    <t>Oct-45</t>
  </si>
  <si>
    <t>Nov-45</t>
  </si>
  <si>
    <t>Dec-45</t>
  </si>
  <si>
    <t>Jan-46</t>
  </si>
  <si>
    <t>Feb-46</t>
  </si>
  <si>
    <t>Mar-46</t>
  </si>
  <si>
    <t>Apr-46</t>
  </si>
  <si>
    <t>May-46</t>
  </si>
  <si>
    <t>Jun-46</t>
  </si>
  <si>
    <t>Jul-46</t>
  </si>
  <si>
    <t>Aug-46</t>
  </si>
  <si>
    <t>Sep-46</t>
  </si>
  <si>
    <t>Oct-46</t>
  </si>
  <si>
    <t>Nov-46</t>
  </si>
  <si>
    <t>Dec-46</t>
  </si>
  <si>
    <t>Jan-47</t>
  </si>
  <si>
    <t>Feb-47</t>
  </si>
  <si>
    <t>Mar-47</t>
  </si>
  <si>
    <t>Apr-47</t>
  </si>
  <si>
    <t>May-47</t>
  </si>
  <si>
    <t>After handwashing</t>
  </si>
  <si>
    <t>Jun-47</t>
  </si>
  <si>
    <t>Jul-47</t>
  </si>
  <si>
    <t>Aug-47</t>
  </si>
  <si>
    <t>Sep-47</t>
  </si>
  <si>
    <t>Oct-47</t>
  </si>
  <si>
    <t>Nov-47</t>
  </si>
  <si>
    <t>Dec-47</t>
  </si>
  <si>
    <t>Jan-48</t>
  </si>
  <si>
    <t>Feb-48</t>
  </si>
  <si>
    <t>Mar-48</t>
  </si>
  <si>
    <t>Apr-48</t>
  </si>
  <si>
    <t>May-48</t>
  </si>
  <si>
    <t>Jun-48</t>
  </si>
  <si>
    <t>Jul-48</t>
  </si>
  <si>
    <t>Aug-48</t>
  </si>
  <si>
    <t>Sep-48</t>
  </si>
  <si>
    <t>Oct-48</t>
  </si>
  <si>
    <t>Nov-48</t>
  </si>
  <si>
    <t>Dec-48</t>
  </si>
  <si>
    <t>Jan-49</t>
  </si>
  <si>
    <t>Feb-49</t>
  </si>
  <si>
    <t>Mar-49</t>
  </si>
  <si>
    <t>Raw GitHub Data URLs:</t>
  </si>
  <si>
    <r>
      <t>This file serves as a resource for building the figures in Appendix D of in The Virus of Variation using Mircosoft Excel or Google Sheets.
The figures included here are:
Figure D.1. XmR chart of death-to-birth rates, Jan 1841 to May 1847
Figure D.2. XmR chart of death-to-birth rates, Jun 1847 to Mar 1849
Each figure has its own tab. The data used in the figures can be found in the Data tab.
For additional details, see Appendix D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in Appendix D,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</si>
  <si>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https://raw.githubusercontent.com/jimlehner/virus-of-variation-book/refs/heads/main/data/impact-of-handwashing-death-to-birth-rates.csv</t>
  </si>
  <si>
    <t>Fig D.1, D.2</t>
  </si>
  <si>
    <t>Hospital</t>
  </si>
  <si>
    <t>Vienna General Hospital</t>
  </si>
  <si>
    <t>Link to book:</t>
  </si>
  <si>
    <t>https://www.brokenquality.com/book</t>
  </si>
  <si>
    <t>Link to GitHub:</t>
  </si>
  <si>
    <t>https://github.com/jimlehner/virus-of-variation-book</t>
  </si>
  <si>
    <t>Contact:</t>
  </si>
  <si>
    <t>James.Lehner@gmail.com</t>
  </si>
  <si>
    <t>QualityIsBroken@gmail.com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</si>
</sst>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right/>
      <top style="thin">
        <color theme="0" tint="-0.14999847407452621"/>
      </top>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5" fillId="0" borderId="0" applyNumberFormat="0" applyFill="0" applyBorder="0" applyAlignment="0" applyProtection="0"/>
    <xf numFmtId="0" fontId="6" fillId="0" borderId="0"/>
  </cellStyleXfs>
  <cellXfs count="38">
    <xf numFmtId="0" fontId="0" fillId="0" borderId="0" xfId="0"/>
    <xf numFmtId="0" fontId="1" fillId="0" borderId="0" xfId="0" applyFont="1"/>
    <xf numFmtId="1" fontId="1" fillId="0" borderId="0" xfId="0" applyNumberFormat="1" applyFont="1" applyAlignment="1">
      <alignment horizontal="right"/>
    </xf>
    <xf numFmtId="0" fontId="4" fillId="0" borderId="0" xfId="0" applyFont="1"/>
    <xf numFmtId="0" fontId="7" fillId="0" borderId="6" xfId="0" applyFont="1" applyBorder="1"/>
    <xf numFmtId="0" fontId="7" fillId="0" borderId="0" xfId="0" applyFont="1"/>
    <xf numFmtId="0" fontId="1" fillId="0" borderId="0" xfId="0" applyFont="1" applyAlignment="1">
      <alignment horizontal="left"/>
    </xf>
    <xf numFmtId="0" fontId="0" fillId="0" borderId="0" xfId="0" applyAlignment="1">
      <alignment horizontal="left"/>
    </xf>
    <xf numFmtId="0" fontId="6" fillId="0" borderId="0" xfId="0" applyFont="1" applyAlignment="1">
      <alignment horizontal="left"/>
    </xf>
    <xf numFmtId="0" fontId="2" fillId="0" borderId="9" xfId="0" applyFont="1" applyBorder="1" applyAlignment="1">
      <alignment horizontal="center"/>
    </xf>
    <xf numFmtId="0" fontId="3" fillId="0" borderId="10" xfId="0" applyFont="1" applyBorder="1"/>
    <xf numFmtId="0" fontId="3" fillId="0" borderId="11" xfId="0" applyFont="1" applyBorder="1"/>
    <xf numFmtId="0" fontId="8" fillId="0" borderId="2" xfId="0" applyFont="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7" fillId="0" borderId="2" xfId="0" applyFont="1" applyBorder="1" applyAlignment="1">
      <alignment horizontal="center"/>
    </xf>
    <xf numFmtId="0" fontId="7" fillId="0" borderId="1" xfId="0" applyFont="1" applyBorder="1" applyAlignment="1">
      <alignment horizontal="center"/>
    </xf>
    <xf numFmtId="0" fontId="7" fillId="0" borderId="3" xfId="0" applyFont="1" applyBorder="1" applyAlignment="1">
      <alignment horizontal="center"/>
    </xf>
    <xf numFmtId="0" fontId="6" fillId="0" borderId="7" xfId="0" applyFont="1" applyBorder="1" applyAlignment="1">
      <alignment horizontal="left"/>
    </xf>
    <xf numFmtId="0" fontId="6" fillId="0" borderId="8" xfId="0" applyFont="1" applyBorder="1" applyAlignment="1">
      <alignment horizontal="left"/>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7" fillId="0" borderId="2" xfId="0" applyFont="1" applyBorder="1" applyAlignment="1">
      <alignment horizontal="center" wrapText="1"/>
    </xf>
    <xf numFmtId="0" fontId="7" fillId="0" borderId="1" xfId="0" applyFont="1" applyBorder="1" applyAlignment="1">
      <alignment horizontal="center" wrapText="1"/>
    </xf>
    <xf numFmtId="0" fontId="7" fillId="0" borderId="3" xfId="0" applyFont="1" applyBorder="1" applyAlignment="1">
      <alignment horizontal="center" wrapText="1"/>
    </xf>
    <xf numFmtId="0" fontId="5" fillId="0" borderId="4" xfId="1" applyBorder="1" applyAlignment="1">
      <alignment horizontal="center"/>
    </xf>
    <xf numFmtId="0" fontId="5" fillId="0" borderId="0" xfId="1" applyBorder="1" applyAlignment="1">
      <alignment horizontal="center"/>
    </xf>
    <xf numFmtId="0" fontId="5" fillId="0" borderId="5" xfId="1" applyBorder="1" applyAlignment="1">
      <alignment horizontal="center"/>
    </xf>
    <xf numFmtId="0" fontId="5" fillId="0" borderId="6" xfId="1" applyBorder="1" applyAlignment="1">
      <alignment horizontal="center"/>
    </xf>
    <xf numFmtId="0" fontId="5" fillId="0" borderId="7" xfId="1" applyBorder="1" applyAlignment="1">
      <alignment horizontal="center"/>
    </xf>
    <xf numFmtId="0" fontId="5" fillId="0" borderId="8" xfId="1" applyBorder="1" applyAlignment="1">
      <alignment horizontal="center"/>
    </xf>
  </cellXfs>
  <cellStyles count="3">
    <cellStyle name="Hyperlink" xfId="1" builtinId="8"/>
    <cellStyle name="Normal" xfId="0" builtinId="0"/>
    <cellStyle name="Normal 2" xfId="2" xr:uid="{A65396A9-CBA2-4E90-A9C8-6059752F4649}"/>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70E3E6C3-1F8B-4593-BCF6-D1106CEFEDC4}">
      <tableStyleElement type="wholeTable"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D.1. Before handwashing'!$D$1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D.1. Before handwashing'!$C$2:$C$78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D.1. Before handwashing'!$D$2:$D$78</c:f>
              <c:numCache>
                <c:formatCode>General</c:formatCode>
                <c:ptCount val="77"/>
                <c:pt idx="0">
                  <c:v>14.6</c:v>
                </c:pt>
                <c:pt idx="1">
                  <c:v>7.5</c:v>
                </c:pt>
                <c:pt idx="2">
                  <c:v>4.3</c:v>
                </c:pt>
                <c:pt idx="3">
                  <c:v>1.6</c:v>
                </c:pt>
                <c:pt idx="4">
                  <c:v>0.8</c:v>
                </c:pt>
                <c:pt idx="5">
                  <c:v>5</c:v>
                </c:pt>
                <c:pt idx="6">
                  <c:v>8.4</c:v>
                </c:pt>
                <c:pt idx="7">
                  <c:v>1.4</c:v>
                </c:pt>
                <c:pt idx="8">
                  <c:v>1.9</c:v>
                </c:pt>
                <c:pt idx="9">
                  <c:v>11</c:v>
                </c:pt>
                <c:pt idx="10">
                  <c:v>22.6</c:v>
                </c:pt>
                <c:pt idx="12">
                  <c:v>20.8</c:v>
                </c:pt>
                <c:pt idx="13">
                  <c:v>12.2</c:v>
                </c:pt>
                <c:pt idx="14">
                  <c:v>10.199999999999999</c:v>
                </c:pt>
                <c:pt idx="15">
                  <c:v>10.7</c:v>
                </c:pt>
                <c:pt idx="16">
                  <c:v>3.2</c:v>
                </c:pt>
                <c:pt idx="17">
                  <c:v>6.6</c:v>
                </c:pt>
                <c:pt idx="18">
                  <c:v>20.8</c:v>
                </c:pt>
                <c:pt idx="19">
                  <c:v>25.5</c:v>
                </c:pt>
                <c:pt idx="20">
                  <c:v>18.399999999999999</c:v>
                </c:pt>
                <c:pt idx="21">
                  <c:v>29.3</c:v>
                </c:pt>
                <c:pt idx="22">
                  <c:v>23</c:v>
                </c:pt>
                <c:pt idx="23">
                  <c:v>31.4</c:v>
                </c:pt>
                <c:pt idx="24">
                  <c:v>19.100000000000001</c:v>
                </c:pt>
                <c:pt idx="25">
                  <c:v>16</c:v>
                </c:pt>
                <c:pt idx="26">
                  <c:v>12.4</c:v>
                </c:pt>
                <c:pt idx="27">
                  <c:v>11.9</c:v>
                </c:pt>
                <c:pt idx="28">
                  <c:v>6.1</c:v>
                </c:pt>
                <c:pt idx="29">
                  <c:v>4.0999999999999996</c:v>
                </c:pt>
                <c:pt idx="30">
                  <c:v>0.5</c:v>
                </c:pt>
                <c:pt idx="31">
                  <c:v>1.6</c:v>
                </c:pt>
                <c:pt idx="32">
                  <c:v>2.2999999999999998</c:v>
                </c:pt>
                <c:pt idx="33">
                  <c:v>17.600000000000001</c:v>
                </c:pt>
                <c:pt idx="34">
                  <c:v>7.1</c:v>
                </c:pt>
                <c:pt idx="35">
                  <c:v>8.1</c:v>
                </c:pt>
                <c:pt idx="36">
                  <c:v>15.2</c:v>
                </c:pt>
                <c:pt idx="37">
                  <c:v>11.3</c:v>
                </c:pt>
                <c:pt idx="38">
                  <c:v>17</c:v>
                </c:pt>
                <c:pt idx="39">
                  <c:v>17.3</c:v>
                </c:pt>
                <c:pt idx="40">
                  <c:v>5.8</c:v>
                </c:pt>
                <c:pt idx="41">
                  <c:v>2.7</c:v>
                </c:pt>
                <c:pt idx="42">
                  <c:v>4.4000000000000004</c:v>
                </c:pt>
                <c:pt idx="43">
                  <c:v>6.3</c:v>
                </c:pt>
                <c:pt idx="44">
                  <c:v>1.2</c:v>
                </c:pt>
                <c:pt idx="45">
                  <c:v>3.2</c:v>
                </c:pt>
                <c:pt idx="46">
                  <c:v>11</c:v>
                </c:pt>
                <c:pt idx="47">
                  <c:v>10.5</c:v>
                </c:pt>
                <c:pt idx="48">
                  <c:v>7.6</c:v>
                </c:pt>
                <c:pt idx="49">
                  <c:v>4.7</c:v>
                </c:pt>
                <c:pt idx="50">
                  <c:v>4.5</c:v>
                </c:pt>
                <c:pt idx="51">
                  <c:v>4.2</c:v>
                </c:pt>
                <c:pt idx="52">
                  <c:v>4.4000000000000004</c:v>
                </c:pt>
                <c:pt idx="53">
                  <c:v>7.1</c:v>
                </c:pt>
                <c:pt idx="54">
                  <c:v>6.1</c:v>
                </c:pt>
                <c:pt idx="55">
                  <c:v>3.6</c:v>
                </c:pt>
                <c:pt idx="56">
                  <c:v>10.5</c:v>
                </c:pt>
                <c:pt idx="57">
                  <c:v>14.8</c:v>
                </c:pt>
                <c:pt idx="58">
                  <c:v>10.9</c:v>
                </c:pt>
                <c:pt idx="59">
                  <c:v>10.5</c:v>
                </c:pt>
                <c:pt idx="60">
                  <c:v>13.4</c:v>
                </c:pt>
                <c:pt idx="61">
                  <c:v>18.100000000000001</c:v>
                </c:pt>
                <c:pt idx="62">
                  <c:v>15.4</c:v>
                </c:pt>
                <c:pt idx="63">
                  <c:v>19</c:v>
                </c:pt>
                <c:pt idx="64">
                  <c:v>13.4</c:v>
                </c:pt>
                <c:pt idx="65">
                  <c:v>10.199999999999999</c:v>
                </c:pt>
                <c:pt idx="66">
                  <c:v>13.1</c:v>
                </c:pt>
                <c:pt idx="67">
                  <c:v>18.100000000000001</c:v>
                </c:pt>
                <c:pt idx="68">
                  <c:v>14.4</c:v>
                </c:pt>
                <c:pt idx="69">
                  <c:v>15</c:v>
                </c:pt>
                <c:pt idx="70">
                  <c:v>10.8</c:v>
                </c:pt>
                <c:pt idx="71">
                  <c:v>5.4</c:v>
                </c:pt>
                <c:pt idx="72">
                  <c:v>3.2</c:v>
                </c:pt>
                <c:pt idx="73">
                  <c:v>1.9</c:v>
                </c:pt>
                <c:pt idx="74">
                  <c:v>3.6</c:v>
                </c:pt>
                <c:pt idx="75">
                  <c:v>18.3</c:v>
                </c:pt>
                <c:pt idx="76">
                  <c:v>12.2</c:v>
                </c:pt>
              </c:numCache>
            </c:numRef>
          </c:val>
          <c:smooth val="0"/>
          <c:extLst>
            <c:ext xmlns:c16="http://schemas.microsoft.com/office/drawing/2014/chart" uri="{C3380CC4-5D6E-409C-BE32-E72D297353CC}">
              <c16:uniqueId val="{00000000-329B-41D6-8340-43856FD2F6C5}"/>
            </c:ext>
          </c:extLst>
        </c:ser>
        <c:ser>
          <c:idx val="1"/>
          <c:order val="1"/>
          <c:tx>
            <c:strRef>
              <c:f>'Fig. D.1. Before handwashing'!$E$1</c:f>
              <c:strCache>
                <c:ptCount val="1"/>
                <c:pt idx="0">
                  <c:v>Mean</c:v>
                </c:pt>
              </c:strCache>
            </c:strRef>
          </c:tx>
          <c:spPr>
            <a:ln w="28575" cap="rnd">
              <a:solidFill>
                <a:schemeClr val="tx1"/>
              </a:solidFill>
              <a:round/>
            </a:ln>
            <a:effectLst/>
          </c:spPr>
          <c:marker>
            <c:symbol val="none"/>
          </c:marker>
          <c:cat>
            <c:strRef>
              <c:f>'Fig. D.1. Before handwashing'!$C$2:$C$78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D.1. Before handwashing'!$E$2:$E$78</c:f>
              <c:numCache>
                <c:formatCode>General</c:formatCode>
                <c:ptCount val="77"/>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10.5</c:v>
                </c:pt>
                <c:pt idx="31">
                  <c:v>10.5</c:v>
                </c:pt>
                <c:pt idx="32">
                  <c:v>10.5</c:v>
                </c:pt>
                <c:pt idx="33">
                  <c:v>10.5</c:v>
                </c:pt>
                <c:pt idx="34">
                  <c:v>10.5</c:v>
                </c:pt>
                <c:pt idx="35">
                  <c:v>10.5</c:v>
                </c:pt>
                <c:pt idx="36">
                  <c:v>10.5</c:v>
                </c:pt>
                <c:pt idx="37">
                  <c:v>10.5</c:v>
                </c:pt>
                <c:pt idx="38">
                  <c:v>10.5</c:v>
                </c:pt>
                <c:pt idx="39">
                  <c:v>10.5</c:v>
                </c:pt>
                <c:pt idx="40">
                  <c:v>10.5</c:v>
                </c:pt>
                <c:pt idx="41">
                  <c:v>10.5</c:v>
                </c:pt>
                <c:pt idx="42">
                  <c:v>10.5</c:v>
                </c:pt>
                <c:pt idx="43">
                  <c:v>10.5</c:v>
                </c:pt>
                <c:pt idx="44">
                  <c:v>10.5</c:v>
                </c:pt>
                <c:pt idx="45">
                  <c:v>10.5</c:v>
                </c:pt>
                <c:pt idx="46">
                  <c:v>10.5</c:v>
                </c:pt>
                <c:pt idx="47">
                  <c:v>10.5</c:v>
                </c:pt>
                <c:pt idx="48">
                  <c:v>10.5</c:v>
                </c:pt>
                <c:pt idx="49">
                  <c:v>10.5</c:v>
                </c:pt>
                <c:pt idx="50">
                  <c:v>10.5</c:v>
                </c:pt>
                <c:pt idx="51">
                  <c:v>10.5</c:v>
                </c:pt>
                <c:pt idx="52">
                  <c:v>10.5</c:v>
                </c:pt>
                <c:pt idx="53">
                  <c:v>10.5</c:v>
                </c:pt>
                <c:pt idx="54">
                  <c:v>10.5</c:v>
                </c:pt>
                <c:pt idx="55">
                  <c:v>10.5</c:v>
                </c:pt>
                <c:pt idx="56">
                  <c:v>10.5</c:v>
                </c:pt>
                <c:pt idx="57">
                  <c:v>10.5</c:v>
                </c:pt>
                <c:pt idx="58">
                  <c:v>10.5</c:v>
                </c:pt>
                <c:pt idx="59">
                  <c:v>10.5</c:v>
                </c:pt>
                <c:pt idx="60">
                  <c:v>10.5</c:v>
                </c:pt>
                <c:pt idx="61">
                  <c:v>10.5</c:v>
                </c:pt>
                <c:pt idx="62">
                  <c:v>10.5</c:v>
                </c:pt>
                <c:pt idx="63">
                  <c:v>10.5</c:v>
                </c:pt>
                <c:pt idx="64">
                  <c:v>10.5</c:v>
                </c:pt>
                <c:pt idx="65">
                  <c:v>10.5</c:v>
                </c:pt>
                <c:pt idx="66">
                  <c:v>10.5</c:v>
                </c:pt>
                <c:pt idx="67">
                  <c:v>10.5</c:v>
                </c:pt>
                <c:pt idx="68">
                  <c:v>10.5</c:v>
                </c:pt>
                <c:pt idx="69">
                  <c:v>10.5</c:v>
                </c:pt>
                <c:pt idx="70">
                  <c:v>10.5</c:v>
                </c:pt>
                <c:pt idx="71">
                  <c:v>10.5</c:v>
                </c:pt>
                <c:pt idx="72">
                  <c:v>10.5</c:v>
                </c:pt>
                <c:pt idx="73">
                  <c:v>10.5</c:v>
                </c:pt>
                <c:pt idx="74">
                  <c:v>10.5</c:v>
                </c:pt>
                <c:pt idx="75">
                  <c:v>10.5</c:v>
                </c:pt>
                <c:pt idx="76">
                  <c:v>10.5</c:v>
                </c:pt>
              </c:numCache>
            </c:numRef>
          </c:val>
          <c:smooth val="0"/>
          <c:extLst>
            <c:ext xmlns:c16="http://schemas.microsoft.com/office/drawing/2014/chart" uri="{C3380CC4-5D6E-409C-BE32-E72D297353CC}">
              <c16:uniqueId val="{00000001-329B-41D6-8340-43856FD2F6C5}"/>
            </c:ext>
          </c:extLst>
        </c:ser>
        <c:ser>
          <c:idx val="2"/>
          <c:order val="2"/>
          <c:tx>
            <c:strRef>
              <c:f>'Fig. D.1. Before handwashing'!$F$1</c:f>
              <c:strCache>
                <c:ptCount val="1"/>
                <c:pt idx="0">
                  <c:v>UPL</c:v>
                </c:pt>
              </c:strCache>
            </c:strRef>
          </c:tx>
          <c:spPr>
            <a:ln w="28575" cap="rnd">
              <a:solidFill>
                <a:srgbClr val="D72323"/>
              </a:solidFill>
              <a:prstDash val="dash"/>
              <a:round/>
            </a:ln>
            <a:effectLst/>
          </c:spPr>
          <c:marker>
            <c:symbol val="none"/>
          </c:marker>
          <c:cat>
            <c:strRef>
              <c:f>'Fig. D.1. Before handwashing'!$C$2:$C$78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D.1. Before handwashing'!$F$2:$F$78</c:f>
              <c:numCache>
                <c:formatCode>General</c:formatCode>
                <c:ptCount val="77"/>
                <c:pt idx="0">
                  <c:v>22.44</c:v>
                </c:pt>
                <c:pt idx="1">
                  <c:v>22.44</c:v>
                </c:pt>
                <c:pt idx="2">
                  <c:v>22.44</c:v>
                </c:pt>
                <c:pt idx="3">
                  <c:v>22.44</c:v>
                </c:pt>
                <c:pt idx="4">
                  <c:v>22.44</c:v>
                </c:pt>
                <c:pt idx="5">
                  <c:v>22.44</c:v>
                </c:pt>
                <c:pt idx="6">
                  <c:v>22.44</c:v>
                </c:pt>
                <c:pt idx="7">
                  <c:v>22.44</c:v>
                </c:pt>
                <c:pt idx="8">
                  <c:v>22.44</c:v>
                </c:pt>
                <c:pt idx="9">
                  <c:v>22.44</c:v>
                </c:pt>
                <c:pt idx="10">
                  <c:v>22.44</c:v>
                </c:pt>
                <c:pt idx="11">
                  <c:v>22.44</c:v>
                </c:pt>
                <c:pt idx="12">
                  <c:v>22.44</c:v>
                </c:pt>
                <c:pt idx="13">
                  <c:v>22.44</c:v>
                </c:pt>
                <c:pt idx="14">
                  <c:v>22.44</c:v>
                </c:pt>
                <c:pt idx="15">
                  <c:v>22.44</c:v>
                </c:pt>
                <c:pt idx="16">
                  <c:v>22.44</c:v>
                </c:pt>
                <c:pt idx="17">
                  <c:v>22.44</c:v>
                </c:pt>
                <c:pt idx="18">
                  <c:v>22.44</c:v>
                </c:pt>
                <c:pt idx="19">
                  <c:v>22.44</c:v>
                </c:pt>
                <c:pt idx="20">
                  <c:v>22.44</c:v>
                </c:pt>
                <c:pt idx="21">
                  <c:v>22.44</c:v>
                </c:pt>
                <c:pt idx="22">
                  <c:v>22.44</c:v>
                </c:pt>
                <c:pt idx="23">
                  <c:v>22.44</c:v>
                </c:pt>
                <c:pt idx="24">
                  <c:v>22.44</c:v>
                </c:pt>
                <c:pt idx="25">
                  <c:v>22.44</c:v>
                </c:pt>
                <c:pt idx="26">
                  <c:v>22.44</c:v>
                </c:pt>
                <c:pt idx="27">
                  <c:v>22.44</c:v>
                </c:pt>
                <c:pt idx="28">
                  <c:v>22.44</c:v>
                </c:pt>
                <c:pt idx="29">
                  <c:v>22.44</c:v>
                </c:pt>
                <c:pt idx="30">
                  <c:v>22.44</c:v>
                </c:pt>
                <c:pt idx="31">
                  <c:v>22.44</c:v>
                </c:pt>
                <c:pt idx="32">
                  <c:v>22.44</c:v>
                </c:pt>
                <c:pt idx="33">
                  <c:v>22.44</c:v>
                </c:pt>
                <c:pt idx="34">
                  <c:v>22.44</c:v>
                </c:pt>
                <c:pt idx="35">
                  <c:v>22.44</c:v>
                </c:pt>
                <c:pt idx="36">
                  <c:v>22.44</c:v>
                </c:pt>
                <c:pt idx="37">
                  <c:v>22.44</c:v>
                </c:pt>
                <c:pt idx="38">
                  <c:v>22.44</c:v>
                </c:pt>
                <c:pt idx="39">
                  <c:v>22.44</c:v>
                </c:pt>
                <c:pt idx="40">
                  <c:v>22.44</c:v>
                </c:pt>
                <c:pt idx="41">
                  <c:v>22.44</c:v>
                </c:pt>
                <c:pt idx="42">
                  <c:v>22.44</c:v>
                </c:pt>
                <c:pt idx="43">
                  <c:v>22.44</c:v>
                </c:pt>
                <c:pt idx="44">
                  <c:v>22.44</c:v>
                </c:pt>
                <c:pt idx="45">
                  <c:v>22.44</c:v>
                </c:pt>
                <c:pt idx="46">
                  <c:v>22.44</c:v>
                </c:pt>
                <c:pt idx="47">
                  <c:v>22.44</c:v>
                </c:pt>
                <c:pt idx="48">
                  <c:v>22.44</c:v>
                </c:pt>
                <c:pt idx="49">
                  <c:v>22.44</c:v>
                </c:pt>
                <c:pt idx="50">
                  <c:v>22.44</c:v>
                </c:pt>
                <c:pt idx="51">
                  <c:v>22.44</c:v>
                </c:pt>
                <c:pt idx="52">
                  <c:v>22.44</c:v>
                </c:pt>
                <c:pt idx="53">
                  <c:v>22.44</c:v>
                </c:pt>
                <c:pt idx="54">
                  <c:v>22.44</c:v>
                </c:pt>
                <c:pt idx="55">
                  <c:v>22.44</c:v>
                </c:pt>
                <c:pt idx="56">
                  <c:v>22.44</c:v>
                </c:pt>
                <c:pt idx="57">
                  <c:v>22.44</c:v>
                </c:pt>
                <c:pt idx="58">
                  <c:v>22.44</c:v>
                </c:pt>
                <c:pt idx="59">
                  <c:v>22.44</c:v>
                </c:pt>
                <c:pt idx="60">
                  <c:v>22.44</c:v>
                </c:pt>
                <c:pt idx="61">
                  <c:v>22.44</c:v>
                </c:pt>
                <c:pt idx="62">
                  <c:v>22.44</c:v>
                </c:pt>
                <c:pt idx="63">
                  <c:v>22.44</c:v>
                </c:pt>
                <c:pt idx="64">
                  <c:v>22.44</c:v>
                </c:pt>
                <c:pt idx="65">
                  <c:v>22.44</c:v>
                </c:pt>
                <c:pt idx="66">
                  <c:v>22.44</c:v>
                </c:pt>
                <c:pt idx="67">
                  <c:v>22.44</c:v>
                </c:pt>
                <c:pt idx="68">
                  <c:v>22.44</c:v>
                </c:pt>
                <c:pt idx="69">
                  <c:v>22.44</c:v>
                </c:pt>
                <c:pt idx="70">
                  <c:v>22.44</c:v>
                </c:pt>
                <c:pt idx="71">
                  <c:v>22.44</c:v>
                </c:pt>
                <c:pt idx="72">
                  <c:v>22.44</c:v>
                </c:pt>
                <c:pt idx="73">
                  <c:v>22.44</c:v>
                </c:pt>
                <c:pt idx="74">
                  <c:v>22.44</c:v>
                </c:pt>
                <c:pt idx="75">
                  <c:v>22.44</c:v>
                </c:pt>
                <c:pt idx="76">
                  <c:v>22.44</c:v>
                </c:pt>
              </c:numCache>
            </c:numRef>
          </c:val>
          <c:smooth val="0"/>
          <c:extLst>
            <c:ext xmlns:c16="http://schemas.microsoft.com/office/drawing/2014/chart" uri="{C3380CC4-5D6E-409C-BE32-E72D297353CC}">
              <c16:uniqueId val="{00000002-329B-41D6-8340-43856FD2F6C5}"/>
            </c:ext>
          </c:extLst>
        </c:ser>
        <c:ser>
          <c:idx val="3"/>
          <c:order val="3"/>
          <c:tx>
            <c:strRef>
              <c:f>'Fig. D.1. Before handwashing'!$G$1</c:f>
              <c:strCache>
                <c:ptCount val="1"/>
                <c:pt idx="0">
                  <c:v>LPL</c:v>
                </c:pt>
              </c:strCache>
            </c:strRef>
          </c:tx>
          <c:spPr>
            <a:ln w="28575" cap="rnd">
              <a:solidFill>
                <a:srgbClr val="D72323"/>
              </a:solidFill>
              <a:prstDash val="dash"/>
              <a:round/>
            </a:ln>
            <a:effectLst/>
          </c:spPr>
          <c:marker>
            <c:symbol val="none"/>
          </c:marker>
          <c:cat>
            <c:strRef>
              <c:f>'Fig. D.1. Before handwashing'!$C$2:$C$78</c:f>
              <c:strCache>
                <c:ptCount val="77"/>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strCache>
            </c:strRef>
          </c:cat>
          <c:val>
            <c:numRef>
              <c:f>'Fig. D.1. Before handwashing'!$G$2:$G$78</c:f>
              <c:numCache>
                <c:formatCode>General</c:formatCode>
                <c:ptCount val="7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D.1. Before handwashing'!$H$1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D.1. Before handwashing'!$H$2:$H$78</c:f>
              <c:numCache>
                <c:formatCode>General</c:formatCode>
                <c:ptCount val="77"/>
                <c:pt idx="1">
                  <c:v>7.1</c:v>
                </c:pt>
                <c:pt idx="2">
                  <c:v>3.2</c:v>
                </c:pt>
                <c:pt idx="3">
                  <c:v>2.6999999999999997</c:v>
                </c:pt>
                <c:pt idx="4">
                  <c:v>0.8</c:v>
                </c:pt>
                <c:pt idx="5">
                  <c:v>4.2</c:v>
                </c:pt>
                <c:pt idx="6">
                  <c:v>3.4000000000000004</c:v>
                </c:pt>
                <c:pt idx="7">
                  <c:v>7</c:v>
                </c:pt>
                <c:pt idx="8">
                  <c:v>0.5</c:v>
                </c:pt>
                <c:pt idx="9">
                  <c:v>9.1</c:v>
                </c:pt>
                <c:pt idx="10">
                  <c:v>11.600000000000001</c:v>
                </c:pt>
                <c:pt idx="13">
                  <c:v>8.6000000000000014</c:v>
                </c:pt>
                <c:pt idx="14">
                  <c:v>2</c:v>
                </c:pt>
                <c:pt idx="15">
                  <c:v>0.5</c:v>
                </c:pt>
                <c:pt idx="16">
                  <c:v>7.4999999999999991</c:v>
                </c:pt>
                <c:pt idx="17">
                  <c:v>3.3999999999999995</c:v>
                </c:pt>
                <c:pt idx="18">
                  <c:v>14.200000000000001</c:v>
                </c:pt>
                <c:pt idx="19">
                  <c:v>4.6999999999999993</c:v>
                </c:pt>
                <c:pt idx="20">
                  <c:v>7.1000000000000014</c:v>
                </c:pt>
                <c:pt idx="21">
                  <c:v>10.900000000000002</c:v>
                </c:pt>
                <c:pt idx="22">
                  <c:v>6.3000000000000007</c:v>
                </c:pt>
                <c:pt idx="23">
                  <c:v>8.3999999999999986</c:v>
                </c:pt>
                <c:pt idx="24">
                  <c:v>12.299999999999997</c:v>
                </c:pt>
                <c:pt idx="25">
                  <c:v>3.1000000000000014</c:v>
                </c:pt>
                <c:pt idx="26">
                  <c:v>3.5999999999999996</c:v>
                </c:pt>
                <c:pt idx="27">
                  <c:v>0.5</c:v>
                </c:pt>
                <c:pt idx="28">
                  <c:v>5.8000000000000007</c:v>
                </c:pt>
                <c:pt idx="29">
                  <c:v>2</c:v>
                </c:pt>
                <c:pt idx="30">
                  <c:v>3.5999999999999996</c:v>
                </c:pt>
                <c:pt idx="31">
                  <c:v>1.1000000000000001</c:v>
                </c:pt>
                <c:pt idx="32">
                  <c:v>0.69999999999999973</c:v>
                </c:pt>
                <c:pt idx="33">
                  <c:v>15.3</c:v>
                </c:pt>
                <c:pt idx="34">
                  <c:v>10.500000000000002</c:v>
                </c:pt>
                <c:pt idx="35">
                  <c:v>1</c:v>
                </c:pt>
                <c:pt idx="36">
                  <c:v>7.1</c:v>
                </c:pt>
                <c:pt idx="37">
                  <c:v>3.8999999999999986</c:v>
                </c:pt>
                <c:pt idx="38">
                  <c:v>5.6999999999999993</c:v>
                </c:pt>
                <c:pt idx="39">
                  <c:v>0.30000000000000071</c:v>
                </c:pt>
                <c:pt idx="40">
                  <c:v>11.5</c:v>
                </c:pt>
                <c:pt idx="41">
                  <c:v>3.0999999999999996</c:v>
                </c:pt>
                <c:pt idx="42">
                  <c:v>1.7000000000000002</c:v>
                </c:pt>
                <c:pt idx="43">
                  <c:v>1.8999999999999995</c:v>
                </c:pt>
                <c:pt idx="44">
                  <c:v>5.0999999999999996</c:v>
                </c:pt>
                <c:pt idx="45">
                  <c:v>2</c:v>
                </c:pt>
                <c:pt idx="46">
                  <c:v>7.8</c:v>
                </c:pt>
                <c:pt idx="47">
                  <c:v>0.5</c:v>
                </c:pt>
                <c:pt idx="48">
                  <c:v>2.9000000000000004</c:v>
                </c:pt>
                <c:pt idx="49">
                  <c:v>2.8999999999999995</c:v>
                </c:pt>
                <c:pt idx="50">
                  <c:v>0.20000000000000018</c:v>
                </c:pt>
                <c:pt idx="51">
                  <c:v>0.29999999999999982</c:v>
                </c:pt>
                <c:pt idx="52">
                  <c:v>0.20000000000000018</c:v>
                </c:pt>
                <c:pt idx="53">
                  <c:v>2.6999999999999993</c:v>
                </c:pt>
                <c:pt idx="54">
                  <c:v>1</c:v>
                </c:pt>
                <c:pt idx="55">
                  <c:v>2.4999999999999996</c:v>
                </c:pt>
                <c:pt idx="56">
                  <c:v>6.9</c:v>
                </c:pt>
                <c:pt idx="57">
                  <c:v>4.3000000000000007</c:v>
                </c:pt>
                <c:pt idx="58">
                  <c:v>3.9000000000000004</c:v>
                </c:pt>
                <c:pt idx="59">
                  <c:v>0.40000000000000036</c:v>
                </c:pt>
                <c:pt idx="60">
                  <c:v>2.9000000000000004</c:v>
                </c:pt>
                <c:pt idx="61">
                  <c:v>4.7000000000000011</c:v>
                </c:pt>
                <c:pt idx="62">
                  <c:v>2.7000000000000011</c:v>
                </c:pt>
                <c:pt idx="63">
                  <c:v>3.5999999999999996</c:v>
                </c:pt>
                <c:pt idx="64">
                  <c:v>5.6</c:v>
                </c:pt>
                <c:pt idx="65">
                  <c:v>3.2000000000000011</c:v>
                </c:pt>
                <c:pt idx="66">
                  <c:v>2.9000000000000004</c:v>
                </c:pt>
                <c:pt idx="67">
                  <c:v>5.0000000000000018</c:v>
                </c:pt>
                <c:pt idx="68">
                  <c:v>3.7000000000000011</c:v>
                </c:pt>
                <c:pt idx="69">
                  <c:v>0.59999999999999964</c:v>
                </c:pt>
                <c:pt idx="70">
                  <c:v>4.1999999999999993</c:v>
                </c:pt>
                <c:pt idx="71">
                  <c:v>5.4</c:v>
                </c:pt>
                <c:pt idx="72">
                  <c:v>2.2000000000000002</c:v>
                </c:pt>
                <c:pt idx="73">
                  <c:v>1.3000000000000003</c:v>
                </c:pt>
                <c:pt idx="74">
                  <c:v>1.7000000000000002</c:v>
                </c:pt>
                <c:pt idx="75">
                  <c:v>14.700000000000001</c:v>
                </c:pt>
                <c:pt idx="76">
                  <c:v>6.1000000000000014</c:v>
                </c:pt>
              </c:numCache>
            </c:numRef>
          </c:val>
          <c:smooth val="0"/>
          <c:extLst>
            <c:ext xmlns:c16="http://schemas.microsoft.com/office/drawing/2014/chart" uri="{C3380CC4-5D6E-409C-BE32-E72D297353CC}">
              <c16:uniqueId val="{00000000-5D18-47FA-93F7-2AB89D044415}"/>
            </c:ext>
          </c:extLst>
        </c:ser>
        <c:ser>
          <c:idx val="1"/>
          <c:order val="1"/>
          <c:tx>
            <c:strRef>
              <c:f>'Fig. D.1. Before handwashing'!$I$1</c:f>
              <c:strCache>
                <c:ptCount val="1"/>
                <c:pt idx="0">
                  <c:v>Ave. mR</c:v>
                </c:pt>
              </c:strCache>
            </c:strRef>
          </c:tx>
          <c:spPr>
            <a:ln w="28575" cap="rnd">
              <a:solidFill>
                <a:schemeClr val="tx1"/>
              </a:solidFill>
              <a:round/>
            </a:ln>
            <a:effectLst/>
          </c:spPr>
          <c:marker>
            <c:symbol val="none"/>
          </c:marker>
          <c:val>
            <c:numRef>
              <c:f>'Fig. D.1. Before handwashing'!$I$2:$I$78</c:f>
              <c:numCache>
                <c:formatCode>General</c:formatCode>
                <c:ptCount val="77"/>
                <c:pt idx="0">
                  <c:v>4.49</c:v>
                </c:pt>
                <c:pt idx="1">
                  <c:v>4.49</c:v>
                </c:pt>
                <c:pt idx="2">
                  <c:v>4.49</c:v>
                </c:pt>
                <c:pt idx="3">
                  <c:v>4.49</c:v>
                </c:pt>
                <c:pt idx="4">
                  <c:v>4.49</c:v>
                </c:pt>
                <c:pt idx="5">
                  <c:v>4.49</c:v>
                </c:pt>
                <c:pt idx="6">
                  <c:v>4.49</c:v>
                </c:pt>
                <c:pt idx="7">
                  <c:v>4.49</c:v>
                </c:pt>
                <c:pt idx="8">
                  <c:v>4.49</c:v>
                </c:pt>
                <c:pt idx="9">
                  <c:v>4.49</c:v>
                </c:pt>
                <c:pt idx="10">
                  <c:v>4.49</c:v>
                </c:pt>
                <c:pt idx="11">
                  <c:v>4.49</c:v>
                </c:pt>
                <c:pt idx="12">
                  <c:v>4.49</c:v>
                </c:pt>
                <c:pt idx="13">
                  <c:v>4.49</c:v>
                </c:pt>
                <c:pt idx="14">
                  <c:v>4.49</c:v>
                </c:pt>
                <c:pt idx="15">
                  <c:v>4.49</c:v>
                </c:pt>
                <c:pt idx="16">
                  <c:v>4.49</c:v>
                </c:pt>
                <c:pt idx="17">
                  <c:v>4.49</c:v>
                </c:pt>
                <c:pt idx="18">
                  <c:v>4.49</c:v>
                </c:pt>
                <c:pt idx="19">
                  <c:v>4.49</c:v>
                </c:pt>
                <c:pt idx="20">
                  <c:v>4.49</c:v>
                </c:pt>
                <c:pt idx="21">
                  <c:v>4.49</c:v>
                </c:pt>
                <c:pt idx="22">
                  <c:v>4.49</c:v>
                </c:pt>
                <c:pt idx="23">
                  <c:v>4.49</c:v>
                </c:pt>
                <c:pt idx="24">
                  <c:v>4.49</c:v>
                </c:pt>
                <c:pt idx="25">
                  <c:v>4.49</c:v>
                </c:pt>
                <c:pt idx="26">
                  <c:v>4.49</c:v>
                </c:pt>
                <c:pt idx="27">
                  <c:v>4.49</c:v>
                </c:pt>
                <c:pt idx="28">
                  <c:v>4.49</c:v>
                </c:pt>
                <c:pt idx="29">
                  <c:v>4.49</c:v>
                </c:pt>
                <c:pt idx="30">
                  <c:v>4.49</c:v>
                </c:pt>
                <c:pt idx="31">
                  <c:v>4.49</c:v>
                </c:pt>
                <c:pt idx="32">
                  <c:v>4.49</c:v>
                </c:pt>
                <c:pt idx="33">
                  <c:v>4.49</c:v>
                </c:pt>
                <c:pt idx="34">
                  <c:v>4.49</c:v>
                </c:pt>
                <c:pt idx="35">
                  <c:v>4.49</c:v>
                </c:pt>
                <c:pt idx="36">
                  <c:v>4.49</c:v>
                </c:pt>
                <c:pt idx="37">
                  <c:v>4.49</c:v>
                </c:pt>
                <c:pt idx="38">
                  <c:v>4.49</c:v>
                </c:pt>
                <c:pt idx="39">
                  <c:v>4.49</c:v>
                </c:pt>
                <c:pt idx="40">
                  <c:v>4.49</c:v>
                </c:pt>
                <c:pt idx="41">
                  <c:v>4.49</c:v>
                </c:pt>
                <c:pt idx="42">
                  <c:v>4.49</c:v>
                </c:pt>
                <c:pt idx="43">
                  <c:v>4.49</c:v>
                </c:pt>
                <c:pt idx="44">
                  <c:v>4.49</c:v>
                </c:pt>
                <c:pt idx="45">
                  <c:v>4.49</c:v>
                </c:pt>
                <c:pt idx="46">
                  <c:v>4.49</c:v>
                </c:pt>
                <c:pt idx="47">
                  <c:v>4.49</c:v>
                </c:pt>
                <c:pt idx="48">
                  <c:v>4.49</c:v>
                </c:pt>
                <c:pt idx="49">
                  <c:v>4.49</c:v>
                </c:pt>
                <c:pt idx="50">
                  <c:v>4.49</c:v>
                </c:pt>
                <c:pt idx="51">
                  <c:v>4.49</c:v>
                </c:pt>
                <c:pt idx="52">
                  <c:v>4.49</c:v>
                </c:pt>
                <c:pt idx="53">
                  <c:v>4.49</c:v>
                </c:pt>
                <c:pt idx="54">
                  <c:v>4.49</c:v>
                </c:pt>
                <c:pt idx="55">
                  <c:v>4.49</c:v>
                </c:pt>
                <c:pt idx="56">
                  <c:v>4.49</c:v>
                </c:pt>
                <c:pt idx="57">
                  <c:v>4.49</c:v>
                </c:pt>
                <c:pt idx="58">
                  <c:v>4.49</c:v>
                </c:pt>
                <c:pt idx="59">
                  <c:v>4.49</c:v>
                </c:pt>
                <c:pt idx="60">
                  <c:v>4.49</c:v>
                </c:pt>
                <c:pt idx="61">
                  <c:v>4.49</c:v>
                </c:pt>
                <c:pt idx="62">
                  <c:v>4.49</c:v>
                </c:pt>
                <c:pt idx="63">
                  <c:v>4.49</c:v>
                </c:pt>
                <c:pt idx="64">
                  <c:v>4.49</c:v>
                </c:pt>
                <c:pt idx="65">
                  <c:v>4.49</c:v>
                </c:pt>
                <c:pt idx="66">
                  <c:v>4.49</c:v>
                </c:pt>
                <c:pt idx="67">
                  <c:v>4.49</c:v>
                </c:pt>
                <c:pt idx="68">
                  <c:v>4.49</c:v>
                </c:pt>
                <c:pt idx="69">
                  <c:v>4.49</c:v>
                </c:pt>
                <c:pt idx="70">
                  <c:v>4.49</c:v>
                </c:pt>
                <c:pt idx="71">
                  <c:v>4.49</c:v>
                </c:pt>
                <c:pt idx="72">
                  <c:v>4.49</c:v>
                </c:pt>
                <c:pt idx="73">
                  <c:v>4.49</c:v>
                </c:pt>
                <c:pt idx="74">
                  <c:v>4.49</c:v>
                </c:pt>
                <c:pt idx="75">
                  <c:v>4.49</c:v>
                </c:pt>
                <c:pt idx="76">
                  <c:v>4.49</c:v>
                </c:pt>
              </c:numCache>
            </c:numRef>
          </c:val>
          <c:smooth val="0"/>
          <c:extLst>
            <c:ext xmlns:c16="http://schemas.microsoft.com/office/drawing/2014/chart" uri="{C3380CC4-5D6E-409C-BE32-E72D297353CC}">
              <c16:uniqueId val="{00000001-5D18-47FA-93F7-2AB89D044415}"/>
            </c:ext>
          </c:extLst>
        </c:ser>
        <c:ser>
          <c:idx val="2"/>
          <c:order val="2"/>
          <c:tx>
            <c:strRef>
              <c:f>'Fig. D.1. Before handwashing'!$J$1</c:f>
              <c:strCache>
                <c:ptCount val="1"/>
                <c:pt idx="0">
                  <c:v>URL</c:v>
                </c:pt>
              </c:strCache>
            </c:strRef>
          </c:tx>
          <c:spPr>
            <a:ln w="28575" cap="rnd">
              <a:solidFill>
                <a:srgbClr val="D72323"/>
              </a:solidFill>
              <a:prstDash val="dash"/>
              <a:round/>
            </a:ln>
            <a:effectLst/>
          </c:spPr>
          <c:marker>
            <c:symbol val="none"/>
          </c:marker>
          <c:val>
            <c:numRef>
              <c:f>'Fig. D.1. Before handwashing'!$J$2:$J$78</c:f>
              <c:numCache>
                <c:formatCode>General</c:formatCode>
                <c:ptCount val="77"/>
                <c:pt idx="0">
                  <c:v>14.67</c:v>
                </c:pt>
                <c:pt idx="1">
                  <c:v>14.67</c:v>
                </c:pt>
                <c:pt idx="2">
                  <c:v>14.67</c:v>
                </c:pt>
                <c:pt idx="3">
                  <c:v>14.67</c:v>
                </c:pt>
                <c:pt idx="4">
                  <c:v>14.67</c:v>
                </c:pt>
                <c:pt idx="5">
                  <c:v>14.67</c:v>
                </c:pt>
                <c:pt idx="6">
                  <c:v>14.67</c:v>
                </c:pt>
                <c:pt idx="7">
                  <c:v>14.67</c:v>
                </c:pt>
                <c:pt idx="8">
                  <c:v>14.67</c:v>
                </c:pt>
                <c:pt idx="9">
                  <c:v>14.67</c:v>
                </c:pt>
                <c:pt idx="10">
                  <c:v>14.67</c:v>
                </c:pt>
                <c:pt idx="11">
                  <c:v>14.67</c:v>
                </c:pt>
                <c:pt idx="12">
                  <c:v>14.67</c:v>
                </c:pt>
                <c:pt idx="13">
                  <c:v>14.67</c:v>
                </c:pt>
                <c:pt idx="14">
                  <c:v>14.67</c:v>
                </c:pt>
                <c:pt idx="15">
                  <c:v>14.67</c:v>
                </c:pt>
                <c:pt idx="16">
                  <c:v>14.67</c:v>
                </c:pt>
                <c:pt idx="17">
                  <c:v>14.67</c:v>
                </c:pt>
                <c:pt idx="18">
                  <c:v>14.67</c:v>
                </c:pt>
                <c:pt idx="19">
                  <c:v>14.67</c:v>
                </c:pt>
                <c:pt idx="20">
                  <c:v>14.67</c:v>
                </c:pt>
                <c:pt idx="21">
                  <c:v>14.67</c:v>
                </c:pt>
                <c:pt idx="22">
                  <c:v>14.67</c:v>
                </c:pt>
                <c:pt idx="23">
                  <c:v>14.67</c:v>
                </c:pt>
                <c:pt idx="24">
                  <c:v>14.67</c:v>
                </c:pt>
                <c:pt idx="25">
                  <c:v>14.67</c:v>
                </c:pt>
                <c:pt idx="26">
                  <c:v>14.67</c:v>
                </c:pt>
                <c:pt idx="27">
                  <c:v>14.67</c:v>
                </c:pt>
                <c:pt idx="28">
                  <c:v>14.67</c:v>
                </c:pt>
                <c:pt idx="29">
                  <c:v>14.67</c:v>
                </c:pt>
                <c:pt idx="30">
                  <c:v>14.67</c:v>
                </c:pt>
                <c:pt idx="31">
                  <c:v>14.67</c:v>
                </c:pt>
                <c:pt idx="32">
                  <c:v>14.67</c:v>
                </c:pt>
                <c:pt idx="33">
                  <c:v>14.67</c:v>
                </c:pt>
                <c:pt idx="34">
                  <c:v>14.67</c:v>
                </c:pt>
                <c:pt idx="35">
                  <c:v>14.67</c:v>
                </c:pt>
                <c:pt idx="36">
                  <c:v>14.67</c:v>
                </c:pt>
                <c:pt idx="37">
                  <c:v>14.67</c:v>
                </c:pt>
                <c:pt idx="38">
                  <c:v>14.67</c:v>
                </c:pt>
                <c:pt idx="39">
                  <c:v>14.67</c:v>
                </c:pt>
                <c:pt idx="40">
                  <c:v>14.67</c:v>
                </c:pt>
                <c:pt idx="41">
                  <c:v>14.67</c:v>
                </c:pt>
                <c:pt idx="42">
                  <c:v>14.67</c:v>
                </c:pt>
                <c:pt idx="43">
                  <c:v>14.67</c:v>
                </c:pt>
                <c:pt idx="44">
                  <c:v>14.67</c:v>
                </c:pt>
                <c:pt idx="45">
                  <c:v>14.67</c:v>
                </c:pt>
                <c:pt idx="46">
                  <c:v>14.67</c:v>
                </c:pt>
                <c:pt idx="47">
                  <c:v>14.67</c:v>
                </c:pt>
                <c:pt idx="48">
                  <c:v>14.67</c:v>
                </c:pt>
                <c:pt idx="49">
                  <c:v>14.67</c:v>
                </c:pt>
                <c:pt idx="50">
                  <c:v>14.67</c:v>
                </c:pt>
                <c:pt idx="51">
                  <c:v>14.67</c:v>
                </c:pt>
                <c:pt idx="52">
                  <c:v>14.67</c:v>
                </c:pt>
                <c:pt idx="53">
                  <c:v>14.67</c:v>
                </c:pt>
                <c:pt idx="54">
                  <c:v>14.67</c:v>
                </c:pt>
                <c:pt idx="55">
                  <c:v>14.67</c:v>
                </c:pt>
                <c:pt idx="56">
                  <c:v>14.67</c:v>
                </c:pt>
                <c:pt idx="57">
                  <c:v>14.67</c:v>
                </c:pt>
                <c:pt idx="58">
                  <c:v>14.67</c:v>
                </c:pt>
                <c:pt idx="59">
                  <c:v>14.67</c:v>
                </c:pt>
                <c:pt idx="60">
                  <c:v>14.67</c:v>
                </c:pt>
                <c:pt idx="61">
                  <c:v>14.67</c:v>
                </c:pt>
                <c:pt idx="62">
                  <c:v>14.67</c:v>
                </c:pt>
                <c:pt idx="63">
                  <c:v>14.67</c:v>
                </c:pt>
                <c:pt idx="64">
                  <c:v>14.67</c:v>
                </c:pt>
                <c:pt idx="65">
                  <c:v>14.67</c:v>
                </c:pt>
                <c:pt idx="66">
                  <c:v>14.67</c:v>
                </c:pt>
                <c:pt idx="67">
                  <c:v>14.67</c:v>
                </c:pt>
                <c:pt idx="68">
                  <c:v>14.67</c:v>
                </c:pt>
                <c:pt idx="69">
                  <c:v>14.67</c:v>
                </c:pt>
                <c:pt idx="70">
                  <c:v>14.67</c:v>
                </c:pt>
                <c:pt idx="71">
                  <c:v>14.67</c:v>
                </c:pt>
                <c:pt idx="72">
                  <c:v>14.67</c:v>
                </c:pt>
                <c:pt idx="73">
                  <c:v>14.67</c:v>
                </c:pt>
                <c:pt idx="74">
                  <c:v>14.67</c:v>
                </c:pt>
                <c:pt idx="75">
                  <c:v>14.67</c:v>
                </c:pt>
                <c:pt idx="76">
                  <c:v>14.67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D.2. After handwashing'!$D$1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D.2. After 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D.2. After handwashing'!$D$2:$D$23</c:f>
              <c:numCache>
                <c:formatCode>General</c:formatCode>
                <c:ptCount val="22"/>
                <c:pt idx="0">
                  <c:v>2.2000000000000002</c:v>
                </c:pt>
                <c:pt idx="1">
                  <c:v>1.2</c:v>
                </c:pt>
                <c:pt idx="2">
                  <c:v>1.9</c:v>
                </c:pt>
                <c:pt idx="3">
                  <c:v>4.5999999999999996</c:v>
                </c:pt>
                <c:pt idx="4">
                  <c:v>4</c:v>
                </c:pt>
                <c:pt idx="5">
                  <c:v>4.5</c:v>
                </c:pt>
                <c:pt idx="6">
                  <c:v>2.9</c:v>
                </c:pt>
                <c:pt idx="7">
                  <c:v>3.5</c:v>
                </c:pt>
                <c:pt idx="8">
                  <c:v>0.7</c:v>
                </c:pt>
                <c:pt idx="9">
                  <c:v>0</c:v>
                </c:pt>
                <c:pt idx="10">
                  <c:v>0.7</c:v>
                </c:pt>
                <c:pt idx="11">
                  <c:v>1</c:v>
                </c:pt>
                <c:pt idx="12">
                  <c:v>1.1000000000000001</c:v>
                </c:pt>
                <c:pt idx="13">
                  <c:v>0.4</c:v>
                </c:pt>
                <c:pt idx="14">
                  <c:v>0</c:v>
                </c:pt>
                <c:pt idx="15">
                  <c:v>1</c:v>
                </c:pt>
                <c:pt idx="16">
                  <c:v>2.2999999999999998</c:v>
                </c:pt>
                <c:pt idx="17">
                  <c:v>2.9</c:v>
                </c:pt>
                <c:pt idx="18">
                  <c:v>1.3</c:v>
                </c:pt>
                <c:pt idx="19">
                  <c:v>2.2000000000000002</c:v>
                </c:pt>
                <c:pt idx="20">
                  <c:v>3.1</c:v>
                </c:pt>
                <c:pt idx="21">
                  <c:v>4.9000000000000004</c:v>
                </c:pt>
              </c:numCache>
            </c:numRef>
          </c:val>
          <c:smooth val="0"/>
          <c:extLst>
            <c:ext xmlns:c16="http://schemas.microsoft.com/office/drawing/2014/chart" uri="{C3380CC4-5D6E-409C-BE32-E72D297353CC}">
              <c16:uniqueId val="{00000000-329B-41D6-8340-43856FD2F6C5}"/>
            </c:ext>
          </c:extLst>
        </c:ser>
        <c:ser>
          <c:idx val="1"/>
          <c:order val="1"/>
          <c:tx>
            <c:strRef>
              <c:f>'Fig. D.2. After handwashing'!$E$1</c:f>
              <c:strCache>
                <c:ptCount val="1"/>
                <c:pt idx="0">
                  <c:v>Mean</c:v>
                </c:pt>
              </c:strCache>
            </c:strRef>
          </c:tx>
          <c:spPr>
            <a:ln w="28575" cap="rnd">
              <a:solidFill>
                <a:schemeClr val="tx1"/>
              </a:solidFill>
              <a:round/>
            </a:ln>
            <a:effectLst/>
          </c:spPr>
          <c:marker>
            <c:symbol val="none"/>
          </c:marker>
          <c:cat>
            <c:strRef>
              <c:f>'Fig. D.2. After 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D.2. After handwashing'!$E$2:$E$23</c:f>
              <c:numCache>
                <c:formatCode>General</c:formatCode>
                <c:ptCount val="22"/>
                <c:pt idx="0">
                  <c:v>2.11</c:v>
                </c:pt>
                <c:pt idx="1">
                  <c:v>2.11</c:v>
                </c:pt>
                <c:pt idx="2">
                  <c:v>2.11</c:v>
                </c:pt>
                <c:pt idx="3">
                  <c:v>2.11</c:v>
                </c:pt>
                <c:pt idx="4">
                  <c:v>2.11</c:v>
                </c:pt>
                <c:pt idx="5">
                  <c:v>2.11</c:v>
                </c:pt>
                <c:pt idx="6">
                  <c:v>2.11</c:v>
                </c:pt>
                <c:pt idx="7">
                  <c:v>2.11</c:v>
                </c:pt>
                <c:pt idx="8">
                  <c:v>2.11</c:v>
                </c:pt>
                <c:pt idx="9">
                  <c:v>2.11</c:v>
                </c:pt>
                <c:pt idx="10">
                  <c:v>2.11</c:v>
                </c:pt>
                <c:pt idx="11">
                  <c:v>2.11</c:v>
                </c:pt>
                <c:pt idx="12">
                  <c:v>2.11</c:v>
                </c:pt>
                <c:pt idx="13">
                  <c:v>2.11</c:v>
                </c:pt>
                <c:pt idx="14">
                  <c:v>2.11</c:v>
                </c:pt>
                <c:pt idx="15">
                  <c:v>2.11</c:v>
                </c:pt>
                <c:pt idx="16">
                  <c:v>2.11</c:v>
                </c:pt>
                <c:pt idx="17">
                  <c:v>2.11</c:v>
                </c:pt>
                <c:pt idx="18">
                  <c:v>2.11</c:v>
                </c:pt>
                <c:pt idx="19">
                  <c:v>2.11</c:v>
                </c:pt>
                <c:pt idx="20">
                  <c:v>2.11</c:v>
                </c:pt>
                <c:pt idx="21">
                  <c:v>2.11</c:v>
                </c:pt>
              </c:numCache>
            </c:numRef>
          </c:val>
          <c:smooth val="0"/>
          <c:extLst>
            <c:ext xmlns:c16="http://schemas.microsoft.com/office/drawing/2014/chart" uri="{C3380CC4-5D6E-409C-BE32-E72D297353CC}">
              <c16:uniqueId val="{00000001-329B-41D6-8340-43856FD2F6C5}"/>
            </c:ext>
          </c:extLst>
        </c:ser>
        <c:ser>
          <c:idx val="2"/>
          <c:order val="2"/>
          <c:tx>
            <c:strRef>
              <c:f>'Fig. D.2. After handwashing'!$F$1</c:f>
              <c:strCache>
                <c:ptCount val="1"/>
                <c:pt idx="0">
                  <c:v>UPL</c:v>
                </c:pt>
              </c:strCache>
            </c:strRef>
          </c:tx>
          <c:spPr>
            <a:ln w="28575" cap="rnd">
              <a:solidFill>
                <a:srgbClr val="D72323"/>
              </a:solidFill>
              <a:prstDash val="dash"/>
              <a:round/>
            </a:ln>
            <a:effectLst/>
          </c:spPr>
          <c:marker>
            <c:symbol val="none"/>
          </c:marker>
          <c:cat>
            <c:strRef>
              <c:f>'Fig. D.2. After 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D.2. After handwashing'!$F$2:$F$23</c:f>
              <c:numCache>
                <c:formatCode>General</c:formatCode>
                <c:ptCount val="22"/>
                <c:pt idx="0">
                  <c:v>4.82</c:v>
                </c:pt>
                <c:pt idx="1">
                  <c:v>4.82</c:v>
                </c:pt>
                <c:pt idx="2">
                  <c:v>4.82</c:v>
                </c:pt>
                <c:pt idx="3">
                  <c:v>4.82</c:v>
                </c:pt>
                <c:pt idx="4">
                  <c:v>4.82</c:v>
                </c:pt>
                <c:pt idx="5">
                  <c:v>4.82</c:v>
                </c:pt>
                <c:pt idx="6">
                  <c:v>4.82</c:v>
                </c:pt>
                <c:pt idx="7">
                  <c:v>4.82</c:v>
                </c:pt>
                <c:pt idx="8">
                  <c:v>4.82</c:v>
                </c:pt>
                <c:pt idx="9">
                  <c:v>4.82</c:v>
                </c:pt>
                <c:pt idx="10">
                  <c:v>4.82</c:v>
                </c:pt>
                <c:pt idx="11">
                  <c:v>4.82</c:v>
                </c:pt>
                <c:pt idx="12">
                  <c:v>4.82</c:v>
                </c:pt>
                <c:pt idx="13">
                  <c:v>4.82</c:v>
                </c:pt>
                <c:pt idx="14">
                  <c:v>4.82</c:v>
                </c:pt>
                <c:pt idx="15">
                  <c:v>4.82</c:v>
                </c:pt>
                <c:pt idx="16">
                  <c:v>4.82</c:v>
                </c:pt>
                <c:pt idx="17">
                  <c:v>4.82</c:v>
                </c:pt>
                <c:pt idx="18">
                  <c:v>4.82</c:v>
                </c:pt>
                <c:pt idx="19">
                  <c:v>4.82</c:v>
                </c:pt>
                <c:pt idx="20">
                  <c:v>4.82</c:v>
                </c:pt>
                <c:pt idx="21">
                  <c:v>4.82</c:v>
                </c:pt>
              </c:numCache>
            </c:numRef>
          </c:val>
          <c:smooth val="0"/>
          <c:extLst>
            <c:ext xmlns:c16="http://schemas.microsoft.com/office/drawing/2014/chart" uri="{C3380CC4-5D6E-409C-BE32-E72D297353CC}">
              <c16:uniqueId val="{00000002-329B-41D6-8340-43856FD2F6C5}"/>
            </c:ext>
          </c:extLst>
        </c:ser>
        <c:ser>
          <c:idx val="3"/>
          <c:order val="3"/>
          <c:tx>
            <c:strRef>
              <c:f>'Fig. D.2. After handwashing'!$G$1</c:f>
              <c:strCache>
                <c:ptCount val="1"/>
                <c:pt idx="0">
                  <c:v>LPL</c:v>
                </c:pt>
              </c:strCache>
            </c:strRef>
          </c:tx>
          <c:spPr>
            <a:ln w="28575" cap="rnd">
              <a:solidFill>
                <a:srgbClr val="D72323"/>
              </a:solidFill>
              <a:prstDash val="dash"/>
              <a:round/>
            </a:ln>
            <a:effectLst/>
          </c:spPr>
          <c:marker>
            <c:symbol val="none"/>
          </c:marker>
          <c:cat>
            <c:strRef>
              <c:f>'Fig. D.2. After handwashing'!$C$2:$C$23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D.2. After handwashing'!$G$2:$G$23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D.2. After handwashing'!$H$1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D.2. After handwashing'!$H$2:$H$23</c:f>
              <c:numCache>
                <c:formatCode>General</c:formatCode>
                <c:ptCount val="22"/>
                <c:pt idx="1">
                  <c:v>1.0000000000000002</c:v>
                </c:pt>
                <c:pt idx="2">
                  <c:v>0.7</c:v>
                </c:pt>
                <c:pt idx="3">
                  <c:v>2.6999999999999997</c:v>
                </c:pt>
                <c:pt idx="4">
                  <c:v>0.59999999999999964</c:v>
                </c:pt>
                <c:pt idx="5">
                  <c:v>0.5</c:v>
                </c:pt>
                <c:pt idx="6">
                  <c:v>1.6</c:v>
                </c:pt>
                <c:pt idx="7">
                  <c:v>0.60000000000000009</c:v>
                </c:pt>
                <c:pt idx="8">
                  <c:v>2.8</c:v>
                </c:pt>
                <c:pt idx="9">
                  <c:v>0.7</c:v>
                </c:pt>
                <c:pt idx="10">
                  <c:v>0.7</c:v>
                </c:pt>
                <c:pt idx="11">
                  <c:v>0.30000000000000004</c:v>
                </c:pt>
                <c:pt idx="12">
                  <c:v>0.10000000000000009</c:v>
                </c:pt>
                <c:pt idx="13">
                  <c:v>0.70000000000000007</c:v>
                </c:pt>
                <c:pt idx="14">
                  <c:v>0.4</c:v>
                </c:pt>
                <c:pt idx="15">
                  <c:v>1</c:v>
                </c:pt>
                <c:pt idx="16">
                  <c:v>1.2999999999999998</c:v>
                </c:pt>
                <c:pt idx="17">
                  <c:v>0.60000000000000009</c:v>
                </c:pt>
                <c:pt idx="18">
                  <c:v>1.5999999999999999</c:v>
                </c:pt>
                <c:pt idx="19">
                  <c:v>0.90000000000000013</c:v>
                </c:pt>
                <c:pt idx="20">
                  <c:v>0.89999999999999991</c:v>
                </c:pt>
                <c:pt idx="21">
                  <c:v>1.8000000000000003</c:v>
                </c:pt>
              </c:numCache>
            </c:numRef>
          </c:val>
          <c:smooth val="0"/>
          <c:extLst>
            <c:ext xmlns:c16="http://schemas.microsoft.com/office/drawing/2014/chart" uri="{C3380CC4-5D6E-409C-BE32-E72D297353CC}">
              <c16:uniqueId val="{00000000-5D18-47FA-93F7-2AB89D044415}"/>
            </c:ext>
          </c:extLst>
        </c:ser>
        <c:ser>
          <c:idx val="1"/>
          <c:order val="1"/>
          <c:tx>
            <c:strRef>
              <c:f>'Fig. D.2. After handwashing'!$I$1</c:f>
              <c:strCache>
                <c:ptCount val="1"/>
                <c:pt idx="0">
                  <c:v>Ave. mR</c:v>
                </c:pt>
              </c:strCache>
            </c:strRef>
          </c:tx>
          <c:spPr>
            <a:ln w="28575" cap="rnd">
              <a:solidFill>
                <a:schemeClr val="tx1"/>
              </a:solidFill>
              <a:round/>
            </a:ln>
            <a:effectLst/>
          </c:spPr>
          <c:marker>
            <c:symbol val="none"/>
          </c:marker>
          <c:val>
            <c:numRef>
              <c:f>'Fig. D.2. After handwashing'!$I$2:$I$23</c:f>
              <c:numCache>
                <c:formatCode>General</c:formatCode>
                <c:ptCount val="22"/>
                <c:pt idx="0">
                  <c:v>1.02</c:v>
                </c:pt>
                <c:pt idx="1">
                  <c:v>1.02</c:v>
                </c:pt>
                <c:pt idx="2">
                  <c:v>1.02</c:v>
                </c:pt>
                <c:pt idx="3">
                  <c:v>1.02</c:v>
                </c:pt>
                <c:pt idx="4">
                  <c:v>1.02</c:v>
                </c:pt>
                <c:pt idx="5">
                  <c:v>1.02</c:v>
                </c:pt>
                <c:pt idx="6">
                  <c:v>1.02</c:v>
                </c:pt>
                <c:pt idx="7">
                  <c:v>1.02</c:v>
                </c:pt>
                <c:pt idx="8">
                  <c:v>1.02</c:v>
                </c:pt>
                <c:pt idx="9">
                  <c:v>1.02</c:v>
                </c:pt>
                <c:pt idx="10">
                  <c:v>1.02</c:v>
                </c:pt>
                <c:pt idx="11">
                  <c:v>1.02</c:v>
                </c:pt>
                <c:pt idx="12">
                  <c:v>1.02</c:v>
                </c:pt>
                <c:pt idx="13">
                  <c:v>1.02</c:v>
                </c:pt>
                <c:pt idx="14">
                  <c:v>1.02</c:v>
                </c:pt>
                <c:pt idx="15">
                  <c:v>1.02</c:v>
                </c:pt>
                <c:pt idx="16">
                  <c:v>1.02</c:v>
                </c:pt>
                <c:pt idx="17">
                  <c:v>1.02</c:v>
                </c:pt>
                <c:pt idx="18">
                  <c:v>1.02</c:v>
                </c:pt>
                <c:pt idx="19">
                  <c:v>1.02</c:v>
                </c:pt>
                <c:pt idx="20">
                  <c:v>1.02</c:v>
                </c:pt>
                <c:pt idx="21">
                  <c:v>1.02</c:v>
                </c:pt>
              </c:numCache>
            </c:numRef>
          </c:val>
          <c:smooth val="0"/>
          <c:extLst>
            <c:ext xmlns:c16="http://schemas.microsoft.com/office/drawing/2014/chart" uri="{C3380CC4-5D6E-409C-BE32-E72D297353CC}">
              <c16:uniqueId val="{00000001-5D18-47FA-93F7-2AB89D044415}"/>
            </c:ext>
          </c:extLst>
        </c:ser>
        <c:ser>
          <c:idx val="2"/>
          <c:order val="2"/>
          <c:tx>
            <c:strRef>
              <c:f>'Fig. D.2. After handwashing'!$J$1</c:f>
              <c:strCache>
                <c:ptCount val="1"/>
                <c:pt idx="0">
                  <c:v>URL</c:v>
                </c:pt>
              </c:strCache>
            </c:strRef>
          </c:tx>
          <c:spPr>
            <a:ln w="28575" cap="rnd">
              <a:solidFill>
                <a:srgbClr val="D72323"/>
              </a:solidFill>
              <a:prstDash val="dash"/>
              <a:round/>
            </a:ln>
            <a:effectLst/>
          </c:spPr>
          <c:marker>
            <c:symbol val="none"/>
          </c:marker>
          <c:val>
            <c:numRef>
              <c:f>'Fig. D.2. After handwashing'!$J$2:$J$23</c:f>
              <c:numCache>
                <c:formatCode>General</c:formatCode>
                <c:ptCount val="22"/>
                <c:pt idx="0">
                  <c:v>3.33</c:v>
                </c:pt>
                <c:pt idx="1">
                  <c:v>3.33</c:v>
                </c:pt>
                <c:pt idx="2">
                  <c:v>3.33</c:v>
                </c:pt>
                <c:pt idx="3">
                  <c:v>3.33</c:v>
                </c:pt>
                <c:pt idx="4">
                  <c:v>3.33</c:v>
                </c:pt>
                <c:pt idx="5">
                  <c:v>3.33</c:v>
                </c:pt>
                <c:pt idx="6">
                  <c:v>3.33</c:v>
                </c:pt>
                <c:pt idx="7">
                  <c:v>3.33</c:v>
                </c:pt>
                <c:pt idx="8">
                  <c:v>3.33</c:v>
                </c:pt>
                <c:pt idx="9">
                  <c:v>3.33</c:v>
                </c:pt>
                <c:pt idx="10">
                  <c:v>3.33</c:v>
                </c:pt>
                <c:pt idx="11">
                  <c:v>3.33</c:v>
                </c:pt>
                <c:pt idx="12">
                  <c:v>3.33</c:v>
                </c:pt>
                <c:pt idx="13">
                  <c:v>3.33</c:v>
                </c:pt>
                <c:pt idx="14">
                  <c:v>3.33</c:v>
                </c:pt>
                <c:pt idx="15">
                  <c:v>3.33</c:v>
                </c:pt>
                <c:pt idx="16">
                  <c:v>3.33</c:v>
                </c:pt>
                <c:pt idx="17">
                  <c:v>3.33</c:v>
                </c:pt>
                <c:pt idx="18">
                  <c:v>3.33</c:v>
                </c:pt>
                <c:pt idx="19">
                  <c:v>3.33</c:v>
                </c:pt>
                <c:pt idx="20">
                  <c:v>3.33</c:v>
                </c:pt>
                <c:pt idx="21">
                  <c:v>3.33</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D5FB7966-C625-4BF2-B7EB-D54B2D3A3706}"/>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15</xdr:row>
      <xdr:rowOff>0</xdr:rowOff>
    </xdr:to>
    <xdr:graphicFrame macro="">
      <xdr:nvGraphicFramePr>
        <xdr:cNvPr id="2" name="Chart 1">
          <a:extLst>
            <a:ext uri="{FF2B5EF4-FFF2-40B4-BE49-F238E27FC236}">
              <a16:creationId xmlns:a16="http://schemas.microsoft.com/office/drawing/2014/main" id="{65A20AF1-AE4E-AE45-B5E8-98B831318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11432</xdr:colOff>
      <xdr:row>15</xdr:row>
      <xdr:rowOff>0</xdr:rowOff>
    </xdr:from>
    <xdr:to>
      <xdr:col>19</xdr:col>
      <xdr:colOff>1</xdr:colOff>
      <xdr:row>27</xdr:row>
      <xdr:rowOff>0</xdr:rowOff>
    </xdr:to>
    <xdr:graphicFrame macro="">
      <xdr:nvGraphicFramePr>
        <xdr:cNvPr id="3" name="Chart 2">
          <a:extLst>
            <a:ext uri="{FF2B5EF4-FFF2-40B4-BE49-F238E27FC236}">
              <a16:creationId xmlns:a16="http://schemas.microsoft.com/office/drawing/2014/main" id="{B050F8C5-2FB4-9ABF-5B2B-AE6BC6E66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18</xdr:col>
      <xdr:colOff>664844</xdr:colOff>
      <xdr:row>14</xdr:row>
      <xdr:rowOff>0</xdr:rowOff>
    </xdr:to>
    <xdr:graphicFrame macro="">
      <xdr:nvGraphicFramePr>
        <xdr:cNvPr id="3" name="Chart 2">
          <a:extLst>
            <a:ext uri="{FF2B5EF4-FFF2-40B4-BE49-F238E27FC236}">
              <a16:creationId xmlns:a16="http://schemas.microsoft.com/office/drawing/2014/main" id="{9F2E34AD-237E-730B-36F1-BDC4D91A1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18</xdr:col>
      <xdr:colOff>659130</xdr:colOff>
      <xdr:row>26</xdr:row>
      <xdr:rowOff>0</xdr:rowOff>
    </xdr:to>
    <xdr:graphicFrame macro="">
      <xdr:nvGraphicFramePr>
        <xdr:cNvPr id="4" name="Chart 3">
          <a:extLst>
            <a:ext uri="{FF2B5EF4-FFF2-40B4-BE49-F238E27FC236}">
              <a16:creationId xmlns:a16="http://schemas.microsoft.com/office/drawing/2014/main" id="{547363CD-5BF8-13FB-C465-1B9AF9B53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1E31839-FDFA-4ABC-A807-A8753F8F85B7}"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Month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88FDF2B-CEB4-40C9-BC49-F3B98D1A8DD8}"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Month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8897D9-6876-45E4-9C7D-10486E80876C}" name="Query1" displayName="Query1" ref="A1:J78" tableType="queryTable" totalsRowShown="0" headerRowDxfId="19">
  <autoFilter ref="A1:J78" xr:uid="{AB8897D9-6876-45E4-9C7D-10486E80876C}"/>
  <tableColumns count="10">
    <tableColumn id="1" xr3:uid="{C31E3E19-C524-4B98-AACB-57FFCD876ADB}" uniqueName="1" name="Hospital" queryTableFieldId="1" dataDxfId="18"/>
    <tableColumn id="2" xr3:uid="{8DBF16D9-6738-449F-9227-03A1C505FDC7}" uniqueName="2" name="Stage" queryTableFieldId="2" dataDxfId="17"/>
    <tableColumn id="3" xr3:uid="{181C225C-A8D2-472D-B96A-059A84D055F5}" uniqueName="3" name="MonthYear" queryTableFieldId="3" dataDxfId="16"/>
    <tableColumn id="4" xr3:uid="{25D25EF5-06E4-4E1D-9E01-87FB53A05841}" uniqueName="4" name="Rate" queryTableFieldId="4"/>
    <tableColumn id="5" xr3:uid="{DFB941D9-B0D5-44B0-990E-27DF65DE167D}" uniqueName="5" name="Mean" queryTableFieldId="5" dataDxfId="15">
      <calculatedColumnFormula>ROUND(AVERAGE($D$2:$D$78),2)</calculatedColumnFormula>
    </tableColumn>
    <tableColumn id="6" xr3:uid="{A4DFEB48-02EF-472A-9449-F03500B88377}" uniqueName="6" name="UPL" queryTableFieldId="6" dataDxfId="14">
      <calculatedColumnFormula>ROUND(E2+(2.66*I2),2)</calculatedColumnFormula>
    </tableColumn>
    <tableColumn id="7" xr3:uid="{B7D01AB0-8B3A-46D7-854E-5F20A3F25C8C}" uniqueName="7" name="LPL" queryTableFieldId="7" dataDxfId="13">
      <calculatedColumnFormula>ROUND(MAX(0,E2-(2.66*I2)),2)</calculatedColumnFormula>
    </tableColumn>
    <tableColumn id="8" xr3:uid="{8DC08D18-2153-49C9-B95B-C4B5C965AFD0}" uniqueName="8" name="mR" queryTableFieldId="8" dataDxfId="12">
      <calculatedColumnFormula>ABS(D1-D2)</calculatedColumnFormula>
    </tableColumn>
    <tableColumn id="9" xr3:uid="{D395B0FA-A978-426B-84B1-58DFCFC944E6}" uniqueName="9" name="Ave. mR" queryTableFieldId="9" dataDxfId="11">
      <calculatedColumnFormula>ROUND(AVERAGE($H$3:$H$78),2)</calculatedColumnFormula>
    </tableColumn>
    <tableColumn id="10" xr3:uid="{B245A02E-54AE-477C-A487-39F8E204D85E}" uniqueName="10" name="URL" queryTableFieldId="10" dataDxfId="10">
      <calculatedColumnFormula>ROUND(3.268*I2,2)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673B04-957D-48E5-B7A6-A955EAF3BD15}" name="impact_of_handwashing_death_to_birth_rates" displayName="impact_of_handwashing_death_to_birth_rates" ref="A1:J23" tableType="queryTable" totalsRowShown="0" headerRowDxfId="9">
  <autoFilter ref="A1:J23" xr:uid="{7F673B04-957D-48E5-B7A6-A955EAF3BD15}"/>
  <tableColumns count="10">
    <tableColumn id="1" xr3:uid="{0767FFB1-1F35-4E96-A904-4B8AD7050076}" uniqueName="1" name="Hospital" queryTableFieldId="1" dataDxfId="8"/>
    <tableColumn id="2" xr3:uid="{2AF3A5B0-1A18-4977-93BC-9FB675E62489}" uniqueName="2" name="Stage" queryTableFieldId="2" dataDxfId="7"/>
    <tableColumn id="3" xr3:uid="{4D948841-C923-4105-941C-6258D56A2C75}" uniqueName="3" name="MonthYear" queryTableFieldId="3" dataDxfId="6"/>
    <tableColumn id="4" xr3:uid="{0ACCDBC5-9ED5-4228-A724-A9DB1D677DA8}" uniqueName="4" name="Rate" queryTableFieldId="4"/>
    <tableColumn id="5" xr3:uid="{D10E212F-1D19-4F89-92A1-0918036D00B7}" uniqueName="5" name="Mean" queryTableFieldId="5" dataDxfId="5">
      <calculatedColumnFormula>ROUND(AVERAGE($D$2:$D$23),2)</calculatedColumnFormula>
    </tableColumn>
    <tableColumn id="6" xr3:uid="{FF050EF8-8CCF-4996-89EA-684A581EF3C0}" uniqueName="6" name="UPL" queryTableFieldId="6" dataDxfId="4">
      <calculatedColumnFormula>ROUND(E2+(2.66*I2),2)</calculatedColumnFormula>
    </tableColumn>
    <tableColumn id="7" xr3:uid="{209FC05D-9027-44EA-BDDE-822BA11CE72D}" uniqueName="7" name="LPL" queryTableFieldId="7" dataDxfId="3">
      <calculatedColumnFormula>ROUND(MAX(0,E2-(2.66*I2)),2)</calculatedColumnFormula>
    </tableColumn>
    <tableColumn id="8" xr3:uid="{61626FAD-01A0-4E1E-AAC4-6A5FCBE18058}" uniqueName="8" name="mR" queryTableFieldId="8" dataDxfId="2">
      <calculatedColumnFormula>ABS(D1-D2)</calculatedColumnFormula>
    </tableColumn>
    <tableColumn id="9" xr3:uid="{147EA844-CC5A-40AD-9847-8413E34A1BAD}" uniqueName="9" name="Ave. mR" queryTableFieldId="9" dataDxfId="1">
      <calculatedColumnFormula>ROUND(AVERAGE($H$3:$H$23),2)</calculatedColumnFormula>
    </tableColumn>
    <tableColumn id="10" xr3:uid="{1CCEED0D-BCE7-4720-BAF2-D1BA4A84BFDF}" uniqueName="10" name="URL" queryTableFieldId="10" dataDxfId="0">
      <calculatedColumnFormula>ROUND(3.268*I2,2)</calculatedColumnFormula>
    </tableColumn>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8"/>
  <sheetViews>
    <sheetView showGridLines="0" tabSelected="1" workbookViewId="0">
      <selection activeCell="K34" sqref="K34"/>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9" t="s">
        <v>0</v>
      </c>
      <c r="C1" s="10"/>
      <c r="D1" s="10"/>
      <c r="E1" s="10"/>
      <c r="F1" s="10"/>
      <c r="G1" s="10"/>
      <c r="H1" s="11"/>
    </row>
    <row r="2" spans="1:10" ht="15.75" customHeight="1" x14ac:dyDescent="0.25">
      <c r="A2" s="1"/>
      <c r="B2" s="12" t="s">
        <v>112</v>
      </c>
      <c r="C2" s="13"/>
      <c r="D2" s="13"/>
      <c r="E2" s="13"/>
      <c r="F2" s="13"/>
      <c r="G2" s="13"/>
      <c r="H2" s="14"/>
      <c r="J2" s="3"/>
    </row>
    <row r="3" spans="1:10" ht="15.75" customHeight="1" x14ac:dyDescent="0.25">
      <c r="A3" s="1"/>
      <c r="B3" s="15"/>
      <c r="C3" s="16"/>
      <c r="D3" s="16"/>
      <c r="E3" s="16"/>
      <c r="F3" s="16"/>
      <c r="G3" s="16"/>
      <c r="H3" s="17"/>
    </row>
    <row r="4" spans="1:10" ht="15.75" customHeight="1" x14ac:dyDescent="0.25">
      <c r="A4" s="1"/>
      <c r="B4" s="15"/>
      <c r="C4" s="16"/>
      <c r="D4" s="16"/>
      <c r="E4" s="16"/>
      <c r="F4" s="16"/>
      <c r="G4" s="16"/>
      <c r="H4" s="17"/>
    </row>
    <row r="5" spans="1:10" ht="15.75" customHeight="1" x14ac:dyDescent="0.25">
      <c r="A5" s="1"/>
      <c r="B5" s="15"/>
      <c r="C5" s="16"/>
      <c r="D5" s="16"/>
      <c r="E5" s="16"/>
      <c r="F5" s="16"/>
      <c r="G5" s="16"/>
      <c r="H5" s="17"/>
    </row>
    <row r="6" spans="1:10" ht="15.75" customHeight="1" x14ac:dyDescent="0.25">
      <c r="A6" s="1"/>
      <c r="B6" s="15"/>
      <c r="C6" s="16"/>
      <c r="D6" s="16"/>
      <c r="E6" s="16"/>
      <c r="F6" s="16"/>
      <c r="G6" s="16"/>
      <c r="H6" s="17"/>
    </row>
    <row r="7" spans="1:10" ht="15.75" customHeight="1" x14ac:dyDescent="0.25">
      <c r="A7" s="1"/>
      <c r="B7" s="15"/>
      <c r="C7" s="16"/>
      <c r="D7" s="16"/>
      <c r="E7" s="16"/>
      <c r="F7" s="16"/>
      <c r="G7" s="16"/>
      <c r="H7" s="17"/>
    </row>
    <row r="8" spans="1:10" ht="15.75" customHeight="1" x14ac:dyDescent="0.25">
      <c r="A8" s="1"/>
      <c r="B8" s="15"/>
      <c r="C8" s="16"/>
      <c r="D8" s="16"/>
      <c r="E8" s="16"/>
      <c r="F8" s="16"/>
      <c r="G8" s="16"/>
      <c r="H8" s="17"/>
    </row>
    <row r="9" spans="1:10" ht="15.75" customHeight="1" x14ac:dyDescent="0.25">
      <c r="A9" s="1"/>
      <c r="B9" s="15"/>
      <c r="C9" s="16"/>
      <c r="D9" s="16"/>
      <c r="E9" s="16"/>
      <c r="F9" s="16"/>
      <c r="G9" s="16"/>
      <c r="H9" s="17"/>
    </row>
    <row r="10" spans="1:10" ht="15.75" customHeight="1" x14ac:dyDescent="0.25">
      <c r="A10" s="1"/>
      <c r="B10" s="15"/>
      <c r="C10" s="16"/>
      <c r="D10" s="16"/>
      <c r="E10" s="16"/>
      <c r="F10" s="16"/>
      <c r="G10" s="16"/>
      <c r="H10" s="17"/>
    </row>
    <row r="11" spans="1:10" ht="15.75" customHeight="1" x14ac:dyDescent="0.25">
      <c r="A11" s="1"/>
      <c r="B11" s="15"/>
      <c r="C11" s="16"/>
      <c r="D11" s="16"/>
      <c r="E11" s="16"/>
      <c r="F11" s="16"/>
      <c r="G11" s="16"/>
      <c r="H11" s="17"/>
    </row>
    <row r="12" spans="1:10" ht="15.75" customHeight="1" x14ac:dyDescent="0.25">
      <c r="A12" s="1"/>
      <c r="B12" s="15"/>
      <c r="C12" s="16"/>
      <c r="D12" s="16"/>
      <c r="E12" s="16"/>
      <c r="F12" s="16"/>
      <c r="G12" s="16"/>
      <c r="H12" s="17"/>
    </row>
    <row r="13" spans="1:10" ht="15.75" customHeight="1" x14ac:dyDescent="0.25">
      <c r="A13" s="1"/>
      <c r="B13" s="15"/>
      <c r="C13" s="16"/>
      <c r="D13" s="16"/>
      <c r="E13" s="16"/>
      <c r="F13" s="16"/>
      <c r="G13" s="16"/>
      <c r="H13" s="17"/>
    </row>
    <row r="14" spans="1:10" ht="15.75" customHeight="1" x14ac:dyDescent="0.25">
      <c r="A14" s="1"/>
      <c r="B14" s="15"/>
      <c r="C14" s="16"/>
      <c r="D14" s="16"/>
      <c r="E14" s="16"/>
      <c r="F14" s="16"/>
      <c r="G14" s="16"/>
      <c r="H14" s="17"/>
    </row>
    <row r="15" spans="1:10" ht="15.75" customHeight="1" x14ac:dyDescent="0.25">
      <c r="A15" s="1"/>
      <c r="B15" s="15"/>
      <c r="C15" s="16"/>
      <c r="D15" s="16"/>
      <c r="E15" s="16"/>
      <c r="F15" s="16"/>
      <c r="G15" s="16"/>
      <c r="H15" s="17"/>
    </row>
    <row r="16" spans="1:10" ht="15.75" customHeight="1" x14ac:dyDescent="0.25">
      <c r="A16" s="1"/>
      <c r="B16" s="15"/>
      <c r="C16" s="16"/>
      <c r="D16" s="16"/>
      <c r="E16" s="16"/>
      <c r="F16" s="16"/>
      <c r="G16" s="16"/>
      <c r="H16" s="17"/>
    </row>
    <row r="17" spans="1:8" ht="15.75" customHeight="1" x14ac:dyDescent="0.25">
      <c r="A17" s="1"/>
      <c r="B17" s="15"/>
      <c r="C17" s="16"/>
      <c r="D17" s="16"/>
      <c r="E17" s="16"/>
      <c r="F17" s="16"/>
      <c r="G17" s="16"/>
      <c r="H17" s="17"/>
    </row>
    <row r="18" spans="1:8" ht="15.75" customHeight="1" x14ac:dyDescent="0.25">
      <c r="A18" s="1"/>
      <c r="B18" s="15"/>
      <c r="C18" s="16"/>
      <c r="D18" s="16"/>
      <c r="E18" s="16"/>
      <c r="F18" s="16"/>
      <c r="G18" s="16"/>
      <c r="H18" s="17"/>
    </row>
    <row r="19" spans="1:8" ht="15.75" customHeight="1" x14ac:dyDescent="0.25">
      <c r="A19" s="1"/>
      <c r="B19" s="15"/>
      <c r="C19" s="16"/>
      <c r="D19" s="16"/>
      <c r="E19" s="16"/>
      <c r="F19" s="16"/>
      <c r="G19" s="16"/>
      <c r="H19" s="17"/>
    </row>
    <row r="20" spans="1:8" ht="15.75" customHeight="1" x14ac:dyDescent="0.25">
      <c r="A20" s="1"/>
      <c r="B20" s="15"/>
      <c r="C20" s="16"/>
      <c r="D20" s="16"/>
      <c r="E20" s="16"/>
      <c r="F20" s="16"/>
      <c r="G20" s="16"/>
      <c r="H20" s="17"/>
    </row>
    <row r="21" spans="1:8" ht="15.75" customHeight="1" x14ac:dyDescent="0.25">
      <c r="A21" s="1"/>
      <c r="B21" s="15"/>
      <c r="C21" s="16"/>
      <c r="D21" s="16"/>
      <c r="E21" s="16"/>
      <c r="F21" s="16"/>
      <c r="G21" s="16"/>
      <c r="H21" s="17"/>
    </row>
    <row r="22" spans="1:8" ht="15.75" customHeight="1" x14ac:dyDescent="0.25">
      <c r="A22" s="1"/>
      <c r="B22" s="15"/>
      <c r="C22" s="16"/>
      <c r="D22" s="16"/>
      <c r="E22" s="16"/>
      <c r="F22" s="16"/>
      <c r="G22" s="16"/>
      <c r="H22" s="17"/>
    </row>
    <row r="23" spans="1:8" ht="15.75" customHeight="1" x14ac:dyDescent="0.25">
      <c r="A23" s="1"/>
      <c r="B23" s="15"/>
      <c r="C23" s="16"/>
      <c r="D23" s="16"/>
      <c r="E23" s="16"/>
      <c r="F23" s="16"/>
      <c r="G23" s="16"/>
      <c r="H23" s="17"/>
    </row>
    <row r="24" spans="1:8" ht="15.75" customHeight="1" x14ac:dyDescent="0.25">
      <c r="A24" s="1"/>
      <c r="B24" s="15"/>
      <c r="C24" s="16"/>
      <c r="D24" s="16"/>
      <c r="E24" s="16"/>
      <c r="F24" s="16"/>
      <c r="G24" s="16"/>
      <c r="H24" s="17"/>
    </row>
    <row r="25" spans="1:8" ht="15.75" customHeight="1" x14ac:dyDescent="0.25">
      <c r="A25" s="1"/>
      <c r="B25" s="15"/>
      <c r="C25" s="16"/>
      <c r="D25" s="16"/>
      <c r="E25" s="16"/>
      <c r="F25" s="16"/>
      <c r="G25" s="16"/>
      <c r="H25" s="17"/>
    </row>
    <row r="26" spans="1:8" ht="15.75" customHeight="1" x14ac:dyDescent="0.25">
      <c r="A26" s="1"/>
      <c r="B26" s="15"/>
      <c r="C26" s="16"/>
      <c r="D26" s="16"/>
      <c r="E26" s="16"/>
      <c r="F26" s="16"/>
      <c r="G26" s="16"/>
      <c r="H26" s="17"/>
    </row>
    <row r="27" spans="1:8" ht="15.75" customHeight="1" x14ac:dyDescent="0.25">
      <c r="B27" s="15"/>
      <c r="C27" s="16"/>
      <c r="D27" s="16"/>
      <c r="E27" s="16"/>
      <c r="F27" s="16"/>
      <c r="G27" s="16"/>
      <c r="H27" s="17"/>
    </row>
    <row r="28" spans="1:8" ht="15.75" customHeight="1" x14ac:dyDescent="0.25">
      <c r="B28" s="18"/>
      <c r="C28" s="19"/>
      <c r="D28" s="19"/>
      <c r="E28" s="19"/>
      <c r="F28" s="19"/>
      <c r="G28" s="19"/>
      <c r="H28" s="20"/>
    </row>
    <row r="29" spans="1:8" ht="15.75" customHeight="1" x14ac:dyDescent="0.25">
      <c r="B29" s="29" t="s">
        <v>117</v>
      </c>
      <c r="C29" s="30"/>
      <c r="D29" s="30"/>
      <c r="E29" s="30"/>
      <c r="F29" s="30"/>
      <c r="G29" s="30"/>
      <c r="H29" s="31"/>
    </row>
    <row r="30" spans="1:8" ht="15.75" customHeight="1" x14ac:dyDescent="0.25">
      <c r="B30" s="32" t="s">
        <v>118</v>
      </c>
      <c r="C30" s="33"/>
      <c r="D30" s="33"/>
      <c r="E30" s="33"/>
      <c r="F30" s="33"/>
      <c r="G30" s="33"/>
      <c r="H30" s="34"/>
    </row>
    <row r="31" spans="1:8" ht="15.75" customHeight="1" x14ac:dyDescent="0.25">
      <c r="B31" s="26" t="s">
        <v>119</v>
      </c>
      <c r="C31" s="27"/>
      <c r="D31" s="27"/>
      <c r="E31" s="27"/>
      <c r="F31" s="27"/>
      <c r="G31" s="27"/>
      <c r="H31" s="28"/>
    </row>
    <row r="32" spans="1:8" ht="15.75" customHeight="1" x14ac:dyDescent="0.25">
      <c r="B32" s="32" t="s">
        <v>120</v>
      </c>
      <c r="C32" s="33"/>
      <c r="D32" s="33"/>
      <c r="E32" s="33"/>
      <c r="F32" s="33"/>
      <c r="G32" s="33"/>
      <c r="H32" s="34"/>
    </row>
    <row r="33" spans="2:8" ht="15.75" customHeight="1" x14ac:dyDescent="0.25">
      <c r="B33" s="26" t="s">
        <v>121</v>
      </c>
      <c r="C33" s="27"/>
      <c r="D33" s="27"/>
      <c r="E33" s="27"/>
      <c r="F33" s="27"/>
      <c r="G33" s="27"/>
      <c r="H33" s="28"/>
    </row>
    <row r="34" spans="2:8" ht="15.75" customHeight="1" x14ac:dyDescent="0.25">
      <c r="B34" s="32" t="s">
        <v>122</v>
      </c>
      <c r="C34" s="33"/>
      <c r="D34" s="33"/>
      <c r="E34" s="33"/>
      <c r="F34" s="33"/>
      <c r="G34" s="33"/>
      <c r="H34" s="34"/>
    </row>
    <row r="35" spans="2:8" ht="15.75" customHeight="1" x14ac:dyDescent="0.25">
      <c r="B35" s="35" t="s">
        <v>123</v>
      </c>
      <c r="C35" s="36"/>
      <c r="D35" s="36"/>
      <c r="E35" s="36"/>
      <c r="F35" s="36"/>
      <c r="G35" s="36"/>
      <c r="H35" s="37"/>
    </row>
    <row r="36" spans="2:8" ht="15.75" customHeight="1" x14ac:dyDescent="0.25">
      <c r="B36" s="21" t="s">
        <v>111</v>
      </c>
      <c r="C36" s="22"/>
      <c r="D36" s="22"/>
      <c r="E36" s="22"/>
      <c r="F36" s="22"/>
      <c r="G36" s="22"/>
      <c r="H36" s="23"/>
    </row>
    <row r="37" spans="2:8" ht="15.75" customHeight="1" x14ac:dyDescent="0.25">
      <c r="B37" s="4" t="s">
        <v>114</v>
      </c>
      <c r="C37" s="24" t="s">
        <v>113</v>
      </c>
      <c r="D37" s="24"/>
      <c r="E37" s="24"/>
      <c r="F37" s="24"/>
      <c r="G37" s="24"/>
      <c r="H37" s="25"/>
    </row>
    <row r="38" spans="2:8" ht="15.75" customHeight="1" x14ac:dyDescent="0.25">
      <c r="B38" s="5"/>
      <c r="C38" s="5"/>
      <c r="D38" s="5"/>
      <c r="E38" s="5"/>
      <c r="F38" s="5"/>
      <c r="G38" s="5"/>
      <c r="H38" s="5"/>
    </row>
  </sheetData>
  <mergeCells count="11">
    <mergeCell ref="B1:H1"/>
    <mergeCell ref="B2:H28"/>
    <mergeCell ref="B36:H36"/>
    <mergeCell ref="C37:H37"/>
    <mergeCell ref="B31:H31"/>
    <mergeCell ref="B29:H29"/>
    <mergeCell ref="B30:H30"/>
    <mergeCell ref="B32:H32"/>
    <mergeCell ref="B33:H33"/>
    <mergeCell ref="B34:H34"/>
    <mergeCell ref="B35:H35"/>
  </mergeCells>
  <hyperlinks>
    <hyperlink ref="B32" r:id="rId1" xr:uid="{9A90FE6E-210F-4EC1-AFA7-E62695DB55AC}"/>
    <hyperlink ref="B30" r:id="rId2" xr:uid="{FCF93AC5-5FDE-4E38-A2CF-7B7DCE58541D}"/>
    <hyperlink ref="B34" r:id="rId3" xr:uid="{27A36516-B966-4550-9A08-CFBA9B258957}"/>
    <hyperlink ref="B35" r:id="rId4" xr:uid="{7E6E51C2-EF64-4CDF-8B2D-98B5ADD47528}"/>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78"/>
  <sheetViews>
    <sheetView workbookViewId="0">
      <selection sqref="A1:A1048576"/>
    </sheetView>
  </sheetViews>
  <sheetFormatPr defaultColWidth="12.6640625" defaultRowHeight="15.75" customHeight="1" x14ac:dyDescent="0.25"/>
  <cols>
    <col min="1" max="1" width="20.77734375" bestFit="1" customWidth="1"/>
    <col min="2" max="2" width="17.77734375" bestFit="1" customWidth="1"/>
    <col min="4" max="4" width="7.21875" bestFit="1" customWidth="1"/>
  </cols>
  <sheetData>
    <row r="1" spans="1:10" ht="13.2" x14ac:dyDescent="0.25">
      <c r="A1" s="6" t="s">
        <v>115</v>
      </c>
      <c r="B1" s="7" t="s">
        <v>1</v>
      </c>
      <c r="C1" s="7" t="s">
        <v>2</v>
      </c>
      <c r="D1" s="7" t="s">
        <v>3</v>
      </c>
      <c r="E1" s="8" t="s">
        <v>4</v>
      </c>
      <c r="F1" s="8" t="s">
        <v>5</v>
      </c>
      <c r="G1" s="8" t="s">
        <v>6</v>
      </c>
      <c r="H1" s="8" t="s">
        <v>7</v>
      </c>
      <c r="I1" s="8" t="s">
        <v>8</v>
      </c>
      <c r="J1" s="8" t="s">
        <v>9</v>
      </c>
    </row>
    <row r="2" spans="1:10" ht="13.2" x14ac:dyDescent="0.25">
      <c r="A2" t="s">
        <v>116</v>
      </c>
      <c r="B2" t="s">
        <v>10</v>
      </c>
      <c r="C2" t="s">
        <v>11</v>
      </c>
      <c r="D2">
        <v>14.6</v>
      </c>
      <c r="E2">
        <f t="shared" ref="E2:E33" si="0">ROUND(AVERAGE($D$2:$D$78),2)</f>
        <v>10.5</v>
      </c>
      <c r="F2">
        <f t="shared" ref="F2:F33" si="1">ROUND(E2+(2.66*I2),2)</f>
        <v>22.44</v>
      </c>
      <c r="G2">
        <f t="shared" ref="G2:G33" si="2">ROUND(MAX(0,E2-(2.66*I2)),2)</f>
        <v>0</v>
      </c>
      <c r="I2">
        <f t="shared" ref="I2:I33" si="3">ROUND(AVERAGE($H$3:$H$78),2)</f>
        <v>4.49</v>
      </c>
      <c r="J2">
        <f t="shared" ref="J2:J33" si="4">ROUND(3.268*I2,2)</f>
        <v>14.67</v>
      </c>
    </row>
    <row r="3" spans="1:10" ht="13.2" x14ac:dyDescent="0.25">
      <c r="A3" t="s">
        <v>116</v>
      </c>
      <c r="B3" t="s">
        <v>10</v>
      </c>
      <c r="C3" t="s">
        <v>12</v>
      </c>
      <c r="D3">
        <v>7.5</v>
      </c>
      <c r="E3">
        <f t="shared" si="0"/>
        <v>10.5</v>
      </c>
      <c r="F3">
        <f t="shared" si="1"/>
        <v>22.44</v>
      </c>
      <c r="G3">
        <f t="shared" si="2"/>
        <v>0</v>
      </c>
      <c r="H3">
        <f t="shared" ref="H3:H33" si="5">ABS(D2-D3)</f>
        <v>7.1</v>
      </c>
      <c r="I3">
        <f t="shared" si="3"/>
        <v>4.49</v>
      </c>
      <c r="J3">
        <f t="shared" si="4"/>
        <v>14.67</v>
      </c>
    </row>
    <row r="4" spans="1:10" ht="13.2" x14ac:dyDescent="0.25">
      <c r="A4" t="s">
        <v>116</v>
      </c>
      <c r="B4" t="s">
        <v>10</v>
      </c>
      <c r="C4" t="s">
        <v>13</v>
      </c>
      <c r="D4">
        <v>4.3</v>
      </c>
      <c r="E4">
        <f t="shared" si="0"/>
        <v>10.5</v>
      </c>
      <c r="F4">
        <f t="shared" si="1"/>
        <v>22.44</v>
      </c>
      <c r="G4">
        <f t="shared" si="2"/>
        <v>0</v>
      </c>
      <c r="H4">
        <f t="shared" si="5"/>
        <v>3.2</v>
      </c>
      <c r="I4">
        <f t="shared" si="3"/>
        <v>4.49</v>
      </c>
      <c r="J4">
        <f t="shared" si="4"/>
        <v>14.67</v>
      </c>
    </row>
    <row r="5" spans="1:10" ht="13.2" x14ac:dyDescent="0.25">
      <c r="A5" t="s">
        <v>116</v>
      </c>
      <c r="B5" t="s">
        <v>10</v>
      </c>
      <c r="C5" t="s">
        <v>14</v>
      </c>
      <c r="D5">
        <v>1.6</v>
      </c>
      <c r="E5">
        <f t="shared" si="0"/>
        <v>10.5</v>
      </c>
      <c r="F5">
        <f t="shared" si="1"/>
        <v>22.44</v>
      </c>
      <c r="G5">
        <f t="shared" si="2"/>
        <v>0</v>
      </c>
      <c r="H5">
        <f t="shared" si="5"/>
        <v>2.6999999999999997</v>
      </c>
      <c r="I5">
        <f t="shared" si="3"/>
        <v>4.49</v>
      </c>
      <c r="J5">
        <f t="shared" si="4"/>
        <v>14.67</v>
      </c>
    </row>
    <row r="6" spans="1:10" ht="13.2" x14ac:dyDescent="0.25">
      <c r="A6" t="s">
        <v>116</v>
      </c>
      <c r="B6" t="s">
        <v>10</v>
      </c>
      <c r="C6" t="s">
        <v>15</v>
      </c>
      <c r="D6">
        <v>0.8</v>
      </c>
      <c r="E6">
        <f t="shared" si="0"/>
        <v>10.5</v>
      </c>
      <c r="F6">
        <f t="shared" si="1"/>
        <v>22.44</v>
      </c>
      <c r="G6">
        <f t="shared" si="2"/>
        <v>0</v>
      </c>
      <c r="H6">
        <f t="shared" si="5"/>
        <v>0.8</v>
      </c>
      <c r="I6">
        <f t="shared" si="3"/>
        <v>4.49</v>
      </c>
      <c r="J6">
        <f t="shared" si="4"/>
        <v>14.67</v>
      </c>
    </row>
    <row r="7" spans="1:10" ht="13.2" x14ac:dyDescent="0.25">
      <c r="A7" t="s">
        <v>116</v>
      </c>
      <c r="B7" t="s">
        <v>10</v>
      </c>
      <c r="C7" t="s">
        <v>16</v>
      </c>
      <c r="D7">
        <v>5</v>
      </c>
      <c r="E7">
        <f t="shared" si="0"/>
        <v>10.5</v>
      </c>
      <c r="F7">
        <f t="shared" si="1"/>
        <v>22.44</v>
      </c>
      <c r="G7">
        <f t="shared" si="2"/>
        <v>0</v>
      </c>
      <c r="H7">
        <f t="shared" si="5"/>
        <v>4.2</v>
      </c>
      <c r="I7">
        <f t="shared" si="3"/>
        <v>4.49</v>
      </c>
      <c r="J7">
        <f t="shared" si="4"/>
        <v>14.67</v>
      </c>
    </row>
    <row r="8" spans="1:10" ht="13.2" x14ac:dyDescent="0.25">
      <c r="A8" t="s">
        <v>116</v>
      </c>
      <c r="B8" t="s">
        <v>10</v>
      </c>
      <c r="C8" t="s">
        <v>17</v>
      </c>
      <c r="D8">
        <v>8.4</v>
      </c>
      <c r="E8">
        <f t="shared" si="0"/>
        <v>10.5</v>
      </c>
      <c r="F8">
        <f t="shared" si="1"/>
        <v>22.44</v>
      </c>
      <c r="G8">
        <f t="shared" si="2"/>
        <v>0</v>
      </c>
      <c r="H8">
        <f t="shared" si="5"/>
        <v>3.4000000000000004</v>
      </c>
      <c r="I8">
        <f t="shared" si="3"/>
        <v>4.49</v>
      </c>
      <c r="J8">
        <f t="shared" si="4"/>
        <v>14.67</v>
      </c>
    </row>
    <row r="9" spans="1:10" ht="13.2" x14ac:dyDescent="0.25">
      <c r="A9" t="s">
        <v>116</v>
      </c>
      <c r="B9" t="s">
        <v>10</v>
      </c>
      <c r="C9" t="s">
        <v>18</v>
      </c>
      <c r="D9">
        <v>1.4</v>
      </c>
      <c r="E9">
        <f t="shared" si="0"/>
        <v>10.5</v>
      </c>
      <c r="F9">
        <f t="shared" si="1"/>
        <v>22.44</v>
      </c>
      <c r="G9">
        <f t="shared" si="2"/>
        <v>0</v>
      </c>
      <c r="H9">
        <f t="shared" si="5"/>
        <v>7</v>
      </c>
      <c r="I9">
        <f t="shared" si="3"/>
        <v>4.49</v>
      </c>
      <c r="J9">
        <f t="shared" si="4"/>
        <v>14.67</v>
      </c>
    </row>
    <row r="10" spans="1:10" ht="13.2" x14ac:dyDescent="0.25">
      <c r="A10" t="s">
        <v>116</v>
      </c>
      <c r="B10" t="s">
        <v>10</v>
      </c>
      <c r="C10" t="s">
        <v>19</v>
      </c>
      <c r="D10">
        <v>1.9</v>
      </c>
      <c r="E10">
        <f t="shared" si="0"/>
        <v>10.5</v>
      </c>
      <c r="F10">
        <f t="shared" si="1"/>
        <v>22.44</v>
      </c>
      <c r="G10">
        <f t="shared" si="2"/>
        <v>0</v>
      </c>
      <c r="H10">
        <f t="shared" si="5"/>
        <v>0.5</v>
      </c>
      <c r="I10">
        <f t="shared" si="3"/>
        <v>4.49</v>
      </c>
      <c r="J10">
        <f t="shared" si="4"/>
        <v>14.67</v>
      </c>
    </row>
    <row r="11" spans="1:10" ht="13.2" x14ac:dyDescent="0.25">
      <c r="A11" t="s">
        <v>116</v>
      </c>
      <c r="B11" t="s">
        <v>10</v>
      </c>
      <c r="C11" t="s">
        <v>20</v>
      </c>
      <c r="D11">
        <v>11</v>
      </c>
      <c r="E11">
        <f t="shared" si="0"/>
        <v>10.5</v>
      </c>
      <c r="F11">
        <f t="shared" si="1"/>
        <v>22.44</v>
      </c>
      <c r="G11">
        <f t="shared" si="2"/>
        <v>0</v>
      </c>
      <c r="H11">
        <f t="shared" si="5"/>
        <v>9.1</v>
      </c>
      <c r="I11">
        <f t="shared" si="3"/>
        <v>4.49</v>
      </c>
      <c r="J11">
        <f t="shared" si="4"/>
        <v>14.67</v>
      </c>
    </row>
    <row r="12" spans="1:10" ht="13.2" x14ac:dyDescent="0.25">
      <c r="A12" t="s">
        <v>116</v>
      </c>
      <c r="B12" t="s">
        <v>10</v>
      </c>
      <c r="C12" t="s">
        <v>21</v>
      </c>
      <c r="D12">
        <v>22.6</v>
      </c>
      <c r="E12">
        <f t="shared" si="0"/>
        <v>10.5</v>
      </c>
      <c r="F12">
        <f t="shared" si="1"/>
        <v>22.44</v>
      </c>
      <c r="G12">
        <f t="shared" si="2"/>
        <v>0</v>
      </c>
      <c r="H12">
        <f t="shared" si="5"/>
        <v>11.600000000000001</v>
      </c>
      <c r="I12">
        <f t="shared" si="3"/>
        <v>4.49</v>
      </c>
      <c r="J12">
        <f t="shared" si="4"/>
        <v>14.67</v>
      </c>
    </row>
    <row r="13" spans="1:10" ht="13.2" x14ac:dyDescent="0.25">
      <c r="A13" t="s">
        <v>116</v>
      </c>
      <c r="B13" t="s">
        <v>10</v>
      </c>
      <c r="C13" t="s">
        <v>22</v>
      </c>
      <c r="E13">
        <f t="shared" si="0"/>
        <v>10.5</v>
      </c>
      <c r="F13">
        <f t="shared" si="1"/>
        <v>22.44</v>
      </c>
      <c r="G13">
        <f t="shared" si="2"/>
        <v>0</v>
      </c>
      <c r="I13">
        <f t="shared" si="3"/>
        <v>4.49</v>
      </c>
      <c r="J13">
        <f t="shared" si="4"/>
        <v>14.67</v>
      </c>
    </row>
    <row r="14" spans="1:10" ht="13.2" x14ac:dyDescent="0.25">
      <c r="A14" t="s">
        <v>116</v>
      </c>
      <c r="B14" t="s">
        <v>10</v>
      </c>
      <c r="C14" t="s">
        <v>23</v>
      </c>
      <c r="D14">
        <v>20.8</v>
      </c>
      <c r="E14">
        <f t="shared" si="0"/>
        <v>10.5</v>
      </c>
      <c r="F14">
        <f t="shared" si="1"/>
        <v>22.44</v>
      </c>
      <c r="G14">
        <f t="shared" si="2"/>
        <v>0</v>
      </c>
      <c r="I14">
        <f t="shared" si="3"/>
        <v>4.49</v>
      </c>
      <c r="J14">
        <f t="shared" si="4"/>
        <v>14.67</v>
      </c>
    </row>
    <row r="15" spans="1:10" ht="13.2" x14ac:dyDescent="0.25">
      <c r="A15" t="s">
        <v>116</v>
      </c>
      <c r="B15" t="s">
        <v>10</v>
      </c>
      <c r="C15" t="s">
        <v>24</v>
      </c>
      <c r="D15">
        <v>12.2</v>
      </c>
      <c r="E15">
        <f t="shared" si="0"/>
        <v>10.5</v>
      </c>
      <c r="F15">
        <f t="shared" si="1"/>
        <v>22.44</v>
      </c>
      <c r="G15">
        <f t="shared" si="2"/>
        <v>0</v>
      </c>
      <c r="H15">
        <f t="shared" si="5"/>
        <v>8.6000000000000014</v>
      </c>
      <c r="I15">
        <f t="shared" si="3"/>
        <v>4.49</v>
      </c>
      <c r="J15">
        <f t="shared" si="4"/>
        <v>14.67</v>
      </c>
    </row>
    <row r="16" spans="1:10" ht="13.2" x14ac:dyDescent="0.25">
      <c r="A16" t="s">
        <v>116</v>
      </c>
      <c r="B16" t="s">
        <v>10</v>
      </c>
      <c r="C16" t="s">
        <v>25</v>
      </c>
      <c r="D16">
        <v>10.199999999999999</v>
      </c>
      <c r="E16">
        <f t="shared" si="0"/>
        <v>10.5</v>
      </c>
      <c r="F16">
        <f t="shared" si="1"/>
        <v>22.44</v>
      </c>
      <c r="G16">
        <f t="shared" si="2"/>
        <v>0</v>
      </c>
      <c r="H16">
        <f t="shared" si="5"/>
        <v>2</v>
      </c>
      <c r="I16">
        <f t="shared" si="3"/>
        <v>4.49</v>
      </c>
      <c r="J16">
        <f t="shared" si="4"/>
        <v>14.67</v>
      </c>
    </row>
    <row r="17" spans="1:10" ht="13.2" x14ac:dyDescent="0.25">
      <c r="A17" t="s">
        <v>116</v>
      </c>
      <c r="B17" t="s">
        <v>10</v>
      </c>
      <c r="C17" t="s">
        <v>26</v>
      </c>
      <c r="D17">
        <v>10.7</v>
      </c>
      <c r="E17">
        <f t="shared" si="0"/>
        <v>10.5</v>
      </c>
      <c r="F17">
        <f t="shared" si="1"/>
        <v>22.44</v>
      </c>
      <c r="G17">
        <f t="shared" si="2"/>
        <v>0</v>
      </c>
      <c r="H17">
        <f t="shared" si="5"/>
        <v>0.5</v>
      </c>
      <c r="I17">
        <f t="shared" si="3"/>
        <v>4.49</v>
      </c>
      <c r="J17">
        <f t="shared" si="4"/>
        <v>14.67</v>
      </c>
    </row>
    <row r="18" spans="1:10" ht="13.2" x14ac:dyDescent="0.25">
      <c r="A18" t="s">
        <v>116</v>
      </c>
      <c r="B18" t="s">
        <v>10</v>
      </c>
      <c r="C18" t="s">
        <v>27</v>
      </c>
      <c r="D18">
        <v>3.2</v>
      </c>
      <c r="E18">
        <f t="shared" si="0"/>
        <v>10.5</v>
      </c>
      <c r="F18">
        <f t="shared" si="1"/>
        <v>22.44</v>
      </c>
      <c r="G18">
        <f t="shared" si="2"/>
        <v>0</v>
      </c>
      <c r="H18">
        <f t="shared" si="5"/>
        <v>7.4999999999999991</v>
      </c>
      <c r="I18">
        <f t="shared" si="3"/>
        <v>4.49</v>
      </c>
      <c r="J18">
        <f t="shared" si="4"/>
        <v>14.67</v>
      </c>
    </row>
    <row r="19" spans="1:10" ht="13.2" x14ac:dyDescent="0.25">
      <c r="A19" t="s">
        <v>116</v>
      </c>
      <c r="B19" t="s">
        <v>10</v>
      </c>
      <c r="C19" t="s">
        <v>28</v>
      </c>
      <c r="D19">
        <v>6.6</v>
      </c>
      <c r="E19">
        <f t="shared" si="0"/>
        <v>10.5</v>
      </c>
      <c r="F19">
        <f t="shared" si="1"/>
        <v>22.44</v>
      </c>
      <c r="G19">
        <f t="shared" si="2"/>
        <v>0</v>
      </c>
      <c r="H19">
        <f t="shared" si="5"/>
        <v>3.3999999999999995</v>
      </c>
      <c r="I19">
        <f t="shared" si="3"/>
        <v>4.49</v>
      </c>
      <c r="J19">
        <f t="shared" si="4"/>
        <v>14.67</v>
      </c>
    </row>
    <row r="20" spans="1:10" ht="13.2" x14ac:dyDescent="0.25">
      <c r="A20" t="s">
        <v>116</v>
      </c>
      <c r="B20" t="s">
        <v>10</v>
      </c>
      <c r="C20" t="s">
        <v>29</v>
      </c>
      <c r="D20">
        <v>20.8</v>
      </c>
      <c r="E20">
        <f t="shared" si="0"/>
        <v>10.5</v>
      </c>
      <c r="F20">
        <f t="shared" si="1"/>
        <v>22.44</v>
      </c>
      <c r="G20">
        <f t="shared" si="2"/>
        <v>0</v>
      </c>
      <c r="H20">
        <f t="shared" si="5"/>
        <v>14.200000000000001</v>
      </c>
      <c r="I20">
        <f t="shared" si="3"/>
        <v>4.49</v>
      </c>
      <c r="J20">
        <f t="shared" si="4"/>
        <v>14.67</v>
      </c>
    </row>
    <row r="21" spans="1:10" ht="13.2" x14ac:dyDescent="0.25">
      <c r="A21" t="s">
        <v>116</v>
      </c>
      <c r="B21" t="s">
        <v>10</v>
      </c>
      <c r="C21" t="s">
        <v>30</v>
      </c>
      <c r="D21">
        <v>25.5</v>
      </c>
      <c r="E21">
        <f t="shared" si="0"/>
        <v>10.5</v>
      </c>
      <c r="F21">
        <f t="shared" si="1"/>
        <v>22.44</v>
      </c>
      <c r="G21">
        <f t="shared" si="2"/>
        <v>0</v>
      </c>
      <c r="H21">
        <f t="shared" si="5"/>
        <v>4.6999999999999993</v>
      </c>
      <c r="I21">
        <f t="shared" si="3"/>
        <v>4.49</v>
      </c>
      <c r="J21">
        <f t="shared" si="4"/>
        <v>14.67</v>
      </c>
    </row>
    <row r="22" spans="1:10" ht="13.2" x14ac:dyDescent="0.25">
      <c r="A22" t="s">
        <v>116</v>
      </c>
      <c r="B22" t="s">
        <v>10</v>
      </c>
      <c r="C22" t="s">
        <v>31</v>
      </c>
      <c r="D22">
        <v>18.399999999999999</v>
      </c>
      <c r="E22">
        <f t="shared" si="0"/>
        <v>10.5</v>
      </c>
      <c r="F22">
        <f t="shared" si="1"/>
        <v>22.44</v>
      </c>
      <c r="G22">
        <f t="shared" si="2"/>
        <v>0</v>
      </c>
      <c r="H22">
        <f t="shared" si="5"/>
        <v>7.1000000000000014</v>
      </c>
      <c r="I22">
        <f t="shared" si="3"/>
        <v>4.49</v>
      </c>
      <c r="J22">
        <f t="shared" si="4"/>
        <v>14.67</v>
      </c>
    </row>
    <row r="23" spans="1:10" ht="13.2" x14ac:dyDescent="0.25">
      <c r="A23" t="s">
        <v>116</v>
      </c>
      <c r="B23" t="s">
        <v>10</v>
      </c>
      <c r="C23" t="s">
        <v>32</v>
      </c>
      <c r="D23">
        <v>29.3</v>
      </c>
      <c r="E23">
        <f t="shared" si="0"/>
        <v>10.5</v>
      </c>
      <c r="F23">
        <f t="shared" si="1"/>
        <v>22.44</v>
      </c>
      <c r="G23">
        <f t="shared" si="2"/>
        <v>0</v>
      </c>
      <c r="H23">
        <f t="shared" si="5"/>
        <v>10.900000000000002</v>
      </c>
      <c r="I23">
        <f t="shared" si="3"/>
        <v>4.49</v>
      </c>
      <c r="J23">
        <f t="shared" si="4"/>
        <v>14.67</v>
      </c>
    </row>
    <row r="24" spans="1:10" ht="13.2" x14ac:dyDescent="0.25">
      <c r="A24" t="s">
        <v>116</v>
      </c>
      <c r="B24" t="s">
        <v>10</v>
      </c>
      <c r="C24" t="s">
        <v>33</v>
      </c>
      <c r="D24">
        <v>23</v>
      </c>
      <c r="E24">
        <f t="shared" si="0"/>
        <v>10.5</v>
      </c>
      <c r="F24">
        <f t="shared" si="1"/>
        <v>22.44</v>
      </c>
      <c r="G24">
        <f t="shared" si="2"/>
        <v>0</v>
      </c>
      <c r="H24">
        <f t="shared" si="5"/>
        <v>6.3000000000000007</v>
      </c>
      <c r="I24">
        <f t="shared" si="3"/>
        <v>4.49</v>
      </c>
      <c r="J24">
        <f t="shared" si="4"/>
        <v>14.67</v>
      </c>
    </row>
    <row r="25" spans="1:10" ht="13.2" x14ac:dyDescent="0.25">
      <c r="A25" t="s">
        <v>116</v>
      </c>
      <c r="B25" t="s">
        <v>10</v>
      </c>
      <c r="C25" t="s">
        <v>34</v>
      </c>
      <c r="D25">
        <v>31.4</v>
      </c>
      <c r="E25">
        <f t="shared" si="0"/>
        <v>10.5</v>
      </c>
      <c r="F25">
        <f t="shared" si="1"/>
        <v>22.44</v>
      </c>
      <c r="G25">
        <f t="shared" si="2"/>
        <v>0</v>
      </c>
      <c r="H25">
        <f t="shared" si="5"/>
        <v>8.3999999999999986</v>
      </c>
      <c r="I25">
        <f t="shared" si="3"/>
        <v>4.49</v>
      </c>
      <c r="J25">
        <f t="shared" si="4"/>
        <v>14.67</v>
      </c>
    </row>
    <row r="26" spans="1:10" ht="13.2" x14ac:dyDescent="0.25">
      <c r="A26" t="s">
        <v>116</v>
      </c>
      <c r="B26" t="s">
        <v>10</v>
      </c>
      <c r="C26" t="s">
        <v>35</v>
      </c>
      <c r="D26">
        <v>19.100000000000001</v>
      </c>
      <c r="E26">
        <f t="shared" si="0"/>
        <v>10.5</v>
      </c>
      <c r="F26">
        <f t="shared" si="1"/>
        <v>22.44</v>
      </c>
      <c r="G26">
        <f t="shared" si="2"/>
        <v>0</v>
      </c>
      <c r="H26">
        <f t="shared" si="5"/>
        <v>12.299999999999997</v>
      </c>
      <c r="I26">
        <f t="shared" si="3"/>
        <v>4.49</v>
      </c>
      <c r="J26">
        <f t="shared" si="4"/>
        <v>14.67</v>
      </c>
    </row>
    <row r="27" spans="1:10" ht="13.2" x14ac:dyDescent="0.25">
      <c r="A27" t="s">
        <v>116</v>
      </c>
      <c r="B27" t="s">
        <v>10</v>
      </c>
      <c r="C27" t="s">
        <v>36</v>
      </c>
      <c r="D27">
        <v>16</v>
      </c>
      <c r="E27">
        <f t="shared" si="0"/>
        <v>10.5</v>
      </c>
      <c r="F27">
        <f t="shared" si="1"/>
        <v>22.44</v>
      </c>
      <c r="G27">
        <f t="shared" si="2"/>
        <v>0</v>
      </c>
      <c r="H27">
        <f t="shared" si="5"/>
        <v>3.1000000000000014</v>
      </c>
      <c r="I27">
        <f t="shared" si="3"/>
        <v>4.49</v>
      </c>
      <c r="J27">
        <f t="shared" si="4"/>
        <v>14.67</v>
      </c>
    </row>
    <row r="28" spans="1:10" ht="13.2" x14ac:dyDescent="0.25">
      <c r="A28" t="s">
        <v>116</v>
      </c>
      <c r="B28" t="s">
        <v>10</v>
      </c>
      <c r="C28" t="s">
        <v>37</v>
      </c>
      <c r="D28">
        <v>12.4</v>
      </c>
      <c r="E28">
        <f t="shared" si="0"/>
        <v>10.5</v>
      </c>
      <c r="F28">
        <f t="shared" si="1"/>
        <v>22.44</v>
      </c>
      <c r="G28">
        <f t="shared" si="2"/>
        <v>0</v>
      </c>
      <c r="H28">
        <f t="shared" si="5"/>
        <v>3.5999999999999996</v>
      </c>
      <c r="I28">
        <f t="shared" si="3"/>
        <v>4.49</v>
      </c>
      <c r="J28">
        <f t="shared" si="4"/>
        <v>14.67</v>
      </c>
    </row>
    <row r="29" spans="1:10" ht="13.2" x14ac:dyDescent="0.25">
      <c r="A29" t="s">
        <v>116</v>
      </c>
      <c r="B29" t="s">
        <v>10</v>
      </c>
      <c r="C29" t="s">
        <v>38</v>
      </c>
      <c r="D29">
        <v>11.9</v>
      </c>
      <c r="E29">
        <f t="shared" si="0"/>
        <v>10.5</v>
      </c>
      <c r="F29">
        <f t="shared" si="1"/>
        <v>22.44</v>
      </c>
      <c r="G29">
        <f t="shared" si="2"/>
        <v>0</v>
      </c>
      <c r="H29">
        <f t="shared" si="5"/>
        <v>0.5</v>
      </c>
      <c r="I29">
        <f t="shared" si="3"/>
        <v>4.49</v>
      </c>
      <c r="J29">
        <f t="shared" si="4"/>
        <v>14.67</v>
      </c>
    </row>
    <row r="30" spans="1:10" ht="13.2" x14ac:dyDescent="0.25">
      <c r="A30" t="s">
        <v>116</v>
      </c>
      <c r="B30" t="s">
        <v>10</v>
      </c>
      <c r="C30" t="s">
        <v>39</v>
      </c>
      <c r="D30">
        <v>6.1</v>
      </c>
      <c r="E30">
        <f t="shared" si="0"/>
        <v>10.5</v>
      </c>
      <c r="F30">
        <f t="shared" si="1"/>
        <v>22.44</v>
      </c>
      <c r="G30">
        <f t="shared" si="2"/>
        <v>0</v>
      </c>
      <c r="H30">
        <f t="shared" si="5"/>
        <v>5.8000000000000007</v>
      </c>
      <c r="I30">
        <f t="shared" si="3"/>
        <v>4.49</v>
      </c>
      <c r="J30">
        <f t="shared" si="4"/>
        <v>14.67</v>
      </c>
    </row>
    <row r="31" spans="1:10" ht="13.2" x14ac:dyDescent="0.25">
      <c r="A31" t="s">
        <v>116</v>
      </c>
      <c r="B31" t="s">
        <v>10</v>
      </c>
      <c r="C31" t="s">
        <v>40</v>
      </c>
      <c r="D31">
        <v>4.0999999999999996</v>
      </c>
      <c r="E31">
        <f t="shared" si="0"/>
        <v>10.5</v>
      </c>
      <c r="F31">
        <f t="shared" si="1"/>
        <v>22.44</v>
      </c>
      <c r="G31">
        <f t="shared" si="2"/>
        <v>0</v>
      </c>
      <c r="H31">
        <f t="shared" si="5"/>
        <v>2</v>
      </c>
      <c r="I31">
        <f t="shared" si="3"/>
        <v>4.49</v>
      </c>
      <c r="J31">
        <f t="shared" si="4"/>
        <v>14.67</v>
      </c>
    </row>
    <row r="32" spans="1:10" ht="13.2" x14ac:dyDescent="0.25">
      <c r="A32" t="s">
        <v>116</v>
      </c>
      <c r="B32" t="s">
        <v>10</v>
      </c>
      <c r="C32" t="s">
        <v>41</v>
      </c>
      <c r="D32">
        <v>0.5</v>
      </c>
      <c r="E32">
        <f t="shared" si="0"/>
        <v>10.5</v>
      </c>
      <c r="F32">
        <f t="shared" si="1"/>
        <v>22.44</v>
      </c>
      <c r="G32">
        <f t="shared" si="2"/>
        <v>0</v>
      </c>
      <c r="H32">
        <f t="shared" si="5"/>
        <v>3.5999999999999996</v>
      </c>
      <c r="I32">
        <f t="shared" si="3"/>
        <v>4.49</v>
      </c>
      <c r="J32">
        <f t="shared" si="4"/>
        <v>14.67</v>
      </c>
    </row>
    <row r="33" spans="1:10" ht="13.2" x14ac:dyDescent="0.25">
      <c r="A33" t="s">
        <v>116</v>
      </c>
      <c r="B33" t="s">
        <v>10</v>
      </c>
      <c r="C33" t="s">
        <v>42</v>
      </c>
      <c r="D33">
        <v>1.6</v>
      </c>
      <c r="E33">
        <f t="shared" si="0"/>
        <v>10.5</v>
      </c>
      <c r="F33">
        <f t="shared" si="1"/>
        <v>22.44</v>
      </c>
      <c r="G33">
        <f t="shared" si="2"/>
        <v>0</v>
      </c>
      <c r="H33">
        <f t="shared" si="5"/>
        <v>1.1000000000000001</v>
      </c>
      <c r="I33">
        <f t="shared" si="3"/>
        <v>4.49</v>
      </c>
      <c r="J33">
        <f t="shared" si="4"/>
        <v>14.67</v>
      </c>
    </row>
    <row r="34" spans="1:10" ht="13.2" x14ac:dyDescent="0.25">
      <c r="A34" t="s">
        <v>116</v>
      </c>
      <c r="B34" t="s">
        <v>10</v>
      </c>
      <c r="C34" t="s">
        <v>43</v>
      </c>
      <c r="D34">
        <v>2.2999999999999998</v>
      </c>
      <c r="E34">
        <f t="shared" ref="E34:E65" si="6">ROUND(AVERAGE($D$2:$D$78),2)</f>
        <v>10.5</v>
      </c>
      <c r="F34">
        <f t="shared" ref="F34:F65" si="7">ROUND(E34+(2.66*I34),2)</f>
        <v>22.44</v>
      </c>
      <c r="G34">
        <f t="shared" ref="G34:G65" si="8">ROUND(MAX(0,E34-(2.66*I34)),2)</f>
        <v>0</v>
      </c>
      <c r="H34">
        <f t="shared" ref="H34:H65" si="9">ABS(D33-D34)</f>
        <v>0.69999999999999973</v>
      </c>
      <c r="I34">
        <f t="shared" ref="I34:I65" si="10">ROUND(AVERAGE($H$3:$H$78),2)</f>
        <v>4.49</v>
      </c>
      <c r="J34">
        <f t="shared" ref="J34:J65" si="11">ROUND(3.268*I34,2)</f>
        <v>14.67</v>
      </c>
    </row>
    <row r="35" spans="1:10" ht="13.2" x14ac:dyDescent="0.25">
      <c r="A35" t="s">
        <v>116</v>
      </c>
      <c r="B35" t="s">
        <v>10</v>
      </c>
      <c r="C35" t="s">
        <v>44</v>
      </c>
      <c r="D35">
        <v>17.600000000000001</v>
      </c>
      <c r="E35">
        <f t="shared" si="6"/>
        <v>10.5</v>
      </c>
      <c r="F35">
        <f t="shared" si="7"/>
        <v>22.44</v>
      </c>
      <c r="G35">
        <f t="shared" si="8"/>
        <v>0</v>
      </c>
      <c r="H35">
        <f t="shared" si="9"/>
        <v>15.3</v>
      </c>
      <c r="I35">
        <f t="shared" si="10"/>
        <v>4.49</v>
      </c>
      <c r="J35">
        <f t="shared" si="11"/>
        <v>14.67</v>
      </c>
    </row>
    <row r="36" spans="1:10" ht="13.2" x14ac:dyDescent="0.25">
      <c r="A36" t="s">
        <v>116</v>
      </c>
      <c r="B36" t="s">
        <v>10</v>
      </c>
      <c r="C36" t="s">
        <v>45</v>
      </c>
      <c r="D36">
        <v>7.1</v>
      </c>
      <c r="E36">
        <f t="shared" si="6"/>
        <v>10.5</v>
      </c>
      <c r="F36">
        <f t="shared" si="7"/>
        <v>22.44</v>
      </c>
      <c r="G36">
        <f t="shared" si="8"/>
        <v>0</v>
      </c>
      <c r="H36">
        <f t="shared" si="9"/>
        <v>10.500000000000002</v>
      </c>
      <c r="I36">
        <f t="shared" si="10"/>
        <v>4.49</v>
      </c>
      <c r="J36">
        <f t="shared" si="11"/>
        <v>14.67</v>
      </c>
    </row>
    <row r="37" spans="1:10" ht="13.2" x14ac:dyDescent="0.25">
      <c r="A37" t="s">
        <v>116</v>
      </c>
      <c r="B37" t="s">
        <v>10</v>
      </c>
      <c r="C37" t="s">
        <v>46</v>
      </c>
      <c r="D37">
        <v>8.1</v>
      </c>
      <c r="E37">
        <f t="shared" si="6"/>
        <v>10.5</v>
      </c>
      <c r="F37">
        <f t="shared" si="7"/>
        <v>22.44</v>
      </c>
      <c r="G37">
        <f t="shared" si="8"/>
        <v>0</v>
      </c>
      <c r="H37">
        <f t="shared" si="9"/>
        <v>1</v>
      </c>
      <c r="I37">
        <f t="shared" si="10"/>
        <v>4.49</v>
      </c>
      <c r="J37">
        <f t="shared" si="11"/>
        <v>14.67</v>
      </c>
    </row>
    <row r="38" spans="1:10" ht="13.2" x14ac:dyDescent="0.25">
      <c r="A38" t="s">
        <v>116</v>
      </c>
      <c r="B38" t="s">
        <v>10</v>
      </c>
      <c r="C38" t="s">
        <v>47</v>
      </c>
      <c r="D38">
        <v>15.2</v>
      </c>
      <c r="E38">
        <f t="shared" si="6"/>
        <v>10.5</v>
      </c>
      <c r="F38">
        <f t="shared" si="7"/>
        <v>22.44</v>
      </c>
      <c r="G38">
        <f t="shared" si="8"/>
        <v>0</v>
      </c>
      <c r="H38">
        <f t="shared" si="9"/>
        <v>7.1</v>
      </c>
      <c r="I38">
        <f t="shared" si="10"/>
        <v>4.49</v>
      </c>
      <c r="J38">
        <f t="shared" si="11"/>
        <v>14.67</v>
      </c>
    </row>
    <row r="39" spans="1:10" ht="13.2" x14ac:dyDescent="0.25">
      <c r="A39" t="s">
        <v>116</v>
      </c>
      <c r="B39" t="s">
        <v>10</v>
      </c>
      <c r="C39" t="s">
        <v>48</v>
      </c>
      <c r="D39">
        <v>11.3</v>
      </c>
      <c r="E39">
        <f t="shared" si="6"/>
        <v>10.5</v>
      </c>
      <c r="F39">
        <f t="shared" si="7"/>
        <v>22.44</v>
      </c>
      <c r="G39">
        <f t="shared" si="8"/>
        <v>0</v>
      </c>
      <c r="H39">
        <f t="shared" si="9"/>
        <v>3.8999999999999986</v>
      </c>
      <c r="I39">
        <f t="shared" si="10"/>
        <v>4.49</v>
      </c>
      <c r="J39">
        <f t="shared" si="11"/>
        <v>14.67</v>
      </c>
    </row>
    <row r="40" spans="1:10" ht="13.2" x14ac:dyDescent="0.25">
      <c r="A40" t="s">
        <v>116</v>
      </c>
      <c r="B40" t="s">
        <v>10</v>
      </c>
      <c r="C40" t="s">
        <v>49</v>
      </c>
      <c r="D40">
        <v>17</v>
      </c>
      <c r="E40">
        <f t="shared" si="6"/>
        <v>10.5</v>
      </c>
      <c r="F40">
        <f t="shared" si="7"/>
        <v>22.44</v>
      </c>
      <c r="G40">
        <f t="shared" si="8"/>
        <v>0</v>
      </c>
      <c r="H40">
        <f t="shared" si="9"/>
        <v>5.6999999999999993</v>
      </c>
      <c r="I40">
        <f t="shared" si="10"/>
        <v>4.49</v>
      </c>
      <c r="J40">
        <f t="shared" si="11"/>
        <v>14.67</v>
      </c>
    </row>
    <row r="41" spans="1:10" ht="13.2" x14ac:dyDescent="0.25">
      <c r="A41" t="s">
        <v>116</v>
      </c>
      <c r="B41" t="s">
        <v>10</v>
      </c>
      <c r="C41" t="s">
        <v>50</v>
      </c>
      <c r="D41">
        <v>17.3</v>
      </c>
      <c r="E41">
        <f t="shared" si="6"/>
        <v>10.5</v>
      </c>
      <c r="F41">
        <f t="shared" si="7"/>
        <v>22.44</v>
      </c>
      <c r="G41">
        <f t="shared" si="8"/>
        <v>0</v>
      </c>
      <c r="H41">
        <f t="shared" si="9"/>
        <v>0.30000000000000071</v>
      </c>
      <c r="I41">
        <f t="shared" si="10"/>
        <v>4.49</v>
      </c>
      <c r="J41">
        <f t="shared" si="11"/>
        <v>14.67</v>
      </c>
    </row>
    <row r="42" spans="1:10" ht="13.2" x14ac:dyDescent="0.25">
      <c r="A42" t="s">
        <v>116</v>
      </c>
      <c r="B42" t="s">
        <v>10</v>
      </c>
      <c r="C42" t="s">
        <v>51</v>
      </c>
      <c r="D42">
        <v>5.8</v>
      </c>
      <c r="E42">
        <f t="shared" si="6"/>
        <v>10.5</v>
      </c>
      <c r="F42">
        <f t="shared" si="7"/>
        <v>22.44</v>
      </c>
      <c r="G42">
        <f t="shared" si="8"/>
        <v>0</v>
      </c>
      <c r="H42">
        <f t="shared" si="9"/>
        <v>11.5</v>
      </c>
      <c r="I42">
        <f t="shared" si="10"/>
        <v>4.49</v>
      </c>
      <c r="J42">
        <f t="shared" si="11"/>
        <v>14.67</v>
      </c>
    </row>
    <row r="43" spans="1:10" ht="13.2" x14ac:dyDescent="0.25">
      <c r="A43" t="s">
        <v>116</v>
      </c>
      <c r="B43" t="s">
        <v>10</v>
      </c>
      <c r="C43" t="s">
        <v>52</v>
      </c>
      <c r="D43">
        <v>2.7</v>
      </c>
      <c r="E43">
        <f t="shared" si="6"/>
        <v>10.5</v>
      </c>
      <c r="F43">
        <f t="shared" si="7"/>
        <v>22.44</v>
      </c>
      <c r="G43">
        <f t="shared" si="8"/>
        <v>0</v>
      </c>
      <c r="H43">
        <f t="shared" si="9"/>
        <v>3.0999999999999996</v>
      </c>
      <c r="I43">
        <f t="shared" si="10"/>
        <v>4.49</v>
      </c>
      <c r="J43">
        <f t="shared" si="11"/>
        <v>14.67</v>
      </c>
    </row>
    <row r="44" spans="1:10" ht="13.2" x14ac:dyDescent="0.25">
      <c r="A44" t="s">
        <v>116</v>
      </c>
      <c r="B44" t="s">
        <v>10</v>
      </c>
      <c r="C44" t="s">
        <v>53</v>
      </c>
      <c r="D44">
        <v>4.4000000000000004</v>
      </c>
      <c r="E44">
        <f t="shared" si="6"/>
        <v>10.5</v>
      </c>
      <c r="F44">
        <f t="shared" si="7"/>
        <v>22.44</v>
      </c>
      <c r="G44">
        <f t="shared" si="8"/>
        <v>0</v>
      </c>
      <c r="H44">
        <f t="shared" si="9"/>
        <v>1.7000000000000002</v>
      </c>
      <c r="I44">
        <f t="shared" si="10"/>
        <v>4.49</v>
      </c>
      <c r="J44">
        <f t="shared" si="11"/>
        <v>14.67</v>
      </c>
    </row>
    <row r="45" spans="1:10" ht="13.2" x14ac:dyDescent="0.25">
      <c r="A45" t="s">
        <v>116</v>
      </c>
      <c r="B45" t="s">
        <v>10</v>
      </c>
      <c r="C45" t="s">
        <v>54</v>
      </c>
      <c r="D45">
        <v>6.3</v>
      </c>
      <c r="E45">
        <f t="shared" si="6"/>
        <v>10.5</v>
      </c>
      <c r="F45">
        <f t="shared" si="7"/>
        <v>22.44</v>
      </c>
      <c r="G45">
        <f t="shared" si="8"/>
        <v>0</v>
      </c>
      <c r="H45">
        <f t="shared" si="9"/>
        <v>1.8999999999999995</v>
      </c>
      <c r="I45">
        <f t="shared" si="10"/>
        <v>4.49</v>
      </c>
      <c r="J45">
        <f t="shared" si="11"/>
        <v>14.67</v>
      </c>
    </row>
    <row r="46" spans="1:10" ht="13.2" x14ac:dyDescent="0.25">
      <c r="A46" t="s">
        <v>116</v>
      </c>
      <c r="B46" t="s">
        <v>10</v>
      </c>
      <c r="C46" t="s">
        <v>55</v>
      </c>
      <c r="D46">
        <v>1.2</v>
      </c>
      <c r="E46">
        <f t="shared" si="6"/>
        <v>10.5</v>
      </c>
      <c r="F46">
        <f t="shared" si="7"/>
        <v>22.44</v>
      </c>
      <c r="G46">
        <f t="shared" si="8"/>
        <v>0</v>
      </c>
      <c r="H46">
        <f t="shared" si="9"/>
        <v>5.0999999999999996</v>
      </c>
      <c r="I46">
        <f t="shared" si="10"/>
        <v>4.49</v>
      </c>
      <c r="J46">
        <f t="shared" si="11"/>
        <v>14.67</v>
      </c>
    </row>
    <row r="47" spans="1:10" ht="13.2" x14ac:dyDescent="0.25">
      <c r="A47" t="s">
        <v>116</v>
      </c>
      <c r="B47" t="s">
        <v>10</v>
      </c>
      <c r="C47" t="s">
        <v>56</v>
      </c>
      <c r="D47">
        <v>3.2</v>
      </c>
      <c r="E47">
        <f t="shared" si="6"/>
        <v>10.5</v>
      </c>
      <c r="F47">
        <f t="shared" si="7"/>
        <v>22.44</v>
      </c>
      <c r="G47">
        <f t="shared" si="8"/>
        <v>0</v>
      </c>
      <c r="H47">
        <f t="shared" si="9"/>
        <v>2</v>
      </c>
      <c r="I47">
        <f t="shared" si="10"/>
        <v>4.49</v>
      </c>
      <c r="J47">
        <f t="shared" si="11"/>
        <v>14.67</v>
      </c>
    </row>
    <row r="48" spans="1:10" ht="13.2" x14ac:dyDescent="0.25">
      <c r="A48" t="s">
        <v>116</v>
      </c>
      <c r="B48" t="s">
        <v>10</v>
      </c>
      <c r="C48" t="s">
        <v>57</v>
      </c>
      <c r="D48">
        <v>11</v>
      </c>
      <c r="E48">
        <f t="shared" si="6"/>
        <v>10.5</v>
      </c>
      <c r="F48">
        <f t="shared" si="7"/>
        <v>22.44</v>
      </c>
      <c r="G48">
        <f t="shared" si="8"/>
        <v>0</v>
      </c>
      <c r="H48">
        <f t="shared" si="9"/>
        <v>7.8</v>
      </c>
      <c r="I48">
        <f t="shared" si="10"/>
        <v>4.49</v>
      </c>
      <c r="J48">
        <f t="shared" si="11"/>
        <v>14.67</v>
      </c>
    </row>
    <row r="49" spans="1:10" ht="13.2" x14ac:dyDescent="0.25">
      <c r="A49" t="s">
        <v>116</v>
      </c>
      <c r="B49" t="s">
        <v>10</v>
      </c>
      <c r="C49" t="s">
        <v>58</v>
      </c>
      <c r="D49">
        <v>10.5</v>
      </c>
      <c r="E49">
        <f t="shared" si="6"/>
        <v>10.5</v>
      </c>
      <c r="F49">
        <f t="shared" si="7"/>
        <v>22.44</v>
      </c>
      <c r="G49">
        <f t="shared" si="8"/>
        <v>0</v>
      </c>
      <c r="H49">
        <f t="shared" si="9"/>
        <v>0.5</v>
      </c>
      <c r="I49">
        <f t="shared" si="10"/>
        <v>4.49</v>
      </c>
      <c r="J49">
        <f t="shared" si="11"/>
        <v>14.67</v>
      </c>
    </row>
    <row r="50" spans="1:10" ht="13.2" x14ac:dyDescent="0.25">
      <c r="A50" t="s">
        <v>116</v>
      </c>
      <c r="B50" t="s">
        <v>10</v>
      </c>
      <c r="C50" t="s">
        <v>59</v>
      </c>
      <c r="D50">
        <v>7.6</v>
      </c>
      <c r="E50">
        <f t="shared" si="6"/>
        <v>10.5</v>
      </c>
      <c r="F50">
        <f t="shared" si="7"/>
        <v>22.44</v>
      </c>
      <c r="G50">
        <f t="shared" si="8"/>
        <v>0</v>
      </c>
      <c r="H50">
        <f t="shared" si="9"/>
        <v>2.9000000000000004</v>
      </c>
      <c r="I50">
        <f t="shared" si="10"/>
        <v>4.49</v>
      </c>
      <c r="J50">
        <f t="shared" si="11"/>
        <v>14.67</v>
      </c>
    </row>
    <row r="51" spans="1:10" ht="13.2" x14ac:dyDescent="0.25">
      <c r="A51" t="s">
        <v>116</v>
      </c>
      <c r="B51" t="s">
        <v>10</v>
      </c>
      <c r="C51" t="s">
        <v>60</v>
      </c>
      <c r="D51">
        <v>4.7</v>
      </c>
      <c r="E51">
        <f t="shared" si="6"/>
        <v>10.5</v>
      </c>
      <c r="F51">
        <f t="shared" si="7"/>
        <v>22.44</v>
      </c>
      <c r="G51">
        <f t="shared" si="8"/>
        <v>0</v>
      </c>
      <c r="H51">
        <f t="shared" si="9"/>
        <v>2.8999999999999995</v>
      </c>
      <c r="I51">
        <f t="shared" si="10"/>
        <v>4.49</v>
      </c>
      <c r="J51">
        <f t="shared" si="11"/>
        <v>14.67</v>
      </c>
    </row>
    <row r="52" spans="1:10" ht="13.2" x14ac:dyDescent="0.25">
      <c r="A52" t="s">
        <v>116</v>
      </c>
      <c r="B52" t="s">
        <v>10</v>
      </c>
      <c r="C52" t="s">
        <v>61</v>
      </c>
      <c r="D52">
        <v>4.5</v>
      </c>
      <c r="E52">
        <f t="shared" si="6"/>
        <v>10.5</v>
      </c>
      <c r="F52">
        <f t="shared" si="7"/>
        <v>22.44</v>
      </c>
      <c r="G52">
        <f t="shared" si="8"/>
        <v>0</v>
      </c>
      <c r="H52">
        <f t="shared" si="9"/>
        <v>0.20000000000000018</v>
      </c>
      <c r="I52">
        <f t="shared" si="10"/>
        <v>4.49</v>
      </c>
      <c r="J52">
        <f t="shared" si="11"/>
        <v>14.67</v>
      </c>
    </row>
    <row r="53" spans="1:10" ht="13.2" x14ac:dyDescent="0.25">
      <c r="A53" t="s">
        <v>116</v>
      </c>
      <c r="B53" t="s">
        <v>10</v>
      </c>
      <c r="C53" t="s">
        <v>62</v>
      </c>
      <c r="D53">
        <v>4.2</v>
      </c>
      <c r="E53">
        <f t="shared" si="6"/>
        <v>10.5</v>
      </c>
      <c r="F53">
        <f t="shared" si="7"/>
        <v>22.44</v>
      </c>
      <c r="G53">
        <f t="shared" si="8"/>
        <v>0</v>
      </c>
      <c r="H53">
        <f t="shared" si="9"/>
        <v>0.29999999999999982</v>
      </c>
      <c r="I53">
        <f t="shared" si="10"/>
        <v>4.49</v>
      </c>
      <c r="J53">
        <f t="shared" si="11"/>
        <v>14.67</v>
      </c>
    </row>
    <row r="54" spans="1:10" ht="13.2" x14ac:dyDescent="0.25">
      <c r="A54" t="s">
        <v>116</v>
      </c>
      <c r="B54" t="s">
        <v>10</v>
      </c>
      <c r="C54" t="s">
        <v>63</v>
      </c>
      <c r="D54">
        <v>4.4000000000000004</v>
      </c>
      <c r="E54">
        <f t="shared" si="6"/>
        <v>10.5</v>
      </c>
      <c r="F54">
        <f t="shared" si="7"/>
        <v>22.44</v>
      </c>
      <c r="G54">
        <f t="shared" si="8"/>
        <v>0</v>
      </c>
      <c r="H54">
        <f t="shared" si="9"/>
        <v>0.20000000000000018</v>
      </c>
      <c r="I54">
        <f t="shared" si="10"/>
        <v>4.49</v>
      </c>
      <c r="J54">
        <f t="shared" si="11"/>
        <v>14.67</v>
      </c>
    </row>
    <row r="55" spans="1:10" ht="13.2" x14ac:dyDescent="0.25">
      <c r="A55" t="s">
        <v>116</v>
      </c>
      <c r="B55" t="s">
        <v>10</v>
      </c>
      <c r="C55" t="s">
        <v>64</v>
      </c>
      <c r="D55">
        <v>7.1</v>
      </c>
      <c r="E55">
        <f t="shared" si="6"/>
        <v>10.5</v>
      </c>
      <c r="F55">
        <f t="shared" si="7"/>
        <v>22.44</v>
      </c>
      <c r="G55">
        <f t="shared" si="8"/>
        <v>0</v>
      </c>
      <c r="H55">
        <f t="shared" si="9"/>
        <v>2.6999999999999993</v>
      </c>
      <c r="I55">
        <f t="shared" si="10"/>
        <v>4.49</v>
      </c>
      <c r="J55">
        <f t="shared" si="11"/>
        <v>14.67</v>
      </c>
    </row>
    <row r="56" spans="1:10" ht="13.2" x14ac:dyDescent="0.25">
      <c r="A56" t="s">
        <v>116</v>
      </c>
      <c r="B56" t="s">
        <v>10</v>
      </c>
      <c r="C56" t="s">
        <v>65</v>
      </c>
      <c r="D56">
        <v>6.1</v>
      </c>
      <c r="E56">
        <f t="shared" si="6"/>
        <v>10.5</v>
      </c>
      <c r="F56">
        <f t="shared" si="7"/>
        <v>22.44</v>
      </c>
      <c r="G56">
        <f t="shared" si="8"/>
        <v>0</v>
      </c>
      <c r="H56">
        <f t="shared" si="9"/>
        <v>1</v>
      </c>
      <c r="I56">
        <f t="shared" si="10"/>
        <v>4.49</v>
      </c>
      <c r="J56">
        <f t="shared" si="11"/>
        <v>14.67</v>
      </c>
    </row>
    <row r="57" spans="1:10" ht="13.2" x14ac:dyDescent="0.25">
      <c r="A57" t="s">
        <v>116</v>
      </c>
      <c r="B57" t="s">
        <v>10</v>
      </c>
      <c r="C57" t="s">
        <v>66</v>
      </c>
      <c r="D57">
        <v>3.6</v>
      </c>
      <c r="E57">
        <f t="shared" si="6"/>
        <v>10.5</v>
      </c>
      <c r="F57">
        <f t="shared" si="7"/>
        <v>22.44</v>
      </c>
      <c r="G57">
        <f t="shared" si="8"/>
        <v>0</v>
      </c>
      <c r="H57">
        <f t="shared" si="9"/>
        <v>2.4999999999999996</v>
      </c>
      <c r="I57">
        <f t="shared" si="10"/>
        <v>4.49</v>
      </c>
      <c r="J57">
        <f t="shared" si="11"/>
        <v>14.67</v>
      </c>
    </row>
    <row r="58" spans="1:10" ht="13.2" x14ac:dyDescent="0.25">
      <c r="A58" t="s">
        <v>116</v>
      </c>
      <c r="B58" t="s">
        <v>10</v>
      </c>
      <c r="C58" t="s">
        <v>67</v>
      </c>
      <c r="D58">
        <v>10.5</v>
      </c>
      <c r="E58">
        <f t="shared" si="6"/>
        <v>10.5</v>
      </c>
      <c r="F58">
        <f t="shared" si="7"/>
        <v>22.44</v>
      </c>
      <c r="G58">
        <f t="shared" si="8"/>
        <v>0</v>
      </c>
      <c r="H58">
        <f t="shared" si="9"/>
        <v>6.9</v>
      </c>
      <c r="I58">
        <f t="shared" si="10"/>
        <v>4.49</v>
      </c>
      <c r="J58">
        <f t="shared" si="11"/>
        <v>14.67</v>
      </c>
    </row>
    <row r="59" spans="1:10" ht="13.2" x14ac:dyDescent="0.25">
      <c r="A59" t="s">
        <v>116</v>
      </c>
      <c r="B59" t="s">
        <v>10</v>
      </c>
      <c r="C59" t="s">
        <v>68</v>
      </c>
      <c r="D59">
        <v>14.8</v>
      </c>
      <c r="E59">
        <f t="shared" si="6"/>
        <v>10.5</v>
      </c>
      <c r="F59">
        <f t="shared" si="7"/>
        <v>22.44</v>
      </c>
      <c r="G59">
        <f t="shared" si="8"/>
        <v>0</v>
      </c>
      <c r="H59">
        <f t="shared" si="9"/>
        <v>4.3000000000000007</v>
      </c>
      <c r="I59">
        <f t="shared" si="10"/>
        <v>4.49</v>
      </c>
      <c r="J59">
        <f t="shared" si="11"/>
        <v>14.67</v>
      </c>
    </row>
    <row r="60" spans="1:10" ht="13.2" x14ac:dyDescent="0.25">
      <c r="A60" t="s">
        <v>116</v>
      </c>
      <c r="B60" t="s">
        <v>10</v>
      </c>
      <c r="C60" t="s">
        <v>69</v>
      </c>
      <c r="D60">
        <v>10.9</v>
      </c>
      <c r="E60">
        <f t="shared" si="6"/>
        <v>10.5</v>
      </c>
      <c r="F60">
        <f t="shared" si="7"/>
        <v>22.44</v>
      </c>
      <c r="G60">
        <f t="shared" si="8"/>
        <v>0</v>
      </c>
      <c r="H60">
        <f t="shared" si="9"/>
        <v>3.9000000000000004</v>
      </c>
      <c r="I60">
        <f t="shared" si="10"/>
        <v>4.49</v>
      </c>
      <c r="J60">
        <f t="shared" si="11"/>
        <v>14.67</v>
      </c>
    </row>
    <row r="61" spans="1:10" ht="13.2" x14ac:dyDescent="0.25">
      <c r="A61" t="s">
        <v>116</v>
      </c>
      <c r="B61" t="s">
        <v>10</v>
      </c>
      <c r="C61" t="s">
        <v>70</v>
      </c>
      <c r="D61">
        <v>10.5</v>
      </c>
      <c r="E61">
        <f t="shared" si="6"/>
        <v>10.5</v>
      </c>
      <c r="F61">
        <f t="shared" si="7"/>
        <v>22.44</v>
      </c>
      <c r="G61">
        <f t="shared" si="8"/>
        <v>0</v>
      </c>
      <c r="H61">
        <f t="shared" si="9"/>
        <v>0.40000000000000036</v>
      </c>
      <c r="I61">
        <f t="shared" si="10"/>
        <v>4.49</v>
      </c>
      <c r="J61">
        <f t="shared" si="11"/>
        <v>14.67</v>
      </c>
    </row>
    <row r="62" spans="1:10" ht="13.2" x14ac:dyDescent="0.25">
      <c r="A62" t="s">
        <v>116</v>
      </c>
      <c r="B62" t="s">
        <v>10</v>
      </c>
      <c r="C62" t="s">
        <v>71</v>
      </c>
      <c r="D62">
        <v>13.4</v>
      </c>
      <c r="E62">
        <f t="shared" si="6"/>
        <v>10.5</v>
      </c>
      <c r="F62">
        <f t="shared" si="7"/>
        <v>22.44</v>
      </c>
      <c r="G62">
        <f t="shared" si="8"/>
        <v>0</v>
      </c>
      <c r="H62">
        <f t="shared" si="9"/>
        <v>2.9000000000000004</v>
      </c>
      <c r="I62">
        <f t="shared" si="10"/>
        <v>4.49</v>
      </c>
      <c r="J62">
        <f t="shared" si="11"/>
        <v>14.67</v>
      </c>
    </row>
    <row r="63" spans="1:10" ht="13.2" x14ac:dyDescent="0.25">
      <c r="A63" t="s">
        <v>116</v>
      </c>
      <c r="B63" t="s">
        <v>10</v>
      </c>
      <c r="C63" t="s">
        <v>72</v>
      </c>
      <c r="D63">
        <v>18.100000000000001</v>
      </c>
      <c r="E63">
        <f t="shared" si="6"/>
        <v>10.5</v>
      </c>
      <c r="F63">
        <f t="shared" si="7"/>
        <v>22.44</v>
      </c>
      <c r="G63">
        <f t="shared" si="8"/>
        <v>0</v>
      </c>
      <c r="H63">
        <f t="shared" si="9"/>
        <v>4.7000000000000011</v>
      </c>
      <c r="I63">
        <f t="shared" si="10"/>
        <v>4.49</v>
      </c>
      <c r="J63">
        <f t="shared" si="11"/>
        <v>14.67</v>
      </c>
    </row>
    <row r="64" spans="1:10" ht="13.2" x14ac:dyDescent="0.25">
      <c r="A64" t="s">
        <v>116</v>
      </c>
      <c r="B64" t="s">
        <v>10</v>
      </c>
      <c r="C64" t="s">
        <v>73</v>
      </c>
      <c r="D64">
        <v>15.4</v>
      </c>
      <c r="E64">
        <f t="shared" si="6"/>
        <v>10.5</v>
      </c>
      <c r="F64">
        <f t="shared" si="7"/>
        <v>22.44</v>
      </c>
      <c r="G64">
        <f t="shared" si="8"/>
        <v>0</v>
      </c>
      <c r="H64">
        <f t="shared" si="9"/>
        <v>2.7000000000000011</v>
      </c>
      <c r="I64">
        <f t="shared" si="10"/>
        <v>4.49</v>
      </c>
      <c r="J64">
        <f t="shared" si="11"/>
        <v>14.67</v>
      </c>
    </row>
    <row r="65" spans="1:10" ht="13.2" x14ac:dyDescent="0.25">
      <c r="A65" t="s">
        <v>116</v>
      </c>
      <c r="B65" t="s">
        <v>10</v>
      </c>
      <c r="C65" t="s">
        <v>74</v>
      </c>
      <c r="D65">
        <v>19</v>
      </c>
      <c r="E65">
        <f t="shared" si="6"/>
        <v>10.5</v>
      </c>
      <c r="F65">
        <f t="shared" si="7"/>
        <v>22.44</v>
      </c>
      <c r="G65">
        <f t="shared" si="8"/>
        <v>0</v>
      </c>
      <c r="H65">
        <f t="shared" si="9"/>
        <v>3.5999999999999996</v>
      </c>
      <c r="I65">
        <f t="shared" si="10"/>
        <v>4.49</v>
      </c>
      <c r="J65">
        <f t="shared" si="11"/>
        <v>14.67</v>
      </c>
    </row>
    <row r="66" spans="1:10" ht="13.2" x14ac:dyDescent="0.25">
      <c r="A66" t="s">
        <v>116</v>
      </c>
      <c r="B66" t="s">
        <v>10</v>
      </c>
      <c r="C66" t="s">
        <v>75</v>
      </c>
      <c r="D66">
        <v>13.4</v>
      </c>
      <c r="E66">
        <f t="shared" ref="E66:E78" si="12">ROUND(AVERAGE($D$2:$D$78),2)</f>
        <v>10.5</v>
      </c>
      <c r="F66">
        <f t="shared" ref="F66:F78" si="13">ROUND(E66+(2.66*I66),2)</f>
        <v>22.44</v>
      </c>
      <c r="G66">
        <f t="shared" ref="G66:G78" si="14">ROUND(MAX(0,E66-(2.66*I66)),2)</f>
        <v>0</v>
      </c>
      <c r="H66">
        <f t="shared" ref="H66:H78" si="15">ABS(D65-D66)</f>
        <v>5.6</v>
      </c>
      <c r="I66">
        <f t="shared" ref="I66:I78" si="16">ROUND(AVERAGE($H$3:$H$78),2)</f>
        <v>4.49</v>
      </c>
      <c r="J66">
        <f t="shared" ref="J66:J78" si="17">ROUND(3.268*I66,2)</f>
        <v>14.67</v>
      </c>
    </row>
    <row r="67" spans="1:10" ht="13.2" x14ac:dyDescent="0.25">
      <c r="A67" t="s">
        <v>116</v>
      </c>
      <c r="B67" t="s">
        <v>10</v>
      </c>
      <c r="C67" t="s">
        <v>76</v>
      </c>
      <c r="D67">
        <v>10.199999999999999</v>
      </c>
      <c r="E67">
        <f t="shared" si="12"/>
        <v>10.5</v>
      </c>
      <c r="F67">
        <f t="shared" si="13"/>
        <v>22.44</v>
      </c>
      <c r="G67">
        <f t="shared" si="14"/>
        <v>0</v>
      </c>
      <c r="H67">
        <f t="shared" si="15"/>
        <v>3.2000000000000011</v>
      </c>
      <c r="I67">
        <f t="shared" si="16"/>
        <v>4.49</v>
      </c>
      <c r="J67">
        <f t="shared" si="17"/>
        <v>14.67</v>
      </c>
    </row>
    <row r="68" spans="1:10" ht="13.2" x14ac:dyDescent="0.25">
      <c r="A68" t="s">
        <v>116</v>
      </c>
      <c r="B68" t="s">
        <v>10</v>
      </c>
      <c r="C68" t="s">
        <v>77</v>
      </c>
      <c r="D68">
        <v>13.1</v>
      </c>
      <c r="E68">
        <f t="shared" si="12"/>
        <v>10.5</v>
      </c>
      <c r="F68">
        <f t="shared" si="13"/>
        <v>22.44</v>
      </c>
      <c r="G68">
        <f t="shared" si="14"/>
        <v>0</v>
      </c>
      <c r="H68">
        <f t="shared" si="15"/>
        <v>2.9000000000000004</v>
      </c>
      <c r="I68">
        <f t="shared" si="16"/>
        <v>4.49</v>
      </c>
      <c r="J68">
        <f t="shared" si="17"/>
        <v>14.67</v>
      </c>
    </row>
    <row r="69" spans="1:10" ht="13.2" x14ac:dyDescent="0.25">
      <c r="A69" t="s">
        <v>116</v>
      </c>
      <c r="B69" t="s">
        <v>10</v>
      </c>
      <c r="C69" t="s">
        <v>78</v>
      </c>
      <c r="D69">
        <v>18.100000000000001</v>
      </c>
      <c r="E69">
        <f t="shared" si="12"/>
        <v>10.5</v>
      </c>
      <c r="F69">
        <f t="shared" si="13"/>
        <v>22.44</v>
      </c>
      <c r="G69">
        <f t="shared" si="14"/>
        <v>0</v>
      </c>
      <c r="H69">
        <f t="shared" si="15"/>
        <v>5.0000000000000018</v>
      </c>
      <c r="I69">
        <f t="shared" si="16"/>
        <v>4.49</v>
      </c>
      <c r="J69">
        <f t="shared" si="17"/>
        <v>14.67</v>
      </c>
    </row>
    <row r="70" spans="1:10" ht="13.2" x14ac:dyDescent="0.25">
      <c r="A70" t="s">
        <v>116</v>
      </c>
      <c r="B70" t="s">
        <v>10</v>
      </c>
      <c r="C70" t="s">
        <v>79</v>
      </c>
      <c r="D70">
        <v>14.4</v>
      </c>
      <c r="E70">
        <f t="shared" si="12"/>
        <v>10.5</v>
      </c>
      <c r="F70">
        <f t="shared" si="13"/>
        <v>22.44</v>
      </c>
      <c r="G70">
        <f t="shared" si="14"/>
        <v>0</v>
      </c>
      <c r="H70">
        <f t="shared" si="15"/>
        <v>3.7000000000000011</v>
      </c>
      <c r="I70">
        <f t="shared" si="16"/>
        <v>4.49</v>
      </c>
      <c r="J70">
        <f t="shared" si="17"/>
        <v>14.67</v>
      </c>
    </row>
    <row r="71" spans="1:10" ht="13.2" x14ac:dyDescent="0.25">
      <c r="A71" t="s">
        <v>116</v>
      </c>
      <c r="B71" t="s">
        <v>10</v>
      </c>
      <c r="C71" t="s">
        <v>80</v>
      </c>
      <c r="D71">
        <v>15</v>
      </c>
      <c r="E71">
        <f t="shared" si="12"/>
        <v>10.5</v>
      </c>
      <c r="F71">
        <f t="shared" si="13"/>
        <v>22.44</v>
      </c>
      <c r="G71">
        <f t="shared" si="14"/>
        <v>0</v>
      </c>
      <c r="H71">
        <f t="shared" si="15"/>
        <v>0.59999999999999964</v>
      </c>
      <c r="I71">
        <f t="shared" si="16"/>
        <v>4.49</v>
      </c>
      <c r="J71">
        <f t="shared" si="17"/>
        <v>14.67</v>
      </c>
    </row>
    <row r="72" spans="1:10" ht="13.2" x14ac:dyDescent="0.25">
      <c r="A72" t="s">
        <v>116</v>
      </c>
      <c r="B72" t="s">
        <v>10</v>
      </c>
      <c r="C72" t="s">
        <v>81</v>
      </c>
      <c r="D72">
        <v>10.8</v>
      </c>
      <c r="E72">
        <f t="shared" si="12"/>
        <v>10.5</v>
      </c>
      <c r="F72">
        <f t="shared" si="13"/>
        <v>22.44</v>
      </c>
      <c r="G72">
        <f t="shared" si="14"/>
        <v>0</v>
      </c>
      <c r="H72">
        <f t="shared" si="15"/>
        <v>4.1999999999999993</v>
      </c>
      <c r="I72">
        <f t="shared" si="16"/>
        <v>4.49</v>
      </c>
      <c r="J72">
        <f t="shared" si="17"/>
        <v>14.67</v>
      </c>
    </row>
    <row r="73" spans="1:10" ht="13.2" x14ac:dyDescent="0.25">
      <c r="A73" t="s">
        <v>116</v>
      </c>
      <c r="B73" t="s">
        <v>10</v>
      </c>
      <c r="C73" t="s">
        <v>82</v>
      </c>
      <c r="D73">
        <v>5.4</v>
      </c>
      <c r="E73">
        <f t="shared" si="12"/>
        <v>10.5</v>
      </c>
      <c r="F73">
        <f t="shared" si="13"/>
        <v>22.44</v>
      </c>
      <c r="G73">
        <f t="shared" si="14"/>
        <v>0</v>
      </c>
      <c r="H73">
        <f t="shared" si="15"/>
        <v>5.4</v>
      </c>
      <c r="I73">
        <f t="shared" si="16"/>
        <v>4.49</v>
      </c>
      <c r="J73">
        <f t="shared" si="17"/>
        <v>14.67</v>
      </c>
    </row>
    <row r="74" spans="1:10" ht="13.2" x14ac:dyDescent="0.25">
      <c r="A74" t="s">
        <v>116</v>
      </c>
      <c r="B74" t="s">
        <v>10</v>
      </c>
      <c r="C74" t="s">
        <v>83</v>
      </c>
      <c r="D74">
        <v>3.2</v>
      </c>
      <c r="E74">
        <f t="shared" si="12"/>
        <v>10.5</v>
      </c>
      <c r="F74">
        <f t="shared" si="13"/>
        <v>22.44</v>
      </c>
      <c r="G74">
        <f t="shared" si="14"/>
        <v>0</v>
      </c>
      <c r="H74">
        <f t="shared" si="15"/>
        <v>2.2000000000000002</v>
      </c>
      <c r="I74">
        <f t="shared" si="16"/>
        <v>4.49</v>
      </c>
      <c r="J74">
        <f t="shared" si="17"/>
        <v>14.67</v>
      </c>
    </row>
    <row r="75" spans="1:10" ht="13.2" x14ac:dyDescent="0.25">
      <c r="A75" t="s">
        <v>116</v>
      </c>
      <c r="B75" t="s">
        <v>10</v>
      </c>
      <c r="C75" t="s">
        <v>84</v>
      </c>
      <c r="D75">
        <v>1.9</v>
      </c>
      <c r="E75">
        <f t="shared" si="12"/>
        <v>10.5</v>
      </c>
      <c r="F75">
        <f t="shared" si="13"/>
        <v>22.44</v>
      </c>
      <c r="G75">
        <f t="shared" si="14"/>
        <v>0</v>
      </c>
      <c r="H75">
        <f t="shared" si="15"/>
        <v>1.3000000000000003</v>
      </c>
      <c r="I75">
        <f t="shared" si="16"/>
        <v>4.49</v>
      </c>
      <c r="J75">
        <f t="shared" si="17"/>
        <v>14.67</v>
      </c>
    </row>
    <row r="76" spans="1:10" ht="13.2" x14ac:dyDescent="0.25">
      <c r="A76" t="s">
        <v>116</v>
      </c>
      <c r="B76" t="s">
        <v>10</v>
      </c>
      <c r="C76" t="s">
        <v>85</v>
      </c>
      <c r="D76">
        <v>3.6</v>
      </c>
      <c r="E76">
        <f t="shared" si="12"/>
        <v>10.5</v>
      </c>
      <c r="F76">
        <f t="shared" si="13"/>
        <v>22.44</v>
      </c>
      <c r="G76">
        <f t="shared" si="14"/>
        <v>0</v>
      </c>
      <c r="H76">
        <f t="shared" si="15"/>
        <v>1.7000000000000002</v>
      </c>
      <c r="I76">
        <f t="shared" si="16"/>
        <v>4.49</v>
      </c>
      <c r="J76">
        <f t="shared" si="17"/>
        <v>14.67</v>
      </c>
    </row>
    <row r="77" spans="1:10" ht="13.2" x14ac:dyDescent="0.25">
      <c r="A77" t="s">
        <v>116</v>
      </c>
      <c r="B77" t="s">
        <v>10</v>
      </c>
      <c r="C77" t="s">
        <v>86</v>
      </c>
      <c r="D77">
        <v>18.3</v>
      </c>
      <c r="E77">
        <f t="shared" si="12"/>
        <v>10.5</v>
      </c>
      <c r="F77">
        <f t="shared" si="13"/>
        <v>22.44</v>
      </c>
      <c r="G77">
        <f t="shared" si="14"/>
        <v>0</v>
      </c>
      <c r="H77">
        <f t="shared" si="15"/>
        <v>14.700000000000001</v>
      </c>
      <c r="I77">
        <f t="shared" si="16"/>
        <v>4.49</v>
      </c>
      <c r="J77">
        <f t="shared" si="17"/>
        <v>14.67</v>
      </c>
    </row>
    <row r="78" spans="1:10" ht="13.2" x14ac:dyDescent="0.25">
      <c r="A78" t="s">
        <v>116</v>
      </c>
      <c r="B78" t="s">
        <v>10</v>
      </c>
      <c r="C78" t="s">
        <v>87</v>
      </c>
      <c r="D78">
        <v>12.2</v>
      </c>
      <c r="E78">
        <f t="shared" si="12"/>
        <v>10.5</v>
      </c>
      <c r="F78">
        <f t="shared" si="13"/>
        <v>22.44</v>
      </c>
      <c r="G78">
        <f t="shared" si="14"/>
        <v>0</v>
      </c>
      <c r="H78">
        <f t="shared" si="15"/>
        <v>6.1000000000000014</v>
      </c>
      <c r="I78">
        <f t="shared" si="16"/>
        <v>4.49</v>
      </c>
      <c r="J78">
        <f t="shared" si="17"/>
        <v>14.67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9"/>
  <sheetViews>
    <sheetView workbookViewId="0">
      <selection activeCell="M33" sqref="M33"/>
    </sheetView>
  </sheetViews>
  <sheetFormatPr defaultColWidth="12.6640625" defaultRowHeight="15.75" customHeight="1" x14ac:dyDescent="0.25"/>
  <cols>
    <col min="1" max="1" width="20.77734375" bestFit="1" customWidth="1"/>
    <col min="2" max="2" width="16.109375" bestFit="1" customWidth="1"/>
    <col min="3" max="3" width="12" bestFit="1" customWidth="1"/>
    <col min="4" max="4" width="6.88671875" bestFit="1" customWidth="1"/>
  </cols>
  <sheetData>
    <row r="1" spans="1:10" ht="13.2" x14ac:dyDescent="0.25">
      <c r="A1" s="6" t="s">
        <v>115</v>
      </c>
      <c r="B1" s="7" t="s">
        <v>1</v>
      </c>
      <c r="C1" s="7" t="s">
        <v>2</v>
      </c>
      <c r="D1" s="7" t="s">
        <v>3</v>
      </c>
      <c r="E1" s="8" t="s">
        <v>4</v>
      </c>
      <c r="F1" s="8" t="s">
        <v>5</v>
      </c>
      <c r="G1" s="8" t="s">
        <v>6</v>
      </c>
      <c r="H1" s="8" t="s">
        <v>7</v>
      </c>
      <c r="I1" s="8" t="s">
        <v>8</v>
      </c>
      <c r="J1" s="8" t="s">
        <v>9</v>
      </c>
    </row>
    <row r="2" spans="1:10" ht="13.2" x14ac:dyDescent="0.25">
      <c r="A2" t="s">
        <v>116</v>
      </c>
      <c r="B2" t="s">
        <v>88</v>
      </c>
      <c r="C2" t="s">
        <v>89</v>
      </c>
      <c r="D2">
        <v>2.2000000000000002</v>
      </c>
      <c r="E2">
        <f t="shared" ref="E2:E23" si="0">ROUND(AVERAGE($D$2:$D$23),2)</f>
        <v>2.11</v>
      </c>
      <c r="F2">
        <f t="shared" ref="F2:F23" si="1">ROUND(E2+(2.66*I2),2)</f>
        <v>4.82</v>
      </c>
      <c r="G2">
        <f t="shared" ref="G2:G23" si="2">ROUND(MAX(0,E2-(2.66*I2)),2)</f>
        <v>0</v>
      </c>
      <c r="I2">
        <f t="shared" ref="I2:I23" si="3">ROUND(AVERAGE($H$3:$H$23),2)</f>
        <v>1.02</v>
      </c>
      <c r="J2">
        <f t="shared" ref="J2:J23" si="4">ROUND(3.268*I2,2)</f>
        <v>3.33</v>
      </c>
    </row>
    <row r="3" spans="1:10" ht="13.2" x14ac:dyDescent="0.25">
      <c r="A3" t="s">
        <v>116</v>
      </c>
      <c r="B3" t="s">
        <v>88</v>
      </c>
      <c r="C3" t="s">
        <v>90</v>
      </c>
      <c r="D3">
        <v>1.2</v>
      </c>
      <c r="E3">
        <f t="shared" si="0"/>
        <v>2.11</v>
      </c>
      <c r="F3">
        <f t="shared" si="1"/>
        <v>4.82</v>
      </c>
      <c r="G3">
        <f t="shared" si="2"/>
        <v>0</v>
      </c>
      <c r="H3">
        <f t="shared" ref="H3:H23" si="5">ABS(D2-D3)</f>
        <v>1.0000000000000002</v>
      </c>
      <c r="I3">
        <f t="shared" si="3"/>
        <v>1.02</v>
      </c>
      <c r="J3">
        <f t="shared" si="4"/>
        <v>3.33</v>
      </c>
    </row>
    <row r="4" spans="1:10" ht="13.2" x14ac:dyDescent="0.25">
      <c r="A4" t="s">
        <v>116</v>
      </c>
      <c r="B4" t="s">
        <v>88</v>
      </c>
      <c r="C4" t="s">
        <v>91</v>
      </c>
      <c r="D4">
        <v>1.9</v>
      </c>
      <c r="E4">
        <f t="shared" si="0"/>
        <v>2.11</v>
      </c>
      <c r="F4">
        <f t="shared" si="1"/>
        <v>4.82</v>
      </c>
      <c r="G4">
        <f t="shared" si="2"/>
        <v>0</v>
      </c>
      <c r="H4">
        <f t="shared" si="5"/>
        <v>0.7</v>
      </c>
      <c r="I4">
        <f t="shared" si="3"/>
        <v>1.02</v>
      </c>
      <c r="J4">
        <f t="shared" si="4"/>
        <v>3.33</v>
      </c>
    </row>
    <row r="5" spans="1:10" ht="13.2" x14ac:dyDescent="0.25">
      <c r="A5" t="s">
        <v>116</v>
      </c>
      <c r="B5" t="s">
        <v>88</v>
      </c>
      <c r="C5" t="s">
        <v>92</v>
      </c>
      <c r="D5">
        <v>4.5999999999999996</v>
      </c>
      <c r="E5">
        <f t="shared" si="0"/>
        <v>2.11</v>
      </c>
      <c r="F5">
        <f t="shared" si="1"/>
        <v>4.82</v>
      </c>
      <c r="G5">
        <f t="shared" si="2"/>
        <v>0</v>
      </c>
      <c r="H5">
        <f t="shared" si="5"/>
        <v>2.6999999999999997</v>
      </c>
      <c r="I5">
        <f t="shared" si="3"/>
        <v>1.02</v>
      </c>
      <c r="J5">
        <f t="shared" si="4"/>
        <v>3.33</v>
      </c>
    </row>
    <row r="6" spans="1:10" ht="13.2" x14ac:dyDescent="0.25">
      <c r="A6" t="s">
        <v>116</v>
      </c>
      <c r="B6" t="s">
        <v>88</v>
      </c>
      <c r="C6" t="s">
        <v>93</v>
      </c>
      <c r="D6">
        <v>4</v>
      </c>
      <c r="E6">
        <f t="shared" si="0"/>
        <v>2.11</v>
      </c>
      <c r="F6">
        <f t="shared" si="1"/>
        <v>4.82</v>
      </c>
      <c r="G6">
        <f t="shared" si="2"/>
        <v>0</v>
      </c>
      <c r="H6">
        <f t="shared" si="5"/>
        <v>0.59999999999999964</v>
      </c>
      <c r="I6">
        <f t="shared" si="3"/>
        <v>1.02</v>
      </c>
      <c r="J6">
        <f t="shared" si="4"/>
        <v>3.33</v>
      </c>
    </row>
    <row r="7" spans="1:10" ht="13.2" x14ac:dyDescent="0.25">
      <c r="A7" t="s">
        <v>116</v>
      </c>
      <c r="B7" t="s">
        <v>88</v>
      </c>
      <c r="C7" t="s">
        <v>94</v>
      </c>
      <c r="D7">
        <v>4.5</v>
      </c>
      <c r="E7">
        <f t="shared" si="0"/>
        <v>2.11</v>
      </c>
      <c r="F7">
        <f t="shared" si="1"/>
        <v>4.82</v>
      </c>
      <c r="G7">
        <f t="shared" si="2"/>
        <v>0</v>
      </c>
      <c r="H7">
        <f t="shared" si="5"/>
        <v>0.5</v>
      </c>
      <c r="I7">
        <f t="shared" si="3"/>
        <v>1.02</v>
      </c>
      <c r="J7">
        <f t="shared" si="4"/>
        <v>3.33</v>
      </c>
    </row>
    <row r="8" spans="1:10" ht="13.2" x14ac:dyDescent="0.25">
      <c r="A8" t="s">
        <v>116</v>
      </c>
      <c r="B8" t="s">
        <v>88</v>
      </c>
      <c r="C8" t="s">
        <v>95</v>
      </c>
      <c r="D8">
        <v>2.9</v>
      </c>
      <c r="E8">
        <f t="shared" si="0"/>
        <v>2.11</v>
      </c>
      <c r="F8">
        <f t="shared" si="1"/>
        <v>4.82</v>
      </c>
      <c r="G8">
        <f t="shared" si="2"/>
        <v>0</v>
      </c>
      <c r="H8">
        <f t="shared" si="5"/>
        <v>1.6</v>
      </c>
      <c r="I8">
        <f t="shared" si="3"/>
        <v>1.02</v>
      </c>
      <c r="J8">
        <f t="shared" si="4"/>
        <v>3.33</v>
      </c>
    </row>
    <row r="9" spans="1:10" ht="13.2" x14ac:dyDescent="0.25">
      <c r="A9" t="s">
        <v>116</v>
      </c>
      <c r="B9" t="s">
        <v>88</v>
      </c>
      <c r="C9" t="s">
        <v>96</v>
      </c>
      <c r="D9">
        <v>3.5</v>
      </c>
      <c r="E9">
        <f t="shared" si="0"/>
        <v>2.11</v>
      </c>
      <c r="F9">
        <f t="shared" si="1"/>
        <v>4.82</v>
      </c>
      <c r="G9">
        <f t="shared" si="2"/>
        <v>0</v>
      </c>
      <c r="H9">
        <f t="shared" si="5"/>
        <v>0.60000000000000009</v>
      </c>
      <c r="I9">
        <f t="shared" si="3"/>
        <v>1.02</v>
      </c>
      <c r="J9">
        <f t="shared" si="4"/>
        <v>3.33</v>
      </c>
    </row>
    <row r="10" spans="1:10" ht="13.2" x14ac:dyDescent="0.25">
      <c r="A10" t="s">
        <v>116</v>
      </c>
      <c r="B10" t="s">
        <v>88</v>
      </c>
      <c r="C10" t="s">
        <v>97</v>
      </c>
      <c r="D10">
        <v>0.7</v>
      </c>
      <c r="E10">
        <f t="shared" si="0"/>
        <v>2.11</v>
      </c>
      <c r="F10">
        <f t="shared" si="1"/>
        <v>4.82</v>
      </c>
      <c r="G10">
        <f t="shared" si="2"/>
        <v>0</v>
      </c>
      <c r="H10">
        <f t="shared" si="5"/>
        <v>2.8</v>
      </c>
      <c r="I10">
        <f t="shared" si="3"/>
        <v>1.02</v>
      </c>
      <c r="J10">
        <f t="shared" si="4"/>
        <v>3.33</v>
      </c>
    </row>
    <row r="11" spans="1:10" ht="13.2" x14ac:dyDescent="0.25">
      <c r="A11" t="s">
        <v>116</v>
      </c>
      <c r="B11" t="s">
        <v>88</v>
      </c>
      <c r="C11" t="s">
        <v>98</v>
      </c>
      <c r="D11">
        <v>0</v>
      </c>
      <c r="E11">
        <f t="shared" si="0"/>
        <v>2.11</v>
      </c>
      <c r="F11">
        <f t="shared" si="1"/>
        <v>4.82</v>
      </c>
      <c r="G11">
        <f t="shared" si="2"/>
        <v>0</v>
      </c>
      <c r="H11">
        <f t="shared" si="5"/>
        <v>0.7</v>
      </c>
      <c r="I11">
        <f t="shared" si="3"/>
        <v>1.02</v>
      </c>
      <c r="J11">
        <f t="shared" si="4"/>
        <v>3.33</v>
      </c>
    </row>
    <row r="12" spans="1:10" ht="13.2" x14ac:dyDescent="0.25">
      <c r="A12" t="s">
        <v>116</v>
      </c>
      <c r="B12" t="s">
        <v>88</v>
      </c>
      <c r="C12" t="s">
        <v>99</v>
      </c>
      <c r="D12">
        <v>0.7</v>
      </c>
      <c r="E12">
        <f t="shared" si="0"/>
        <v>2.11</v>
      </c>
      <c r="F12">
        <f t="shared" si="1"/>
        <v>4.82</v>
      </c>
      <c r="G12">
        <f t="shared" si="2"/>
        <v>0</v>
      </c>
      <c r="H12">
        <f t="shared" si="5"/>
        <v>0.7</v>
      </c>
      <c r="I12">
        <f t="shared" si="3"/>
        <v>1.02</v>
      </c>
      <c r="J12">
        <f t="shared" si="4"/>
        <v>3.33</v>
      </c>
    </row>
    <row r="13" spans="1:10" ht="13.2" x14ac:dyDescent="0.25">
      <c r="A13" t="s">
        <v>116</v>
      </c>
      <c r="B13" t="s">
        <v>88</v>
      </c>
      <c r="C13" t="s">
        <v>100</v>
      </c>
      <c r="D13">
        <v>1</v>
      </c>
      <c r="E13">
        <f t="shared" si="0"/>
        <v>2.11</v>
      </c>
      <c r="F13">
        <f t="shared" si="1"/>
        <v>4.82</v>
      </c>
      <c r="G13">
        <f t="shared" si="2"/>
        <v>0</v>
      </c>
      <c r="H13">
        <f t="shared" si="5"/>
        <v>0.30000000000000004</v>
      </c>
      <c r="I13">
        <f t="shared" si="3"/>
        <v>1.02</v>
      </c>
      <c r="J13">
        <f t="shared" si="4"/>
        <v>3.33</v>
      </c>
    </row>
    <row r="14" spans="1:10" ht="13.2" x14ac:dyDescent="0.25">
      <c r="A14" t="s">
        <v>116</v>
      </c>
      <c r="B14" t="s">
        <v>88</v>
      </c>
      <c r="C14" t="s">
        <v>101</v>
      </c>
      <c r="D14">
        <v>1.1000000000000001</v>
      </c>
      <c r="E14">
        <f t="shared" si="0"/>
        <v>2.11</v>
      </c>
      <c r="F14">
        <f t="shared" si="1"/>
        <v>4.82</v>
      </c>
      <c r="G14">
        <f t="shared" si="2"/>
        <v>0</v>
      </c>
      <c r="H14">
        <f t="shared" si="5"/>
        <v>0.10000000000000009</v>
      </c>
      <c r="I14">
        <f t="shared" si="3"/>
        <v>1.02</v>
      </c>
      <c r="J14">
        <f t="shared" si="4"/>
        <v>3.33</v>
      </c>
    </row>
    <row r="15" spans="1:10" ht="13.2" x14ac:dyDescent="0.25">
      <c r="A15" t="s">
        <v>116</v>
      </c>
      <c r="B15" t="s">
        <v>88</v>
      </c>
      <c r="C15" t="s">
        <v>102</v>
      </c>
      <c r="D15">
        <v>0.4</v>
      </c>
      <c r="E15">
        <f t="shared" si="0"/>
        <v>2.11</v>
      </c>
      <c r="F15">
        <f t="shared" si="1"/>
        <v>4.82</v>
      </c>
      <c r="G15">
        <f t="shared" si="2"/>
        <v>0</v>
      </c>
      <c r="H15">
        <f t="shared" si="5"/>
        <v>0.70000000000000007</v>
      </c>
      <c r="I15">
        <f t="shared" si="3"/>
        <v>1.02</v>
      </c>
      <c r="J15">
        <f t="shared" si="4"/>
        <v>3.33</v>
      </c>
    </row>
    <row r="16" spans="1:10" ht="13.2" x14ac:dyDescent="0.25">
      <c r="A16" t="s">
        <v>116</v>
      </c>
      <c r="B16" t="s">
        <v>88</v>
      </c>
      <c r="C16" t="s">
        <v>103</v>
      </c>
      <c r="D16">
        <v>0</v>
      </c>
      <c r="E16">
        <f t="shared" si="0"/>
        <v>2.11</v>
      </c>
      <c r="F16">
        <f t="shared" si="1"/>
        <v>4.82</v>
      </c>
      <c r="G16">
        <f t="shared" si="2"/>
        <v>0</v>
      </c>
      <c r="H16">
        <f t="shared" si="5"/>
        <v>0.4</v>
      </c>
      <c r="I16">
        <f t="shared" si="3"/>
        <v>1.02</v>
      </c>
      <c r="J16">
        <f t="shared" si="4"/>
        <v>3.33</v>
      </c>
    </row>
    <row r="17" spans="1:10" ht="13.2" x14ac:dyDescent="0.25">
      <c r="A17" t="s">
        <v>116</v>
      </c>
      <c r="B17" t="s">
        <v>88</v>
      </c>
      <c r="C17" t="s">
        <v>104</v>
      </c>
      <c r="D17">
        <v>1</v>
      </c>
      <c r="E17">
        <f t="shared" si="0"/>
        <v>2.11</v>
      </c>
      <c r="F17">
        <f t="shared" si="1"/>
        <v>4.82</v>
      </c>
      <c r="G17">
        <f t="shared" si="2"/>
        <v>0</v>
      </c>
      <c r="H17">
        <f t="shared" si="5"/>
        <v>1</v>
      </c>
      <c r="I17">
        <f t="shared" si="3"/>
        <v>1.02</v>
      </c>
      <c r="J17">
        <f t="shared" si="4"/>
        <v>3.33</v>
      </c>
    </row>
    <row r="18" spans="1:10" ht="13.2" x14ac:dyDescent="0.25">
      <c r="A18" t="s">
        <v>116</v>
      </c>
      <c r="B18" t="s">
        <v>88</v>
      </c>
      <c r="C18" t="s">
        <v>105</v>
      </c>
      <c r="D18">
        <v>2.2999999999999998</v>
      </c>
      <c r="E18">
        <f t="shared" si="0"/>
        <v>2.11</v>
      </c>
      <c r="F18">
        <f t="shared" si="1"/>
        <v>4.82</v>
      </c>
      <c r="G18">
        <f t="shared" si="2"/>
        <v>0</v>
      </c>
      <c r="H18">
        <f t="shared" si="5"/>
        <v>1.2999999999999998</v>
      </c>
      <c r="I18">
        <f t="shared" si="3"/>
        <v>1.02</v>
      </c>
      <c r="J18">
        <f t="shared" si="4"/>
        <v>3.33</v>
      </c>
    </row>
    <row r="19" spans="1:10" ht="13.2" x14ac:dyDescent="0.25">
      <c r="A19" t="s">
        <v>116</v>
      </c>
      <c r="B19" t="s">
        <v>88</v>
      </c>
      <c r="C19" t="s">
        <v>106</v>
      </c>
      <c r="D19">
        <v>2.9</v>
      </c>
      <c r="E19">
        <f t="shared" si="0"/>
        <v>2.11</v>
      </c>
      <c r="F19">
        <f t="shared" si="1"/>
        <v>4.82</v>
      </c>
      <c r="G19">
        <f t="shared" si="2"/>
        <v>0</v>
      </c>
      <c r="H19">
        <f t="shared" si="5"/>
        <v>0.60000000000000009</v>
      </c>
      <c r="I19">
        <f t="shared" si="3"/>
        <v>1.02</v>
      </c>
      <c r="J19">
        <f t="shared" si="4"/>
        <v>3.33</v>
      </c>
    </row>
    <row r="20" spans="1:10" ht="13.2" x14ac:dyDescent="0.25">
      <c r="A20" t="s">
        <v>116</v>
      </c>
      <c r="B20" t="s">
        <v>88</v>
      </c>
      <c r="C20" t="s">
        <v>107</v>
      </c>
      <c r="D20">
        <v>1.3</v>
      </c>
      <c r="E20">
        <f t="shared" si="0"/>
        <v>2.11</v>
      </c>
      <c r="F20">
        <f t="shared" si="1"/>
        <v>4.82</v>
      </c>
      <c r="G20">
        <f t="shared" si="2"/>
        <v>0</v>
      </c>
      <c r="H20">
        <f t="shared" si="5"/>
        <v>1.5999999999999999</v>
      </c>
      <c r="I20">
        <f t="shared" si="3"/>
        <v>1.02</v>
      </c>
      <c r="J20">
        <f t="shared" si="4"/>
        <v>3.33</v>
      </c>
    </row>
    <row r="21" spans="1:10" ht="13.2" x14ac:dyDescent="0.25">
      <c r="A21" t="s">
        <v>116</v>
      </c>
      <c r="B21" t="s">
        <v>88</v>
      </c>
      <c r="C21" t="s">
        <v>108</v>
      </c>
      <c r="D21">
        <v>2.2000000000000002</v>
      </c>
      <c r="E21">
        <f t="shared" si="0"/>
        <v>2.11</v>
      </c>
      <c r="F21">
        <f t="shared" si="1"/>
        <v>4.82</v>
      </c>
      <c r="G21">
        <f t="shared" si="2"/>
        <v>0</v>
      </c>
      <c r="H21">
        <f t="shared" si="5"/>
        <v>0.90000000000000013</v>
      </c>
      <c r="I21">
        <f t="shared" si="3"/>
        <v>1.02</v>
      </c>
      <c r="J21">
        <f t="shared" si="4"/>
        <v>3.33</v>
      </c>
    </row>
    <row r="22" spans="1:10" ht="13.2" x14ac:dyDescent="0.25">
      <c r="A22" t="s">
        <v>116</v>
      </c>
      <c r="B22" t="s">
        <v>88</v>
      </c>
      <c r="C22" t="s">
        <v>109</v>
      </c>
      <c r="D22">
        <v>3.1</v>
      </c>
      <c r="E22">
        <f t="shared" si="0"/>
        <v>2.11</v>
      </c>
      <c r="F22">
        <f t="shared" si="1"/>
        <v>4.82</v>
      </c>
      <c r="G22">
        <f t="shared" si="2"/>
        <v>0</v>
      </c>
      <c r="H22">
        <f t="shared" si="5"/>
        <v>0.89999999999999991</v>
      </c>
      <c r="I22">
        <f t="shared" si="3"/>
        <v>1.02</v>
      </c>
      <c r="J22">
        <f t="shared" si="4"/>
        <v>3.33</v>
      </c>
    </row>
    <row r="23" spans="1:10" ht="13.2" x14ac:dyDescent="0.25">
      <c r="A23" t="s">
        <v>116</v>
      </c>
      <c r="B23" t="s">
        <v>88</v>
      </c>
      <c r="C23" t="s">
        <v>110</v>
      </c>
      <c r="D23">
        <v>4.9000000000000004</v>
      </c>
      <c r="E23">
        <f t="shared" si="0"/>
        <v>2.11</v>
      </c>
      <c r="F23">
        <f t="shared" si="1"/>
        <v>4.82</v>
      </c>
      <c r="G23">
        <f t="shared" si="2"/>
        <v>0</v>
      </c>
      <c r="H23">
        <f t="shared" si="5"/>
        <v>1.8000000000000003</v>
      </c>
      <c r="I23">
        <f t="shared" si="3"/>
        <v>1.02</v>
      </c>
      <c r="J23">
        <f t="shared" si="4"/>
        <v>3.33</v>
      </c>
    </row>
    <row r="24" spans="1:10" ht="13.2" x14ac:dyDescent="0.25">
      <c r="A24" s="2"/>
    </row>
    <row r="25" spans="1:10" ht="13.2" x14ac:dyDescent="0.25">
      <c r="A25" s="2"/>
    </row>
    <row r="26" spans="1:10" ht="13.2" x14ac:dyDescent="0.25">
      <c r="A26" s="2"/>
    </row>
    <row r="27" spans="1:10" ht="13.2" x14ac:dyDescent="0.25">
      <c r="A27" s="2"/>
    </row>
    <row r="28" spans="1:10" ht="13.2" x14ac:dyDescent="0.25">
      <c r="A28" s="2"/>
    </row>
    <row r="29" spans="1:10" ht="13.2" x14ac:dyDescent="0.25">
      <c r="A29" s="2"/>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8C95E7-D609-4794-8313-3A8B1D2A27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Fig. D.1. Before handwashing</vt:lpstr>
      <vt:lpstr>Fig. D.2. After handwashing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2026-05-07T17:32:58Z</dcterms:modified>
</cp:coreProperties>
</file>