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drawings/drawing4.xml" ContentType="application/vnd.openxmlformats-officedocument.drawing+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3.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4.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5.xml" ContentType="application/vnd.openxmlformats-officedocument.themeOverrid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6.xml" ContentType="application/vnd.openxmlformats-officedocument.themeOverride+xml"/>
  <Override PartName="/xl/tables/table5.xml" ContentType="application/vnd.openxmlformats-officedocument.spreadsheetml.table+xml"/>
  <Override PartName="/xl/queryTables/queryTable5.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james\OneDrive\Documents\GitHub\the-virus-of-variation\excel_files_2\"/>
    </mc:Choice>
  </mc:AlternateContent>
  <xr:revisionPtr revIDLastSave="0" documentId="13_ncr:1_{D82F2504-536D-4FC9-8836-CD019536D698}" xr6:coauthVersionLast="47" xr6:coauthVersionMax="47" xr10:uidLastSave="{00000000-0000-0000-0000-000000000000}"/>
  <bookViews>
    <workbookView xWindow="7125" yWindow="-12690" windowWidth="21600" windowHeight="11235" xr2:uid="{00000000-000D-0000-FFFF-FFFF00000000}"/>
  </bookViews>
  <sheets>
    <sheet name="Overview" sheetId="1" r:id="rId1"/>
    <sheet name="Fig 2.2. Time series of rates" sheetId="2" r:id="rId2"/>
    <sheet name="Fig 2.2 XmR chart of rates" sheetId="9" r:id="rId3"/>
    <sheet name="Fig 2.5 XmR charts" sheetId="10" r:id="rId4"/>
    <sheet name="Data" sheetId="5" r:id="rId5"/>
  </sheets>
  <definedNames>
    <definedName name="ExternalData_1" localSheetId="4" hidden="1">Data!#REF!</definedName>
    <definedName name="ExternalData_1" localSheetId="2" hidden="1">'Fig 2.2 XmR chart of rates'!$A$1:$D$27</definedName>
    <definedName name="ExternalData_1" localSheetId="1" hidden="1">'Fig 2.2. Time series of rates'!$A$1:$D$27</definedName>
    <definedName name="ExternalData_1" localSheetId="3" hidden="1">'Fig 2.5 XmR charts'!$A$1:$E$15</definedName>
    <definedName name="ExternalData_2" localSheetId="4" hidden="1">Data!#REF!</definedName>
    <definedName name="ExternalData_2" localSheetId="3" hidden="1">'Fig 2.5 XmR charts'!$A$17:$E$29</definedName>
    <definedName name="ExternalData_3" localSheetId="4" hidden="1">Data!$A$1:$I$53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9" l="1"/>
  <c r="E3" i="9"/>
  <c r="E4" i="9"/>
  <c r="E5" i="9"/>
  <c r="E6" i="9"/>
  <c r="E7" i="9"/>
  <c r="E8" i="9"/>
  <c r="E9" i="9"/>
  <c r="E10" i="9"/>
  <c r="E11" i="9"/>
  <c r="E12" i="9"/>
  <c r="E13" i="9"/>
  <c r="E14" i="9"/>
  <c r="E15" i="9"/>
  <c r="E16" i="9"/>
  <c r="E17" i="9"/>
  <c r="E18" i="9"/>
  <c r="E19" i="9"/>
  <c r="E20" i="9"/>
  <c r="E21" i="9"/>
  <c r="E22" i="9"/>
  <c r="E23" i="9"/>
  <c r="E24" i="9"/>
  <c r="E25" i="9"/>
  <c r="E26" i="9"/>
  <c r="E27" i="9"/>
  <c r="H2" i="9"/>
  <c r="H3" i="9"/>
  <c r="H4" i="9"/>
  <c r="H5" i="9"/>
  <c r="H6" i="9"/>
  <c r="H7" i="9"/>
  <c r="H8" i="9"/>
  <c r="H9" i="9"/>
  <c r="I13" i="9" s="1"/>
  <c r="J13" i="9" s="1"/>
  <c r="H10" i="9"/>
  <c r="H11" i="9"/>
  <c r="H12" i="9"/>
  <c r="H13" i="9"/>
  <c r="H14" i="9"/>
  <c r="H15" i="9"/>
  <c r="H16" i="9"/>
  <c r="H17" i="9"/>
  <c r="H18" i="9"/>
  <c r="H19" i="9"/>
  <c r="H20" i="9"/>
  <c r="H21" i="9"/>
  <c r="H22" i="9"/>
  <c r="H23" i="9"/>
  <c r="H24" i="9"/>
  <c r="H25" i="9"/>
  <c r="H26" i="9"/>
  <c r="H27" i="9"/>
  <c r="F18" i="10"/>
  <c r="F19" i="10"/>
  <c r="F20" i="10"/>
  <c r="F21" i="10"/>
  <c r="F22" i="10"/>
  <c r="F23" i="10"/>
  <c r="F24" i="10"/>
  <c r="F25" i="10"/>
  <c r="F26" i="10"/>
  <c r="F27" i="10"/>
  <c r="F28" i="10"/>
  <c r="F29" i="10"/>
  <c r="J18" i="10"/>
  <c r="J19" i="10"/>
  <c r="J20" i="10"/>
  <c r="J21" i="10"/>
  <c r="J22" i="10"/>
  <c r="J23" i="10"/>
  <c r="J24" i="10"/>
  <c r="J25" i="10"/>
  <c r="J26" i="10"/>
  <c r="J27" i="10"/>
  <c r="J28" i="10"/>
  <c r="J29" i="10"/>
  <c r="K18" i="10"/>
  <c r="K19" i="10"/>
  <c r="K20" i="10"/>
  <c r="K21" i="10"/>
  <c r="K22" i="10"/>
  <c r="K23" i="10"/>
  <c r="K26" i="10"/>
  <c r="K27" i="10"/>
  <c r="K28" i="10"/>
  <c r="K29" i="10"/>
  <c r="F2" i="10"/>
  <c r="F3" i="10"/>
  <c r="F4" i="10"/>
  <c r="F5" i="10"/>
  <c r="F6" i="10"/>
  <c r="F7" i="10"/>
  <c r="F8" i="10"/>
  <c r="F9" i="10"/>
  <c r="F10" i="10"/>
  <c r="F11" i="10"/>
  <c r="F12" i="10"/>
  <c r="F13" i="10"/>
  <c r="F14" i="10"/>
  <c r="F15" i="10"/>
  <c r="I3" i="10"/>
  <c r="J15" i="10" s="1"/>
  <c r="K15" i="10" s="1"/>
  <c r="I4" i="10"/>
  <c r="I5" i="10"/>
  <c r="I6" i="10"/>
  <c r="I7" i="10"/>
  <c r="I8" i="10"/>
  <c r="I9" i="10"/>
  <c r="I10" i="10"/>
  <c r="I11" i="10"/>
  <c r="I12" i="10"/>
  <c r="I13" i="10"/>
  <c r="I14" i="10"/>
  <c r="I15" i="10"/>
  <c r="I20" i="10"/>
  <c r="I21" i="10"/>
  <c r="I22" i="10"/>
  <c r="I23" i="10"/>
  <c r="I24" i="10"/>
  <c r="I25" i="10"/>
  <c r="I26" i="10"/>
  <c r="I27" i="10"/>
  <c r="I28" i="10"/>
  <c r="I29" i="10"/>
  <c r="I19" i="10"/>
  <c r="I2" i="9" l="1"/>
  <c r="J2" i="9" s="1"/>
  <c r="I3" i="9"/>
  <c r="I4" i="9"/>
  <c r="J4" i="9" s="1"/>
  <c r="I5" i="9"/>
  <c r="J5" i="9" s="1"/>
  <c r="I6" i="9"/>
  <c r="J6" i="9" s="1"/>
  <c r="I7" i="9"/>
  <c r="J7" i="9" s="1"/>
  <c r="I14" i="9"/>
  <c r="J14" i="9" s="1"/>
  <c r="I15" i="9"/>
  <c r="J15" i="9" s="1"/>
  <c r="I16" i="9"/>
  <c r="J16" i="9" s="1"/>
  <c r="I17" i="9"/>
  <c r="J17" i="9" s="1"/>
  <c r="I18" i="9"/>
  <c r="I19" i="9"/>
  <c r="J19" i="9" s="1"/>
  <c r="I8" i="9"/>
  <c r="J8" i="9" s="1"/>
  <c r="I20" i="9"/>
  <c r="J20" i="9" s="1"/>
  <c r="I21" i="9"/>
  <c r="J21" i="9" s="1"/>
  <c r="I9" i="9"/>
  <c r="I22" i="9"/>
  <c r="J22" i="9" s="1"/>
  <c r="I23" i="9"/>
  <c r="J23" i="9" s="1"/>
  <c r="I10" i="9"/>
  <c r="J10" i="9" s="1"/>
  <c r="I24" i="9"/>
  <c r="J24" i="9" s="1"/>
  <c r="I11" i="9"/>
  <c r="J11" i="9" s="1"/>
  <c r="I25" i="9"/>
  <c r="J25" i="9" s="1"/>
  <c r="I12" i="9"/>
  <c r="I26" i="9"/>
  <c r="J26" i="9" s="1"/>
  <c r="I27" i="9"/>
  <c r="J27" i="9" s="1"/>
  <c r="G2" i="9"/>
  <c r="F2" i="9"/>
  <c r="F4" i="9"/>
  <c r="G4" i="9"/>
  <c r="F5" i="9"/>
  <c r="G5" i="9"/>
  <c r="F6" i="9"/>
  <c r="G6" i="9"/>
  <c r="F7" i="9"/>
  <c r="G7" i="9"/>
  <c r="F8" i="9"/>
  <c r="G8" i="9"/>
  <c r="F10" i="9"/>
  <c r="G10" i="9"/>
  <c r="F11" i="9"/>
  <c r="G11" i="9"/>
  <c r="F13" i="9"/>
  <c r="G13" i="9"/>
  <c r="F14" i="9"/>
  <c r="G14" i="9"/>
  <c r="F15" i="9"/>
  <c r="G15" i="9"/>
  <c r="F16" i="9"/>
  <c r="G16" i="9"/>
  <c r="F17" i="9"/>
  <c r="G17" i="9"/>
  <c r="F19" i="9"/>
  <c r="G19" i="9"/>
  <c r="F20" i="9"/>
  <c r="G20" i="9"/>
  <c r="G21" i="9"/>
  <c r="F21" i="9"/>
  <c r="F22" i="9"/>
  <c r="G22" i="9"/>
  <c r="F23" i="9"/>
  <c r="G23" i="9"/>
  <c r="F24" i="9"/>
  <c r="G24" i="9"/>
  <c r="F25" i="9"/>
  <c r="G25" i="9"/>
  <c r="F26" i="9"/>
  <c r="G26" i="9"/>
  <c r="F27" i="9"/>
  <c r="G27" i="9"/>
  <c r="G18" i="10"/>
  <c r="H18" i="10"/>
  <c r="G19" i="10"/>
  <c r="H19" i="10"/>
  <c r="G20" i="10"/>
  <c r="H20" i="10"/>
  <c r="G21" i="10"/>
  <c r="H21" i="10"/>
  <c r="H22" i="10"/>
  <c r="G22" i="10"/>
  <c r="G23" i="10"/>
  <c r="H23" i="10"/>
  <c r="H24" i="10"/>
  <c r="G24" i="10"/>
  <c r="K24" i="10"/>
  <c r="G25" i="10"/>
  <c r="K25" i="10"/>
  <c r="H25" i="10"/>
  <c r="H26" i="10"/>
  <c r="G26" i="10"/>
  <c r="G27" i="10"/>
  <c r="H27" i="10"/>
  <c r="G28" i="10"/>
  <c r="H28" i="10"/>
  <c r="H29" i="10"/>
  <c r="G29" i="10"/>
  <c r="J4" i="10"/>
  <c r="K4" i="10" s="1"/>
  <c r="J7" i="10"/>
  <c r="K7" i="10" s="1"/>
  <c r="J9" i="10"/>
  <c r="K9" i="10" s="1"/>
  <c r="J11" i="10"/>
  <c r="K11" i="10" s="1"/>
  <c r="J14" i="10"/>
  <c r="K14" i="10" s="1"/>
  <c r="J2" i="10"/>
  <c r="K2" i="10" s="1"/>
  <c r="J3" i="10"/>
  <c r="K3" i="10" s="1"/>
  <c r="J5" i="10"/>
  <c r="K5" i="10" s="1"/>
  <c r="J6" i="10"/>
  <c r="K6" i="10" s="1"/>
  <c r="J8" i="10"/>
  <c r="K8" i="10" s="1"/>
  <c r="J10" i="10"/>
  <c r="K10" i="10" s="1"/>
  <c r="J12" i="10"/>
  <c r="K12" i="10" s="1"/>
  <c r="J13" i="10"/>
  <c r="K13" i="10" s="1"/>
  <c r="G2" i="10"/>
  <c r="H2" i="10"/>
  <c r="H3" i="10"/>
  <c r="G3" i="10"/>
  <c r="G4" i="10"/>
  <c r="H4" i="10"/>
  <c r="G5" i="10"/>
  <c r="H5" i="10"/>
  <c r="G6" i="10"/>
  <c r="H6" i="10"/>
  <c r="H7" i="10"/>
  <c r="G7" i="10"/>
  <c r="G8" i="10"/>
  <c r="H8" i="10"/>
  <c r="G9" i="10"/>
  <c r="H9" i="10"/>
  <c r="H10" i="10"/>
  <c r="G10" i="10"/>
  <c r="H11" i="10"/>
  <c r="G11" i="10"/>
  <c r="G12" i="10"/>
  <c r="H12" i="10"/>
  <c r="G13" i="10"/>
  <c r="H13" i="10"/>
  <c r="H14" i="10"/>
  <c r="G14" i="10"/>
  <c r="H15" i="10"/>
  <c r="G15" i="10"/>
  <c r="G3" i="9" l="1"/>
  <c r="F3" i="9"/>
  <c r="J3" i="9"/>
  <c r="J18" i="9"/>
  <c r="F18" i="9"/>
  <c r="G18" i="9"/>
  <c r="J9" i="9"/>
  <c r="F9" i="9"/>
  <c r="G9" i="9"/>
  <c r="J12" i="9"/>
  <c r="F12" i="9"/>
  <c r="G12"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DB832EC-B5DA-46E4-B7BB-9E7B9A0F30D8}" keepAlive="1" name="Query - vienna-general-death-to-birth-rates-by-clinic (2)" description="Connection to the 'vienna-general-death-to-birth-rates-by-clinic (2)' query in the workbook." type="5" refreshedVersion="8" background="1" saveData="1">
    <dbPr connection="Provider=Microsoft.Mashup.OleDb.1;Data Source=$Workbook$;Location=&quot;vienna-general-death-to-birth-rates-by-clinic (2)&quot;;Extended Properties=&quot;&quot;" command="SELECT * FROM [vienna-general-death-to-birth-rates-by-clinic (2)]"/>
  </connection>
  <connection id="2" xr16:uid="{A0B96A25-3254-42C5-97CB-3F5FC3AB6155}" keepAlive="1" name="Query - vienna-general-death-to-birth-rates-by-clinic (3)" description="Connection to the 'vienna-general-death-to-birth-rates-by-clinic (3)' query in the workbook." type="5" refreshedVersion="8" background="1" saveData="1">
    <dbPr connection="Provider=Microsoft.Mashup.OleDb.1;Data Source=$Workbook$;Location=&quot;vienna-general-death-to-birth-rates-by-clinic (3)&quot;;Extended Properties=&quot;&quot;" command="SELECT * FROM [vienna-general-death-to-birth-rates-by-clinic (3)]"/>
  </connection>
  <connection id="3" xr16:uid="{4D845672-5AD4-4076-A6BC-125D868FA9E5}" keepAlive="1" name="Query - vienna-general-death-to-birth-rates-by-clinic (5)" description="Connection to the 'vienna-general-death-to-birth-rates-by-clinic (5)' query in the workbook." type="5" refreshedVersion="8" background="1" saveData="1">
    <dbPr connection="Provider=Microsoft.Mashup.OleDb.1;Data Source=$Workbook$;Location=&quot;vienna-general-death-to-birth-rates-by-clinic (5)&quot;;Extended Properties=&quot;&quot;" command="SELECT * FROM [vienna-general-death-to-birth-rates-by-clinic (5)]"/>
  </connection>
  <connection id="4" xr16:uid="{73AA352C-2450-4251-9B11-01D649BD6E07}" keepAlive="1" name="Query - vienna-general-death-to-birth-rates-by-clinic (6)" description="Connection to the 'vienna-general-death-to-birth-rates-by-clinic (6)' query in the workbook." type="5" refreshedVersion="8" background="1" saveData="1">
    <dbPr connection="Provider=Microsoft.Mashup.OleDb.1;Data Source=$Workbook$;Location=&quot;vienna-general-death-to-birth-rates-by-clinic (6)&quot;;Extended Properties=&quot;&quot;" command="SELECT * FROM [vienna-general-death-to-birth-rates-by-clinic (6)]"/>
  </connection>
  <connection id="5" xr16:uid="{3C906298-3858-4E6E-94BB-2C625E549345}" keepAlive="1" name="Query - vienna-general-death-to-birth-rates-by-clinic (7)" description="Connection to the 'vienna-general-death-to-birth-rates-by-clinic (7)' query in the workbook." type="5" refreshedVersion="8" background="1" saveData="1">
    <dbPr connection="Provider=Microsoft.Mashup.OleDb.1;Data Source=$Workbook$;Location=&quot;vienna-general-death-to-birth-rates-by-clinic (7)&quot;;Extended Properties=&quot;&quot;" command="SELECT * FROM [vienna-general-death-to-birth-rates-by-clinic (7)]"/>
  </connection>
</connections>
</file>

<file path=xl/sharedStrings.xml><?xml version="1.0" encoding="utf-8"?>
<sst xmlns="http://schemas.openxmlformats.org/spreadsheetml/2006/main" count="577" uniqueCount="65">
  <si>
    <t>Chapter 2. The Impact of Handwashing at Vienna General</t>
  </si>
  <si>
    <t>Hospital</t>
  </si>
  <si>
    <t>Clinic</t>
  </si>
  <si>
    <t>Year</t>
  </si>
  <si>
    <t>Rate</t>
  </si>
  <si>
    <t>Vienna General Hospital</t>
  </si>
  <si>
    <t>1st Clinic</t>
  </si>
  <si>
    <t>1833</t>
  </si>
  <si>
    <t>1834</t>
  </si>
  <si>
    <t>1835</t>
  </si>
  <si>
    <t>1836</t>
  </si>
  <si>
    <t>1837</t>
  </si>
  <si>
    <t>1838</t>
  </si>
  <si>
    <t>1839</t>
  </si>
  <si>
    <t>1840</t>
  </si>
  <si>
    <t>1841</t>
  </si>
  <si>
    <t>1842</t>
  </si>
  <si>
    <t>1843</t>
  </si>
  <si>
    <t>1844</t>
  </si>
  <si>
    <t>1845</t>
  </si>
  <si>
    <t>1846</t>
  </si>
  <si>
    <t>1847</t>
  </si>
  <si>
    <t>1848</t>
  </si>
  <si>
    <t>1849</t>
  </si>
  <si>
    <t>1850</t>
  </si>
  <si>
    <t>1851</t>
  </si>
  <si>
    <t>1852</t>
  </si>
  <si>
    <t>1853</t>
  </si>
  <si>
    <t>1854</t>
  </si>
  <si>
    <t>1855</t>
  </si>
  <si>
    <t>1856</t>
  </si>
  <si>
    <t>1857</t>
  </si>
  <si>
    <t>1858</t>
  </si>
  <si>
    <t>Mean</t>
  </si>
  <si>
    <t>UPL</t>
  </si>
  <si>
    <t>LPL</t>
  </si>
  <si>
    <t>mR</t>
  </si>
  <si>
    <t>Ave. mR</t>
  </si>
  <si>
    <t>URL</t>
  </si>
  <si>
    <t>Stage</t>
  </si>
  <si>
    <t>Before handwashing</t>
  </si>
  <si>
    <t>After handwashing</t>
  </si>
  <si>
    <t>Employee</t>
  </si>
  <si>
    <t>Births</t>
  </si>
  <si>
    <t>Deaths</t>
  </si>
  <si>
    <t>Students &amp; Doctors</t>
  </si>
  <si>
    <t>Link to book:</t>
  </si>
  <si>
    <t>https://www.brokenquality.com/book</t>
  </si>
  <si>
    <t>Link to GitHub:</t>
  </si>
  <si>
    <t>https://github.com/jimlehner/virus-of-variation-book</t>
  </si>
  <si>
    <t>Contact:</t>
  </si>
  <si>
    <t>James.Lehner@gmail.com</t>
  </si>
  <si>
    <t>QualityIsBroken@gmail.com</t>
  </si>
  <si>
    <r>
      <t>This file serves as a resource for building some of the figures in Chapter 2 of The Virus of Variation using Microsoft Excel or Google Sheets.
The figures included here are:
Figure 2.2. Time series of death-to-birth rates
Figure 2.3. XmR chart of death-to-birth rates
Figure 2.5. XmR charts of before and after handwashing
Each figure has its own tab. The data used in the figures can be found in the Data tab.
For additional details regarding each of the figures, see Chapter 2 of 
The Virus of Variation.
(</t>
    </r>
    <r>
      <rPr>
        <b/>
        <sz val="12"/>
        <color rgb="FF000000"/>
        <rFont val="Montserrat"/>
      </rPr>
      <t>BrokenQuality.com/book</t>
    </r>
    <r>
      <rPr>
        <sz val="12"/>
        <color rgb="FF000000"/>
        <rFont val="Montserrat"/>
      </rPr>
      <t xml:space="preserve">).
If you are familiar with Python (or would like to learn), the Python code used to generate these figures, as they appear in The Virus of Variation, can be found at:
</t>
    </r>
    <r>
      <rPr>
        <b/>
        <sz val="12"/>
        <color rgb="FF000000"/>
        <rFont val="Montserrat"/>
      </rPr>
      <t>github.com/jimlehner/the-virus-of-variation</t>
    </r>
    <r>
      <rPr>
        <sz val="12"/>
        <color rgb="FF000000"/>
        <rFont val="Montserrat"/>
      </rPr>
      <t xml:space="preserve">
If you have question or feedback email us at:
</t>
    </r>
    <r>
      <rPr>
        <b/>
        <sz val="12"/>
        <color rgb="FF000000"/>
        <rFont val="Montserrat"/>
      </rPr>
      <t>James.Lehner@gmail.com</t>
    </r>
    <r>
      <rPr>
        <sz val="12"/>
        <color rgb="FF000000"/>
        <rFont val="Montserrat"/>
      </rPr>
      <t xml:space="preserve"> or </t>
    </r>
    <r>
      <rPr>
        <b/>
        <sz val="12"/>
        <color rgb="FF000000"/>
        <rFont val="Montserrat"/>
      </rPr>
      <t>QualityIsBroken@gmail.com</t>
    </r>
    <r>
      <rPr>
        <sz val="12"/>
        <color rgb="FF000000"/>
        <rFont val="Montserrat"/>
      </rPr>
      <t>.</t>
    </r>
  </si>
  <si>
    <t>https://raw.githubusercontent.com/jimlehner/virus-of-variation-book/refs/heads/main/data/vienna-general-death-to-birth-rates-by-clinic.csv</t>
  </si>
  <si>
    <t>Raw GitHub Data URLs:</t>
  </si>
  <si>
    <t>Fig 2.2, 2.3, 2.5</t>
  </si>
  <si>
    <t>Note</t>
  </si>
  <si>
    <t>Second clinic started</t>
  </si>
  <si>
    <t/>
  </si>
  <si>
    <t>Only midwives worked in the second clinic</t>
  </si>
  <si>
    <t>Handwashing in first clinic mid-May</t>
  </si>
  <si>
    <t>Semmelweis dismissed in March</t>
  </si>
  <si>
    <t>2nd Clinic</t>
  </si>
  <si>
    <t>Midwives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</si>
</sst>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2">
    <font>
      <sz val="10"/>
      <color rgb="FF000000"/>
      <name val="Arial"/>
      <scheme val="minor"/>
    </font>
    <font>
      <sz val="10"/>
      <color theme="1"/>
      <name val="Arial"/>
      <family val="2"/>
    </font>
    <font>
      <sz val="9"/>
      <color rgb="FF1F2328"/>
      <name val="-apple-system"/>
    </font>
    <font>
      <sz val="9"/>
      <color rgb="FF1F2328"/>
      <name val="Arial"/>
      <family val="2"/>
    </font>
    <font>
      <b/>
      <sz val="15"/>
      <color rgb="FFD72323"/>
      <name val="Montserrat"/>
    </font>
    <font>
      <sz val="15"/>
      <color rgb="FF000000"/>
      <name val="Arial"/>
      <family val="2"/>
      <scheme val="minor"/>
    </font>
    <font>
      <sz val="10"/>
      <color rgb="FF000000"/>
      <name val="Arial"/>
      <family val="2"/>
      <scheme val="minor"/>
    </font>
    <font>
      <sz val="8"/>
      <name val="Arial"/>
      <family val="2"/>
      <scheme val="minor"/>
    </font>
    <font>
      <u/>
      <sz val="10"/>
      <color theme="10"/>
      <name val="Arial"/>
      <family val="2"/>
      <scheme val="minor"/>
    </font>
    <font>
      <sz val="12"/>
      <color rgb="FF000000"/>
      <name val="Montserrat"/>
    </font>
    <font>
      <b/>
      <sz val="10"/>
      <color rgb="FF000000"/>
      <name val="Arial"/>
      <family val="2"/>
      <scheme val="minor"/>
    </font>
    <font>
      <b/>
      <sz val="12"/>
      <color rgb="FF000000"/>
      <name val="Montserrat"/>
    </font>
  </fonts>
  <fills count="2">
    <fill>
      <patternFill patternType="none"/>
    </fill>
    <fill>
      <patternFill patternType="gray125"/>
    </fill>
  </fills>
  <borders count="18">
    <border>
      <left/>
      <right/>
      <top/>
      <bottom/>
      <diagonal/>
    </border>
    <border>
      <left style="thin">
        <color rgb="FFD1D9E0"/>
      </left>
      <right/>
      <top/>
      <bottom/>
      <diagonal/>
    </border>
    <border>
      <left style="thin">
        <color rgb="FFD1D9E0"/>
      </left>
      <right/>
      <top style="thin">
        <color rgb="FFD1D9E0"/>
      </top>
      <bottom/>
      <diagonal/>
    </border>
    <border>
      <left/>
      <right/>
      <top style="thin">
        <color rgb="FFD1D9E0"/>
      </top>
      <bottom/>
      <diagonal/>
    </border>
    <border>
      <left style="thin">
        <color theme="0" tint="-0.14999847407452621"/>
      </left>
      <right/>
      <top style="thin">
        <color theme="0" tint="-0.14999847407452621"/>
      </top>
      <bottom/>
      <diagonal/>
    </border>
    <border>
      <left/>
      <right/>
      <top style="thin">
        <color theme="0" tint="-0.14999847407452621"/>
      </top>
      <bottom/>
      <diagonal/>
    </border>
    <border>
      <left/>
      <right style="thin">
        <color theme="0" tint="-0.14999847407452621"/>
      </right>
      <top style="thin">
        <color theme="0" tint="-0.14999847407452621"/>
      </top>
      <bottom/>
      <diagonal/>
    </border>
    <border>
      <left style="thin">
        <color theme="0" tint="-0.14999847407452621"/>
      </left>
      <right/>
      <top/>
      <bottom/>
      <diagonal/>
    </border>
    <border>
      <left/>
      <right style="thin">
        <color theme="0" tint="-0.14999847407452621"/>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theme="0" tint="-0.14999847407452621"/>
      </left>
      <right/>
      <top style="thin">
        <color theme="0" tint="-0.14999847407452621"/>
      </top>
      <bottom style="thin">
        <color theme="0" tint="-0.14999847407452621"/>
      </bottom>
      <diagonal/>
    </border>
    <border>
      <left/>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s>
  <cellStyleXfs count="3">
    <xf numFmtId="0" fontId="0" fillId="0" borderId="0"/>
    <xf numFmtId="0" fontId="6" fillId="0" borderId="0"/>
    <xf numFmtId="0" fontId="8" fillId="0" borderId="0" applyNumberFormat="0" applyFill="0" applyBorder="0" applyAlignment="0" applyProtection="0"/>
  </cellStyleXfs>
  <cellXfs count="35">
    <xf numFmtId="0" fontId="0" fillId="0" borderId="0" xfId="0"/>
    <xf numFmtId="0" fontId="1" fillId="0" borderId="0" xfId="0" applyFont="1"/>
    <xf numFmtId="0" fontId="2" fillId="0" borderId="1" xfId="0" applyFont="1" applyBorder="1"/>
    <xf numFmtId="0" fontId="3" fillId="0" borderId="0" xfId="0" applyFont="1"/>
    <xf numFmtId="0" fontId="2" fillId="0" borderId="0" xfId="0" applyFont="1"/>
    <xf numFmtId="0" fontId="3" fillId="0" borderId="0" xfId="0" applyFont="1" applyAlignment="1">
      <alignment horizontal="left"/>
    </xf>
    <xf numFmtId="0" fontId="2" fillId="0" borderId="0" xfId="0" applyFont="1" applyAlignment="1">
      <alignment horizontal="right"/>
    </xf>
    <xf numFmtId="0" fontId="2" fillId="0" borderId="3" xfId="0" applyFont="1" applyBorder="1"/>
    <xf numFmtId="0" fontId="2" fillId="0" borderId="2" xfId="0" applyFont="1" applyBorder="1"/>
    <xf numFmtId="0" fontId="2" fillId="0" borderId="2" xfId="0" applyFont="1" applyBorder="1" applyAlignment="1">
      <alignment horizontal="right"/>
    </xf>
    <xf numFmtId="49" fontId="0" fillId="0" borderId="0" xfId="0" applyNumberFormat="1"/>
    <xf numFmtId="0" fontId="10" fillId="0" borderId="12" xfId="0" applyFont="1" applyBorder="1" applyAlignment="1">
      <alignment wrapText="1"/>
    </xf>
    <xf numFmtId="0" fontId="10" fillId="0" borderId="9" xfId="0" applyFont="1" applyBorder="1" applyAlignment="1">
      <alignment horizontal="center"/>
    </xf>
    <xf numFmtId="0" fontId="10" fillId="0" borderId="10" xfId="0" applyFont="1" applyBorder="1" applyAlignment="1">
      <alignment horizontal="center"/>
    </xf>
    <xf numFmtId="0" fontId="10" fillId="0" borderId="11" xfId="0" applyFont="1" applyBorder="1" applyAlignment="1">
      <alignment horizontal="center"/>
    </xf>
    <xf numFmtId="0" fontId="0" fillId="0" borderId="13" xfId="0" applyBorder="1" applyAlignment="1">
      <alignment horizontal="left" vertical="center"/>
    </xf>
    <xf numFmtId="0" fontId="0" fillId="0" borderId="14" xfId="0" applyBorder="1" applyAlignment="1">
      <alignment horizontal="left" vertical="center"/>
    </xf>
    <xf numFmtId="0" fontId="8" fillId="0" borderId="7" xfId="2" applyBorder="1" applyAlignment="1">
      <alignment horizontal="center"/>
    </xf>
    <xf numFmtId="0" fontId="8" fillId="0" borderId="0" xfId="2" applyBorder="1" applyAlignment="1">
      <alignment horizontal="center"/>
    </xf>
    <xf numFmtId="0" fontId="8" fillId="0" borderId="8" xfId="2" applyBorder="1" applyAlignment="1">
      <alignment horizontal="center"/>
    </xf>
    <xf numFmtId="0" fontId="10" fillId="0" borderId="7" xfId="0" applyFont="1" applyBorder="1" applyAlignment="1">
      <alignment horizontal="center"/>
    </xf>
    <xf numFmtId="0" fontId="10" fillId="0" borderId="0" xfId="0" applyFont="1" applyAlignment="1">
      <alignment horizontal="center"/>
    </xf>
    <xf numFmtId="0" fontId="10" fillId="0" borderId="8" xfId="0" applyFont="1" applyBorder="1" applyAlignment="1">
      <alignment horizontal="center"/>
    </xf>
    <xf numFmtId="0" fontId="9" fillId="0" borderId="4" xfId="0" applyFont="1" applyBorder="1" applyAlignment="1">
      <alignment horizontal="center" wrapText="1"/>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0" xfId="0" applyAlignment="1">
      <alignment horizontal="center"/>
    </xf>
    <xf numFmtId="0" fontId="0" fillId="0" borderId="8" xfId="0" applyBorder="1" applyAlignment="1">
      <alignment horizontal="center"/>
    </xf>
    <xf numFmtId="0" fontId="10" fillId="0" borderId="4" xfId="0" applyFont="1" applyBorder="1" applyAlignment="1">
      <alignment horizontal="center"/>
    </xf>
    <xf numFmtId="0" fontId="10" fillId="0" borderId="5" xfId="0" applyFont="1" applyBorder="1" applyAlignment="1">
      <alignment horizontal="center"/>
    </xf>
    <xf numFmtId="0" fontId="10" fillId="0" borderId="6" xfId="0" applyFont="1" applyBorder="1" applyAlignment="1">
      <alignment horizontal="center"/>
    </xf>
    <xf numFmtId="0" fontId="4" fillId="0" borderId="15" xfId="0" applyFont="1" applyBorder="1" applyAlignment="1">
      <alignment horizontal="center"/>
    </xf>
    <xf numFmtId="0" fontId="5" fillId="0" borderId="16" xfId="0" applyFont="1" applyBorder="1"/>
    <xf numFmtId="0" fontId="5" fillId="0" borderId="17" xfId="0" applyFont="1" applyBorder="1"/>
  </cellXfs>
  <cellStyles count="3">
    <cellStyle name="Hyperlink" xfId="2" builtinId="8"/>
    <cellStyle name="Normal" xfId="0" builtinId="0"/>
    <cellStyle name="Normal 2" xfId="1" xr:uid="{AC25747A-ABFE-48DE-9B44-3409C0D39C76}"/>
  </cellStyles>
  <dxfs count="4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9"/>
        <color rgb="FF1F2328"/>
        <name val="-apple-system"/>
        <scheme val="none"/>
      </font>
      <numFmt numFmtId="0" formatCode="General"/>
      <alignment horizontal="right" vertical="bottom" textRotation="0" wrapText="0" indent="0" justifyLastLine="0" shrinkToFit="0" readingOrder="0"/>
      <border diagonalUp="0" diagonalDown="0">
        <left style="thin">
          <color rgb="FFD1D9E0"/>
        </left>
        <right/>
        <top style="thin">
          <color rgb="FFD1D9E0"/>
        </top>
        <bottom/>
        <vertical/>
        <horizontal/>
      </border>
    </dxf>
    <dxf>
      <font>
        <b val="0"/>
        <i val="0"/>
        <strike val="0"/>
        <condense val="0"/>
        <extend val="0"/>
        <outline val="0"/>
        <shadow val="0"/>
        <u val="none"/>
        <vertAlign val="baseline"/>
        <sz val="9"/>
        <color rgb="FF1F2328"/>
        <name val="-apple-system"/>
        <scheme val="none"/>
      </font>
      <numFmt numFmtId="0" formatCode="General"/>
      <alignment horizontal="right" vertical="bottom" textRotation="0" wrapText="0" indent="0" justifyLastLine="0" shrinkToFit="0" readingOrder="0"/>
      <border diagonalUp="0" diagonalDown="0">
        <left style="thin">
          <color rgb="FFD1D9E0"/>
        </left>
        <right/>
        <top style="thin">
          <color rgb="FFD1D9E0"/>
        </top>
        <bottom/>
        <vertical/>
        <horizontal/>
      </border>
    </dxf>
    <dxf>
      <font>
        <b val="0"/>
        <i val="0"/>
        <strike val="0"/>
        <condense val="0"/>
        <extend val="0"/>
        <outline val="0"/>
        <shadow val="0"/>
        <u val="none"/>
        <vertAlign val="baseline"/>
        <sz val="9"/>
        <color rgb="FF1F2328"/>
        <name val="-apple-system"/>
        <scheme val="none"/>
      </font>
      <numFmt numFmtId="0" formatCode="General"/>
      <alignment horizontal="right" vertical="bottom" textRotation="0" wrapText="0" indent="0" justifyLastLine="0" shrinkToFit="0" readingOrder="0"/>
      <border diagonalUp="0" diagonalDown="0">
        <left style="thin">
          <color rgb="FFD1D9E0"/>
        </left>
        <right/>
        <top style="thin">
          <color rgb="FFD1D9E0"/>
        </top>
        <bottom/>
        <vertical/>
        <horizontal/>
      </border>
    </dxf>
    <dxf>
      <font>
        <sz val="9"/>
        <color rgb="FF1F2328"/>
        <name val="-apple-system"/>
        <scheme val="none"/>
      </font>
      <numFmt numFmtId="0" formatCode="General"/>
      <alignment horizontal="right" vertical="bottom" textRotation="0" wrapText="0" indent="0" justifyLastLine="0" shrinkToFit="0" readingOrder="0"/>
      <border diagonalUp="0" diagonalDown="0">
        <left style="thin">
          <color rgb="FFD1D9E0"/>
        </left>
        <right/>
        <top style="thin">
          <color rgb="FFD1D9E0"/>
        </top>
        <bottom/>
        <vertical/>
        <horizontal/>
      </border>
    </dxf>
    <dxf>
      <font>
        <sz val="9"/>
        <color rgb="FF1F2328"/>
        <name val="-apple-system"/>
        <scheme val="none"/>
      </font>
      <numFmt numFmtId="0" formatCode="General"/>
      <border diagonalUp="0" diagonalDown="0">
        <left style="thin">
          <color rgb="FFD1D9E0"/>
        </left>
        <right/>
        <top style="thin">
          <color rgb="FFD1D9E0"/>
        </top>
        <bottom/>
        <vertical/>
        <horizontal/>
      </border>
    </dxf>
    <dxf>
      <font>
        <sz val="9"/>
        <color rgb="FF1F2328"/>
        <name val="-apple-system"/>
        <scheme val="none"/>
      </font>
      <numFmt numFmtId="0" formatCode="General"/>
      <border diagonalUp="0" diagonalDown="0">
        <left/>
        <right/>
        <top style="thin">
          <color rgb="FFD1D9E0"/>
        </top>
        <bottom/>
        <vertical/>
        <horizontal/>
      </border>
    </dxf>
    <dxf>
      <numFmt numFmtId="30" formatCode="@"/>
    </dxf>
    <dxf>
      <numFmt numFmtId="0" formatCode="General"/>
    </dxf>
    <dxf>
      <numFmt numFmtId="0" formatCode="General"/>
    </dxf>
    <dxf>
      <border outline="0">
        <right style="thin">
          <color rgb="FFD1D9E0"/>
        </right>
      </border>
    </dxf>
    <dxf>
      <numFmt numFmtId="0" formatCode="General"/>
    </dxf>
    <dxf>
      <numFmt numFmtId="0" formatCode="General"/>
    </dxf>
    <dxf>
      <numFmt numFmtId="0" formatCode="General"/>
    </dxf>
    <dxf>
      <border outline="0">
        <right style="thin">
          <color rgb="FFD1D9E0"/>
        </right>
      </border>
    </dxf>
    <dxf>
      <fill>
        <patternFill>
          <bgColor rgb="FFFFFFFF"/>
        </patternFill>
      </fill>
    </dxf>
    <dxf>
      <fill>
        <patternFill>
          <bgColor rgb="FFE8F3F7"/>
        </patternFill>
      </fill>
    </dxf>
    <dxf>
      <fill>
        <patternFill>
          <bgColor rgb="FF3688A4"/>
        </patternFill>
      </fill>
    </dxf>
    <dxf>
      <border>
        <left style="thin">
          <color rgb="FF8BB4C5"/>
        </left>
        <right style="thin">
          <color rgb="FF8BB4C5"/>
        </right>
        <top style="thin">
          <color rgb="FF8BB4C5"/>
        </top>
        <bottom style="thin">
          <color rgb="FF8BB4C5"/>
        </bottom>
        <vertical style="thin">
          <color rgb="FFC8DDE6"/>
        </vertical>
        <horizontal style="thin">
          <color rgb="FF8BB4C5"/>
        </horizontal>
      </border>
    </dxf>
  </dxfs>
  <tableStyles count="1" defaultTableStyle="TableStyleMedium2" defaultPivotStyle="PivotStyleLight16">
    <tableStyle name="The Virus of Variation" pivot="0" count="4" xr9:uid="{A5E0418C-89E9-42BA-87DC-215EDFFCC472}">
      <tableStyleElement type="wholeTable" dxfId="42"/>
      <tableStyleElement type="headerRow" dxfId="41"/>
      <tableStyleElement type="firstRowStripe" dxfId="40"/>
      <tableStyleElement type="secondRowStripe" dxfId="3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'Fig 2.2. Time series of rates'!$D$1</c:f>
              <c:strCache>
                <c:ptCount val="1"/>
                <c:pt idx="0">
                  <c:v>Rate</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cat>
            <c:strRef>
              <c:f>'Fig 2.2. Time series of rates'!$C$2:$C$27</c:f>
              <c:strCache>
                <c:ptCount val="26"/>
                <c:pt idx="0">
                  <c:v>1833</c:v>
                </c:pt>
                <c:pt idx="1">
                  <c:v>1834</c:v>
                </c:pt>
                <c:pt idx="2">
                  <c:v>1835</c:v>
                </c:pt>
                <c:pt idx="3">
                  <c:v>1836</c:v>
                </c:pt>
                <c:pt idx="4">
                  <c:v>1837</c:v>
                </c:pt>
                <c:pt idx="5">
                  <c:v>1838</c:v>
                </c:pt>
                <c:pt idx="6">
                  <c:v>1839</c:v>
                </c:pt>
                <c:pt idx="7">
                  <c:v>1840</c:v>
                </c:pt>
                <c:pt idx="8">
                  <c:v>1841</c:v>
                </c:pt>
                <c:pt idx="9">
                  <c:v>1842</c:v>
                </c:pt>
                <c:pt idx="10">
                  <c:v>1843</c:v>
                </c:pt>
                <c:pt idx="11">
                  <c:v>1844</c:v>
                </c:pt>
                <c:pt idx="12">
                  <c:v>1845</c:v>
                </c:pt>
                <c:pt idx="13">
                  <c:v>1846</c:v>
                </c:pt>
                <c:pt idx="14">
                  <c:v>1847</c:v>
                </c:pt>
                <c:pt idx="15">
                  <c:v>1848</c:v>
                </c:pt>
                <c:pt idx="16">
                  <c:v>1849</c:v>
                </c:pt>
                <c:pt idx="17">
                  <c:v>1850</c:v>
                </c:pt>
                <c:pt idx="18">
                  <c:v>1851</c:v>
                </c:pt>
                <c:pt idx="19">
                  <c:v>1852</c:v>
                </c:pt>
                <c:pt idx="20">
                  <c:v>1853</c:v>
                </c:pt>
                <c:pt idx="21">
                  <c:v>1854</c:v>
                </c:pt>
                <c:pt idx="22">
                  <c:v>1855</c:v>
                </c:pt>
                <c:pt idx="23">
                  <c:v>1856</c:v>
                </c:pt>
                <c:pt idx="24">
                  <c:v>1857</c:v>
                </c:pt>
                <c:pt idx="25">
                  <c:v>1858</c:v>
                </c:pt>
              </c:strCache>
            </c:strRef>
          </c:cat>
          <c:val>
            <c:numRef>
              <c:f>'Fig 2.2. Time series of rates'!$D$2:$D$27</c:f>
              <c:numCache>
                <c:formatCode>General</c:formatCode>
                <c:ptCount val="26"/>
                <c:pt idx="0">
                  <c:v>5.3</c:v>
                </c:pt>
                <c:pt idx="1">
                  <c:v>7.7</c:v>
                </c:pt>
                <c:pt idx="2">
                  <c:v>5.6</c:v>
                </c:pt>
                <c:pt idx="3">
                  <c:v>7.5</c:v>
                </c:pt>
                <c:pt idx="4">
                  <c:v>9.1</c:v>
                </c:pt>
                <c:pt idx="5">
                  <c:v>3</c:v>
                </c:pt>
                <c:pt idx="6">
                  <c:v>5.4</c:v>
                </c:pt>
                <c:pt idx="7">
                  <c:v>9.1999999999999993</c:v>
                </c:pt>
                <c:pt idx="8">
                  <c:v>7.8</c:v>
                </c:pt>
                <c:pt idx="9">
                  <c:v>15.8</c:v>
                </c:pt>
                <c:pt idx="10">
                  <c:v>9</c:v>
                </c:pt>
                <c:pt idx="11">
                  <c:v>8.1999999999999993</c:v>
                </c:pt>
                <c:pt idx="12">
                  <c:v>6.9</c:v>
                </c:pt>
                <c:pt idx="13">
                  <c:v>11.4</c:v>
                </c:pt>
                <c:pt idx="14">
                  <c:v>5</c:v>
                </c:pt>
                <c:pt idx="15">
                  <c:v>1.3</c:v>
                </c:pt>
                <c:pt idx="16">
                  <c:v>2.7</c:v>
                </c:pt>
                <c:pt idx="17">
                  <c:v>2</c:v>
                </c:pt>
                <c:pt idx="18">
                  <c:v>1.8</c:v>
                </c:pt>
                <c:pt idx="19">
                  <c:v>4</c:v>
                </c:pt>
                <c:pt idx="20">
                  <c:v>2.2000000000000002</c:v>
                </c:pt>
                <c:pt idx="21">
                  <c:v>9.1</c:v>
                </c:pt>
                <c:pt idx="22">
                  <c:v>5.4</c:v>
                </c:pt>
                <c:pt idx="23">
                  <c:v>4</c:v>
                </c:pt>
                <c:pt idx="24">
                  <c:v>2.9</c:v>
                </c:pt>
                <c:pt idx="25">
                  <c:v>2</c:v>
                </c:pt>
              </c:numCache>
            </c:numRef>
          </c:val>
          <c:smooth val="0"/>
          <c:extLst>
            <c:ext xmlns:c16="http://schemas.microsoft.com/office/drawing/2014/chart" uri="{C3380CC4-5D6E-409C-BE32-E72D297353CC}">
              <c16:uniqueId val="{00000000-ABE3-4AC6-986D-A9B02EF118C8}"/>
            </c:ext>
          </c:extLst>
        </c:ser>
        <c:dLbls>
          <c:showLegendKey val="0"/>
          <c:showVal val="0"/>
          <c:showCatName val="0"/>
          <c:showSerName val="0"/>
          <c:showPercent val="0"/>
          <c:showBubbleSize val="0"/>
        </c:dLbls>
        <c:marker val="1"/>
        <c:smooth val="0"/>
        <c:axId val="1473189167"/>
        <c:axId val="1473188207"/>
      </c:lineChart>
      <c:catAx>
        <c:axId val="1473189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3188207"/>
        <c:crosses val="autoZero"/>
        <c:auto val="1"/>
        <c:lblAlgn val="ctr"/>
        <c:lblOffset val="100"/>
        <c:noMultiLvlLbl val="0"/>
      </c:catAx>
      <c:valAx>
        <c:axId val="147318820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Death-to-Birth Rate</a:t>
                </a:r>
                <a:r>
                  <a:rPr lang="en-US" baseline="0"/>
                  <a:t>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3189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'Fig 2.2 XmR chart of rates'!$D$1</c:f>
              <c:strCache>
                <c:ptCount val="1"/>
                <c:pt idx="0">
                  <c:v>Rate</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cat>
            <c:strRef>
              <c:f>'Fig 2.2 XmR chart of rates'!$C$2:$C$27</c:f>
              <c:strCache>
                <c:ptCount val="26"/>
                <c:pt idx="0">
                  <c:v>1833</c:v>
                </c:pt>
                <c:pt idx="1">
                  <c:v>1834</c:v>
                </c:pt>
                <c:pt idx="2">
                  <c:v>1835</c:v>
                </c:pt>
                <c:pt idx="3">
                  <c:v>1836</c:v>
                </c:pt>
                <c:pt idx="4">
                  <c:v>1837</c:v>
                </c:pt>
                <c:pt idx="5">
                  <c:v>1838</c:v>
                </c:pt>
                <c:pt idx="6">
                  <c:v>1839</c:v>
                </c:pt>
                <c:pt idx="7">
                  <c:v>1840</c:v>
                </c:pt>
                <c:pt idx="8">
                  <c:v>1841</c:v>
                </c:pt>
                <c:pt idx="9">
                  <c:v>1842</c:v>
                </c:pt>
                <c:pt idx="10">
                  <c:v>1843</c:v>
                </c:pt>
                <c:pt idx="11">
                  <c:v>1844</c:v>
                </c:pt>
                <c:pt idx="12">
                  <c:v>1845</c:v>
                </c:pt>
                <c:pt idx="13">
                  <c:v>1846</c:v>
                </c:pt>
                <c:pt idx="14">
                  <c:v>1847</c:v>
                </c:pt>
                <c:pt idx="15">
                  <c:v>1848</c:v>
                </c:pt>
                <c:pt idx="16">
                  <c:v>1849</c:v>
                </c:pt>
                <c:pt idx="17">
                  <c:v>1850</c:v>
                </c:pt>
                <c:pt idx="18">
                  <c:v>1851</c:v>
                </c:pt>
                <c:pt idx="19">
                  <c:v>1852</c:v>
                </c:pt>
                <c:pt idx="20">
                  <c:v>1853</c:v>
                </c:pt>
                <c:pt idx="21">
                  <c:v>1854</c:v>
                </c:pt>
                <c:pt idx="22">
                  <c:v>1855</c:v>
                </c:pt>
                <c:pt idx="23">
                  <c:v>1856</c:v>
                </c:pt>
                <c:pt idx="24">
                  <c:v>1857</c:v>
                </c:pt>
                <c:pt idx="25">
                  <c:v>1858</c:v>
                </c:pt>
              </c:strCache>
            </c:strRef>
          </c:cat>
          <c:val>
            <c:numRef>
              <c:f>'Fig 2.2 XmR chart of rates'!$D$2:$D$27</c:f>
              <c:numCache>
                <c:formatCode>General</c:formatCode>
                <c:ptCount val="26"/>
                <c:pt idx="0">
                  <c:v>5.3</c:v>
                </c:pt>
                <c:pt idx="1">
                  <c:v>7.7</c:v>
                </c:pt>
                <c:pt idx="2">
                  <c:v>5.6</c:v>
                </c:pt>
                <c:pt idx="3">
                  <c:v>7.5</c:v>
                </c:pt>
                <c:pt idx="4">
                  <c:v>9.1</c:v>
                </c:pt>
                <c:pt idx="5">
                  <c:v>3</c:v>
                </c:pt>
                <c:pt idx="6">
                  <c:v>5.4</c:v>
                </c:pt>
                <c:pt idx="7">
                  <c:v>9.1999999999999993</c:v>
                </c:pt>
                <c:pt idx="8">
                  <c:v>7.8</c:v>
                </c:pt>
                <c:pt idx="9">
                  <c:v>15.8</c:v>
                </c:pt>
                <c:pt idx="10">
                  <c:v>9</c:v>
                </c:pt>
                <c:pt idx="11">
                  <c:v>8.1999999999999993</c:v>
                </c:pt>
                <c:pt idx="12">
                  <c:v>6.9</c:v>
                </c:pt>
                <c:pt idx="13">
                  <c:v>11.4</c:v>
                </c:pt>
                <c:pt idx="14">
                  <c:v>5</c:v>
                </c:pt>
                <c:pt idx="15">
                  <c:v>1.3</c:v>
                </c:pt>
                <c:pt idx="16">
                  <c:v>2.7</c:v>
                </c:pt>
                <c:pt idx="17">
                  <c:v>2</c:v>
                </c:pt>
                <c:pt idx="18">
                  <c:v>1.8</c:v>
                </c:pt>
                <c:pt idx="19">
                  <c:v>4</c:v>
                </c:pt>
                <c:pt idx="20">
                  <c:v>2.2000000000000002</c:v>
                </c:pt>
                <c:pt idx="21">
                  <c:v>9.1</c:v>
                </c:pt>
                <c:pt idx="22">
                  <c:v>5.4</c:v>
                </c:pt>
                <c:pt idx="23">
                  <c:v>4</c:v>
                </c:pt>
                <c:pt idx="24">
                  <c:v>2.9</c:v>
                </c:pt>
                <c:pt idx="25">
                  <c:v>2</c:v>
                </c:pt>
              </c:numCache>
            </c:numRef>
          </c:val>
          <c:smooth val="0"/>
          <c:extLst>
            <c:ext xmlns:c16="http://schemas.microsoft.com/office/drawing/2014/chart" uri="{C3380CC4-5D6E-409C-BE32-E72D297353CC}">
              <c16:uniqueId val="{00000000-329B-41D6-8340-43856FD2F6C5}"/>
            </c:ext>
          </c:extLst>
        </c:ser>
        <c:ser>
          <c:idx val="1"/>
          <c:order val="1"/>
          <c:tx>
            <c:strRef>
              <c:f>'Fig 2.2 XmR chart of rates'!$E$1</c:f>
              <c:strCache>
                <c:ptCount val="1"/>
                <c:pt idx="0">
                  <c:v>Mean</c:v>
                </c:pt>
              </c:strCache>
            </c:strRef>
          </c:tx>
          <c:spPr>
            <a:ln w="28575" cap="rnd">
              <a:solidFill>
                <a:schemeClr val="tx1"/>
              </a:solidFill>
              <a:round/>
            </a:ln>
            <a:effectLst/>
          </c:spPr>
          <c:marker>
            <c:symbol val="none"/>
          </c:marker>
          <c:cat>
            <c:strRef>
              <c:f>'Fig 2.2 XmR chart of rates'!$C$2:$C$27</c:f>
              <c:strCache>
                <c:ptCount val="26"/>
                <c:pt idx="0">
                  <c:v>1833</c:v>
                </c:pt>
                <c:pt idx="1">
                  <c:v>1834</c:v>
                </c:pt>
                <c:pt idx="2">
                  <c:v>1835</c:v>
                </c:pt>
                <c:pt idx="3">
                  <c:v>1836</c:v>
                </c:pt>
                <c:pt idx="4">
                  <c:v>1837</c:v>
                </c:pt>
                <c:pt idx="5">
                  <c:v>1838</c:v>
                </c:pt>
                <c:pt idx="6">
                  <c:v>1839</c:v>
                </c:pt>
                <c:pt idx="7">
                  <c:v>1840</c:v>
                </c:pt>
                <c:pt idx="8">
                  <c:v>1841</c:v>
                </c:pt>
                <c:pt idx="9">
                  <c:v>1842</c:v>
                </c:pt>
                <c:pt idx="10">
                  <c:v>1843</c:v>
                </c:pt>
                <c:pt idx="11">
                  <c:v>1844</c:v>
                </c:pt>
                <c:pt idx="12">
                  <c:v>1845</c:v>
                </c:pt>
                <c:pt idx="13">
                  <c:v>1846</c:v>
                </c:pt>
                <c:pt idx="14">
                  <c:v>1847</c:v>
                </c:pt>
                <c:pt idx="15">
                  <c:v>1848</c:v>
                </c:pt>
                <c:pt idx="16">
                  <c:v>1849</c:v>
                </c:pt>
                <c:pt idx="17">
                  <c:v>1850</c:v>
                </c:pt>
                <c:pt idx="18">
                  <c:v>1851</c:v>
                </c:pt>
                <c:pt idx="19">
                  <c:v>1852</c:v>
                </c:pt>
                <c:pt idx="20">
                  <c:v>1853</c:v>
                </c:pt>
                <c:pt idx="21">
                  <c:v>1854</c:v>
                </c:pt>
                <c:pt idx="22">
                  <c:v>1855</c:v>
                </c:pt>
                <c:pt idx="23">
                  <c:v>1856</c:v>
                </c:pt>
                <c:pt idx="24">
                  <c:v>1857</c:v>
                </c:pt>
                <c:pt idx="25">
                  <c:v>1858</c:v>
                </c:pt>
              </c:strCache>
            </c:strRef>
          </c:cat>
          <c:val>
            <c:numRef>
              <c:f>'Fig 2.2 XmR chart of rates'!$E$2:$E$27</c:f>
              <c:numCache>
                <c:formatCode>General</c:formatCode>
                <c:ptCount val="26"/>
                <c:pt idx="0">
                  <c:v>5.9</c:v>
                </c:pt>
                <c:pt idx="1">
                  <c:v>5.9</c:v>
                </c:pt>
                <c:pt idx="2">
                  <c:v>5.9</c:v>
                </c:pt>
                <c:pt idx="3">
                  <c:v>5.9</c:v>
                </c:pt>
                <c:pt idx="4">
                  <c:v>5.9</c:v>
                </c:pt>
                <c:pt idx="5">
                  <c:v>5.9</c:v>
                </c:pt>
                <c:pt idx="6">
                  <c:v>5.9</c:v>
                </c:pt>
                <c:pt idx="7">
                  <c:v>5.9</c:v>
                </c:pt>
                <c:pt idx="8">
                  <c:v>5.9</c:v>
                </c:pt>
                <c:pt idx="9">
                  <c:v>5.9</c:v>
                </c:pt>
                <c:pt idx="10">
                  <c:v>5.9</c:v>
                </c:pt>
                <c:pt idx="11">
                  <c:v>5.9</c:v>
                </c:pt>
                <c:pt idx="12">
                  <c:v>5.9</c:v>
                </c:pt>
                <c:pt idx="13">
                  <c:v>5.9</c:v>
                </c:pt>
                <c:pt idx="14">
                  <c:v>5.9</c:v>
                </c:pt>
                <c:pt idx="15">
                  <c:v>5.9</c:v>
                </c:pt>
                <c:pt idx="16">
                  <c:v>5.9</c:v>
                </c:pt>
                <c:pt idx="17">
                  <c:v>5.9</c:v>
                </c:pt>
                <c:pt idx="18">
                  <c:v>5.9</c:v>
                </c:pt>
                <c:pt idx="19">
                  <c:v>5.9</c:v>
                </c:pt>
                <c:pt idx="20">
                  <c:v>5.9</c:v>
                </c:pt>
                <c:pt idx="21">
                  <c:v>5.9</c:v>
                </c:pt>
                <c:pt idx="22">
                  <c:v>5.9</c:v>
                </c:pt>
                <c:pt idx="23">
                  <c:v>5.9</c:v>
                </c:pt>
                <c:pt idx="24">
                  <c:v>5.9</c:v>
                </c:pt>
                <c:pt idx="25">
                  <c:v>5.9</c:v>
                </c:pt>
              </c:numCache>
            </c:numRef>
          </c:val>
          <c:smooth val="0"/>
          <c:extLst>
            <c:ext xmlns:c16="http://schemas.microsoft.com/office/drawing/2014/chart" uri="{C3380CC4-5D6E-409C-BE32-E72D297353CC}">
              <c16:uniqueId val="{00000001-329B-41D6-8340-43856FD2F6C5}"/>
            </c:ext>
          </c:extLst>
        </c:ser>
        <c:ser>
          <c:idx val="2"/>
          <c:order val="2"/>
          <c:tx>
            <c:strRef>
              <c:f>'Fig 2.2 XmR chart of rates'!$F$1</c:f>
              <c:strCache>
                <c:ptCount val="1"/>
                <c:pt idx="0">
                  <c:v>UPL</c:v>
                </c:pt>
              </c:strCache>
            </c:strRef>
          </c:tx>
          <c:spPr>
            <a:ln w="28575" cap="rnd">
              <a:solidFill>
                <a:srgbClr val="D72323"/>
              </a:solidFill>
              <a:prstDash val="dash"/>
              <a:round/>
            </a:ln>
            <a:effectLst/>
          </c:spPr>
          <c:marker>
            <c:symbol val="none"/>
          </c:marker>
          <c:cat>
            <c:strRef>
              <c:f>'Fig 2.2 XmR chart of rates'!$C$2:$C$27</c:f>
              <c:strCache>
                <c:ptCount val="26"/>
                <c:pt idx="0">
                  <c:v>1833</c:v>
                </c:pt>
                <c:pt idx="1">
                  <c:v>1834</c:v>
                </c:pt>
                <c:pt idx="2">
                  <c:v>1835</c:v>
                </c:pt>
                <c:pt idx="3">
                  <c:v>1836</c:v>
                </c:pt>
                <c:pt idx="4">
                  <c:v>1837</c:v>
                </c:pt>
                <c:pt idx="5">
                  <c:v>1838</c:v>
                </c:pt>
                <c:pt idx="6">
                  <c:v>1839</c:v>
                </c:pt>
                <c:pt idx="7">
                  <c:v>1840</c:v>
                </c:pt>
                <c:pt idx="8">
                  <c:v>1841</c:v>
                </c:pt>
                <c:pt idx="9">
                  <c:v>1842</c:v>
                </c:pt>
                <c:pt idx="10">
                  <c:v>1843</c:v>
                </c:pt>
                <c:pt idx="11">
                  <c:v>1844</c:v>
                </c:pt>
                <c:pt idx="12">
                  <c:v>1845</c:v>
                </c:pt>
                <c:pt idx="13">
                  <c:v>1846</c:v>
                </c:pt>
                <c:pt idx="14">
                  <c:v>1847</c:v>
                </c:pt>
                <c:pt idx="15">
                  <c:v>1848</c:v>
                </c:pt>
                <c:pt idx="16">
                  <c:v>1849</c:v>
                </c:pt>
                <c:pt idx="17">
                  <c:v>1850</c:v>
                </c:pt>
                <c:pt idx="18">
                  <c:v>1851</c:v>
                </c:pt>
                <c:pt idx="19">
                  <c:v>1852</c:v>
                </c:pt>
                <c:pt idx="20">
                  <c:v>1853</c:v>
                </c:pt>
                <c:pt idx="21">
                  <c:v>1854</c:v>
                </c:pt>
                <c:pt idx="22">
                  <c:v>1855</c:v>
                </c:pt>
                <c:pt idx="23">
                  <c:v>1856</c:v>
                </c:pt>
                <c:pt idx="24">
                  <c:v>1857</c:v>
                </c:pt>
                <c:pt idx="25">
                  <c:v>1858</c:v>
                </c:pt>
              </c:strCache>
            </c:strRef>
          </c:cat>
          <c:val>
            <c:numRef>
              <c:f>'Fig 2.2 XmR chart of rates'!$F$2:$F$27</c:f>
              <c:numCache>
                <c:formatCode>General</c:formatCode>
                <c:ptCount val="26"/>
                <c:pt idx="0">
                  <c:v>13.6</c:v>
                </c:pt>
                <c:pt idx="1">
                  <c:v>13.6</c:v>
                </c:pt>
                <c:pt idx="2">
                  <c:v>13.6</c:v>
                </c:pt>
                <c:pt idx="3">
                  <c:v>13.6</c:v>
                </c:pt>
                <c:pt idx="4">
                  <c:v>13.6</c:v>
                </c:pt>
                <c:pt idx="5">
                  <c:v>13.6</c:v>
                </c:pt>
                <c:pt idx="6">
                  <c:v>13.6</c:v>
                </c:pt>
                <c:pt idx="7">
                  <c:v>13.6</c:v>
                </c:pt>
                <c:pt idx="8">
                  <c:v>13.6</c:v>
                </c:pt>
                <c:pt idx="9">
                  <c:v>13.6</c:v>
                </c:pt>
                <c:pt idx="10">
                  <c:v>13.6</c:v>
                </c:pt>
                <c:pt idx="11">
                  <c:v>13.6</c:v>
                </c:pt>
                <c:pt idx="12">
                  <c:v>13.6</c:v>
                </c:pt>
                <c:pt idx="13">
                  <c:v>13.6</c:v>
                </c:pt>
                <c:pt idx="14">
                  <c:v>13.6</c:v>
                </c:pt>
                <c:pt idx="15">
                  <c:v>13.6</c:v>
                </c:pt>
                <c:pt idx="16">
                  <c:v>13.6</c:v>
                </c:pt>
                <c:pt idx="17">
                  <c:v>13.6</c:v>
                </c:pt>
                <c:pt idx="18">
                  <c:v>13.6</c:v>
                </c:pt>
                <c:pt idx="19">
                  <c:v>13.6</c:v>
                </c:pt>
                <c:pt idx="20">
                  <c:v>13.6</c:v>
                </c:pt>
                <c:pt idx="21">
                  <c:v>13.6</c:v>
                </c:pt>
                <c:pt idx="22">
                  <c:v>13.6</c:v>
                </c:pt>
                <c:pt idx="23">
                  <c:v>13.6</c:v>
                </c:pt>
                <c:pt idx="24">
                  <c:v>13.6</c:v>
                </c:pt>
                <c:pt idx="25">
                  <c:v>13.6</c:v>
                </c:pt>
              </c:numCache>
            </c:numRef>
          </c:val>
          <c:smooth val="0"/>
          <c:extLst>
            <c:ext xmlns:c16="http://schemas.microsoft.com/office/drawing/2014/chart" uri="{C3380CC4-5D6E-409C-BE32-E72D297353CC}">
              <c16:uniqueId val="{00000002-329B-41D6-8340-43856FD2F6C5}"/>
            </c:ext>
          </c:extLst>
        </c:ser>
        <c:ser>
          <c:idx val="3"/>
          <c:order val="3"/>
          <c:tx>
            <c:strRef>
              <c:f>'Fig 2.2 XmR chart of rates'!$G$1</c:f>
              <c:strCache>
                <c:ptCount val="1"/>
                <c:pt idx="0">
                  <c:v>LPL</c:v>
                </c:pt>
              </c:strCache>
            </c:strRef>
          </c:tx>
          <c:spPr>
            <a:ln w="28575" cap="rnd">
              <a:solidFill>
                <a:srgbClr val="D72323"/>
              </a:solidFill>
              <a:prstDash val="dash"/>
              <a:round/>
            </a:ln>
            <a:effectLst/>
          </c:spPr>
          <c:marker>
            <c:symbol val="none"/>
          </c:marker>
          <c:cat>
            <c:strRef>
              <c:f>'Fig 2.2 XmR chart of rates'!$C$2:$C$27</c:f>
              <c:strCache>
                <c:ptCount val="26"/>
                <c:pt idx="0">
                  <c:v>1833</c:v>
                </c:pt>
                <c:pt idx="1">
                  <c:v>1834</c:v>
                </c:pt>
                <c:pt idx="2">
                  <c:v>1835</c:v>
                </c:pt>
                <c:pt idx="3">
                  <c:v>1836</c:v>
                </c:pt>
                <c:pt idx="4">
                  <c:v>1837</c:v>
                </c:pt>
                <c:pt idx="5">
                  <c:v>1838</c:v>
                </c:pt>
                <c:pt idx="6">
                  <c:v>1839</c:v>
                </c:pt>
                <c:pt idx="7">
                  <c:v>1840</c:v>
                </c:pt>
                <c:pt idx="8">
                  <c:v>1841</c:v>
                </c:pt>
                <c:pt idx="9">
                  <c:v>1842</c:v>
                </c:pt>
                <c:pt idx="10">
                  <c:v>1843</c:v>
                </c:pt>
                <c:pt idx="11">
                  <c:v>1844</c:v>
                </c:pt>
                <c:pt idx="12">
                  <c:v>1845</c:v>
                </c:pt>
                <c:pt idx="13">
                  <c:v>1846</c:v>
                </c:pt>
                <c:pt idx="14">
                  <c:v>1847</c:v>
                </c:pt>
                <c:pt idx="15">
                  <c:v>1848</c:v>
                </c:pt>
                <c:pt idx="16">
                  <c:v>1849</c:v>
                </c:pt>
                <c:pt idx="17">
                  <c:v>1850</c:v>
                </c:pt>
                <c:pt idx="18">
                  <c:v>1851</c:v>
                </c:pt>
                <c:pt idx="19">
                  <c:v>1852</c:v>
                </c:pt>
                <c:pt idx="20">
                  <c:v>1853</c:v>
                </c:pt>
                <c:pt idx="21">
                  <c:v>1854</c:v>
                </c:pt>
                <c:pt idx="22">
                  <c:v>1855</c:v>
                </c:pt>
                <c:pt idx="23">
                  <c:v>1856</c:v>
                </c:pt>
                <c:pt idx="24">
                  <c:v>1857</c:v>
                </c:pt>
                <c:pt idx="25">
                  <c:v>1858</c:v>
                </c:pt>
              </c:strCache>
            </c:strRef>
          </c:cat>
          <c:val>
            <c:numRef>
              <c:f>'Fig 2.2 XmR chart of rates'!$G$2:$G$27</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mooth val="0"/>
          <c:extLst>
            <c:ext xmlns:c16="http://schemas.microsoft.com/office/drawing/2014/chart" uri="{C3380CC4-5D6E-409C-BE32-E72D297353CC}">
              <c16:uniqueId val="{00000003-329B-41D6-8340-43856FD2F6C5}"/>
            </c:ext>
          </c:extLst>
        </c:ser>
        <c:dLbls>
          <c:showLegendKey val="0"/>
          <c:showVal val="0"/>
          <c:showCatName val="0"/>
          <c:showSerName val="0"/>
          <c:showPercent val="0"/>
          <c:showBubbleSize val="0"/>
        </c:dLbls>
        <c:marker val="1"/>
        <c:smooth val="0"/>
        <c:axId val="2024056368"/>
        <c:axId val="2024057808"/>
      </c:lineChart>
      <c:catAx>
        <c:axId val="202405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7808"/>
        <c:crosses val="autoZero"/>
        <c:auto val="1"/>
        <c:lblAlgn val="ctr"/>
        <c:lblOffset val="100"/>
        <c:noMultiLvlLbl val="0"/>
      </c:catAx>
      <c:valAx>
        <c:axId val="20240578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Death-to-Birth Rate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6368"/>
        <c:crosses val="autoZero"/>
        <c:crossBetween val="between"/>
      </c:valAx>
      <c:spPr>
        <a:noFill/>
        <a:ln w="25400">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'Fig 2.2 XmR chart of rates'!$H$1</c:f>
              <c:strCache>
                <c:ptCount val="1"/>
                <c:pt idx="0">
                  <c:v>mR</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val>
            <c:numRef>
              <c:f>'Fig 2.2 XmR chart of rates'!$H$2:$H$27</c:f>
              <c:numCache>
                <c:formatCode>General</c:formatCode>
                <c:ptCount val="26"/>
                <c:pt idx="0">
                  <c:v>0</c:v>
                </c:pt>
                <c:pt idx="1">
                  <c:v>2.4</c:v>
                </c:pt>
                <c:pt idx="2">
                  <c:v>2.1</c:v>
                </c:pt>
                <c:pt idx="3">
                  <c:v>1.9</c:v>
                </c:pt>
                <c:pt idx="4">
                  <c:v>1.6</c:v>
                </c:pt>
                <c:pt idx="5">
                  <c:v>6.1</c:v>
                </c:pt>
                <c:pt idx="6">
                  <c:v>2.4</c:v>
                </c:pt>
                <c:pt idx="7">
                  <c:v>3.8</c:v>
                </c:pt>
                <c:pt idx="8">
                  <c:v>1.4</c:v>
                </c:pt>
                <c:pt idx="9">
                  <c:v>8</c:v>
                </c:pt>
                <c:pt idx="10">
                  <c:v>6.8</c:v>
                </c:pt>
                <c:pt idx="11">
                  <c:v>0.8</c:v>
                </c:pt>
                <c:pt idx="12">
                  <c:v>1.3</c:v>
                </c:pt>
                <c:pt idx="13">
                  <c:v>4.5</c:v>
                </c:pt>
                <c:pt idx="14">
                  <c:v>6.4</c:v>
                </c:pt>
                <c:pt idx="15">
                  <c:v>3.7</c:v>
                </c:pt>
                <c:pt idx="16">
                  <c:v>1.4</c:v>
                </c:pt>
                <c:pt idx="17">
                  <c:v>0.7</c:v>
                </c:pt>
                <c:pt idx="18">
                  <c:v>0.2</c:v>
                </c:pt>
                <c:pt idx="19">
                  <c:v>2.2000000000000002</c:v>
                </c:pt>
                <c:pt idx="20">
                  <c:v>1.8</c:v>
                </c:pt>
                <c:pt idx="21">
                  <c:v>6.9</c:v>
                </c:pt>
                <c:pt idx="22">
                  <c:v>3.7</c:v>
                </c:pt>
                <c:pt idx="23">
                  <c:v>1.4</c:v>
                </c:pt>
                <c:pt idx="24">
                  <c:v>1.1000000000000001</c:v>
                </c:pt>
                <c:pt idx="25">
                  <c:v>0.9</c:v>
                </c:pt>
              </c:numCache>
            </c:numRef>
          </c:val>
          <c:smooth val="0"/>
          <c:extLst>
            <c:ext xmlns:c16="http://schemas.microsoft.com/office/drawing/2014/chart" uri="{C3380CC4-5D6E-409C-BE32-E72D297353CC}">
              <c16:uniqueId val="{00000000-5D18-47FA-93F7-2AB89D044415}"/>
            </c:ext>
          </c:extLst>
        </c:ser>
        <c:ser>
          <c:idx val="1"/>
          <c:order val="1"/>
          <c:tx>
            <c:strRef>
              <c:f>'Fig 2.2 XmR chart of rates'!$I$1</c:f>
              <c:strCache>
                <c:ptCount val="1"/>
                <c:pt idx="0">
                  <c:v>Ave. mR</c:v>
                </c:pt>
              </c:strCache>
            </c:strRef>
          </c:tx>
          <c:spPr>
            <a:ln w="28575" cap="rnd">
              <a:solidFill>
                <a:schemeClr val="tx1"/>
              </a:solidFill>
              <a:round/>
            </a:ln>
            <a:effectLst/>
          </c:spPr>
          <c:marker>
            <c:symbol val="none"/>
          </c:marker>
          <c:val>
            <c:numRef>
              <c:f>'Fig 2.2 XmR chart of rates'!$I$2:$I$27</c:f>
              <c:numCache>
                <c:formatCode>General</c:formatCode>
                <c:ptCount val="26"/>
                <c:pt idx="0">
                  <c:v>2.9</c:v>
                </c:pt>
                <c:pt idx="1">
                  <c:v>2.9</c:v>
                </c:pt>
                <c:pt idx="2">
                  <c:v>2.9</c:v>
                </c:pt>
                <c:pt idx="3">
                  <c:v>2.9</c:v>
                </c:pt>
                <c:pt idx="4">
                  <c:v>2.9</c:v>
                </c:pt>
                <c:pt idx="5">
                  <c:v>2.9</c:v>
                </c:pt>
                <c:pt idx="6">
                  <c:v>2.9</c:v>
                </c:pt>
                <c:pt idx="7">
                  <c:v>2.9</c:v>
                </c:pt>
                <c:pt idx="8">
                  <c:v>2.9</c:v>
                </c:pt>
                <c:pt idx="9">
                  <c:v>2.9</c:v>
                </c:pt>
                <c:pt idx="10">
                  <c:v>2.9</c:v>
                </c:pt>
                <c:pt idx="11">
                  <c:v>2.9</c:v>
                </c:pt>
                <c:pt idx="12">
                  <c:v>2.9</c:v>
                </c:pt>
                <c:pt idx="13">
                  <c:v>2.9</c:v>
                </c:pt>
                <c:pt idx="14">
                  <c:v>2.9</c:v>
                </c:pt>
                <c:pt idx="15">
                  <c:v>2.9</c:v>
                </c:pt>
                <c:pt idx="16">
                  <c:v>2.9</c:v>
                </c:pt>
                <c:pt idx="17">
                  <c:v>2.9</c:v>
                </c:pt>
                <c:pt idx="18">
                  <c:v>2.9</c:v>
                </c:pt>
                <c:pt idx="19">
                  <c:v>2.9</c:v>
                </c:pt>
                <c:pt idx="20">
                  <c:v>2.9</c:v>
                </c:pt>
                <c:pt idx="21">
                  <c:v>2.9</c:v>
                </c:pt>
                <c:pt idx="22">
                  <c:v>2.9</c:v>
                </c:pt>
                <c:pt idx="23">
                  <c:v>2.9</c:v>
                </c:pt>
                <c:pt idx="24">
                  <c:v>2.9</c:v>
                </c:pt>
                <c:pt idx="25">
                  <c:v>2.9</c:v>
                </c:pt>
              </c:numCache>
            </c:numRef>
          </c:val>
          <c:smooth val="0"/>
          <c:extLst>
            <c:ext xmlns:c16="http://schemas.microsoft.com/office/drawing/2014/chart" uri="{C3380CC4-5D6E-409C-BE32-E72D297353CC}">
              <c16:uniqueId val="{00000001-5D18-47FA-93F7-2AB89D044415}"/>
            </c:ext>
          </c:extLst>
        </c:ser>
        <c:ser>
          <c:idx val="2"/>
          <c:order val="2"/>
          <c:tx>
            <c:strRef>
              <c:f>'Fig 2.2 XmR chart of rates'!$J$1</c:f>
              <c:strCache>
                <c:ptCount val="1"/>
                <c:pt idx="0">
                  <c:v>URL</c:v>
                </c:pt>
              </c:strCache>
            </c:strRef>
          </c:tx>
          <c:spPr>
            <a:ln w="28575" cap="rnd">
              <a:solidFill>
                <a:srgbClr val="D72323"/>
              </a:solidFill>
              <a:prstDash val="dash"/>
              <a:round/>
            </a:ln>
            <a:effectLst/>
          </c:spPr>
          <c:marker>
            <c:symbol val="none"/>
          </c:marker>
          <c:val>
            <c:numRef>
              <c:f>'Fig 2.2 XmR chart of rates'!$J$2:$J$27</c:f>
              <c:numCache>
                <c:formatCode>General</c:formatCode>
                <c:ptCount val="26"/>
                <c:pt idx="0">
                  <c:v>9.5</c:v>
                </c:pt>
                <c:pt idx="1">
                  <c:v>9.5</c:v>
                </c:pt>
                <c:pt idx="2">
                  <c:v>9.5</c:v>
                </c:pt>
                <c:pt idx="3">
                  <c:v>9.5</c:v>
                </c:pt>
                <c:pt idx="4">
                  <c:v>9.5</c:v>
                </c:pt>
                <c:pt idx="5">
                  <c:v>9.5</c:v>
                </c:pt>
                <c:pt idx="6">
                  <c:v>9.5</c:v>
                </c:pt>
                <c:pt idx="7">
                  <c:v>9.5</c:v>
                </c:pt>
                <c:pt idx="8">
                  <c:v>9.5</c:v>
                </c:pt>
                <c:pt idx="9">
                  <c:v>9.5</c:v>
                </c:pt>
                <c:pt idx="10">
                  <c:v>9.5</c:v>
                </c:pt>
                <c:pt idx="11">
                  <c:v>9.5</c:v>
                </c:pt>
                <c:pt idx="12">
                  <c:v>9.5</c:v>
                </c:pt>
                <c:pt idx="13">
                  <c:v>9.5</c:v>
                </c:pt>
                <c:pt idx="14">
                  <c:v>9.5</c:v>
                </c:pt>
                <c:pt idx="15">
                  <c:v>9.5</c:v>
                </c:pt>
                <c:pt idx="16">
                  <c:v>9.5</c:v>
                </c:pt>
                <c:pt idx="17">
                  <c:v>9.5</c:v>
                </c:pt>
                <c:pt idx="18">
                  <c:v>9.5</c:v>
                </c:pt>
                <c:pt idx="19">
                  <c:v>9.5</c:v>
                </c:pt>
                <c:pt idx="20">
                  <c:v>9.5</c:v>
                </c:pt>
                <c:pt idx="21">
                  <c:v>9.5</c:v>
                </c:pt>
                <c:pt idx="22">
                  <c:v>9.5</c:v>
                </c:pt>
                <c:pt idx="23">
                  <c:v>9.5</c:v>
                </c:pt>
                <c:pt idx="24">
                  <c:v>9.5</c:v>
                </c:pt>
                <c:pt idx="25">
                  <c:v>9.5</c:v>
                </c:pt>
              </c:numCache>
            </c:numRef>
          </c:val>
          <c:smooth val="0"/>
          <c:extLst>
            <c:ext xmlns:c16="http://schemas.microsoft.com/office/drawing/2014/chart" uri="{C3380CC4-5D6E-409C-BE32-E72D297353CC}">
              <c16:uniqueId val="{00000002-5D18-47FA-93F7-2AB89D044415}"/>
            </c:ext>
          </c:extLst>
        </c:ser>
        <c:dLbls>
          <c:showLegendKey val="0"/>
          <c:showVal val="0"/>
          <c:showCatName val="0"/>
          <c:showSerName val="0"/>
          <c:showPercent val="0"/>
          <c:showBubbleSize val="0"/>
        </c:dLbls>
        <c:marker val="1"/>
        <c:smooth val="0"/>
        <c:axId val="2024086608"/>
        <c:axId val="2024084208"/>
      </c:lineChart>
      <c:catAx>
        <c:axId val="2024086608"/>
        <c:scaling>
          <c:orientation val="minMax"/>
        </c:scaling>
        <c:delete val="1"/>
        <c:axPos val="b"/>
        <c:majorTickMark val="none"/>
        <c:minorTickMark val="none"/>
        <c:tickLblPos val="nextTo"/>
        <c:crossAx val="2024084208"/>
        <c:crosses val="autoZero"/>
        <c:auto val="1"/>
        <c:lblAlgn val="ctr"/>
        <c:lblOffset val="100"/>
        <c:noMultiLvlLbl val="0"/>
      </c:catAx>
      <c:valAx>
        <c:axId val="20240842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Moving Range</a:t>
                </a:r>
                <a:r>
                  <a:rPr lang="en-US" baseline="0"/>
                  <a:t> (mR)</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86608"/>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'Fig 2.5 XmR charts'!$E$1</c:f>
              <c:strCache>
                <c:ptCount val="1"/>
                <c:pt idx="0">
                  <c:v>Rate</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cat>
            <c:strRef>
              <c:f>'Fig 2.5 XmR charts'!$D$2:$D$15</c:f>
              <c:strCache>
                <c:ptCount val="14"/>
                <c:pt idx="0">
                  <c:v>1833</c:v>
                </c:pt>
                <c:pt idx="1">
                  <c:v>1834</c:v>
                </c:pt>
                <c:pt idx="2">
                  <c:v>1835</c:v>
                </c:pt>
                <c:pt idx="3">
                  <c:v>1836</c:v>
                </c:pt>
                <c:pt idx="4">
                  <c:v>1837</c:v>
                </c:pt>
                <c:pt idx="5">
                  <c:v>1838</c:v>
                </c:pt>
                <c:pt idx="6">
                  <c:v>1839</c:v>
                </c:pt>
                <c:pt idx="7">
                  <c:v>1840</c:v>
                </c:pt>
                <c:pt idx="8">
                  <c:v>1841</c:v>
                </c:pt>
                <c:pt idx="9">
                  <c:v>1842</c:v>
                </c:pt>
                <c:pt idx="10">
                  <c:v>1843</c:v>
                </c:pt>
                <c:pt idx="11">
                  <c:v>1844</c:v>
                </c:pt>
                <c:pt idx="12">
                  <c:v>1845</c:v>
                </c:pt>
                <c:pt idx="13">
                  <c:v>1846</c:v>
                </c:pt>
              </c:strCache>
            </c:strRef>
          </c:cat>
          <c:val>
            <c:numRef>
              <c:f>'Fig 2.5 XmR charts'!$E$2:$E$15</c:f>
              <c:numCache>
                <c:formatCode>General</c:formatCode>
                <c:ptCount val="14"/>
                <c:pt idx="0">
                  <c:v>5.3</c:v>
                </c:pt>
                <c:pt idx="1">
                  <c:v>7.7</c:v>
                </c:pt>
                <c:pt idx="2">
                  <c:v>5.6</c:v>
                </c:pt>
                <c:pt idx="3">
                  <c:v>7.5</c:v>
                </c:pt>
                <c:pt idx="4">
                  <c:v>9.1</c:v>
                </c:pt>
                <c:pt idx="5">
                  <c:v>3</c:v>
                </c:pt>
                <c:pt idx="6">
                  <c:v>5.4</c:v>
                </c:pt>
                <c:pt idx="7">
                  <c:v>9.1999999999999993</c:v>
                </c:pt>
                <c:pt idx="8">
                  <c:v>7.8</c:v>
                </c:pt>
                <c:pt idx="9">
                  <c:v>15.8</c:v>
                </c:pt>
                <c:pt idx="10">
                  <c:v>9</c:v>
                </c:pt>
                <c:pt idx="11">
                  <c:v>8.1999999999999993</c:v>
                </c:pt>
                <c:pt idx="12">
                  <c:v>6.9</c:v>
                </c:pt>
                <c:pt idx="13">
                  <c:v>11.4</c:v>
                </c:pt>
              </c:numCache>
            </c:numRef>
          </c:val>
          <c:smooth val="0"/>
          <c:extLst>
            <c:ext xmlns:c16="http://schemas.microsoft.com/office/drawing/2014/chart" uri="{C3380CC4-5D6E-409C-BE32-E72D297353CC}">
              <c16:uniqueId val="{00000000-329B-41D6-8340-43856FD2F6C5}"/>
            </c:ext>
          </c:extLst>
        </c:ser>
        <c:ser>
          <c:idx val="1"/>
          <c:order val="1"/>
          <c:tx>
            <c:strRef>
              <c:f>'Fig 2.5 XmR charts'!$F$1</c:f>
              <c:strCache>
                <c:ptCount val="1"/>
                <c:pt idx="0">
                  <c:v>Mean</c:v>
                </c:pt>
              </c:strCache>
            </c:strRef>
          </c:tx>
          <c:spPr>
            <a:ln w="28575" cap="rnd">
              <a:solidFill>
                <a:schemeClr val="tx1"/>
              </a:solidFill>
              <a:round/>
            </a:ln>
            <a:effectLst/>
          </c:spPr>
          <c:marker>
            <c:symbol val="none"/>
          </c:marker>
          <c:cat>
            <c:strRef>
              <c:f>'Fig 2.5 XmR charts'!$D$2:$D$15</c:f>
              <c:strCache>
                <c:ptCount val="14"/>
                <c:pt idx="0">
                  <c:v>1833</c:v>
                </c:pt>
                <c:pt idx="1">
                  <c:v>1834</c:v>
                </c:pt>
                <c:pt idx="2">
                  <c:v>1835</c:v>
                </c:pt>
                <c:pt idx="3">
                  <c:v>1836</c:v>
                </c:pt>
                <c:pt idx="4">
                  <c:v>1837</c:v>
                </c:pt>
                <c:pt idx="5">
                  <c:v>1838</c:v>
                </c:pt>
                <c:pt idx="6">
                  <c:v>1839</c:v>
                </c:pt>
                <c:pt idx="7">
                  <c:v>1840</c:v>
                </c:pt>
                <c:pt idx="8">
                  <c:v>1841</c:v>
                </c:pt>
                <c:pt idx="9">
                  <c:v>1842</c:v>
                </c:pt>
                <c:pt idx="10">
                  <c:v>1843</c:v>
                </c:pt>
                <c:pt idx="11">
                  <c:v>1844</c:v>
                </c:pt>
                <c:pt idx="12">
                  <c:v>1845</c:v>
                </c:pt>
                <c:pt idx="13">
                  <c:v>1846</c:v>
                </c:pt>
              </c:strCache>
            </c:strRef>
          </c:cat>
          <c:val>
            <c:numRef>
              <c:f>'Fig 2.5 XmR charts'!$F$2:$F$15</c:f>
              <c:numCache>
                <c:formatCode>General</c:formatCode>
                <c:ptCount val="14"/>
                <c:pt idx="0">
                  <c:v>7.99</c:v>
                </c:pt>
                <c:pt idx="1">
                  <c:v>7.99</c:v>
                </c:pt>
                <c:pt idx="2">
                  <c:v>7.99</c:v>
                </c:pt>
                <c:pt idx="3">
                  <c:v>7.99</c:v>
                </c:pt>
                <c:pt idx="4">
                  <c:v>7.99</c:v>
                </c:pt>
                <c:pt idx="5">
                  <c:v>7.99</c:v>
                </c:pt>
                <c:pt idx="6">
                  <c:v>7.99</c:v>
                </c:pt>
                <c:pt idx="7">
                  <c:v>7.99</c:v>
                </c:pt>
                <c:pt idx="8">
                  <c:v>7.99</c:v>
                </c:pt>
                <c:pt idx="9">
                  <c:v>7.99</c:v>
                </c:pt>
                <c:pt idx="10">
                  <c:v>7.99</c:v>
                </c:pt>
                <c:pt idx="11">
                  <c:v>7.99</c:v>
                </c:pt>
                <c:pt idx="12">
                  <c:v>7.99</c:v>
                </c:pt>
                <c:pt idx="13">
                  <c:v>7.99</c:v>
                </c:pt>
              </c:numCache>
            </c:numRef>
          </c:val>
          <c:smooth val="0"/>
          <c:extLst>
            <c:ext xmlns:c16="http://schemas.microsoft.com/office/drawing/2014/chart" uri="{C3380CC4-5D6E-409C-BE32-E72D297353CC}">
              <c16:uniqueId val="{00000001-329B-41D6-8340-43856FD2F6C5}"/>
            </c:ext>
          </c:extLst>
        </c:ser>
        <c:ser>
          <c:idx val="2"/>
          <c:order val="2"/>
          <c:tx>
            <c:strRef>
              <c:f>'Fig 2.5 XmR charts'!$G$1</c:f>
              <c:strCache>
                <c:ptCount val="1"/>
                <c:pt idx="0">
                  <c:v>UPL</c:v>
                </c:pt>
              </c:strCache>
            </c:strRef>
          </c:tx>
          <c:spPr>
            <a:ln w="28575" cap="rnd">
              <a:solidFill>
                <a:srgbClr val="D72323"/>
              </a:solidFill>
              <a:prstDash val="dash"/>
              <a:round/>
            </a:ln>
            <a:effectLst/>
          </c:spPr>
          <c:marker>
            <c:symbol val="none"/>
          </c:marker>
          <c:cat>
            <c:strRef>
              <c:f>'Fig 2.5 XmR charts'!$D$2:$D$15</c:f>
              <c:strCache>
                <c:ptCount val="14"/>
                <c:pt idx="0">
                  <c:v>1833</c:v>
                </c:pt>
                <c:pt idx="1">
                  <c:v>1834</c:v>
                </c:pt>
                <c:pt idx="2">
                  <c:v>1835</c:v>
                </c:pt>
                <c:pt idx="3">
                  <c:v>1836</c:v>
                </c:pt>
                <c:pt idx="4">
                  <c:v>1837</c:v>
                </c:pt>
                <c:pt idx="5">
                  <c:v>1838</c:v>
                </c:pt>
                <c:pt idx="6">
                  <c:v>1839</c:v>
                </c:pt>
                <c:pt idx="7">
                  <c:v>1840</c:v>
                </c:pt>
                <c:pt idx="8">
                  <c:v>1841</c:v>
                </c:pt>
                <c:pt idx="9">
                  <c:v>1842</c:v>
                </c:pt>
                <c:pt idx="10">
                  <c:v>1843</c:v>
                </c:pt>
                <c:pt idx="11">
                  <c:v>1844</c:v>
                </c:pt>
                <c:pt idx="12">
                  <c:v>1845</c:v>
                </c:pt>
                <c:pt idx="13">
                  <c:v>1846</c:v>
                </c:pt>
              </c:strCache>
            </c:strRef>
          </c:cat>
          <c:val>
            <c:numRef>
              <c:f>'Fig 2.5 XmR charts'!$G$2:$G$15</c:f>
              <c:numCache>
                <c:formatCode>General</c:formatCode>
                <c:ptCount val="14"/>
                <c:pt idx="0">
                  <c:v>16.82</c:v>
                </c:pt>
                <c:pt idx="1">
                  <c:v>16.82</c:v>
                </c:pt>
                <c:pt idx="2">
                  <c:v>16.82</c:v>
                </c:pt>
                <c:pt idx="3">
                  <c:v>16.82</c:v>
                </c:pt>
                <c:pt idx="4">
                  <c:v>16.82</c:v>
                </c:pt>
                <c:pt idx="5">
                  <c:v>16.82</c:v>
                </c:pt>
                <c:pt idx="6">
                  <c:v>16.82</c:v>
                </c:pt>
                <c:pt idx="7">
                  <c:v>16.82</c:v>
                </c:pt>
                <c:pt idx="8">
                  <c:v>16.82</c:v>
                </c:pt>
                <c:pt idx="9">
                  <c:v>16.82</c:v>
                </c:pt>
                <c:pt idx="10">
                  <c:v>16.82</c:v>
                </c:pt>
                <c:pt idx="11">
                  <c:v>16.82</c:v>
                </c:pt>
                <c:pt idx="12">
                  <c:v>16.82</c:v>
                </c:pt>
                <c:pt idx="13">
                  <c:v>16.82</c:v>
                </c:pt>
              </c:numCache>
            </c:numRef>
          </c:val>
          <c:smooth val="0"/>
          <c:extLst>
            <c:ext xmlns:c16="http://schemas.microsoft.com/office/drawing/2014/chart" uri="{C3380CC4-5D6E-409C-BE32-E72D297353CC}">
              <c16:uniqueId val="{00000002-329B-41D6-8340-43856FD2F6C5}"/>
            </c:ext>
          </c:extLst>
        </c:ser>
        <c:ser>
          <c:idx val="3"/>
          <c:order val="3"/>
          <c:tx>
            <c:strRef>
              <c:f>'Fig 2.5 XmR charts'!$H$1</c:f>
              <c:strCache>
                <c:ptCount val="1"/>
                <c:pt idx="0">
                  <c:v>LPL</c:v>
                </c:pt>
              </c:strCache>
            </c:strRef>
          </c:tx>
          <c:spPr>
            <a:ln w="28575" cap="rnd">
              <a:solidFill>
                <a:srgbClr val="D72323"/>
              </a:solidFill>
              <a:prstDash val="dash"/>
              <a:round/>
            </a:ln>
            <a:effectLst/>
          </c:spPr>
          <c:marker>
            <c:symbol val="none"/>
          </c:marker>
          <c:cat>
            <c:strRef>
              <c:f>'Fig 2.5 XmR charts'!$D$2:$D$15</c:f>
              <c:strCache>
                <c:ptCount val="14"/>
                <c:pt idx="0">
                  <c:v>1833</c:v>
                </c:pt>
                <c:pt idx="1">
                  <c:v>1834</c:v>
                </c:pt>
                <c:pt idx="2">
                  <c:v>1835</c:v>
                </c:pt>
                <c:pt idx="3">
                  <c:v>1836</c:v>
                </c:pt>
                <c:pt idx="4">
                  <c:v>1837</c:v>
                </c:pt>
                <c:pt idx="5">
                  <c:v>1838</c:v>
                </c:pt>
                <c:pt idx="6">
                  <c:v>1839</c:v>
                </c:pt>
                <c:pt idx="7">
                  <c:v>1840</c:v>
                </c:pt>
                <c:pt idx="8">
                  <c:v>1841</c:v>
                </c:pt>
                <c:pt idx="9">
                  <c:v>1842</c:v>
                </c:pt>
                <c:pt idx="10">
                  <c:v>1843</c:v>
                </c:pt>
                <c:pt idx="11">
                  <c:v>1844</c:v>
                </c:pt>
                <c:pt idx="12">
                  <c:v>1845</c:v>
                </c:pt>
                <c:pt idx="13">
                  <c:v>1846</c:v>
                </c:pt>
              </c:strCache>
            </c:strRef>
          </c:cat>
          <c:val>
            <c:numRef>
              <c:f>'Fig 2.5 XmR charts'!$H$2:$H$15</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smooth val="0"/>
          <c:extLst>
            <c:ext xmlns:c16="http://schemas.microsoft.com/office/drawing/2014/chart" uri="{C3380CC4-5D6E-409C-BE32-E72D297353CC}">
              <c16:uniqueId val="{00000003-329B-41D6-8340-43856FD2F6C5}"/>
            </c:ext>
          </c:extLst>
        </c:ser>
        <c:dLbls>
          <c:showLegendKey val="0"/>
          <c:showVal val="0"/>
          <c:showCatName val="0"/>
          <c:showSerName val="0"/>
          <c:showPercent val="0"/>
          <c:showBubbleSize val="0"/>
        </c:dLbls>
        <c:marker val="1"/>
        <c:smooth val="0"/>
        <c:axId val="2024056368"/>
        <c:axId val="2024057808"/>
      </c:lineChart>
      <c:catAx>
        <c:axId val="202405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7808"/>
        <c:crosses val="autoZero"/>
        <c:auto val="1"/>
        <c:lblAlgn val="ctr"/>
        <c:lblOffset val="100"/>
        <c:noMultiLvlLbl val="0"/>
      </c:catAx>
      <c:valAx>
        <c:axId val="20240578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Death-to-Birth Rate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6368"/>
        <c:crosses val="autoZero"/>
        <c:crossBetween val="between"/>
      </c:valAx>
      <c:spPr>
        <a:noFill/>
        <a:ln w="25400">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'Fig 2.5 XmR charts'!$E$17</c:f>
              <c:strCache>
                <c:ptCount val="1"/>
                <c:pt idx="0">
                  <c:v>Rate</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cat>
            <c:strRef>
              <c:f>'Fig 2.5 XmR charts'!$D$18:$D$29</c:f>
              <c:strCache>
                <c:ptCount val="12"/>
                <c:pt idx="0">
                  <c:v>1847</c:v>
                </c:pt>
                <c:pt idx="1">
                  <c:v>1848</c:v>
                </c:pt>
                <c:pt idx="2">
                  <c:v>1849</c:v>
                </c:pt>
                <c:pt idx="3">
                  <c:v>1850</c:v>
                </c:pt>
                <c:pt idx="4">
                  <c:v>1851</c:v>
                </c:pt>
                <c:pt idx="5">
                  <c:v>1852</c:v>
                </c:pt>
                <c:pt idx="6">
                  <c:v>1853</c:v>
                </c:pt>
                <c:pt idx="7">
                  <c:v>1854</c:v>
                </c:pt>
                <c:pt idx="8">
                  <c:v>1855</c:v>
                </c:pt>
                <c:pt idx="9">
                  <c:v>1856</c:v>
                </c:pt>
                <c:pt idx="10">
                  <c:v>1857</c:v>
                </c:pt>
                <c:pt idx="11">
                  <c:v>1858</c:v>
                </c:pt>
              </c:strCache>
            </c:strRef>
          </c:cat>
          <c:val>
            <c:numRef>
              <c:f>'Fig 2.5 XmR charts'!$E$18:$E$29</c:f>
              <c:numCache>
                <c:formatCode>General</c:formatCode>
                <c:ptCount val="12"/>
                <c:pt idx="0">
                  <c:v>5</c:v>
                </c:pt>
                <c:pt idx="1">
                  <c:v>1.3</c:v>
                </c:pt>
                <c:pt idx="2">
                  <c:v>2.7</c:v>
                </c:pt>
                <c:pt idx="3">
                  <c:v>2</c:v>
                </c:pt>
                <c:pt idx="4">
                  <c:v>1.8</c:v>
                </c:pt>
                <c:pt idx="5">
                  <c:v>4</c:v>
                </c:pt>
                <c:pt idx="6">
                  <c:v>2.2000000000000002</c:v>
                </c:pt>
                <c:pt idx="7">
                  <c:v>9.1</c:v>
                </c:pt>
                <c:pt idx="8">
                  <c:v>5.4</c:v>
                </c:pt>
                <c:pt idx="9">
                  <c:v>4</c:v>
                </c:pt>
                <c:pt idx="10">
                  <c:v>2.9</c:v>
                </c:pt>
                <c:pt idx="11">
                  <c:v>2</c:v>
                </c:pt>
              </c:numCache>
            </c:numRef>
          </c:val>
          <c:smooth val="0"/>
          <c:extLst>
            <c:ext xmlns:c16="http://schemas.microsoft.com/office/drawing/2014/chart" uri="{C3380CC4-5D6E-409C-BE32-E72D297353CC}">
              <c16:uniqueId val="{00000000-329B-41D6-8340-43856FD2F6C5}"/>
            </c:ext>
          </c:extLst>
        </c:ser>
        <c:ser>
          <c:idx val="1"/>
          <c:order val="1"/>
          <c:tx>
            <c:strRef>
              <c:f>'Fig 2.5 XmR charts'!$F$17</c:f>
              <c:strCache>
                <c:ptCount val="1"/>
                <c:pt idx="0">
                  <c:v>Mean</c:v>
                </c:pt>
              </c:strCache>
            </c:strRef>
          </c:tx>
          <c:spPr>
            <a:ln w="28575" cap="rnd">
              <a:solidFill>
                <a:schemeClr val="tx1"/>
              </a:solidFill>
              <a:round/>
            </a:ln>
            <a:effectLst/>
          </c:spPr>
          <c:marker>
            <c:symbol val="none"/>
          </c:marker>
          <c:cat>
            <c:strRef>
              <c:f>'Fig 2.5 XmR charts'!$D$18:$D$29</c:f>
              <c:strCache>
                <c:ptCount val="12"/>
                <c:pt idx="0">
                  <c:v>1847</c:v>
                </c:pt>
                <c:pt idx="1">
                  <c:v>1848</c:v>
                </c:pt>
                <c:pt idx="2">
                  <c:v>1849</c:v>
                </c:pt>
                <c:pt idx="3">
                  <c:v>1850</c:v>
                </c:pt>
                <c:pt idx="4">
                  <c:v>1851</c:v>
                </c:pt>
                <c:pt idx="5">
                  <c:v>1852</c:v>
                </c:pt>
                <c:pt idx="6">
                  <c:v>1853</c:v>
                </c:pt>
                <c:pt idx="7">
                  <c:v>1854</c:v>
                </c:pt>
                <c:pt idx="8">
                  <c:v>1855</c:v>
                </c:pt>
                <c:pt idx="9">
                  <c:v>1856</c:v>
                </c:pt>
                <c:pt idx="10">
                  <c:v>1857</c:v>
                </c:pt>
                <c:pt idx="11">
                  <c:v>1858</c:v>
                </c:pt>
              </c:strCache>
            </c:strRef>
          </c:cat>
          <c:val>
            <c:numRef>
              <c:f>'Fig 2.5 XmR charts'!$F$18:$F$29</c:f>
              <c:numCache>
                <c:formatCode>General</c:formatCode>
                <c:ptCount val="12"/>
                <c:pt idx="0">
                  <c:v>3.53</c:v>
                </c:pt>
                <c:pt idx="1">
                  <c:v>3.53</c:v>
                </c:pt>
                <c:pt idx="2">
                  <c:v>3.53</c:v>
                </c:pt>
                <c:pt idx="3">
                  <c:v>3.53</c:v>
                </c:pt>
                <c:pt idx="4">
                  <c:v>3.53</c:v>
                </c:pt>
                <c:pt idx="5">
                  <c:v>3.53</c:v>
                </c:pt>
                <c:pt idx="6">
                  <c:v>3.53</c:v>
                </c:pt>
                <c:pt idx="7">
                  <c:v>3.53</c:v>
                </c:pt>
                <c:pt idx="8">
                  <c:v>3.53</c:v>
                </c:pt>
                <c:pt idx="9">
                  <c:v>3.53</c:v>
                </c:pt>
                <c:pt idx="10">
                  <c:v>3.53</c:v>
                </c:pt>
                <c:pt idx="11">
                  <c:v>3.53</c:v>
                </c:pt>
              </c:numCache>
            </c:numRef>
          </c:val>
          <c:smooth val="0"/>
          <c:extLst>
            <c:ext xmlns:c16="http://schemas.microsoft.com/office/drawing/2014/chart" uri="{C3380CC4-5D6E-409C-BE32-E72D297353CC}">
              <c16:uniqueId val="{00000001-329B-41D6-8340-43856FD2F6C5}"/>
            </c:ext>
          </c:extLst>
        </c:ser>
        <c:ser>
          <c:idx val="2"/>
          <c:order val="2"/>
          <c:tx>
            <c:strRef>
              <c:f>'Fig 2.5 XmR charts'!$G$17</c:f>
              <c:strCache>
                <c:ptCount val="1"/>
                <c:pt idx="0">
                  <c:v>UPL</c:v>
                </c:pt>
              </c:strCache>
            </c:strRef>
          </c:tx>
          <c:spPr>
            <a:ln w="28575" cap="rnd">
              <a:solidFill>
                <a:srgbClr val="D72323"/>
              </a:solidFill>
              <a:prstDash val="dash"/>
              <a:round/>
            </a:ln>
            <a:effectLst/>
          </c:spPr>
          <c:marker>
            <c:symbol val="none"/>
          </c:marker>
          <c:cat>
            <c:strRef>
              <c:f>'Fig 2.5 XmR charts'!$D$18:$D$29</c:f>
              <c:strCache>
                <c:ptCount val="12"/>
                <c:pt idx="0">
                  <c:v>1847</c:v>
                </c:pt>
                <c:pt idx="1">
                  <c:v>1848</c:v>
                </c:pt>
                <c:pt idx="2">
                  <c:v>1849</c:v>
                </c:pt>
                <c:pt idx="3">
                  <c:v>1850</c:v>
                </c:pt>
                <c:pt idx="4">
                  <c:v>1851</c:v>
                </c:pt>
                <c:pt idx="5">
                  <c:v>1852</c:v>
                </c:pt>
                <c:pt idx="6">
                  <c:v>1853</c:v>
                </c:pt>
                <c:pt idx="7">
                  <c:v>1854</c:v>
                </c:pt>
                <c:pt idx="8">
                  <c:v>1855</c:v>
                </c:pt>
                <c:pt idx="9">
                  <c:v>1856</c:v>
                </c:pt>
                <c:pt idx="10">
                  <c:v>1857</c:v>
                </c:pt>
                <c:pt idx="11">
                  <c:v>1858</c:v>
                </c:pt>
              </c:strCache>
            </c:strRef>
          </c:cat>
          <c:val>
            <c:numRef>
              <c:f>'Fig 2.5 XmR charts'!$G$18:$G$29</c:f>
              <c:numCache>
                <c:formatCode>General</c:formatCode>
                <c:ptCount val="12"/>
                <c:pt idx="0">
                  <c:v>9.33</c:v>
                </c:pt>
                <c:pt idx="1">
                  <c:v>9.33</c:v>
                </c:pt>
                <c:pt idx="2">
                  <c:v>9.33</c:v>
                </c:pt>
                <c:pt idx="3">
                  <c:v>9.33</c:v>
                </c:pt>
                <c:pt idx="4">
                  <c:v>9.33</c:v>
                </c:pt>
                <c:pt idx="5">
                  <c:v>9.33</c:v>
                </c:pt>
                <c:pt idx="6">
                  <c:v>9.33</c:v>
                </c:pt>
                <c:pt idx="7">
                  <c:v>9.33</c:v>
                </c:pt>
                <c:pt idx="8">
                  <c:v>9.33</c:v>
                </c:pt>
                <c:pt idx="9">
                  <c:v>9.33</c:v>
                </c:pt>
                <c:pt idx="10">
                  <c:v>9.33</c:v>
                </c:pt>
                <c:pt idx="11">
                  <c:v>9.33</c:v>
                </c:pt>
              </c:numCache>
            </c:numRef>
          </c:val>
          <c:smooth val="0"/>
          <c:extLst>
            <c:ext xmlns:c16="http://schemas.microsoft.com/office/drawing/2014/chart" uri="{C3380CC4-5D6E-409C-BE32-E72D297353CC}">
              <c16:uniqueId val="{00000002-329B-41D6-8340-43856FD2F6C5}"/>
            </c:ext>
          </c:extLst>
        </c:ser>
        <c:ser>
          <c:idx val="3"/>
          <c:order val="3"/>
          <c:tx>
            <c:strRef>
              <c:f>'Fig 2.5 XmR charts'!$H$17</c:f>
              <c:strCache>
                <c:ptCount val="1"/>
                <c:pt idx="0">
                  <c:v>LPL</c:v>
                </c:pt>
              </c:strCache>
            </c:strRef>
          </c:tx>
          <c:spPr>
            <a:ln w="28575" cap="rnd">
              <a:solidFill>
                <a:srgbClr val="D72323"/>
              </a:solidFill>
              <a:prstDash val="dash"/>
              <a:round/>
            </a:ln>
            <a:effectLst/>
          </c:spPr>
          <c:marker>
            <c:symbol val="none"/>
          </c:marker>
          <c:cat>
            <c:strRef>
              <c:f>'Fig 2.5 XmR charts'!$D$18:$D$29</c:f>
              <c:strCache>
                <c:ptCount val="12"/>
                <c:pt idx="0">
                  <c:v>1847</c:v>
                </c:pt>
                <c:pt idx="1">
                  <c:v>1848</c:v>
                </c:pt>
                <c:pt idx="2">
                  <c:v>1849</c:v>
                </c:pt>
                <c:pt idx="3">
                  <c:v>1850</c:v>
                </c:pt>
                <c:pt idx="4">
                  <c:v>1851</c:v>
                </c:pt>
                <c:pt idx="5">
                  <c:v>1852</c:v>
                </c:pt>
                <c:pt idx="6">
                  <c:v>1853</c:v>
                </c:pt>
                <c:pt idx="7">
                  <c:v>1854</c:v>
                </c:pt>
                <c:pt idx="8">
                  <c:v>1855</c:v>
                </c:pt>
                <c:pt idx="9">
                  <c:v>1856</c:v>
                </c:pt>
                <c:pt idx="10">
                  <c:v>1857</c:v>
                </c:pt>
                <c:pt idx="11">
                  <c:v>1858</c:v>
                </c:pt>
              </c:strCache>
            </c:strRef>
          </c:cat>
          <c:val>
            <c:numRef>
              <c:f>'Fig 2.5 XmR charts'!$H$18:$H$29</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3-329B-41D6-8340-43856FD2F6C5}"/>
            </c:ext>
          </c:extLst>
        </c:ser>
        <c:dLbls>
          <c:showLegendKey val="0"/>
          <c:showVal val="0"/>
          <c:showCatName val="0"/>
          <c:showSerName val="0"/>
          <c:showPercent val="0"/>
          <c:showBubbleSize val="0"/>
        </c:dLbls>
        <c:marker val="1"/>
        <c:smooth val="0"/>
        <c:axId val="2024056368"/>
        <c:axId val="2024057808"/>
      </c:lineChart>
      <c:catAx>
        <c:axId val="202405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7808"/>
        <c:crosses val="autoZero"/>
        <c:auto val="1"/>
        <c:lblAlgn val="ctr"/>
        <c:lblOffset val="100"/>
        <c:noMultiLvlLbl val="0"/>
      </c:catAx>
      <c:valAx>
        <c:axId val="2024057808"/>
        <c:scaling>
          <c:orientation val="minMax"/>
          <c:max val="18"/>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6368"/>
        <c:crosses val="autoZero"/>
        <c:crossBetween val="between"/>
      </c:valAx>
      <c:spPr>
        <a:noFill/>
        <a:ln w="25400">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'Fig 2.5 XmR charts'!$I$17</c:f>
              <c:strCache>
                <c:ptCount val="1"/>
                <c:pt idx="0">
                  <c:v>mR</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val>
            <c:numRef>
              <c:f>'Fig 2.5 XmR charts'!$I$18:$I$29</c:f>
              <c:numCache>
                <c:formatCode>General</c:formatCode>
                <c:ptCount val="12"/>
                <c:pt idx="1">
                  <c:v>3.7</c:v>
                </c:pt>
                <c:pt idx="2">
                  <c:v>1.4</c:v>
                </c:pt>
                <c:pt idx="3">
                  <c:v>0.7</c:v>
                </c:pt>
                <c:pt idx="4">
                  <c:v>0.2</c:v>
                </c:pt>
                <c:pt idx="5">
                  <c:v>2.2000000000000002</c:v>
                </c:pt>
                <c:pt idx="6">
                  <c:v>1.8</c:v>
                </c:pt>
                <c:pt idx="7">
                  <c:v>6.9</c:v>
                </c:pt>
                <c:pt idx="8">
                  <c:v>3.7</c:v>
                </c:pt>
                <c:pt idx="9">
                  <c:v>1.4</c:v>
                </c:pt>
                <c:pt idx="10">
                  <c:v>1.1000000000000001</c:v>
                </c:pt>
                <c:pt idx="11">
                  <c:v>0.9</c:v>
                </c:pt>
              </c:numCache>
            </c:numRef>
          </c:val>
          <c:smooth val="0"/>
          <c:extLst>
            <c:ext xmlns:c16="http://schemas.microsoft.com/office/drawing/2014/chart" uri="{C3380CC4-5D6E-409C-BE32-E72D297353CC}">
              <c16:uniqueId val="{00000000-5D18-47FA-93F7-2AB89D044415}"/>
            </c:ext>
          </c:extLst>
        </c:ser>
        <c:ser>
          <c:idx val="1"/>
          <c:order val="1"/>
          <c:tx>
            <c:strRef>
              <c:f>'Fig 2.5 XmR charts'!$J$17</c:f>
              <c:strCache>
                <c:ptCount val="1"/>
                <c:pt idx="0">
                  <c:v>Ave. mR</c:v>
                </c:pt>
              </c:strCache>
            </c:strRef>
          </c:tx>
          <c:spPr>
            <a:ln w="28575" cap="rnd">
              <a:solidFill>
                <a:schemeClr val="tx1"/>
              </a:solidFill>
              <a:round/>
            </a:ln>
            <a:effectLst/>
          </c:spPr>
          <c:marker>
            <c:symbol val="none"/>
          </c:marker>
          <c:val>
            <c:numRef>
              <c:f>'Fig 2.5 XmR charts'!$J$18:$J$29</c:f>
              <c:numCache>
                <c:formatCode>General</c:formatCode>
                <c:ptCount val="12"/>
                <c:pt idx="0">
                  <c:v>2.1800000000000002</c:v>
                </c:pt>
                <c:pt idx="1">
                  <c:v>2.1800000000000002</c:v>
                </c:pt>
                <c:pt idx="2">
                  <c:v>2.1800000000000002</c:v>
                </c:pt>
                <c:pt idx="3">
                  <c:v>2.1800000000000002</c:v>
                </c:pt>
                <c:pt idx="4">
                  <c:v>2.1800000000000002</c:v>
                </c:pt>
                <c:pt idx="5">
                  <c:v>2.1800000000000002</c:v>
                </c:pt>
                <c:pt idx="6">
                  <c:v>2.1800000000000002</c:v>
                </c:pt>
                <c:pt idx="7">
                  <c:v>2.1800000000000002</c:v>
                </c:pt>
                <c:pt idx="8">
                  <c:v>2.1800000000000002</c:v>
                </c:pt>
                <c:pt idx="9">
                  <c:v>2.1800000000000002</c:v>
                </c:pt>
                <c:pt idx="10">
                  <c:v>2.1800000000000002</c:v>
                </c:pt>
                <c:pt idx="11">
                  <c:v>2.1800000000000002</c:v>
                </c:pt>
              </c:numCache>
            </c:numRef>
          </c:val>
          <c:smooth val="0"/>
          <c:extLst>
            <c:ext xmlns:c16="http://schemas.microsoft.com/office/drawing/2014/chart" uri="{C3380CC4-5D6E-409C-BE32-E72D297353CC}">
              <c16:uniqueId val="{00000001-5D18-47FA-93F7-2AB89D044415}"/>
            </c:ext>
          </c:extLst>
        </c:ser>
        <c:ser>
          <c:idx val="2"/>
          <c:order val="2"/>
          <c:tx>
            <c:strRef>
              <c:f>'Fig 2.5 XmR charts'!$K$17</c:f>
              <c:strCache>
                <c:ptCount val="1"/>
                <c:pt idx="0">
                  <c:v>URL</c:v>
                </c:pt>
              </c:strCache>
            </c:strRef>
          </c:tx>
          <c:spPr>
            <a:ln w="28575" cap="rnd">
              <a:solidFill>
                <a:srgbClr val="D72323"/>
              </a:solidFill>
              <a:prstDash val="dash"/>
              <a:round/>
            </a:ln>
            <a:effectLst/>
          </c:spPr>
          <c:marker>
            <c:symbol val="none"/>
          </c:marker>
          <c:val>
            <c:numRef>
              <c:f>'Fig 2.5 XmR charts'!$K$18:$K$29</c:f>
              <c:numCache>
                <c:formatCode>General</c:formatCode>
                <c:ptCount val="12"/>
                <c:pt idx="0">
                  <c:v>7.12</c:v>
                </c:pt>
                <c:pt idx="1">
                  <c:v>7.12</c:v>
                </c:pt>
                <c:pt idx="2">
                  <c:v>7.12</c:v>
                </c:pt>
                <c:pt idx="3">
                  <c:v>7.12</c:v>
                </c:pt>
                <c:pt idx="4">
                  <c:v>7.12</c:v>
                </c:pt>
                <c:pt idx="5">
                  <c:v>7.12</c:v>
                </c:pt>
                <c:pt idx="6">
                  <c:v>7.12</c:v>
                </c:pt>
                <c:pt idx="7">
                  <c:v>7.12</c:v>
                </c:pt>
                <c:pt idx="8">
                  <c:v>7.12</c:v>
                </c:pt>
                <c:pt idx="9">
                  <c:v>7.12</c:v>
                </c:pt>
                <c:pt idx="10">
                  <c:v>7.12</c:v>
                </c:pt>
                <c:pt idx="11">
                  <c:v>7.12</c:v>
                </c:pt>
              </c:numCache>
            </c:numRef>
          </c:val>
          <c:smooth val="0"/>
          <c:extLst>
            <c:ext xmlns:c16="http://schemas.microsoft.com/office/drawing/2014/chart" uri="{C3380CC4-5D6E-409C-BE32-E72D297353CC}">
              <c16:uniqueId val="{00000002-5D18-47FA-93F7-2AB89D044415}"/>
            </c:ext>
          </c:extLst>
        </c:ser>
        <c:dLbls>
          <c:showLegendKey val="0"/>
          <c:showVal val="0"/>
          <c:showCatName val="0"/>
          <c:showSerName val="0"/>
          <c:showPercent val="0"/>
          <c:showBubbleSize val="0"/>
        </c:dLbls>
        <c:marker val="1"/>
        <c:smooth val="0"/>
        <c:axId val="2024086608"/>
        <c:axId val="2024084208"/>
      </c:lineChart>
      <c:catAx>
        <c:axId val="2024086608"/>
        <c:scaling>
          <c:orientation val="minMax"/>
        </c:scaling>
        <c:delete val="1"/>
        <c:axPos val="b"/>
        <c:majorTickMark val="none"/>
        <c:minorTickMark val="none"/>
        <c:tickLblPos val="nextTo"/>
        <c:crossAx val="2024084208"/>
        <c:crosses val="autoZero"/>
        <c:auto val="1"/>
        <c:lblAlgn val="ctr"/>
        <c:lblOffset val="100"/>
        <c:noMultiLvlLbl val="0"/>
      </c:catAx>
      <c:valAx>
        <c:axId val="2024084208"/>
        <c:scaling>
          <c:orientation val="minMax"/>
          <c:max val="12"/>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86608"/>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'Fig 2.5 XmR charts'!$I$1</c:f>
              <c:strCache>
                <c:ptCount val="1"/>
                <c:pt idx="0">
                  <c:v>mR</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val>
            <c:numRef>
              <c:f>'Fig 2.5 XmR charts'!$I$2:$I$15</c:f>
              <c:numCache>
                <c:formatCode>General</c:formatCode>
                <c:ptCount val="14"/>
                <c:pt idx="1">
                  <c:v>2.4</c:v>
                </c:pt>
                <c:pt idx="2">
                  <c:v>2.1</c:v>
                </c:pt>
                <c:pt idx="3">
                  <c:v>1.9</c:v>
                </c:pt>
                <c:pt idx="4">
                  <c:v>1.6</c:v>
                </c:pt>
                <c:pt idx="5">
                  <c:v>6.1</c:v>
                </c:pt>
                <c:pt idx="6">
                  <c:v>2.4</c:v>
                </c:pt>
                <c:pt idx="7">
                  <c:v>3.8</c:v>
                </c:pt>
                <c:pt idx="8">
                  <c:v>1.4</c:v>
                </c:pt>
                <c:pt idx="9">
                  <c:v>8</c:v>
                </c:pt>
                <c:pt idx="10">
                  <c:v>6.8</c:v>
                </c:pt>
                <c:pt idx="11">
                  <c:v>0.8</c:v>
                </c:pt>
                <c:pt idx="12">
                  <c:v>1.3</c:v>
                </c:pt>
                <c:pt idx="13">
                  <c:v>4.5</c:v>
                </c:pt>
              </c:numCache>
            </c:numRef>
          </c:val>
          <c:smooth val="0"/>
          <c:extLst>
            <c:ext xmlns:c16="http://schemas.microsoft.com/office/drawing/2014/chart" uri="{C3380CC4-5D6E-409C-BE32-E72D297353CC}">
              <c16:uniqueId val="{00000000-5D18-47FA-93F7-2AB89D044415}"/>
            </c:ext>
          </c:extLst>
        </c:ser>
        <c:ser>
          <c:idx val="1"/>
          <c:order val="1"/>
          <c:tx>
            <c:strRef>
              <c:f>'Fig 2.5 XmR charts'!$J$1</c:f>
              <c:strCache>
                <c:ptCount val="1"/>
                <c:pt idx="0">
                  <c:v>Ave. mR</c:v>
                </c:pt>
              </c:strCache>
            </c:strRef>
          </c:tx>
          <c:spPr>
            <a:ln w="28575" cap="rnd">
              <a:solidFill>
                <a:schemeClr val="tx1"/>
              </a:solidFill>
              <a:round/>
            </a:ln>
            <a:effectLst/>
          </c:spPr>
          <c:marker>
            <c:symbol val="none"/>
          </c:marker>
          <c:val>
            <c:numRef>
              <c:f>'Fig 2.5 XmR charts'!$J$2:$J$15</c:f>
              <c:numCache>
                <c:formatCode>General</c:formatCode>
                <c:ptCount val="14"/>
                <c:pt idx="0">
                  <c:v>3.32</c:v>
                </c:pt>
                <c:pt idx="1">
                  <c:v>3.32</c:v>
                </c:pt>
                <c:pt idx="2">
                  <c:v>3.32</c:v>
                </c:pt>
                <c:pt idx="3">
                  <c:v>3.32</c:v>
                </c:pt>
                <c:pt idx="4">
                  <c:v>3.32</c:v>
                </c:pt>
                <c:pt idx="5">
                  <c:v>3.32</c:v>
                </c:pt>
                <c:pt idx="6">
                  <c:v>3.32</c:v>
                </c:pt>
                <c:pt idx="7">
                  <c:v>3.32</c:v>
                </c:pt>
                <c:pt idx="8">
                  <c:v>3.32</c:v>
                </c:pt>
                <c:pt idx="9">
                  <c:v>3.32</c:v>
                </c:pt>
                <c:pt idx="10">
                  <c:v>3.32</c:v>
                </c:pt>
                <c:pt idx="11">
                  <c:v>3.32</c:v>
                </c:pt>
                <c:pt idx="12">
                  <c:v>3.32</c:v>
                </c:pt>
                <c:pt idx="13">
                  <c:v>3.32</c:v>
                </c:pt>
              </c:numCache>
            </c:numRef>
          </c:val>
          <c:smooth val="0"/>
          <c:extLst>
            <c:ext xmlns:c16="http://schemas.microsoft.com/office/drawing/2014/chart" uri="{C3380CC4-5D6E-409C-BE32-E72D297353CC}">
              <c16:uniqueId val="{00000001-5D18-47FA-93F7-2AB89D044415}"/>
            </c:ext>
          </c:extLst>
        </c:ser>
        <c:ser>
          <c:idx val="2"/>
          <c:order val="2"/>
          <c:tx>
            <c:strRef>
              <c:f>'Fig 2.5 XmR charts'!$K$1</c:f>
              <c:strCache>
                <c:ptCount val="1"/>
                <c:pt idx="0">
                  <c:v>URL</c:v>
                </c:pt>
              </c:strCache>
            </c:strRef>
          </c:tx>
          <c:spPr>
            <a:ln w="28575" cap="rnd">
              <a:solidFill>
                <a:srgbClr val="D72323"/>
              </a:solidFill>
              <a:prstDash val="dash"/>
              <a:round/>
            </a:ln>
            <a:effectLst/>
          </c:spPr>
          <c:marker>
            <c:symbol val="none"/>
          </c:marker>
          <c:val>
            <c:numRef>
              <c:f>'Fig 2.5 XmR charts'!$K$2:$K$15</c:f>
              <c:numCache>
                <c:formatCode>General</c:formatCode>
                <c:ptCount val="14"/>
                <c:pt idx="0">
                  <c:v>10.85</c:v>
                </c:pt>
                <c:pt idx="1">
                  <c:v>10.85</c:v>
                </c:pt>
                <c:pt idx="2">
                  <c:v>10.85</c:v>
                </c:pt>
                <c:pt idx="3">
                  <c:v>10.85</c:v>
                </c:pt>
                <c:pt idx="4">
                  <c:v>10.85</c:v>
                </c:pt>
                <c:pt idx="5">
                  <c:v>10.85</c:v>
                </c:pt>
                <c:pt idx="6">
                  <c:v>10.85</c:v>
                </c:pt>
                <c:pt idx="7">
                  <c:v>10.85</c:v>
                </c:pt>
                <c:pt idx="8">
                  <c:v>10.85</c:v>
                </c:pt>
                <c:pt idx="9">
                  <c:v>10.85</c:v>
                </c:pt>
                <c:pt idx="10">
                  <c:v>10.85</c:v>
                </c:pt>
                <c:pt idx="11">
                  <c:v>10.85</c:v>
                </c:pt>
                <c:pt idx="12">
                  <c:v>10.85</c:v>
                </c:pt>
                <c:pt idx="13">
                  <c:v>10.85</c:v>
                </c:pt>
              </c:numCache>
            </c:numRef>
          </c:val>
          <c:smooth val="0"/>
          <c:extLst>
            <c:ext xmlns:c16="http://schemas.microsoft.com/office/drawing/2014/chart" uri="{C3380CC4-5D6E-409C-BE32-E72D297353CC}">
              <c16:uniqueId val="{00000002-5D18-47FA-93F7-2AB89D044415}"/>
            </c:ext>
          </c:extLst>
        </c:ser>
        <c:dLbls>
          <c:showLegendKey val="0"/>
          <c:showVal val="0"/>
          <c:showCatName val="0"/>
          <c:showSerName val="0"/>
          <c:showPercent val="0"/>
          <c:showBubbleSize val="0"/>
        </c:dLbls>
        <c:marker val="1"/>
        <c:smooth val="0"/>
        <c:axId val="2024086608"/>
        <c:axId val="2024084208"/>
      </c:lineChart>
      <c:catAx>
        <c:axId val="2024086608"/>
        <c:scaling>
          <c:orientation val="minMax"/>
        </c:scaling>
        <c:delete val="1"/>
        <c:axPos val="b"/>
        <c:majorTickMark val="none"/>
        <c:minorTickMark val="none"/>
        <c:tickLblPos val="nextTo"/>
        <c:crossAx val="2024084208"/>
        <c:crosses val="autoZero"/>
        <c:auto val="1"/>
        <c:lblAlgn val="ctr"/>
        <c:lblOffset val="100"/>
        <c:noMultiLvlLbl val="0"/>
      </c:catAx>
      <c:valAx>
        <c:axId val="20240842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Moving Range (mR)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86608"/>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8</xdr:col>
      <xdr:colOff>196850</xdr:colOff>
      <xdr:row>1</xdr:row>
      <xdr:rowOff>133350</xdr:rowOff>
    </xdr:from>
    <xdr:to>
      <xdr:col>11</xdr:col>
      <xdr:colOff>232833</xdr:colOff>
      <xdr:row>22</xdr:row>
      <xdr:rowOff>25400</xdr:rowOff>
    </xdr:to>
    <xdr:pic>
      <xdr:nvPicPr>
        <xdr:cNvPr id="3" name="image1.jpg">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1" cstate="print"/>
        <a:stretch>
          <a:fillRect/>
        </a:stretch>
      </xdr:blipFill>
      <xdr:spPr>
        <a:xfrm>
          <a:off x="6470650" y="330200"/>
          <a:ext cx="2683933" cy="4025900"/>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0</xdr:colOff>
      <xdr:row>2</xdr:row>
      <xdr:rowOff>0</xdr:rowOff>
    </xdr:from>
    <xdr:to>
      <xdr:col>12</xdr:col>
      <xdr:colOff>0</xdr:colOff>
      <xdr:row>14</xdr:row>
      <xdr:rowOff>163830</xdr:rowOff>
    </xdr:to>
    <xdr:graphicFrame macro="">
      <xdr:nvGraphicFramePr>
        <xdr:cNvPr id="4" name="Chart 3">
          <a:extLst>
            <a:ext uri="{FF2B5EF4-FFF2-40B4-BE49-F238E27FC236}">
              <a16:creationId xmlns:a16="http://schemas.microsoft.com/office/drawing/2014/main" id="{D99D9C07-531D-6C7C-DF61-856BB225AC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0</xdr:colOff>
      <xdr:row>1</xdr:row>
      <xdr:rowOff>0</xdr:rowOff>
    </xdr:from>
    <xdr:to>
      <xdr:col>18</xdr:col>
      <xdr:colOff>0</xdr:colOff>
      <xdr:row>13</xdr:row>
      <xdr:rowOff>0</xdr:rowOff>
    </xdr:to>
    <xdr:graphicFrame macro="">
      <xdr:nvGraphicFramePr>
        <xdr:cNvPr id="3" name="Chart 2">
          <a:extLst>
            <a:ext uri="{FF2B5EF4-FFF2-40B4-BE49-F238E27FC236}">
              <a16:creationId xmlns:a16="http://schemas.microsoft.com/office/drawing/2014/main" id="{02F5A642-02FD-C5B3-47F7-C7F66D2DA2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13</xdr:row>
      <xdr:rowOff>0</xdr:rowOff>
    </xdr:from>
    <xdr:to>
      <xdr:col>18</xdr:col>
      <xdr:colOff>0</xdr:colOff>
      <xdr:row>24</xdr:row>
      <xdr:rowOff>0</xdr:rowOff>
    </xdr:to>
    <xdr:graphicFrame macro="">
      <xdr:nvGraphicFramePr>
        <xdr:cNvPr id="4" name="Chart 3">
          <a:extLst>
            <a:ext uri="{FF2B5EF4-FFF2-40B4-BE49-F238E27FC236}">
              <a16:creationId xmlns:a16="http://schemas.microsoft.com/office/drawing/2014/main" id="{44A88E48-6AE5-23DC-544D-0B6C54FE7F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12</xdr:col>
      <xdr:colOff>0</xdr:colOff>
      <xdr:row>1</xdr:row>
      <xdr:rowOff>0</xdr:rowOff>
    </xdr:from>
    <xdr:to>
      <xdr:col>19</xdr:col>
      <xdr:colOff>609599</xdr:colOff>
      <xdr:row>14</xdr:row>
      <xdr:rowOff>0</xdr:rowOff>
    </xdr:to>
    <xdr:graphicFrame macro="">
      <xdr:nvGraphicFramePr>
        <xdr:cNvPr id="7" name="Chart 6">
          <a:extLst>
            <a:ext uri="{FF2B5EF4-FFF2-40B4-BE49-F238E27FC236}">
              <a16:creationId xmlns:a16="http://schemas.microsoft.com/office/drawing/2014/main" id="{2C632C4F-0ECC-7698-E79B-5AF488A403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1</xdr:colOff>
      <xdr:row>1</xdr:row>
      <xdr:rowOff>0</xdr:rowOff>
    </xdr:from>
    <xdr:to>
      <xdr:col>27</xdr:col>
      <xdr:colOff>0</xdr:colOff>
      <xdr:row>14</xdr:row>
      <xdr:rowOff>0</xdr:rowOff>
    </xdr:to>
    <xdr:graphicFrame macro="">
      <xdr:nvGraphicFramePr>
        <xdr:cNvPr id="8" name="Chart 7">
          <a:extLst>
            <a:ext uri="{FF2B5EF4-FFF2-40B4-BE49-F238E27FC236}">
              <a16:creationId xmlns:a16="http://schemas.microsoft.com/office/drawing/2014/main" id="{89A791CE-5AED-1F88-98D9-8F2F91E7CE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0</xdr:colOff>
      <xdr:row>14</xdr:row>
      <xdr:rowOff>0</xdr:rowOff>
    </xdr:from>
    <xdr:to>
      <xdr:col>27</xdr:col>
      <xdr:colOff>0</xdr:colOff>
      <xdr:row>25</xdr:row>
      <xdr:rowOff>0</xdr:rowOff>
    </xdr:to>
    <xdr:graphicFrame macro="">
      <xdr:nvGraphicFramePr>
        <xdr:cNvPr id="9" name="Chart 8">
          <a:extLst>
            <a:ext uri="{FF2B5EF4-FFF2-40B4-BE49-F238E27FC236}">
              <a16:creationId xmlns:a16="http://schemas.microsoft.com/office/drawing/2014/main" id="{A822175F-04DB-82F3-351B-1B22F2B269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0</xdr:colOff>
      <xdr:row>14</xdr:row>
      <xdr:rowOff>0</xdr:rowOff>
    </xdr:from>
    <xdr:to>
      <xdr:col>20</xdr:col>
      <xdr:colOff>0</xdr:colOff>
      <xdr:row>25</xdr:row>
      <xdr:rowOff>0</xdr:rowOff>
    </xdr:to>
    <xdr:graphicFrame macro="">
      <xdr:nvGraphicFramePr>
        <xdr:cNvPr id="10" name="Chart 9">
          <a:extLst>
            <a:ext uri="{FF2B5EF4-FFF2-40B4-BE49-F238E27FC236}">
              <a16:creationId xmlns:a16="http://schemas.microsoft.com/office/drawing/2014/main" id="{5F34D750-E04B-96D4-4FA7-C241A59213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BB29CEE-8737-467D-8AFB-8EF5B3AD5BF9}" autoFormatId="16" applyNumberFormats="0" applyBorderFormats="0" applyFontFormats="0" applyPatternFormats="0" applyAlignmentFormats="0" applyWidthHeightFormats="0">
  <queryTableRefresh nextId="5">
    <queryTableFields count="4">
      <queryTableField id="1" name="Hospital" tableColumnId="1"/>
      <queryTableField id="2" name="Clinic" tableColumnId="2"/>
      <queryTableField id="3" name="Year" tableColumnId="3"/>
      <queryTableField id="4" name="Rate"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CC2C84A8-BA1C-4A3F-BD03-3E625E932D3E}" autoFormatId="16" applyNumberFormats="0" applyBorderFormats="0" applyFontFormats="0" applyPatternFormats="0" applyAlignmentFormats="0" applyWidthHeightFormats="0">
  <queryTableRefresh nextId="15" unboundColumnsRight="6">
    <queryTableFields count="10">
      <queryTableField id="1" name="Hospital" tableColumnId="1"/>
      <queryTableField id="2" name="Clinic" tableColumnId="2"/>
      <queryTableField id="3" name="Year" tableColumnId="3"/>
      <queryTableField id="4" name="Rate" tableColumnId="4"/>
      <queryTableField id="5" dataBound="0" tableColumnId="5"/>
      <queryTableField id="6" dataBound="0" tableColumnId="6"/>
      <queryTableField id="7" dataBound="0" tableColumnId="7"/>
      <queryTableField id="14" dataBound="0" tableColumnId="11"/>
      <queryTableField id="13" dataBound="0" tableColumnId="12"/>
      <queryTableField id="12" dataBound="0" tableColumnId="1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8FF461BC-48C7-4F7C-A0EB-D59AC5E726D4}" autoFormatId="16" applyNumberFormats="0" applyBorderFormats="0" applyFontFormats="0" applyPatternFormats="0" applyAlignmentFormats="0" applyWidthHeightFormats="0">
  <queryTableRefresh nextId="16" unboundColumnsRight="6">
    <queryTableFields count="11">
      <queryTableField id="1" name="Hospital" tableColumnId="1"/>
      <queryTableField id="2" name="Clinic" tableColumnId="2"/>
      <queryTableField id="4" name="Stage" tableColumnId="4"/>
      <queryTableField id="5" name="Year" tableColumnId="5"/>
      <queryTableField id="8" name="Rate" tableColumnId="8"/>
      <queryTableField id="10" dataBound="0" tableColumnId="10"/>
      <queryTableField id="11" dataBound="0" tableColumnId="11"/>
      <queryTableField id="12" dataBound="0" tableColumnId="12"/>
      <queryTableField id="13" dataBound="0" tableColumnId="13"/>
      <queryTableField id="14" dataBound="0" tableColumnId="14"/>
      <queryTableField id="15" dataBound="0" tableColumnId="1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4" xr16:uid="{041C4574-2E8D-41A7-9379-6C2E04FE494F}" autoFormatId="16" applyNumberFormats="0" applyBorderFormats="0" applyFontFormats="0" applyPatternFormats="0" applyAlignmentFormats="0" applyWidthHeightFormats="0">
  <queryTableRefresh nextId="16" unboundColumnsRight="6">
    <queryTableFields count="11">
      <queryTableField id="1" name="Hospital" tableColumnId="1"/>
      <queryTableField id="2" name="Clinic" tableColumnId="2"/>
      <queryTableField id="4" name="Stage" tableColumnId="4"/>
      <queryTableField id="5" name="Year" tableColumnId="5"/>
      <queryTableField id="8" name="Rate" tableColumnId="8"/>
      <queryTableField id="10" dataBound="0" tableColumnId="10"/>
      <queryTableField id="11" dataBound="0" tableColumnId="11"/>
      <queryTableField id="12" dataBound="0" tableColumnId="12"/>
      <queryTableField id="13" dataBound="0" tableColumnId="13"/>
      <queryTableField id="14" dataBound="0" tableColumnId="14"/>
      <queryTableField id="15" dataBound="0" tableColumnId="15"/>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3" connectionId="5" xr16:uid="{64AE7B61-33B1-4D93-8D50-8F20443B5A00}" autoFormatId="16" applyNumberFormats="0" applyBorderFormats="0" applyFontFormats="0" applyPatternFormats="0" applyAlignmentFormats="0" applyWidthHeightFormats="0">
  <queryTableRefresh nextId="10">
    <queryTableFields count="9">
      <queryTableField id="1" name="Hospital" tableColumnId="1"/>
      <queryTableField id="2" name="Clinic" tableColumnId="2"/>
      <queryTableField id="3" name="Employee" tableColumnId="3"/>
      <queryTableField id="4" name="Stage" tableColumnId="4"/>
      <queryTableField id="5" name="Year" tableColumnId="5"/>
      <queryTableField id="6" name="Births" tableColumnId="6"/>
      <queryTableField id="7" name="Deaths" tableColumnId="7"/>
      <queryTableField id="8" name="Rate" tableColumnId="8"/>
      <queryTableField id="9" name="Note" tableColumnId="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AE47387-1A03-41D2-8879-33B483D8D4BB}" name="vienna_general_death_to_birth_rates_by_clinic__2" displayName="vienna_general_death_to_birth_rates_by_clinic__2" ref="A1:D27" tableType="queryTable" totalsRowShown="0" tableBorderDxfId="38">
  <autoFilter ref="A1:D27" xr:uid="{9AE47387-1A03-41D2-8879-33B483D8D4BB}"/>
  <tableColumns count="4">
    <tableColumn id="1" xr3:uid="{063CDB02-0AF8-471F-8C61-D145CC606E93}" uniqueName="1" name="Hospital" queryTableFieldId="1" dataDxfId="37"/>
    <tableColumn id="2" xr3:uid="{84FB54B7-FE6C-480D-8C80-0595D344B9ED}" uniqueName="2" name="Clinic" queryTableFieldId="2" dataDxfId="36"/>
    <tableColumn id="3" xr3:uid="{30D28395-BA64-49D5-A836-E9A8999A2D31}" uniqueName="3" name="Year" queryTableFieldId="3" dataDxfId="35"/>
    <tableColumn id="4" xr3:uid="{2A7B7D3A-F4B7-4228-8095-113EB9F4354B}" uniqueName="4" name="Rate" queryTableFieldId="4"/>
  </tableColumns>
  <tableStyleInfo name="The Virus of Variation"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0881E87-3107-4716-8B87-96534D062678}" name="vienna_general_death_to_birth_rates_by_clinic__25" displayName="vienna_general_death_to_birth_rates_by_clinic__25" ref="A1:J27" tableType="queryTable" totalsRowShown="0" tableBorderDxfId="34">
  <autoFilter ref="A1:J27" xr:uid="{9AE47387-1A03-41D2-8879-33B483D8D4BB}"/>
  <tableColumns count="10">
    <tableColumn id="1" xr3:uid="{6FE23567-DB97-465B-BA4F-8508EFE69BBE}" uniqueName="1" name="Hospital" queryTableFieldId="1" dataDxfId="33"/>
    <tableColumn id="2" xr3:uid="{AA88B99F-64DB-4B7B-8632-8A3338A3C0DB}" uniqueName="2" name="Clinic" queryTableFieldId="2" dataDxfId="32"/>
    <tableColumn id="3" xr3:uid="{1EAF23F4-5329-4B98-A443-EA0DB22D6030}" uniqueName="3" name="Year" queryTableFieldId="3" dataDxfId="31"/>
    <tableColumn id="4" xr3:uid="{BC9E5A8A-B945-4ADF-9347-48179FA2EBBC}" uniqueName="4" name="Rate" queryTableFieldId="4"/>
    <tableColumn id="5" xr3:uid="{FDE83966-790F-4A24-A891-6F7DF275B1BD}" uniqueName="5" name="Mean" queryTableFieldId="5" dataDxfId="30">
      <calculatedColumnFormula>ROUND(AVERAGE($D$2:$D$27),1)</calculatedColumnFormula>
    </tableColumn>
    <tableColumn id="6" xr3:uid="{64311715-C120-4E8C-B5C4-009995DF2526}" uniqueName="6" name="UPL" queryTableFieldId="6" dataDxfId="29">
      <calculatedColumnFormula>ROUND(E2+(2.66*I2),1)</calculatedColumnFormula>
    </tableColumn>
    <tableColumn id="7" xr3:uid="{37449A0D-01F1-46BC-BCD1-B118ECDE6F1F}" uniqueName="7" name="LPL" queryTableFieldId="7" dataDxfId="28">
      <calculatedColumnFormula>ROUND(MAX(0,E2-(2.66*I2)),1)</calculatedColumnFormula>
    </tableColumn>
    <tableColumn id="11" xr3:uid="{4861604A-7795-41A4-B94E-280D1820285D}" uniqueName="11" name="mR" queryTableFieldId="14" dataDxfId="27">
      <calculatedColumnFormula>ROUND(ABS(D1-D2),1)</calculatedColumnFormula>
    </tableColumn>
    <tableColumn id="12" xr3:uid="{40E426CF-DC70-4E2D-A7F8-6121D725C6EC}" uniqueName="12" name="Ave. mR" queryTableFieldId="13" dataDxfId="26">
      <calculatedColumnFormula>ROUND(AVERAGE($H$3:$H$27),1)</calculatedColumnFormula>
    </tableColumn>
    <tableColumn id="13" xr3:uid="{60517B2E-35B4-48A7-AE32-82510668203E}" uniqueName="13" name="URL" queryTableFieldId="12" dataDxfId="25">
      <calculatedColumnFormula>ROUND(3.268*I2,1)</calculatedColumnFormula>
    </tableColumn>
  </tableColumns>
  <tableStyleInfo name="The Virus of Variation"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E7F8AA1-51BD-4528-9358-B542ED916001}" name="vienna_general_death_to_birth_rates_by_clinic__5" displayName="vienna_general_death_to_birth_rates_by_clinic__5" ref="A1:K15" tableType="queryTable" totalsRowShown="0">
  <autoFilter ref="A1:K15" xr:uid="{EE7F8AA1-51BD-4528-9358-B542ED916001}"/>
  <tableColumns count="11">
    <tableColumn id="1" xr3:uid="{D593374C-CBFC-4A7A-9A6B-259BE39E9576}" uniqueName="1" name="Hospital" queryTableFieldId="1" dataDxfId="24"/>
    <tableColumn id="2" xr3:uid="{DD64EBEC-A00A-41D0-BB09-DE492EBE7295}" uniqueName="2" name="Clinic" queryTableFieldId="2" dataDxfId="23"/>
    <tableColumn id="4" xr3:uid="{C929534B-27B2-4108-8C92-FA258221C189}" uniqueName="4" name="Stage" queryTableFieldId="4" dataDxfId="22"/>
    <tableColumn id="5" xr3:uid="{FE64CEF9-0C72-4791-B8ED-7E52DDFBE31C}" uniqueName="5" name="Year" queryTableFieldId="5" dataDxfId="21"/>
    <tableColumn id="8" xr3:uid="{17F17FF4-9502-4C4D-B96D-E25BFF3B8333}" uniqueName="8" name="Rate" queryTableFieldId="8"/>
    <tableColumn id="10" xr3:uid="{ACB51DD4-AB46-4D44-B099-EDF576B99CFD}" uniqueName="10" name="Mean" queryTableFieldId="10" dataDxfId="20">
      <calculatedColumnFormula>ROUND(AVERAGE($E$2:$E$15),2)</calculatedColumnFormula>
    </tableColumn>
    <tableColumn id="11" xr3:uid="{12835F92-F070-41B0-9A59-CEF2621CF826}" uniqueName="11" name="UPL" queryTableFieldId="11" dataDxfId="19">
      <calculatedColumnFormula>ROUND(F2+(2.66*J2),2)</calculatedColumnFormula>
    </tableColumn>
    <tableColumn id="12" xr3:uid="{3C277B08-402B-45E8-BD7B-9658F455ECB1}" uniqueName="12" name="LPL" queryTableFieldId="12" dataDxfId="18">
      <calculatedColumnFormula>ROUND(MAX(0,F2-(2.66*J2)),2)</calculatedColumnFormula>
    </tableColumn>
    <tableColumn id="13" xr3:uid="{DB601EE6-B2D5-4E93-AD54-F7143A89411F}" uniqueName="13" name="mR" queryTableFieldId="13" dataDxfId="17">
      <calculatedColumnFormula>ROUND(ABS(E1-E2),2)</calculatedColumnFormula>
    </tableColumn>
    <tableColumn id="14" xr3:uid="{77760371-F4BF-401F-8D6C-DBFE258971AD}" uniqueName="14" name="Ave. mR" queryTableFieldId="14" dataDxfId="16">
      <calculatedColumnFormula>ROUND(AVERAGE($I$3:$I$15), 2)</calculatedColumnFormula>
    </tableColumn>
    <tableColumn id="15" xr3:uid="{DC4B20F2-DA40-4AF8-99C7-98626C5A3133}" uniqueName="15" name="URL" queryTableFieldId="15" dataDxfId="15">
      <calculatedColumnFormula>ROUND(3.268*J2,2)</calculatedColumnFormula>
    </tableColumn>
  </tableColumns>
  <tableStyleInfo name="The Virus of Variation"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BEA2E32-0BC1-4CC8-8F2B-4CD8005F6194}" name="vienna_general_death_to_birth_rates_by_clinic__6" displayName="vienna_general_death_to_birth_rates_by_clinic__6" ref="A17:K29" tableType="queryTable" totalsRowShown="0">
  <autoFilter ref="A17:K29" xr:uid="{9BEA2E32-0BC1-4CC8-8F2B-4CD8005F6194}"/>
  <tableColumns count="11">
    <tableColumn id="1" xr3:uid="{929DF7C4-4D8B-4D9D-A9DE-7750FDEEE30E}" uniqueName="1" name="Hospital" queryTableFieldId="1" dataDxfId="14"/>
    <tableColumn id="2" xr3:uid="{C43BBFD1-D72B-4429-ADB5-A51F961FCAE5}" uniqueName="2" name="Clinic" queryTableFieldId="2" dataDxfId="13"/>
    <tableColumn id="4" xr3:uid="{44B8AB0B-5ADC-4190-8CDF-B292AD2486E8}" uniqueName="4" name="Stage" queryTableFieldId="4" dataDxfId="12"/>
    <tableColumn id="5" xr3:uid="{CF8B1CA4-37FE-4BD5-873A-BDEABB81EB75}" uniqueName="5" name="Year" queryTableFieldId="5" dataDxfId="11"/>
    <tableColumn id="8" xr3:uid="{743F68FD-EC69-4C29-AD71-A48F7DF18622}" uniqueName="8" name="Rate" queryTableFieldId="8"/>
    <tableColumn id="10" xr3:uid="{4BFECE0B-A31D-4A31-914B-9ED5EBF2978E}" uniqueName="10" name="Mean" queryTableFieldId="10" dataDxfId="10">
      <calculatedColumnFormula>ROUND(AVERAGE($E$18:$E$29),2)</calculatedColumnFormula>
    </tableColumn>
    <tableColumn id="11" xr3:uid="{0D009A85-BCA7-4599-8320-BA244FFA9808}" uniqueName="11" name="UPL" queryTableFieldId="11" dataDxfId="9">
      <calculatedColumnFormula>ROUND(F18+(2.66*J18),2)</calculatedColumnFormula>
    </tableColumn>
    <tableColumn id="12" xr3:uid="{C5D1A679-2A08-4881-AB1D-4BE0A4C3C4FD}" uniqueName="12" name="LPL" queryTableFieldId="12" dataDxfId="8">
      <calculatedColumnFormula>ROUND(MAX(0,F18-(2.66*J18)),2)</calculatedColumnFormula>
    </tableColumn>
    <tableColumn id="13" xr3:uid="{DBF01880-F090-4B18-ACB3-26A527ACBD8E}" uniqueName="13" name="mR" queryTableFieldId="13" dataDxfId="7"/>
    <tableColumn id="14" xr3:uid="{5D81E020-134D-4EE2-BB63-E7FDEABB3AB5}" uniqueName="14" name="Ave. mR" queryTableFieldId="14" dataDxfId="6">
      <calculatedColumnFormula>ROUND(AVERAGE($I$19:$I$29), 2)</calculatedColumnFormula>
    </tableColumn>
    <tableColumn id="15" xr3:uid="{9FCF7926-1432-40C3-BF65-FCA0D41DEC2E}" uniqueName="15" name="URL" queryTableFieldId="15" dataDxfId="5">
      <calculatedColumnFormula>ROUND(3.268*J18,2)</calculatedColumnFormula>
    </tableColumn>
  </tableColumns>
  <tableStyleInfo name="The Virus of Variation"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EB4FE19-AFBD-4361-9188-E043A3C96821}" name="vienna_general_death_to_birth_rates_by_clinic__7" displayName="vienna_general_death_to_birth_rates_by_clinic__7" ref="A1:I53" tableType="queryTable" totalsRowShown="0">
  <autoFilter ref="A1:I53" xr:uid="{5EB4FE19-AFBD-4361-9188-E043A3C96821}"/>
  <tableColumns count="9">
    <tableColumn id="1" xr3:uid="{2C8F49AE-B28E-402F-8E4B-2B6692178E5A}" uniqueName="1" name="Hospital" queryTableFieldId="1" dataDxfId="4"/>
    <tableColumn id="2" xr3:uid="{1E68D62B-0D30-4FD9-820B-35111EF9CB94}" uniqueName="2" name="Clinic" queryTableFieldId="2" dataDxfId="3"/>
    <tableColumn id="3" xr3:uid="{30FA2CCF-93AB-4BCD-AE48-BAD0A6BC4D45}" uniqueName="3" name="Employee" queryTableFieldId="3" dataDxfId="2"/>
    <tableColumn id="4" xr3:uid="{CF9AFB38-EAA0-4927-9A62-83E9AD3FF7F2}" uniqueName="4" name="Stage" queryTableFieldId="4" dataDxfId="1"/>
    <tableColumn id="5" xr3:uid="{8CD97A7A-081B-4E3A-ABE5-3AE46671C960}" uniqueName="5" name="Year" queryTableFieldId="5"/>
    <tableColumn id="6" xr3:uid="{E0C284AE-A3A2-4D82-913C-76D3376104E0}" uniqueName="6" name="Births" queryTableFieldId="6"/>
    <tableColumn id="7" xr3:uid="{01416415-3FB0-4BAA-8280-71789D30BB81}" uniqueName="7" name="Deaths" queryTableFieldId="7"/>
    <tableColumn id="8" xr3:uid="{1E01B223-2981-478B-97AC-95574E824326}" uniqueName="8" name="Rate" queryTableFieldId="8"/>
    <tableColumn id="9" xr3:uid="{DE124EC7-D4AB-484A-BD7A-64B46ED1E1EC}" uniqueName="9" name="Note" queryTableFieldId="9" dataDxfId="0"/>
  </tableColumns>
  <tableStyleInfo name="The Virus of Variation"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hyperlink" Target="mailto:James.Lehner@gmail.com" TargetMode="External"/><Relationship Id="rId2" Type="http://schemas.openxmlformats.org/officeDocument/2006/relationships/hyperlink" Target="https://www.brokenquality.com/book" TargetMode="External"/><Relationship Id="rId1" Type="http://schemas.openxmlformats.org/officeDocument/2006/relationships/hyperlink" Target="https://github.com/jimlehner/virus-of-variation-book"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mailto:QualityIsBroken@gmail.com"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38"/>
  <sheetViews>
    <sheetView showGridLines="0" tabSelected="1" workbookViewId="0">
      <selection sqref="A1:G1"/>
    </sheetView>
  </sheetViews>
  <sheetFormatPr defaultColWidth="12.6640625" defaultRowHeight="15.75" customHeight="1"/>
  <cols>
    <col min="8" max="8" width="1.33203125" customWidth="1"/>
    <col min="13" max="13" width="1.33203125" customWidth="1"/>
  </cols>
  <sheetData>
    <row r="1" spans="1:12" ht="23.4">
      <c r="A1" s="32" t="s">
        <v>0</v>
      </c>
      <c r="B1" s="33"/>
      <c r="C1" s="33"/>
      <c r="D1" s="33"/>
      <c r="E1" s="33"/>
      <c r="F1" s="33"/>
      <c r="G1" s="34"/>
      <c r="H1" s="1"/>
      <c r="I1" s="1"/>
      <c r="J1" s="1"/>
      <c r="K1" s="1"/>
      <c r="L1" s="1"/>
    </row>
    <row r="2" spans="1:12" ht="15.75" customHeight="1">
      <c r="A2" s="23" t="s">
        <v>53</v>
      </c>
      <c r="B2" s="24"/>
      <c r="C2" s="24"/>
      <c r="D2" s="24"/>
      <c r="E2" s="24"/>
      <c r="F2" s="24"/>
      <c r="G2" s="25"/>
      <c r="H2" s="1"/>
      <c r="I2" s="1"/>
    </row>
    <row r="3" spans="1:12" ht="15.75" customHeight="1">
      <c r="A3" s="26"/>
      <c r="B3" s="27"/>
      <c r="C3" s="27"/>
      <c r="D3" s="27"/>
      <c r="E3" s="27"/>
      <c r="F3" s="27"/>
      <c r="G3" s="28"/>
      <c r="H3" s="1"/>
    </row>
    <row r="4" spans="1:12" ht="15.75" customHeight="1">
      <c r="A4" s="26"/>
      <c r="B4" s="27"/>
      <c r="C4" s="27"/>
      <c r="D4" s="27"/>
      <c r="E4" s="27"/>
      <c r="F4" s="27"/>
      <c r="G4" s="28"/>
      <c r="H4" s="1"/>
    </row>
    <row r="5" spans="1:12" ht="15.75" customHeight="1">
      <c r="A5" s="26"/>
      <c r="B5" s="27"/>
      <c r="C5" s="27"/>
      <c r="D5" s="27"/>
      <c r="E5" s="27"/>
      <c r="F5" s="27"/>
      <c r="G5" s="28"/>
      <c r="H5" s="1"/>
    </row>
    <row r="6" spans="1:12" ht="15.75" customHeight="1">
      <c r="A6" s="26"/>
      <c r="B6" s="27"/>
      <c r="C6" s="27"/>
      <c r="D6" s="27"/>
      <c r="E6" s="27"/>
      <c r="F6" s="27"/>
      <c r="G6" s="28"/>
      <c r="H6" s="1"/>
    </row>
    <row r="7" spans="1:12" ht="15.75" customHeight="1">
      <c r="A7" s="26"/>
      <c r="B7" s="27"/>
      <c r="C7" s="27"/>
      <c r="D7" s="27"/>
      <c r="E7" s="27"/>
      <c r="F7" s="27"/>
      <c r="G7" s="28"/>
      <c r="H7" s="1"/>
    </row>
    <row r="8" spans="1:12" ht="15.75" customHeight="1">
      <c r="A8" s="26"/>
      <c r="B8" s="27"/>
      <c r="C8" s="27"/>
      <c r="D8" s="27"/>
      <c r="E8" s="27"/>
      <c r="F8" s="27"/>
      <c r="G8" s="28"/>
      <c r="H8" s="1"/>
    </row>
    <row r="9" spans="1:12" ht="15.75" customHeight="1">
      <c r="A9" s="26"/>
      <c r="B9" s="27"/>
      <c r="C9" s="27"/>
      <c r="D9" s="27"/>
      <c r="E9" s="27"/>
      <c r="F9" s="27"/>
      <c r="G9" s="28"/>
      <c r="H9" s="1"/>
    </row>
    <row r="10" spans="1:12" ht="15.75" customHeight="1">
      <c r="A10" s="26"/>
      <c r="B10" s="27"/>
      <c r="C10" s="27"/>
      <c r="D10" s="27"/>
      <c r="E10" s="27"/>
      <c r="F10" s="27"/>
      <c r="G10" s="28"/>
      <c r="H10" s="1"/>
    </row>
    <row r="11" spans="1:12" ht="15.75" customHeight="1">
      <c r="A11" s="26"/>
      <c r="B11" s="27"/>
      <c r="C11" s="27"/>
      <c r="D11" s="27"/>
      <c r="E11" s="27"/>
      <c r="F11" s="27"/>
      <c r="G11" s="28"/>
      <c r="H11" s="1"/>
    </row>
    <row r="12" spans="1:12" ht="15.75" customHeight="1">
      <c r="A12" s="26"/>
      <c r="B12" s="27"/>
      <c r="C12" s="27"/>
      <c r="D12" s="27"/>
      <c r="E12" s="27"/>
      <c r="F12" s="27"/>
      <c r="G12" s="28"/>
      <c r="H12" s="1"/>
    </row>
    <row r="13" spans="1:12" ht="15.75" customHeight="1">
      <c r="A13" s="26"/>
      <c r="B13" s="27"/>
      <c r="C13" s="27"/>
      <c r="D13" s="27"/>
      <c r="E13" s="27"/>
      <c r="F13" s="27"/>
      <c r="G13" s="28"/>
      <c r="H13" s="1"/>
    </row>
    <row r="14" spans="1:12" ht="15.75" customHeight="1">
      <c r="A14" s="26"/>
      <c r="B14" s="27"/>
      <c r="C14" s="27"/>
      <c r="D14" s="27"/>
      <c r="E14" s="27"/>
      <c r="F14" s="27"/>
      <c r="G14" s="28"/>
      <c r="H14" s="1"/>
    </row>
    <row r="15" spans="1:12" ht="15.75" customHeight="1">
      <c r="A15" s="26"/>
      <c r="B15" s="27"/>
      <c r="C15" s="27"/>
      <c r="D15" s="27"/>
      <c r="E15" s="27"/>
      <c r="F15" s="27"/>
      <c r="G15" s="28"/>
      <c r="H15" s="1"/>
    </row>
    <row r="16" spans="1:12" ht="15.75" customHeight="1">
      <c r="A16" s="26"/>
      <c r="B16" s="27"/>
      <c r="C16" s="27"/>
      <c r="D16" s="27"/>
      <c r="E16" s="27"/>
      <c r="F16" s="27"/>
      <c r="G16" s="28"/>
      <c r="H16" s="1"/>
    </row>
    <row r="17" spans="1:8" ht="15.75" customHeight="1">
      <c r="A17" s="26"/>
      <c r="B17" s="27"/>
      <c r="C17" s="27"/>
      <c r="D17" s="27"/>
      <c r="E17" s="27"/>
      <c r="F17" s="27"/>
      <c r="G17" s="28"/>
      <c r="H17" s="1"/>
    </row>
    <row r="18" spans="1:8" ht="15.75" customHeight="1">
      <c r="A18" s="26"/>
      <c r="B18" s="27"/>
      <c r="C18" s="27"/>
      <c r="D18" s="27"/>
      <c r="E18" s="27"/>
      <c r="F18" s="27"/>
      <c r="G18" s="28"/>
      <c r="H18" s="1"/>
    </row>
    <row r="19" spans="1:8" ht="15.75" customHeight="1">
      <c r="A19" s="26"/>
      <c r="B19" s="27"/>
      <c r="C19" s="27"/>
      <c r="D19" s="27"/>
      <c r="E19" s="27"/>
      <c r="F19" s="27"/>
      <c r="G19" s="28"/>
      <c r="H19" s="1"/>
    </row>
    <row r="20" spans="1:8" ht="15.75" customHeight="1">
      <c r="A20" s="26"/>
      <c r="B20" s="27"/>
      <c r="C20" s="27"/>
      <c r="D20" s="27"/>
      <c r="E20" s="27"/>
      <c r="F20" s="27"/>
      <c r="G20" s="28"/>
      <c r="H20" s="1"/>
    </row>
    <row r="21" spans="1:8" ht="15.75" customHeight="1">
      <c r="A21" s="26"/>
      <c r="B21" s="27"/>
      <c r="C21" s="27"/>
      <c r="D21" s="27"/>
      <c r="E21" s="27"/>
      <c r="F21" s="27"/>
      <c r="G21" s="28"/>
      <c r="H21" s="1"/>
    </row>
    <row r="22" spans="1:8" ht="15.75" customHeight="1">
      <c r="A22" s="26"/>
      <c r="B22" s="27"/>
      <c r="C22" s="27"/>
      <c r="D22" s="27"/>
      <c r="E22" s="27"/>
      <c r="F22" s="27"/>
      <c r="G22" s="28"/>
      <c r="H22" s="1"/>
    </row>
    <row r="23" spans="1:8" ht="15.75" customHeight="1">
      <c r="A23" s="26"/>
      <c r="B23" s="27"/>
      <c r="C23" s="27"/>
      <c r="D23" s="27"/>
      <c r="E23" s="27"/>
      <c r="F23" s="27"/>
      <c r="G23" s="28"/>
      <c r="H23" s="1"/>
    </row>
    <row r="24" spans="1:8" ht="15.75" customHeight="1">
      <c r="A24" s="26"/>
      <c r="B24" s="27"/>
      <c r="C24" s="27"/>
      <c r="D24" s="27"/>
      <c r="E24" s="27"/>
      <c r="F24" s="27"/>
      <c r="G24" s="28"/>
      <c r="H24" s="1"/>
    </row>
    <row r="25" spans="1:8" ht="15.75" customHeight="1">
      <c r="A25" s="26"/>
      <c r="B25" s="27"/>
      <c r="C25" s="27"/>
      <c r="D25" s="27"/>
      <c r="E25" s="27"/>
      <c r="F25" s="27"/>
      <c r="G25" s="28"/>
      <c r="H25" s="1"/>
    </row>
    <row r="26" spans="1:8" ht="15.75" customHeight="1">
      <c r="A26" s="26"/>
      <c r="B26" s="27"/>
      <c r="C26" s="27"/>
      <c r="D26" s="27"/>
      <c r="E26" s="27"/>
      <c r="F26" s="27"/>
      <c r="G26" s="28"/>
      <c r="H26" s="1"/>
    </row>
    <row r="27" spans="1:8" ht="16.2" customHeight="1">
      <c r="A27" s="26"/>
      <c r="B27" s="27"/>
      <c r="C27" s="27"/>
      <c r="D27" s="27"/>
      <c r="E27" s="27"/>
      <c r="F27" s="27"/>
      <c r="G27" s="28"/>
      <c r="H27" s="1"/>
    </row>
    <row r="28" spans="1:8" ht="15.75" customHeight="1">
      <c r="A28" s="26"/>
      <c r="B28" s="27"/>
      <c r="C28" s="27"/>
      <c r="D28" s="27"/>
      <c r="E28" s="27"/>
      <c r="F28" s="27"/>
      <c r="G28" s="28"/>
    </row>
    <row r="29" spans="1:8" ht="15.75" customHeight="1">
      <c r="A29" s="26"/>
      <c r="B29" s="27"/>
      <c r="C29" s="27"/>
      <c r="D29" s="27"/>
      <c r="E29" s="27"/>
      <c r="F29" s="27"/>
      <c r="G29" s="28"/>
    </row>
    <row r="30" spans="1:8" ht="15.75" customHeight="1">
      <c r="A30" s="29" t="s">
        <v>46</v>
      </c>
      <c r="B30" s="30"/>
      <c r="C30" s="30"/>
      <c r="D30" s="30"/>
      <c r="E30" s="30"/>
      <c r="F30" s="30"/>
      <c r="G30" s="31"/>
    </row>
    <row r="31" spans="1:8" ht="15.75" customHeight="1">
      <c r="A31" s="17" t="s">
        <v>47</v>
      </c>
      <c r="B31" s="18"/>
      <c r="C31" s="18"/>
      <c r="D31" s="18"/>
      <c r="E31" s="18"/>
      <c r="F31" s="18"/>
      <c r="G31" s="19"/>
    </row>
    <row r="32" spans="1:8" ht="15.75" customHeight="1">
      <c r="A32" s="20" t="s">
        <v>48</v>
      </c>
      <c r="B32" s="21"/>
      <c r="C32" s="21"/>
      <c r="D32" s="21"/>
      <c r="E32" s="21"/>
      <c r="F32" s="21"/>
      <c r="G32" s="22"/>
    </row>
    <row r="33" spans="1:7" ht="15.75" customHeight="1">
      <c r="A33" s="17" t="s">
        <v>49</v>
      </c>
      <c r="B33" s="18"/>
      <c r="C33" s="18"/>
      <c r="D33" s="18"/>
      <c r="E33" s="18"/>
      <c r="F33" s="18"/>
      <c r="G33" s="19"/>
    </row>
    <row r="34" spans="1:7" ht="15.75" customHeight="1">
      <c r="A34" s="20" t="s">
        <v>50</v>
      </c>
      <c r="B34" s="21"/>
      <c r="C34" s="21"/>
      <c r="D34" s="21"/>
      <c r="E34" s="21"/>
      <c r="F34" s="21"/>
      <c r="G34" s="22"/>
    </row>
    <row r="35" spans="1:7" ht="15.75" customHeight="1">
      <c r="A35" s="17" t="s">
        <v>51</v>
      </c>
      <c r="B35" s="18"/>
      <c r="C35" s="18"/>
      <c r="D35" s="18"/>
      <c r="E35" s="18"/>
      <c r="F35" s="18"/>
      <c r="G35" s="19"/>
    </row>
    <row r="36" spans="1:7" ht="15.75" customHeight="1">
      <c r="A36" s="17" t="s">
        <v>52</v>
      </c>
      <c r="B36" s="18"/>
      <c r="C36" s="18"/>
      <c r="D36" s="18"/>
      <c r="E36" s="18"/>
      <c r="F36" s="18"/>
      <c r="G36" s="19"/>
    </row>
    <row r="37" spans="1:7" ht="15.75" customHeight="1">
      <c r="A37" s="12" t="s">
        <v>55</v>
      </c>
      <c r="B37" s="13"/>
      <c r="C37" s="13"/>
      <c r="D37" s="13"/>
      <c r="E37" s="13"/>
      <c r="F37" s="13"/>
      <c r="G37" s="14"/>
    </row>
    <row r="38" spans="1:7" ht="26.4">
      <c r="A38" s="11" t="s">
        <v>56</v>
      </c>
      <c r="B38" s="15" t="s">
        <v>54</v>
      </c>
      <c r="C38" s="15"/>
      <c r="D38" s="15"/>
      <c r="E38" s="15"/>
      <c r="F38" s="15"/>
      <c r="G38" s="16"/>
    </row>
  </sheetData>
  <mergeCells count="11">
    <mergeCell ref="A1:G1"/>
    <mergeCell ref="A2:G29"/>
    <mergeCell ref="A30:G30"/>
    <mergeCell ref="A31:G31"/>
    <mergeCell ref="A32:G32"/>
    <mergeCell ref="A37:G37"/>
    <mergeCell ref="B38:G38"/>
    <mergeCell ref="A33:G33"/>
    <mergeCell ref="A34:G34"/>
    <mergeCell ref="A35:G35"/>
    <mergeCell ref="A36:G36"/>
  </mergeCells>
  <hyperlinks>
    <hyperlink ref="A33" r:id="rId1" xr:uid="{25E4254A-AA60-46AB-A2BC-209DD94E7E3C}"/>
    <hyperlink ref="A31" r:id="rId2" xr:uid="{F046A12B-9006-4552-995C-3B48594B2611}"/>
    <hyperlink ref="A35" r:id="rId3" xr:uid="{E1ED2228-27A1-45EB-A3DF-A4D395D755B3}"/>
    <hyperlink ref="A36" r:id="rId4" xr:uid="{DF40EF2A-9A3B-4303-8B9C-F91A4FBFA474}"/>
  </hyperlinks>
  <pageMargins left="0.7" right="0.7" top="0.75" bottom="0.75" header="0.3" footer="0.3"/>
  <pageSetup orientation="landscape" r:id="rId5"/>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D27"/>
  <sheetViews>
    <sheetView workbookViewId="0">
      <selection sqref="A1:D27"/>
    </sheetView>
  </sheetViews>
  <sheetFormatPr defaultColWidth="12.6640625" defaultRowHeight="15.75" customHeight="1"/>
  <cols>
    <col min="1" max="1" width="20.77734375" bestFit="1" customWidth="1"/>
    <col min="2" max="2" width="8.44140625" bestFit="1" customWidth="1"/>
    <col min="3" max="3" width="7.109375" bestFit="1" customWidth="1"/>
    <col min="4" max="4" width="6.88671875" bestFit="1" customWidth="1"/>
    <col min="5" max="5" width="6.33203125" customWidth="1"/>
  </cols>
  <sheetData>
    <row r="1" spans="1:4" ht="13.2">
      <c r="A1" t="s">
        <v>1</v>
      </c>
      <c r="B1" t="s">
        <v>2</v>
      </c>
      <c r="C1" t="s">
        <v>3</v>
      </c>
      <c r="D1" t="s">
        <v>4</v>
      </c>
    </row>
    <row r="2" spans="1:4" ht="13.2">
      <c r="A2" t="s">
        <v>5</v>
      </c>
      <c r="B2" t="s">
        <v>6</v>
      </c>
      <c r="C2" t="s">
        <v>7</v>
      </c>
      <c r="D2">
        <v>5.3</v>
      </c>
    </row>
    <row r="3" spans="1:4" ht="13.2">
      <c r="A3" t="s">
        <v>5</v>
      </c>
      <c r="B3" t="s">
        <v>6</v>
      </c>
      <c r="C3" t="s">
        <v>8</v>
      </c>
      <c r="D3">
        <v>7.7</v>
      </c>
    </row>
    <row r="4" spans="1:4" ht="13.2">
      <c r="A4" t="s">
        <v>5</v>
      </c>
      <c r="B4" t="s">
        <v>6</v>
      </c>
      <c r="C4" t="s">
        <v>9</v>
      </c>
      <c r="D4">
        <v>5.6</v>
      </c>
    </row>
    <row r="5" spans="1:4" ht="13.2">
      <c r="A5" t="s">
        <v>5</v>
      </c>
      <c r="B5" t="s">
        <v>6</v>
      </c>
      <c r="C5" t="s">
        <v>10</v>
      </c>
      <c r="D5">
        <v>7.5</v>
      </c>
    </row>
    <row r="6" spans="1:4" ht="13.2">
      <c r="A6" t="s">
        <v>5</v>
      </c>
      <c r="B6" t="s">
        <v>6</v>
      </c>
      <c r="C6" t="s">
        <v>11</v>
      </c>
      <c r="D6">
        <v>9.1</v>
      </c>
    </row>
    <row r="7" spans="1:4" ht="13.2">
      <c r="A7" t="s">
        <v>5</v>
      </c>
      <c r="B7" t="s">
        <v>6</v>
      </c>
      <c r="C7" t="s">
        <v>12</v>
      </c>
      <c r="D7">
        <v>3</v>
      </c>
    </row>
    <row r="8" spans="1:4" ht="13.2">
      <c r="A8" t="s">
        <v>5</v>
      </c>
      <c r="B8" t="s">
        <v>6</v>
      </c>
      <c r="C8" t="s">
        <v>13</v>
      </c>
      <c r="D8">
        <v>5.4</v>
      </c>
    </row>
    <row r="9" spans="1:4" ht="13.2">
      <c r="A9" t="s">
        <v>5</v>
      </c>
      <c r="B9" t="s">
        <v>6</v>
      </c>
      <c r="C9" t="s">
        <v>14</v>
      </c>
      <c r="D9">
        <v>9.1999999999999993</v>
      </c>
    </row>
    <row r="10" spans="1:4" ht="13.2">
      <c r="A10" t="s">
        <v>5</v>
      </c>
      <c r="B10" t="s">
        <v>6</v>
      </c>
      <c r="C10" t="s">
        <v>15</v>
      </c>
      <c r="D10">
        <v>7.8</v>
      </c>
    </row>
    <row r="11" spans="1:4" ht="13.2">
      <c r="A11" t="s">
        <v>5</v>
      </c>
      <c r="B11" t="s">
        <v>6</v>
      </c>
      <c r="C11" t="s">
        <v>16</v>
      </c>
      <c r="D11">
        <v>15.8</v>
      </c>
    </row>
    <row r="12" spans="1:4" ht="13.2">
      <c r="A12" t="s">
        <v>5</v>
      </c>
      <c r="B12" t="s">
        <v>6</v>
      </c>
      <c r="C12" t="s">
        <v>17</v>
      </c>
      <c r="D12">
        <v>9</v>
      </c>
    </row>
    <row r="13" spans="1:4" ht="13.2">
      <c r="A13" t="s">
        <v>5</v>
      </c>
      <c r="B13" t="s">
        <v>6</v>
      </c>
      <c r="C13" t="s">
        <v>18</v>
      </c>
      <c r="D13">
        <v>8.1999999999999993</v>
      </c>
    </row>
    <row r="14" spans="1:4" ht="13.2">
      <c r="A14" t="s">
        <v>5</v>
      </c>
      <c r="B14" t="s">
        <v>6</v>
      </c>
      <c r="C14" t="s">
        <v>19</v>
      </c>
      <c r="D14">
        <v>6.9</v>
      </c>
    </row>
    <row r="15" spans="1:4" ht="13.2">
      <c r="A15" t="s">
        <v>5</v>
      </c>
      <c r="B15" t="s">
        <v>6</v>
      </c>
      <c r="C15" t="s">
        <v>20</v>
      </c>
      <c r="D15">
        <v>11.4</v>
      </c>
    </row>
    <row r="16" spans="1:4" ht="13.2">
      <c r="A16" t="s">
        <v>5</v>
      </c>
      <c r="B16" t="s">
        <v>6</v>
      </c>
      <c r="C16" t="s">
        <v>21</v>
      </c>
      <c r="D16">
        <v>5</v>
      </c>
    </row>
    <row r="17" spans="1:4" ht="13.2">
      <c r="A17" t="s">
        <v>5</v>
      </c>
      <c r="B17" t="s">
        <v>6</v>
      </c>
      <c r="C17" t="s">
        <v>22</v>
      </c>
      <c r="D17">
        <v>1.3</v>
      </c>
    </row>
    <row r="18" spans="1:4" ht="13.2">
      <c r="A18" t="s">
        <v>5</v>
      </c>
      <c r="B18" t="s">
        <v>6</v>
      </c>
      <c r="C18" t="s">
        <v>23</v>
      </c>
      <c r="D18">
        <v>2.7</v>
      </c>
    </row>
    <row r="19" spans="1:4" ht="13.2">
      <c r="A19" t="s">
        <v>5</v>
      </c>
      <c r="B19" t="s">
        <v>6</v>
      </c>
      <c r="C19" t="s">
        <v>24</v>
      </c>
      <c r="D19">
        <v>2</v>
      </c>
    </row>
    <row r="20" spans="1:4" ht="13.2">
      <c r="A20" t="s">
        <v>5</v>
      </c>
      <c r="B20" t="s">
        <v>6</v>
      </c>
      <c r="C20" t="s">
        <v>25</v>
      </c>
      <c r="D20">
        <v>1.8</v>
      </c>
    </row>
    <row r="21" spans="1:4" ht="13.2">
      <c r="A21" t="s">
        <v>5</v>
      </c>
      <c r="B21" t="s">
        <v>6</v>
      </c>
      <c r="C21" t="s">
        <v>26</v>
      </c>
      <c r="D21">
        <v>4</v>
      </c>
    </row>
    <row r="22" spans="1:4" ht="13.2">
      <c r="A22" t="s">
        <v>5</v>
      </c>
      <c r="B22" t="s">
        <v>6</v>
      </c>
      <c r="C22" t="s">
        <v>27</v>
      </c>
      <c r="D22">
        <v>2.2000000000000002</v>
      </c>
    </row>
    <row r="23" spans="1:4" ht="13.2">
      <c r="A23" t="s">
        <v>5</v>
      </c>
      <c r="B23" t="s">
        <v>6</v>
      </c>
      <c r="C23" t="s">
        <v>28</v>
      </c>
      <c r="D23">
        <v>9.1</v>
      </c>
    </row>
    <row r="24" spans="1:4" ht="13.2">
      <c r="A24" t="s">
        <v>5</v>
      </c>
      <c r="B24" t="s">
        <v>6</v>
      </c>
      <c r="C24" t="s">
        <v>29</v>
      </c>
      <c r="D24">
        <v>5.4</v>
      </c>
    </row>
    <row r="25" spans="1:4" ht="13.2">
      <c r="A25" t="s">
        <v>5</v>
      </c>
      <c r="B25" t="s">
        <v>6</v>
      </c>
      <c r="C25" t="s">
        <v>30</v>
      </c>
      <c r="D25">
        <v>4</v>
      </c>
    </row>
    <row r="26" spans="1:4" ht="13.2">
      <c r="A26" t="s">
        <v>5</v>
      </c>
      <c r="B26" t="s">
        <v>6</v>
      </c>
      <c r="C26" t="s">
        <v>31</v>
      </c>
      <c r="D26">
        <v>2.9</v>
      </c>
    </row>
    <row r="27" spans="1:4" ht="13.2">
      <c r="A27" t="s">
        <v>5</v>
      </c>
      <c r="B27" t="s">
        <v>6</v>
      </c>
      <c r="C27" t="s">
        <v>32</v>
      </c>
      <c r="D27">
        <v>2</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76667-5587-4111-9BF8-613B05BFD752}">
  <sheetPr>
    <outlinePr summaryBelow="0" summaryRight="0"/>
  </sheetPr>
  <dimension ref="A1:J27"/>
  <sheetViews>
    <sheetView workbookViewId="0">
      <selection sqref="A1:J27"/>
    </sheetView>
  </sheetViews>
  <sheetFormatPr defaultColWidth="12.6640625" defaultRowHeight="15.75" customHeight="1"/>
  <cols>
    <col min="1" max="1" width="20.77734375" bestFit="1" customWidth="1"/>
    <col min="2" max="2" width="8.44140625" bestFit="1" customWidth="1"/>
    <col min="3" max="3" width="7.109375" bestFit="1" customWidth="1"/>
    <col min="4" max="4" width="6.88671875" bestFit="1" customWidth="1"/>
    <col min="5" max="5" width="7.33203125" bestFit="1" customWidth="1"/>
    <col min="6" max="6" width="6.5546875" bestFit="1" customWidth="1"/>
    <col min="7" max="7" width="6.21875" bestFit="1" customWidth="1"/>
    <col min="8" max="8" width="7.6640625" bestFit="1" customWidth="1"/>
    <col min="9" max="9" width="9.44140625" bestFit="1" customWidth="1"/>
    <col min="10" max="10" width="6.6640625" bestFit="1" customWidth="1"/>
  </cols>
  <sheetData>
    <row r="1" spans="1:10" ht="13.2">
      <c r="A1" t="s">
        <v>1</v>
      </c>
      <c r="B1" t="s">
        <v>2</v>
      </c>
      <c r="C1" s="10" t="s">
        <v>3</v>
      </c>
      <c r="D1" t="s">
        <v>4</v>
      </c>
      <c r="E1" s="4" t="s">
        <v>33</v>
      </c>
      <c r="F1" s="2" t="s">
        <v>34</v>
      </c>
      <c r="G1" s="2" t="s">
        <v>35</v>
      </c>
      <c r="H1" s="2" t="s">
        <v>36</v>
      </c>
      <c r="I1" s="2" t="s">
        <v>37</v>
      </c>
      <c r="J1" s="2" t="s">
        <v>38</v>
      </c>
    </row>
    <row r="2" spans="1:10" ht="13.2">
      <c r="A2" t="s">
        <v>5</v>
      </c>
      <c r="B2" t="s">
        <v>6</v>
      </c>
      <c r="C2" s="10" t="s">
        <v>7</v>
      </c>
      <c r="D2">
        <v>5.3</v>
      </c>
      <c r="E2" s="7">
        <f t="shared" ref="E2:E27" si="0">ROUND(AVERAGE($D$2:$D$27),1)</f>
        <v>5.9</v>
      </c>
      <c r="F2" s="8">
        <f t="shared" ref="F2:F27" si="1">ROUND(E2+(2.66*I2),1)</f>
        <v>13.6</v>
      </c>
      <c r="G2" s="9">
        <f t="shared" ref="G2:G27" si="2">ROUND(MAX(0,E2-(2.66*I2)),1)</f>
        <v>0</v>
      </c>
      <c r="H2" s="9" t="e">
        <f t="shared" ref="H2:H27" si="3">ROUND(ABS(D1-D2),1)</f>
        <v>#VALUE!</v>
      </c>
      <c r="I2" s="9">
        <f t="shared" ref="I2:I27" si="4">ROUND(AVERAGE($H$3:$H$27),1)</f>
        <v>2.9</v>
      </c>
      <c r="J2" s="9">
        <f t="shared" ref="J2:J27" si="5">ROUND(3.268*I2,1)</f>
        <v>9.5</v>
      </c>
    </row>
    <row r="3" spans="1:10" ht="13.2">
      <c r="A3" t="s">
        <v>5</v>
      </c>
      <c r="B3" t="s">
        <v>6</v>
      </c>
      <c r="C3" s="10" t="s">
        <v>8</v>
      </c>
      <c r="D3">
        <v>7.7</v>
      </c>
      <c r="E3" s="7">
        <f t="shared" si="0"/>
        <v>5.9</v>
      </c>
      <c r="F3" s="8">
        <f t="shared" si="1"/>
        <v>13.6</v>
      </c>
      <c r="G3" s="9">
        <f t="shared" si="2"/>
        <v>0</v>
      </c>
      <c r="H3" s="9">
        <f t="shared" si="3"/>
        <v>2.4</v>
      </c>
      <c r="I3" s="9">
        <f t="shared" si="4"/>
        <v>2.9</v>
      </c>
      <c r="J3" s="9">
        <f t="shared" si="5"/>
        <v>9.5</v>
      </c>
    </row>
    <row r="4" spans="1:10" ht="13.2">
      <c r="A4" t="s">
        <v>5</v>
      </c>
      <c r="B4" t="s">
        <v>6</v>
      </c>
      <c r="C4" s="10" t="s">
        <v>9</v>
      </c>
      <c r="D4">
        <v>5.6</v>
      </c>
      <c r="E4" s="7">
        <f t="shared" si="0"/>
        <v>5.9</v>
      </c>
      <c r="F4" s="8">
        <f t="shared" si="1"/>
        <v>13.6</v>
      </c>
      <c r="G4" s="9">
        <f t="shared" si="2"/>
        <v>0</v>
      </c>
      <c r="H4" s="9">
        <f t="shared" si="3"/>
        <v>2.1</v>
      </c>
      <c r="I4" s="9">
        <f t="shared" si="4"/>
        <v>2.9</v>
      </c>
      <c r="J4" s="9">
        <f t="shared" si="5"/>
        <v>9.5</v>
      </c>
    </row>
    <row r="5" spans="1:10" ht="13.2">
      <c r="A5" t="s">
        <v>5</v>
      </c>
      <c r="B5" t="s">
        <v>6</v>
      </c>
      <c r="C5" s="10" t="s">
        <v>10</v>
      </c>
      <c r="D5">
        <v>7.5</v>
      </c>
      <c r="E5" s="7">
        <f t="shared" si="0"/>
        <v>5.9</v>
      </c>
      <c r="F5" s="8">
        <f t="shared" si="1"/>
        <v>13.6</v>
      </c>
      <c r="G5" s="9">
        <f t="shared" si="2"/>
        <v>0</v>
      </c>
      <c r="H5" s="9">
        <f t="shared" si="3"/>
        <v>1.9</v>
      </c>
      <c r="I5" s="9">
        <f t="shared" si="4"/>
        <v>2.9</v>
      </c>
      <c r="J5" s="9">
        <f t="shared" si="5"/>
        <v>9.5</v>
      </c>
    </row>
    <row r="6" spans="1:10" ht="13.2">
      <c r="A6" t="s">
        <v>5</v>
      </c>
      <c r="B6" t="s">
        <v>6</v>
      </c>
      <c r="C6" s="10" t="s">
        <v>11</v>
      </c>
      <c r="D6">
        <v>9.1</v>
      </c>
      <c r="E6" s="7">
        <f t="shared" si="0"/>
        <v>5.9</v>
      </c>
      <c r="F6" s="8">
        <f t="shared" si="1"/>
        <v>13.6</v>
      </c>
      <c r="G6" s="9">
        <f t="shared" si="2"/>
        <v>0</v>
      </c>
      <c r="H6" s="9">
        <f t="shared" si="3"/>
        <v>1.6</v>
      </c>
      <c r="I6" s="9">
        <f t="shared" si="4"/>
        <v>2.9</v>
      </c>
      <c r="J6" s="9">
        <f t="shared" si="5"/>
        <v>9.5</v>
      </c>
    </row>
    <row r="7" spans="1:10" ht="13.2">
      <c r="A7" t="s">
        <v>5</v>
      </c>
      <c r="B7" t="s">
        <v>6</v>
      </c>
      <c r="C7" s="10" t="s">
        <v>12</v>
      </c>
      <c r="D7">
        <v>3</v>
      </c>
      <c r="E7" s="7">
        <f t="shared" si="0"/>
        <v>5.9</v>
      </c>
      <c r="F7" s="8">
        <f t="shared" si="1"/>
        <v>13.6</v>
      </c>
      <c r="G7" s="9">
        <f t="shared" si="2"/>
        <v>0</v>
      </c>
      <c r="H7" s="9">
        <f t="shared" si="3"/>
        <v>6.1</v>
      </c>
      <c r="I7" s="9">
        <f t="shared" si="4"/>
        <v>2.9</v>
      </c>
      <c r="J7" s="9">
        <f t="shared" si="5"/>
        <v>9.5</v>
      </c>
    </row>
    <row r="8" spans="1:10" ht="13.2">
      <c r="A8" t="s">
        <v>5</v>
      </c>
      <c r="B8" t="s">
        <v>6</v>
      </c>
      <c r="C8" s="10" t="s">
        <v>13</v>
      </c>
      <c r="D8">
        <v>5.4</v>
      </c>
      <c r="E8" s="7">
        <f t="shared" si="0"/>
        <v>5.9</v>
      </c>
      <c r="F8" s="8">
        <f t="shared" si="1"/>
        <v>13.6</v>
      </c>
      <c r="G8" s="9">
        <f t="shared" si="2"/>
        <v>0</v>
      </c>
      <c r="H8" s="9">
        <f t="shared" si="3"/>
        <v>2.4</v>
      </c>
      <c r="I8" s="9">
        <f t="shared" si="4"/>
        <v>2.9</v>
      </c>
      <c r="J8" s="9">
        <f t="shared" si="5"/>
        <v>9.5</v>
      </c>
    </row>
    <row r="9" spans="1:10" ht="13.2">
      <c r="A9" t="s">
        <v>5</v>
      </c>
      <c r="B9" t="s">
        <v>6</v>
      </c>
      <c r="C9" s="10" t="s">
        <v>14</v>
      </c>
      <c r="D9">
        <v>9.1999999999999993</v>
      </c>
      <c r="E9" s="7">
        <f t="shared" si="0"/>
        <v>5.9</v>
      </c>
      <c r="F9" s="8">
        <f t="shared" si="1"/>
        <v>13.6</v>
      </c>
      <c r="G9" s="9">
        <f t="shared" si="2"/>
        <v>0</v>
      </c>
      <c r="H9" s="9">
        <f t="shared" si="3"/>
        <v>3.8</v>
      </c>
      <c r="I9" s="9">
        <f t="shared" si="4"/>
        <v>2.9</v>
      </c>
      <c r="J9" s="9">
        <f t="shared" si="5"/>
        <v>9.5</v>
      </c>
    </row>
    <row r="10" spans="1:10" ht="13.2">
      <c r="A10" t="s">
        <v>5</v>
      </c>
      <c r="B10" t="s">
        <v>6</v>
      </c>
      <c r="C10" s="10" t="s">
        <v>15</v>
      </c>
      <c r="D10">
        <v>7.8</v>
      </c>
      <c r="E10" s="7">
        <f t="shared" si="0"/>
        <v>5.9</v>
      </c>
      <c r="F10" s="8">
        <f t="shared" si="1"/>
        <v>13.6</v>
      </c>
      <c r="G10" s="9">
        <f t="shared" si="2"/>
        <v>0</v>
      </c>
      <c r="H10" s="9">
        <f t="shared" si="3"/>
        <v>1.4</v>
      </c>
      <c r="I10" s="9">
        <f t="shared" si="4"/>
        <v>2.9</v>
      </c>
      <c r="J10" s="9">
        <f t="shared" si="5"/>
        <v>9.5</v>
      </c>
    </row>
    <row r="11" spans="1:10" ht="13.2">
      <c r="A11" t="s">
        <v>5</v>
      </c>
      <c r="B11" t="s">
        <v>6</v>
      </c>
      <c r="C11" s="10" t="s">
        <v>16</v>
      </c>
      <c r="D11">
        <v>15.8</v>
      </c>
      <c r="E11" s="7">
        <f t="shared" si="0"/>
        <v>5.9</v>
      </c>
      <c r="F11" s="8">
        <f t="shared" si="1"/>
        <v>13.6</v>
      </c>
      <c r="G11" s="9">
        <f t="shared" si="2"/>
        <v>0</v>
      </c>
      <c r="H11" s="9">
        <f t="shared" si="3"/>
        <v>8</v>
      </c>
      <c r="I11" s="9">
        <f t="shared" si="4"/>
        <v>2.9</v>
      </c>
      <c r="J11" s="9">
        <f t="shared" si="5"/>
        <v>9.5</v>
      </c>
    </row>
    <row r="12" spans="1:10" ht="13.2">
      <c r="A12" t="s">
        <v>5</v>
      </c>
      <c r="B12" t="s">
        <v>6</v>
      </c>
      <c r="C12" s="10" t="s">
        <v>17</v>
      </c>
      <c r="D12">
        <v>9</v>
      </c>
      <c r="E12" s="7">
        <f t="shared" si="0"/>
        <v>5.9</v>
      </c>
      <c r="F12" s="8">
        <f t="shared" si="1"/>
        <v>13.6</v>
      </c>
      <c r="G12" s="9">
        <f t="shared" si="2"/>
        <v>0</v>
      </c>
      <c r="H12" s="9">
        <f t="shared" si="3"/>
        <v>6.8</v>
      </c>
      <c r="I12" s="9">
        <f t="shared" si="4"/>
        <v>2.9</v>
      </c>
      <c r="J12" s="9">
        <f t="shared" si="5"/>
        <v>9.5</v>
      </c>
    </row>
    <row r="13" spans="1:10" ht="13.2">
      <c r="A13" t="s">
        <v>5</v>
      </c>
      <c r="B13" t="s">
        <v>6</v>
      </c>
      <c r="C13" s="10" t="s">
        <v>18</v>
      </c>
      <c r="D13">
        <v>8.1999999999999993</v>
      </c>
      <c r="E13" s="7">
        <f t="shared" si="0"/>
        <v>5.9</v>
      </c>
      <c r="F13" s="8">
        <f t="shared" si="1"/>
        <v>13.6</v>
      </c>
      <c r="G13" s="9">
        <f t="shared" si="2"/>
        <v>0</v>
      </c>
      <c r="H13" s="9">
        <f t="shared" si="3"/>
        <v>0.8</v>
      </c>
      <c r="I13" s="9">
        <f t="shared" si="4"/>
        <v>2.9</v>
      </c>
      <c r="J13" s="9">
        <f t="shared" si="5"/>
        <v>9.5</v>
      </c>
    </row>
    <row r="14" spans="1:10" ht="13.2">
      <c r="A14" t="s">
        <v>5</v>
      </c>
      <c r="B14" t="s">
        <v>6</v>
      </c>
      <c r="C14" s="10" t="s">
        <v>19</v>
      </c>
      <c r="D14">
        <v>6.9</v>
      </c>
      <c r="E14" s="7">
        <f t="shared" si="0"/>
        <v>5.9</v>
      </c>
      <c r="F14" s="8">
        <f t="shared" si="1"/>
        <v>13.6</v>
      </c>
      <c r="G14" s="9">
        <f t="shared" si="2"/>
        <v>0</v>
      </c>
      <c r="H14" s="9">
        <f t="shared" si="3"/>
        <v>1.3</v>
      </c>
      <c r="I14" s="9">
        <f t="shared" si="4"/>
        <v>2.9</v>
      </c>
      <c r="J14" s="9">
        <f t="shared" si="5"/>
        <v>9.5</v>
      </c>
    </row>
    <row r="15" spans="1:10" ht="13.2">
      <c r="A15" t="s">
        <v>5</v>
      </c>
      <c r="B15" t="s">
        <v>6</v>
      </c>
      <c r="C15" s="10" t="s">
        <v>20</v>
      </c>
      <c r="D15">
        <v>11.4</v>
      </c>
      <c r="E15" s="7">
        <f t="shared" si="0"/>
        <v>5.9</v>
      </c>
      <c r="F15" s="8">
        <f t="shared" si="1"/>
        <v>13.6</v>
      </c>
      <c r="G15" s="9">
        <f t="shared" si="2"/>
        <v>0</v>
      </c>
      <c r="H15" s="9">
        <f t="shared" si="3"/>
        <v>4.5</v>
      </c>
      <c r="I15" s="9">
        <f t="shared" si="4"/>
        <v>2.9</v>
      </c>
      <c r="J15" s="9">
        <f t="shared" si="5"/>
        <v>9.5</v>
      </c>
    </row>
    <row r="16" spans="1:10" ht="13.2">
      <c r="A16" t="s">
        <v>5</v>
      </c>
      <c r="B16" t="s">
        <v>6</v>
      </c>
      <c r="C16" s="10" t="s">
        <v>21</v>
      </c>
      <c r="D16">
        <v>5</v>
      </c>
      <c r="E16" s="7">
        <f t="shared" si="0"/>
        <v>5.9</v>
      </c>
      <c r="F16" s="8">
        <f t="shared" si="1"/>
        <v>13.6</v>
      </c>
      <c r="G16" s="9">
        <f t="shared" si="2"/>
        <v>0</v>
      </c>
      <c r="H16" s="9">
        <f t="shared" si="3"/>
        <v>6.4</v>
      </c>
      <c r="I16" s="9">
        <f t="shared" si="4"/>
        <v>2.9</v>
      </c>
      <c r="J16" s="9">
        <f t="shared" si="5"/>
        <v>9.5</v>
      </c>
    </row>
    <row r="17" spans="1:10" ht="13.2">
      <c r="A17" t="s">
        <v>5</v>
      </c>
      <c r="B17" t="s">
        <v>6</v>
      </c>
      <c r="C17" s="10" t="s">
        <v>22</v>
      </c>
      <c r="D17">
        <v>1.3</v>
      </c>
      <c r="E17" s="7">
        <f t="shared" si="0"/>
        <v>5.9</v>
      </c>
      <c r="F17" s="8">
        <f t="shared" si="1"/>
        <v>13.6</v>
      </c>
      <c r="G17" s="9">
        <f t="shared" si="2"/>
        <v>0</v>
      </c>
      <c r="H17" s="9">
        <f t="shared" si="3"/>
        <v>3.7</v>
      </c>
      <c r="I17" s="9">
        <f t="shared" si="4"/>
        <v>2.9</v>
      </c>
      <c r="J17" s="9">
        <f t="shared" si="5"/>
        <v>9.5</v>
      </c>
    </row>
    <row r="18" spans="1:10" ht="13.2">
      <c r="A18" t="s">
        <v>5</v>
      </c>
      <c r="B18" t="s">
        <v>6</v>
      </c>
      <c r="C18" s="10" t="s">
        <v>23</v>
      </c>
      <c r="D18">
        <v>2.7</v>
      </c>
      <c r="E18" s="7">
        <f t="shared" si="0"/>
        <v>5.9</v>
      </c>
      <c r="F18" s="8">
        <f t="shared" si="1"/>
        <v>13.6</v>
      </c>
      <c r="G18" s="9">
        <f t="shared" si="2"/>
        <v>0</v>
      </c>
      <c r="H18" s="9">
        <f t="shared" si="3"/>
        <v>1.4</v>
      </c>
      <c r="I18" s="9">
        <f t="shared" si="4"/>
        <v>2.9</v>
      </c>
      <c r="J18" s="9">
        <f t="shared" si="5"/>
        <v>9.5</v>
      </c>
    </row>
    <row r="19" spans="1:10" ht="13.2">
      <c r="A19" t="s">
        <v>5</v>
      </c>
      <c r="B19" t="s">
        <v>6</v>
      </c>
      <c r="C19" s="10" t="s">
        <v>24</v>
      </c>
      <c r="D19">
        <v>2</v>
      </c>
      <c r="E19" s="7">
        <f t="shared" si="0"/>
        <v>5.9</v>
      </c>
      <c r="F19" s="8">
        <f t="shared" si="1"/>
        <v>13.6</v>
      </c>
      <c r="G19" s="9">
        <f t="shared" si="2"/>
        <v>0</v>
      </c>
      <c r="H19" s="9">
        <f t="shared" si="3"/>
        <v>0.7</v>
      </c>
      <c r="I19" s="9">
        <f t="shared" si="4"/>
        <v>2.9</v>
      </c>
      <c r="J19" s="9">
        <f t="shared" si="5"/>
        <v>9.5</v>
      </c>
    </row>
    <row r="20" spans="1:10" ht="13.2">
      <c r="A20" t="s">
        <v>5</v>
      </c>
      <c r="B20" t="s">
        <v>6</v>
      </c>
      <c r="C20" s="10" t="s">
        <v>25</v>
      </c>
      <c r="D20">
        <v>1.8</v>
      </c>
      <c r="E20" s="7">
        <f t="shared" si="0"/>
        <v>5.9</v>
      </c>
      <c r="F20" s="8">
        <f t="shared" si="1"/>
        <v>13.6</v>
      </c>
      <c r="G20" s="9">
        <f t="shared" si="2"/>
        <v>0</v>
      </c>
      <c r="H20" s="9">
        <f t="shared" si="3"/>
        <v>0.2</v>
      </c>
      <c r="I20" s="9">
        <f t="shared" si="4"/>
        <v>2.9</v>
      </c>
      <c r="J20" s="9">
        <f t="shared" si="5"/>
        <v>9.5</v>
      </c>
    </row>
    <row r="21" spans="1:10" ht="13.2">
      <c r="A21" t="s">
        <v>5</v>
      </c>
      <c r="B21" t="s">
        <v>6</v>
      </c>
      <c r="C21" s="10" t="s">
        <v>26</v>
      </c>
      <c r="D21">
        <v>4</v>
      </c>
      <c r="E21" s="7">
        <f t="shared" si="0"/>
        <v>5.9</v>
      </c>
      <c r="F21" s="8">
        <f t="shared" si="1"/>
        <v>13.6</v>
      </c>
      <c r="G21" s="9">
        <f t="shared" si="2"/>
        <v>0</v>
      </c>
      <c r="H21" s="9">
        <f t="shared" si="3"/>
        <v>2.2000000000000002</v>
      </c>
      <c r="I21" s="9">
        <f t="shared" si="4"/>
        <v>2.9</v>
      </c>
      <c r="J21" s="9">
        <f t="shared" si="5"/>
        <v>9.5</v>
      </c>
    </row>
    <row r="22" spans="1:10" ht="13.2">
      <c r="A22" t="s">
        <v>5</v>
      </c>
      <c r="B22" t="s">
        <v>6</v>
      </c>
      <c r="C22" s="10" t="s">
        <v>27</v>
      </c>
      <c r="D22">
        <v>2.2000000000000002</v>
      </c>
      <c r="E22" s="7">
        <f t="shared" si="0"/>
        <v>5.9</v>
      </c>
      <c r="F22" s="8">
        <f t="shared" si="1"/>
        <v>13.6</v>
      </c>
      <c r="G22" s="9">
        <f t="shared" si="2"/>
        <v>0</v>
      </c>
      <c r="H22" s="9">
        <f t="shared" si="3"/>
        <v>1.8</v>
      </c>
      <c r="I22" s="9">
        <f t="shared" si="4"/>
        <v>2.9</v>
      </c>
      <c r="J22" s="9">
        <f t="shared" si="5"/>
        <v>9.5</v>
      </c>
    </row>
    <row r="23" spans="1:10" ht="13.2">
      <c r="A23" t="s">
        <v>5</v>
      </c>
      <c r="B23" t="s">
        <v>6</v>
      </c>
      <c r="C23" s="10" t="s">
        <v>28</v>
      </c>
      <c r="D23">
        <v>9.1</v>
      </c>
      <c r="E23" s="7">
        <f t="shared" si="0"/>
        <v>5.9</v>
      </c>
      <c r="F23" s="8">
        <f t="shared" si="1"/>
        <v>13.6</v>
      </c>
      <c r="G23" s="9">
        <f t="shared" si="2"/>
        <v>0</v>
      </c>
      <c r="H23" s="9">
        <f t="shared" si="3"/>
        <v>6.9</v>
      </c>
      <c r="I23" s="9">
        <f t="shared" si="4"/>
        <v>2.9</v>
      </c>
      <c r="J23" s="9">
        <f t="shared" si="5"/>
        <v>9.5</v>
      </c>
    </row>
    <row r="24" spans="1:10" ht="13.2">
      <c r="A24" t="s">
        <v>5</v>
      </c>
      <c r="B24" t="s">
        <v>6</v>
      </c>
      <c r="C24" s="10" t="s">
        <v>29</v>
      </c>
      <c r="D24">
        <v>5.4</v>
      </c>
      <c r="E24" s="7">
        <f t="shared" si="0"/>
        <v>5.9</v>
      </c>
      <c r="F24" s="8">
        <f t="shared" si="1"/>
        <v>13.6</v>
      </c>
      <c r="G24" s="9">
        <f t="shared" si="2"/>
        <v>0</v>
      </c>
      <c r="H24" s="9">
        <f t="shared" si="3"/>
        <v>3.7</v>
      </c>
      <c r="I24" s="9">
        <f t="shared" si="4"/>
        <v>2.9</v>
      </c>
      <c r="J24" s="9">
        <f t="shared" si="5"/>
        <v>9.5</v>
      </c>
    </row>
    <row r="25" spans="1:10" ht="13.2">
      <c r="A25" t="s">
        <v>5</v>
      </c>
      <c r="B25" t="s">
        <v>6</v>
      </c>
      <c r="C25" s="10" t="s">
        <v>30</v>
      </c>
      <c r="D25">
        <v>4</v>
      </c>
      <c r="E25" s="7">
        <f t="shared" si="0"/>
        <v>5.9</v>
      </c>
      <c r="F25" s="8">
        <f t="shared" si="1"/>
        <v>13.6</v>
      </c>
      <c r="G25" s="9">
        <f t="shared" si="2"/>
        <v>0</v>
      </c>
      <c r="H25" s="9">
        <f t="shared" si="3"/>
        <v>1.4</v>
      </c>
      <c r="I25" s="9">
        <f t="shared" si="4"/>
        <v>2.9</v>
      </c>
      <c r="J25" s="9">
        <f t="shared" si="5"/>
        <v>9.5</v>
      </c>
    </row>
    <row r="26" spans="1:10" ht="13.2">
      <c r="A26" t="s">
        <v>5</v>
      </c>
      <c r="B26" t="s">
        <v>6</v>
      </c>
      <c r="C26" s="10" t="s">
        <v>31</v>
      </c>
      <c r="D26">
        <v>2.9</v>
      </c>
      <c r="E26" s="7">
        <f t="shared" si="0"/>
        <v>5.9</v>
      </c>
      <c r="F26" s="8">
        <f t="shared" si="1"/>
        <v>13.6</v>
      </c>
      <c r="G26" s="9">
        <f t="shared" si="2"/>
        <v>0</v>
      </c>
      <c r="H26" s="9">
        <f t="shared" si="3"/>
        <v>1.1000000000000001</v>
      </c>
      <c r="I26" s="9">
        <f t="shared" si="4"/>
        <v>2.9</v>
      </c>
      <c r="J26" s="9">
        <f t="shared" si="5"/>
        <v>9.5</v>
      </c>
    </row>
    <row r="27" spans="1:10" ht="13.2">
      <c r="A27" t="s">
        <v>5</v>
      </c>
      <c r="B27" t="s">
        <v>6</v>
      </c>
      <c r="C27" s="10" t="s">
        <v>32</v>
      </c>
      <c r="D27">
        <v>2</v>
      </c>
      <c r="E27" s="7">
        <f t="shared" si="0"/>
        <v>5.9</v>
      </c>
      <c r="F27" s="8">
        <f t="shared" si="1"/>
        <v>13.6</v>
      </c>
      <c r="G27" s="9">
        <f t="shared" si="2"/>
        <v>0</v>
      </c>
      <c r="H27" s="9">
        <f t="shared" si="3"/>
        <v>0.9</v>
      </c>
      <c r="I27" s="9">
        <f t="shared" si="4"/>
        <v>2.9</v>
      </c>
      <c r="J27" s="9">
        <f t="shared" si="5"/>
        <v>9.5</v>
      </c>
    </row>
  </sheetData>
  <phoneticPr fontId="7" type="noConversion"/>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6F2F4-4B9A-488B-9804-FF6082D3F50A}">
  <dimension ref="A1:K29"/>
  <sheetViews>
    <sheetView workbookViewId="0">
      <selection activeCell="A17" sqref="A17:K29"/>
    </sheetView>
  </sheetViews>
  <sheetFormatPr defaultRowHeight="13.2"/>
  <cols>
    <col min="1" max="1" width="20.88671875" bestFit="1" customWidth="1"/>
    <col min="2" max="2" width="8.5546875" bestFit="1" customWidth="1"/>
    <col min="3" max="3" width="16.21875" bestFit="1" customWidth="1"/>
    <col min="4" max="4" width="7.109375" style="10" bestFit="1" customWidth="1"/>
    <col min="5" max="5" width="6.88671875" bestFit="1" customWidth="1"/>
    <col min="6" max="6" width="7.6640625" bestFit="1" customWidth="1"/>
    <col min="7" max="7" width="6.6640625" bestFit="1" customWidth="1"/>
    <col min="8" max="8" width="6.44140625" bestFit="1" customWidth="1"/>
    <col min="9" max="9" width="6" bestFit="1" customWidth="1"/>
    <col min="10" max="10" width="10" bestFit="1" customWidth="1"/>
    <col min="11" max="11" width="6.6640625" bestFit="1" customWidth="1"/>
  </cols>
  <sheetData>
    <row r="1" spans="1:11">
      <c r="A1" t="s">
        <v>1</v>
      </c>
      <c r="B1" t="s">
        <v>2</v>
      </c>
      <c r="C1" t="s">
        <v>39</v>
      </c>
      <c r="D1" s="10" t="s">
        <v>3</v>
      </c>
      <c r="E1" t="s">
        <v>4</v>
      </c>
      <c r="F1" t="s">
        <v>33</v>
      </c>
      <c r="G1" t="s">
        <v>34</v>
      </c>
      <c r="H1" t="s">
        <v>35</v>
      </c>
      <c r="I1" t="s">
        <v>36</v>
      </c>
      <c r="J1" t="s">
        <v>37</v>
      </c>
      <c r="K1" t="s">
        <v>38</v>
      </c>
    </row>
    <row r="2" spans="1:11">
      <c r="A2" t="s">
        <v>5</v>
      </c>
      <c r="B2" t="s">
        <v>6</v>
      </c>
      <c r="C2" t="s">
        <v>40</v>
      </c>
      <c r="D2" t="s">
        <v>7</v>
      </c>
      <c r="E2">
        <v>5.3</v>
      </c>
      <c r="F2">
        <f t="shared" ref="F2:F15" si="0">ROUND(AVERAGE($E$2:$E$15),2)</f>
        <v>7.99</v>
      </c>
      <c r="G2">
        <f t="shared" ref="G2:G15" si="1">ROUND(F2+(2.66*J2),2)</f>
        <v>16.82</v>
      </c>
      <c r="H2">
        <f t="shared" ref="H2:H15" si="2">ROUND(MAX(0,F2-(2.66*J2)),2)</f>
        <v>0</v>
      </c>
      <c r="J2">
        <f t="shared" ref="J2:J15" si="3">ROUND(AVERAGE($I$3:$I$15), 2)</f>
        <v>3.32</v>
      </c>
      <c r="K2">
        <f t="shared" ref="K2:K15" si="4">ROUND(3.268*J2,2)</f>
        <v>10.85</v>
      </c>
    </row>
    <row r="3" spans="1:11">
      <c r="A3" t="s">
        <v>5</v>
      </c>
      <c r="B3" t="s">
        <v>6</v>
      </c>
      <c r="C3" t="s">
        <v>40</v>
      </c>
      <c r="D3" t="s">
        <v>8</v>
      </c>
      <c r="E3">
        <v>7.7</v>
      </c>
      <c r="F3">
        <f t="shared" si="0"/>
        <v>7.99</v>
      </c>
      <c r="G3">
        <f t="shared" si="1"/>
        <v>16.82</v>
      </c>
      <c r="H3">
        <f t="shared" si="2"/>
        <v>0</v>
      </c>
      <c r="I3">
        <f t="shared" ref="I3:I15" si="5">ROUND(ABS(E2-E3),2)</f>
        <v>2.4</v>
      </c>
      <c r="J3">
        <f t="shared" si="3"/>
        <v>3.32</v>
      </c>
      <c r="K3">
        <f t="shared" si="4"/>
        <v>10.85</v>
      </c>
    </row>
    <row r="4" spans="1:11">
      <c r="A4" t="s">
        <v>5</v>
      </c>
      <c r="B4" t="s">
        <v>6</v>
      </c>
      <c r="C4" t="s">
        <v>40</v>
      </c>
      <c r="D4" t="s">
        <v>9</v>
      </c>
      <c r="E4">
        <v>5.6</v>
      </c>
      <c r="F4">
        <f t="shared" si="0"/>
        <v>7.99</v>
      </c>
      <c r="G4">
        <f t="shared" si="1"/>
        <v>16.82</v>
      </c>
      <c r="H4">
        <f t="shared" si="2"/>
        <v>0</v>
      </c>
      <c r="I4">
        <f t="shared" si="5"/>
        <v>2.1</v>
      </c>
      <c r="J4">
        <f t="shared" si="3"/>
        <v>3.32</v>
      </c>
      <c r="K4">
        <f t="shared" si="4"/>
        <v>10.85</v>
      </c>
    </row>
    <row r="5" spans="1:11">
      <c r="A5" t="s">
        <v>5</v>
      </c>
      <c r="B5" t="s">
        <v>6</v>
      </c>
      <c r="C5" t="s">
        <v>40</v>
      </c>
      <c r="D5" t="s">
        <v>10</v>
      </c>
      <c r="E5">
        <v>7.5</v>
      </c>
      <c r="F5">
        <f t="shared" si="0"/>
        <v>7.99</v>
      </c>
      <c r="G5">
        <f t="shared" si="1"/>
        <v>16.82</v>
      </c>
      <c r="H5">
        <f t="shared" si="2"/>
        <v>0</v>
      </c>
      <c r="I5">
        <f t="shared" si="5"/>
        <v>1.9</v>
      </c>
      <c r="J5">
        <f t="shared" si="3"/>
        <v>3.32</v>
      </c>
      <c r="K5">
        <f t="shared" si="4"/>
        <v>10.85</v>
      </c>
    </row>
    <row r="6" spans="1:11">
      <c r="A6" t="s">
        <v>5</v>
      </c>
      <c r="B6" t="s">
        <v>6</v>
      </c>
      <c r="C6" t="s">
        <v>40</v>
      </c>
      <c r="D6" t="s">
        <v>11</v>
      </c>
      <c r="E6">
        <v>9.1</v>
      </c>
      <c r="F6">
        <f t="shared" si="0"/>
        <v>7.99</v>
      </c>
      <c r="G6">
        <f t="shared" si="1"/>
        <v>16.82</v>
      </c>
      <c r="H6">
        <f t="shared" si="2"/>
        <v>0</v>
      </c>
      <c r="I6">
        <f t="shared" si="5"/>
        <v>1.6</v>
      </c>
      <c r="J6">
        <f t="shared" si="3"/>
        <v>3.32</v>
      </c>
      <c r="K6">
        <f t="shared" si="4"/>
        <v>10.85</v>
      </c>
    </row>
    <row r="7" spans="1:11">
      <c r="A7" t="s">
        <v>5</v>
      </c>
      <c r="B7" t="s">
        <v>6</v>
      </c>
      <c r="C7" t="s">
        <v>40</v>
      </c>
      <c r="D7" t="s">
        <v>12</v>
      </c>
      <c r="E7">
        <v>3</v>
      </c>
      <c r="F7">
        <f t="shared" si="0"/>
        <v>7.99</v>
      </c>
      <c r="G7">
        <f t="shared" si="1"/>
        <v>16.82</v>
      </c>
      <c r="H7">
        <f t="shared" si="2"/>
        <v>0</v>
      </c>
      <c r="I7">
        <f t="shared" si="5"/>
        <v>6.1</v>
      </c>
      <c r="J7">
        <f t="shared" si="3"/>
        <v>3.32</v>
      </c>
      <c r="K7">
        <f t="shared" si="4"/>
        <v>10.85</v>
      </c>
    </row>
    <row r="8" spans="1:11">
      <c r="A8" t="s">
        <v>5</v>
      </c>
      <c r="B8" t="s">
        <v>6</v>
      </c>
      <c r="C8" t="s">
        <v>40</v>
      </c>
      <c r="D8" t="s">
        <v>13</v>
      </c>
      <c r="E8">
        <v>5.4</v>
      </c>
      <c r="F8">
        <f t="shared" si="0"/>
        <v>7.99</v>
      </c>
      <c r="G8">
        <f t="shared" si="1"/>
        <v>16.82</v>
      </c>
      <c r="H8">
        <f t="shared" si="2"/>
        <v>0</v>
      </c>
      <c r="I8">
        <f t="shared" si="5"/>
        <v>2.4</v>
      </c>
      <c r="J8">
        <f t="shared" si="3"/>
        <v>3.32</v>
      </c>
      <c r="K8">
        <f t="shared" si="4"/>
        <v>10.85</v>
      </c>
    </row>
    <row r="9" spans="1:11">
      <c r="A9" t="s">
        <v>5</v>
      </c>
      <c r="B9" t="s">
        <v>6</v>
      </c>
      <c r="C9" t="s">
        <v>40</v>
      </c>
      <c r="D9" t="s">
        <v>14</v>
      </c>
      <c r="E9">
        <v>9.1999999999999993</v>
      </c>
      <c r="F9">
        <f t="shared" si="0"/>
        <v>7.99</v>
      </c>
      <c r="G9">
        <f t="shared" si="1"/>
        <v>16.82</v>
      </c>
      <c r="H9">
        <f t="shared" si="2"/>
        <v>0</v>
      </c>
      <c r="I9">
        <f t="shared" si="5"/>
        <v>3.8</v>
      </c>
      <c r="J9">
        <f t="shared" si="3"/>
        <v>3.32</v>
      </c>
      <c r="K9">
        <f t="shared" si="4"/>
        <v>10.85</v>
      </c>
    </row>
    <row r="10" spans="1:11">
      <c r="A10" t="s">
        <v>5</v>
      </c>
      <c r="B10" t="s">
        <v>6</v>
      </c>
      <c r="C10" t="s">
        <v>40</v>
      </c>
      <c r="D10" t="s">
        <v>15</v>
      </c>
      <c r="E10">
        <v>7.8</v>
      </c>
      <c r="F10">
        <f t="shared" si="0"/>
        <v>7.99</v>
      </c>
      <c r="G10">
        <f t="shared" si="1"/>
        <v>16.82</v>
      </c>
      <c r="H10">
        <f t="shared" si="2"/>
        <v>0</v>
      </c>
      <c r="I10">
        <f t="shared" si="5"/>
        <v>1.4</v>
      </c>
      <c r="J10">
        <f t="shared" si="3"/>
        <v>3.32</v>
      </c>
      <c r="K10">
        <f t="shared" si="4"/>
        <v>10.85</v>
      </c>
    </row>
    <row r="11" spans="1:11">
      <c r="A11" t="s">
        <v>5</v>
      </c>
      <c r="B11" t="s">
        <v>6</v>
      </c>
      <c r="C11" t="s">
        <v>40</v>
      </c>
      <c r="D11" t="s">
        <v>16</v>
      </c>
      <c r="E11">
        <v>15.8</v>
      </c>
      <c r="F11">
        <f t="shared" si="0"/>
        <v>7.99</v>
      </c>
      <c r="G11">
        <f t="shared" si="1"/>
        <v>16.82</v>
      </c>
      <c r="H11">
        <f t="shared" si="2"/>
        <v>0</v>
      </c>
      <c r="I11">
        <f t="shared" si="5"/>
        <v>8</v>
      </c>
      <c r="J11">
        <f t="shared" si="3"/>
        <v>3.32</v>
      </c>
      <c r="K11">
        <f t="shared" si="4"/>
        <v>10.85</v>
      </c>
    </row>
    <row r="12" spans="1:11">
      <c r="A12" t="s">
        <v>5</v>
      </c>
      <c r="B12" t="s">
        <v>6</v>
      </c>
      <c r="C12" t="s">
        <v>40</v>
      </c>
      <c r="D12" t="s">
        <v>17</v>
      </c>
      <c r="E12">
        <v>9</v>
      </c>
      <c r="F12">
        <f t="shared" si="0"/>
        <v>7.99</v>
      </c>
      <c r="G12">
        <f t="shared" si="1"/>
        <v>16.82</v>
      </c>
      <c r="H12">
        <f t="shared" si="2"/>
        <v>0</v>
      </c>
      <c r="I12">
        <f t="shared" si="5"/>
        <v>6.8</v>
      </c>
      <c r="J12">
        <f t="shared" si="3"/>
        <v>3.32</v>
      </c>
      <c r="K12">
        <f t="shared" si="4"/>
        <v>10.85</v>
      </c>
    </row>
    <row r="13" spans="1:11">
      <c r="A13" t="s">
        <v>5</v>
      </c>
      <c r="B13" t="s">
        <v>6</v>
      </c>
      <c r="C13" t="s">
        <v>40</v>
      </c>
      <c r="D13" t="s">
        <v>18</v>
      </c>
      <c r="E13">
        <v>8.1999999999999993</v>
      </c>
      <c r="F13">
        <f t="shared" si="0"/>
        <v>7.99</v>
      </c>
      <c r="G13">
        <f t="shared" si="1"/>
        <v>16.82</v>
      </c>
      <c r="H13">
        <f t="shared" si="2"/>
        <v>0</v>
      </c>
      <c r="I13">
        <f t="shared" si="5"/>
        <v>0.8</v>
      </c>
      <c r="J13">
        <f t="shared" si="3"/>
        <v>3.32</v>
      </c>
      <c r="K13">
        <f t="shared" si="4"/>
        <v>10.85</v>
      </c>
    </row>
    <row r="14" spans="1:11">
      <c r="A14" t="s">
        <v>5</v>
      </c>
      <c r="B14" t="s">
        <v>6</v>
      </c>
      <c r="C14" t="s">
        <v>40</v>
      </c>
      <c r="D14" t="s">
        <v>19</v>
      </c>
      <c r="E14">
        <v>6.9</v>
      </c>
      <c r="F14">
        <f t="shared" si="0"/>
        <v>7.99</v>
      </c>
      <c r="G14">
        <f t="shared" si="1"/>
        <v>16.82</v>
      </c>
      <c r="H14">
        <f t="shared" si="2"/>
        <v>0</v>
      </c>
      <c r="I14">
        <f t="shared" si="5"/>
        <v>1.3</v>
      </c>
      <c r="J14">
        <f t="shared" si="3"/>
        <v>3.32</v>
      </c>
      <c r="K14">
        <f t="shared" si="4"/>
        <v>10.85</v>
      </c>
    </row>
    <row r="15" spans="1:11">
      <c r="A15" t="s">
        <v>5</v>
      </c>
      <c r="B15" t="s">
        <v>6</v>
      </c>
      <c r="C15" t="s">
        <v>40</v>
      </c>
      <c r="D15" t="s">
        <v>20</v>
      </c>
      <c r="E15">
        <v>11.4</v>
      </c>
      <c r="F15">
        <f t="shared" si="0"/>
        <v>7.99</v>
      </c>
      <c r="G15">
        <f t="shared" si="1"/>
        <v>16.82</v>
      </c>
      <c r="H15">
        <f t="shared" si="2"/>
        <v>0</v>
      </c>
      <c r="I15">
        <f t="shared" si="5"/>
        <v>4.5</v>
      </c>
      <c r="J15">
        <f t="shared" si="3"/>
        <v>3.32</v>
      </c>
      <c r="K15">
        <f t="shared" si="4"/>
        <v>10.85</v>
      </c>
    </row>
    <row r="17" spans="1:11">
      <c r="A17" t="s">
        <v>1</v>
      </c>
      <c r="B17" t="s">
        <v>2</v>
      </c>
      <c r="C17" t="s">
        <v>39</v>
      </c>
      <c r="D17" s="10" t="s">
        <v>3</v>
      </c>
      <c r="E17" t="s">
        <v>4</v>
      </c>
      <c r="F17" t="s">
        <v>33</v>
      </c>
      <c r="G17" t="s">
        <v>34</v>
      </c>
      <c r="H17" t="s">
        <v>35</v>
      </c>
      <c r="I17" t="s">
        <v>36</v>
      </c>
      <c r="J17" t="s">
        <v>37</v>
      </c>
      <c r="K17" t="s">
        <v>38</v>
      </c>
    </row>
    <row r="18" spans="1:11">
      <c r="A18" t="s">
        <v>5</v>
      </c>
      <c r="B18" t="s">
        <v>6</v>
      </c>
      <c r="C18" t="s">
        <v>41</v>
      </c>
      <c r="D18" t="s">
        <v>21</v>
      </c>
      <c r="E18">
        <v>5</v>
      </c>
      <c r="F18">
        <f t="shared" ref="F18:F29" si="6">ROUND(AVERAGE($E$18:$E$29),2)</f>
        <v>3.53</v>
      </c>
      <c r="G18">
        <f t="shared" ref="G18:G29" si="7">ROUND(F18+(2.66*J18),2)</f>
        <v>9.33</v>
      </c>
      <c r="H18">
        <f t="shared" ref="H18:H29" si="8">ROUND(MAX(0,F18-(2.66*J18)),2)</f>
        <v>0</v>
      </c>
      <c r="J18">
        <f t="shared" ref="J18:J29" si="9">ROUND(AVERAGE($I$19:$I$29), 2)</f>
        <v>2.1800000000000002</v>
      </c>
      <c r="K18">
        <f t="shared" ref="K18:K29" si="10">ROUND(3.268*J18,2)</f>
        <v>7.12</v>
      </c>
    </row>
    <row r="19" spans="1:11">
      <c r="A19" t="s">
        <v>5</v>
      </c>
      <c r="B19" t="s">
        <v>6</v>
      </c>
      <c r="C19" t="s">
        <v>41</v>
      </c>
      <c r="D19" t="s">
        <v>22</v>
      </c>
      <c r="E19">
        <v>1.3</v>
      </c>
      <c r="F19">
        <f t="shared" si="6"/>
        <v>3.53</v>
      </c>
      <c r="G19">
        <f t="shared" si="7"/>
        <v>9.33</v>
      </c>
      <c r="H19">
        <f t="shared" si="8"/>
        <v>0</v>
      </c>
      <c r="I19">
        <f t="shared" ref="I19:I29" si="11">ROUND(ABS(E18-E19),2)</f>
        <v>3.7</v>
      </c>
      <c r="J19">
        <f t="shared" si="9"/>
        <v>2.1800000000000002</v>
      </c>
      <c r="K19">
        <f t="shared" si="10"/>
        <v>7.12</v>
      </c>
    </row>
    <row r="20" spans="1:11">
      <c r="A20" t="s">
        <v>5</v>
      </c>
      <c r="B20" t="s">
        <v>6</v>
      </c>
      <c r="C20" t="s">
        <v>41</v>
      </c>
      <c r="D20" t="s">
        <v>23</v>
      </c>
      <c r="E20">
        <v>2.7</v>
      </c>
      <c r="F20">
        <f t="shared" si="6"/>
        <v>3.53</v>
      </c>
      <c r="G20">
        <f t="shared" si="7"/>
        <v>9.33</v>
      </c>
      <c r="H20">
        <f t="shared" si="8"/>
        <v>0</v>
      </c>
      <c r="I20">
        <f t="shared" si="11"/>
        <v>1.4</v>
      </c>
      <c r="J20">
        <f t="shared" si="9"/>
        <v>2.1800000000000002</v>
      </c>
      <c r="K20">
        <f t="shared" si="10"/>
        <v>7.12</v>
      </c>
    </row>
    <row r="21" spans="1:11">
      <c r="A21" t="s">
        <v>5</v>
      </c>
      <c r="B21" t="s">
        <v>6</v>
      </c>
      <c r="C21" t="s">
        <v>41</v>
      </c>
      <c r="D21" t="s">
        <v>24</v>
      </c>
      <c r="E21">
        <v>2</v>
      </c>
      <c r="F21">
        <f t="shared" si="6"/>
        <v>3.53</v>
      </c>
      <c r="G21">
        <f t="shared" si="7"/>
        <v>9.33</v>
      </c>
      <c r="H21">
        <f t="shared" si="8"/>
        <v>0</v>
      </c>
      <c r="I21">
        <f t="shared" si="11"/>
        <v>0.7</v>
      </c>
      <c r="J21">
        <f t="shared" si="9"/>
        <v>2.1800000000000002</v>
      </c>
      <c r="K21">
        <f t="shared" si="10"/>
        <v>7.12</v>
      </c>
    </row>
    <row r="22" spans="1:11">
      <c r="A22" t="s">
        <v>5</v>
      </c>
      <c r="B22" t="s">
        <v>6</v>
      </c>
      <c r="C22" t="s">
        <v>41</v>
      </c>
      <c r="D22" t="s">
        <v>25</v>
      </c>
      <c r="E22">
        <v>1.8</v>
      </c>
      <c r="F22">
        <f t="shared" si="6"/>
        <v>3.53</v>
      </c>
      <c r="G22">
        <f t="shared" si="7"/>
        <v>9.33</v>
      </c>
      <c r="H22">
        <f t="shared" si="8"/>
        <v>0</v>
      </c>
      <c r="I22">
        <f t="shared" si="11"/>
        <v>0.2</v>
      </c>
      <c r="J22">
        <f t="shared" si="9"/>
        <v>2.1800000000000002</v>
      </c>
      <c r="K22">
        <f t="shared" si="10"/>
        <v>7.12</v>
      </c>
    </row>
    <row r="23" spans="1:11">
      <c r="A23" t="s">
        <v>5</v>
      </c>
      <c r="B23" t="s">
        <v>6</v>
      </c>
      <c r="C23" t="s">
        <v>41</v>
      </c>
      <c r="D23" t="s">
        <v>26</v>
      </c>
      <c r="E23">
        <v>4</v>
      </c>
      <c r="F23">
        <f t="shared" si="6"/>
        <v>3.53</v>
      </c>
      <c r="G23">
        <f t="shared" si="7"/>
        <v>9.33</v>
      </c>
      <c r="H23">
        <f t="shared" si="8"/>
        <v>0</v>
      </c>
      <c r="I23">
        <f t="shared" si="11"/>
        <v>2.2000000000000002</v>
      </c>
      <c r="J23">
        <f t="shared" si="9"/>
        <v>2.1800000000000002</v>
      </c>
      <c r="K23">
        <f t="shared" si="10"/>
        <v>7.12</v>
      </c>
    </row>
    <row r="24" spans="1:11">
      <c r="A24" t="s">
        <v>5</v>
      </c>
      <c r="B24" t="s">
        <v>6</v>
      </c>
      <c r="C24" t="s">
        <v>41</v>
      </c>
      <c r="D24" t="s">
        <v>27</v>
      </c>
      <c r="E24">
        <v>2.2000000000000002</v>
      </c>
      <c r="F24">
        <f t="shared" si="6"/>
        <v>3.53</v>
      </c>
      <c r="G24">
        <f t="shared" si="7"/>
        <v>9.33</v>
      </c>
      <c r="H24">
        <f t="shared" si="8"/>
        <v>0</v>
      </c>
      <c r="I24">
        <f t="shared" si="11"/>
        <v>1.8</v>
      </c>
      <c r="J24">
        <f t="shared" si="9"/>
        <v>2.1800000000000002</v>
      </c>
      <c r="K24">
        <f t="shared" si="10"/>
        <v>7.12</v>
      </c>
    </row>
    <row r="25" spans="1:11">
      <c r="A25" t="s">
        <v>5</v>
      </c>
      <c r="B25" t="s">
        <v>6</v>
      </c>
      <c r="C25" t="s">
        <v>41</v>
      </c>
      <c r="D25" t="s">
        <v>28</v>
      </c>
      <c r="E25">
        <v>9.1</v>
      </c>
      <c r="F25">
        <f t="shared" si="6"/>
        <v>3.53</v>
      </c>
      <c r="G25">
        <f t="shared" si="7"/>
        <v>9.33</v>
      </c>
      <c r="H25">
        <f t="shared" si="8"/>
        <v>0</v>
      </c>
      <c r="I25">
        <f t="shared" si="11"/>
        <v>6.9</v>
      </c>
      <c r="J25">
        <f t="shared" si="9"/>
        <v>2.1800000000000002</v>
      </c>
      <c r="K25">
        <f t="shared" si="10"/>
        <v>7.12</v>
      </c>
    </row>
    <row r="26" spans="1:11">
      <c r="A26" t="s">
        <v>5</v>
      </c>
      <c r="B26" t="s">
        <v>6</v>
      </c>
      <c r="C26" t="s">
        <v>41</v>
      </c>
      <c r="D26" t="s">
        <v>29</v>
      </c>
      <c r="E26">
        <v>5.4</v>
      </c>
      <c r="F26">
        <f t="shared" si="6"/>
        <v>3.53</v>
      </c>
      <c r="G26">
        <f t="shared" si="7"/>
        <v>9.33</v>
      </c>
      <c r="H26">
        <f t="shared" si="8"/>
        <v>0</v>
      </c>
      <c r="I26">
        <f t="shared" si="11"/>
        <v>3.7</v>
      </c>
      <c r="J26">
        <f t="shared" si="9"/>
        <v>2.1800000000000002</v>
      </c>
      <c r="K26">
        <f t="shared" si="10"/>
        <v>7.12</v>
      </c>
    </row>
    <row r="27" spans="1:11">
      <c r="A27" t="s">
        <v>5</v>
      </c>
      <c r="B27" t="s">
        <v>6</v>
      </c>
      <c r="C27" t="s">
        <v>41</v>
      </c>
      <c r="D27" t="s">
        <v>30</v>
      </c>
      <c r="E27">
        <v>4</v>
      </c>
      <c r="F27">
        <f t="shared" si="6"/>
        <v>3.53</v>
      </c>
      <c r="G27">
        <f t="shared" si="7"/>
        <v>9.33</v>
      </c>
      <c r="H27">
        <f t="shared" si="8"/>
        <v>0</v>
      </c>
      <c r="I27">
        <f t="shared" si="11"/>
        <v>1.4</v>
      </c>
      <c r="J27">
        <f t="shared" si="9"/>
        <v>2.1800000000000002</v>
      </c>
      <c r="K27">
        <f t="shared" si="10"/>
        <v>7.12</v>
      </c>
    </row>
    <row r="28" spans="1:11">
      <c r="A28" t="s">
        <v>5</v>
      </c>
      <c r="B28" t="s">
        <v>6</v>
      </c>
      <c r="C28" t="s">
        <v>41</v>
      </c>
      <c r="D28" t="s">
        <v>31</v>
      </c>
      <c r="E28">
        <v>2.9</v>
      </c>
      <c r="F28">
        <f t="shared" si="6"/>
        <v>3.53</v>
      </c>
      <c r="G28">
        <f t="shared" si="7"/>
        <v>9.33</v>
      </c>
      <c r="H28">
        <f t="shared" si="8"/>
        <v>0</v>
      </c>
      <c r="I28">
        <f t="shared" si="11"/>
        <v>1.1000000000000001</v>
      </c>
      <c r="J28">
        <f t="shared" si="9"/>
        <v>2.1800000000000002</v>
      </c>
      <c r="K28">
        <f t="shared" si="10"/>
        <v>7.12</v>
      </c>
    </row>
    <row r="29" spans="1:11">
      <c r="A29" t="s">
        <v>5</v>
      </c>
      <c r="B29" t="s">
        <v>6</v>
      </c>
      <c r="C29" t="s">
        <v>41</v>
      </c>
      <c r="D29" t="s">
        <v>32</v>
      </c>
      <c r="E29">
        <v>2</v>
      </c>
      <c r="F29">
        <f t="shared" si="6"/>
        <v>3.53</v>
      </c>
      <c r="G29">
        <f t="shared" si="7"/>
        <v>9.33</v>
      </c>
      <c r="H29">
        <f t="shared" si="8"/>
        <v>0</v>
      </c>
      <c r="I29">
        <f t="shared" si="11"/>
        <v>0.9</v>
      </c>
      <c r="J29">
        <f t="shared" si="9"/>
        <v>2.1800000000000002</v>
      </c>
      <c r="K29">
        <f t="shared" si="10"/>
        <v>7.12</v>
      </c>
    </row>
  </sheetData>
  <pageMargins left="0.7" right="0.7" top="0.75" bottom="0.75" header="0.3" footer="0.3"/>
  <drawing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L53"/>
  <sheetViews>
    <sheetView showGridLines="0" workbookViewId="0">
      <selection sqref="A1:I53"/>
    </sheetView>
  </sheetViews>
  <sheetFormatPr defaultColWidth="12.6640625" defaultRowHeight="15.75" customHeight="1"/>
  <cols>
    <col min="1" max="1" width="20.77734375" bestFit="1" customWidth="1"/>
    <col min="2" max="2" width="9.109375" bestFit="1" customWidth="1"/>
    <col min="3" max="3" width="15.77734375" bestFit="1" customWidth="1"/>
    <col min="4" max="4" width="17.77734375" bestFit="1" customWidth="1"/>
    <col min="5" max="5" width="6.77734375" bestFit="1" customWidth="1"/>
    <col min="6" max="6" width="7.88671875" bestFit="1" customWidth="1"/>
    <col min="7" max="7" width="8.77734375" bestFit="1" customWidth="1"/>
    <col min="8" max="8" width="5" bestFit="1" customWidth="1"/>
    <col min="9" max="9" width="35.6640625" bestFit="1" customWidth="1"/>
    <col min="10" max="10" width="6.5546875" bestFit="1" customWidth="1"/>
    <col min="11" max="11" width="4.88671875" bestFit="1" customWidth="1"/>
    <col min="12" max="12" width="29" customWidth="1"/>
  </cols>
  <sheetData>
    <row r="1" spans="1:12" ht="13.2">
      <c r="A1" s="3" t="s">
        <v>1</v>
      </c>
      <c r="B1" s="3" t="s">
        <v>2</v>
      </c>
      <c r="C1" s="3" t="s">
        <v>42</v>
      </c>
      <c r="D1" s="4" t="s">
        <v>39</v>
      </c>
      <c r="E1" s="4" t="s">
        <v>3</v>
      </c>
      <c r="F1" s="4" t="s">
        <v>43</v>
      </c>
      <c r="G1" s="5" t="s">
        <v>44</v>
      </c>
      <c r="H1" s="6" t="s">
        <v>4</v>
      </c>
      <c r="I1" s="6" t="s">
        <v>57</v>
      </c>
      <c r="J1" s="6"/>
      <c r="K1" s="6"/>
      <c r="L1" s="4"/>
    </row>
    <row r="2" spans="1:12" ht="13.2">
      <c r="A2" s="3" t="s">
        <v>5</v>
      </c>
      <c r="B2" s="3" t="s">
        <v>6</v>
      </c>
      <c r="C2" s="3" t="s">
        <v>45</v>
      </c>
      <c r="D2" s="4" t="s">
        <v>40</v>
      </c>
      <c r="E2">
        <v>1833</v>
      </c>
      <c r="F2">
        <v>3737</v>
      </c>
      <c r="G2">
        <v>197</v>
      </c>
      <c r="H2">
        <v>5.3</v>
      </c>
      <c r="I2" s="6" t="s">
        <v>58</v>
      </c>
      <c r="J2" s="6"/>
      <c r="K2" s="6"/>
      <c r="L2" s="4"/>
    </row>
    <row r="3" spans="1:12" ht="13.2">
      <c r="A3" s="3" t="s">
        <v>5</v>
      </c>
      <c r="B3" s="3" t="s">
        <v>6</v>
      </c>
      <c r="C3" s="3" t="s">
        <v>45</v>
      </c>
      <c r="D3" s="4" t="s">
        <v>40</v>
      </c>
      <c r="E3">
        <v>1834</v>
      </c>
      <c r="F3">
        <v>2657</v>
      </c>
      <c r="G3">
        <v>205</v>
      </c>
      <c r="H3">
        <v>7.7</v>
      </c>
      <c r="I3" s="6" t="s">
        <v>59</v>
      </c>
      <c r="J3" s="6"/>
      <c r="K3" s="6"/>
      <c r="L3" s="1"/>
    </row>
    <row r="4" spans="1:12" ht="13.2">
      <c r="A4" s="3" t="s">
        <v>5</v>
      </c>
      <c r="B4" s="3" t="s">
        <v>6</v>
      </c>
      <c r="C4" s="3" t="s">
        <v>45</v>
      </c>
      <c r="D4" s="4" t="s">
        <v>40</v>
      </c>
      <c r="E4">
        <v>1835</v>
      </c>
      <c r="F4">
        <v>2573</v>
      </c>
      <c r="G4">
        <v>143</v>
      </c>
      <c r="H4">
        <v>5.6</v>
      </c>
      <c r="I4" s="6" t="s">
        <v>59</v>
      </c>
      <c r="J4" s="6"/>
      <c r="K4" s="6"/>
      <c r="L4" s="1"/>
    </row>
    <row r="5" spans="1:12" ht="13.2">
      <c r="A5" s="3" t="s">
        <v>5</v>
      </c>
      <c r="B5" s="3" t="s">
        <v>6</v>
      </c>
      <c r="C5" s="3" t="s">
        <v>45</v>
      </c>
      <c r="D5" s="4" t="s">
        <v>40</v>
      </c>
      <c r="E5">
        <v>1836</v>
      </c>
      <c r="F5">
        <v>2677</v>
      </c>
      <c r="G5">
        <v>200</v>
      </c>
      <c r="H5">
        <v>7.5</v>
      </c>
      <c r="I5" s="6" t="s">
        <v>59</v>
      </c>
      <c r="J5" s="6"/>
      <c r="K5" s="6"/>
      <c r="L5" s="1"/>
    </row>
    <row r="6" spans="1:12" ht="13.2">
      <c r="A6" s="3" t="s">
        <v>5</v>
      </c>
      <c r="B6" s="3" t="s">
        <v>6</v>
      </c>
      <c r="C6" s="3" t="s">
        <v>45</v>
      </c>
      <c r="D6" s="4" t="s">
        <v>40</v>
      </c>
      <c r="E6">
        <v>1837</v>
      </c>
      <c r="F6">
        <v>2765</v>
      </c>
      <c r="G6">
        <v>251</v>
      </c>
      <c r="H6">
        <v>9.1</v>
      </c>
      <c r="I6" s="6" t="s">
        <v>59</v>
      </c>
      <c r="J6" s="6"/>
      <c r="K6" s="6"/>
      <c r="L6" s="1"/>
    </row>
    <row r="7" spans="1:12" ht="13.2">
      <c r="A7" s="3" t="s">
        <v>5</v>
      </c>
      <c r="B7" s="3" t="s">
        <v>6</v>
      </c>
      <c r="C7" s="3" t="s">
        <v>45</v>
      </c>
      <c r="D7" s="4" t="s">
        <v>40</v>
      </c>
      <c r="E7">
        <v>1838</v>
      </c>
      <c r="F7">
        <v>2987</v>
      </c>
      <c r="G7">
        <v>91</v>
      </c>
      <c r="H7">
        <v>3</v>
      </c>
      <c r="I7" s="6" t="s">
        <v>59</v>
      </c>
      <c r="J7" s="6"/>
      <c r="K7" s="6"/>
      <c r="L7" s="1"/>
    </row>
    <row r="8" spans="1:12" ht="13.2">
      <c r="A8" s="3" t="s">
        <v>5</v>
      </c>
      <c r="B8" s="3" t="s">
        <v>6</v>
      </c>
      <c r="C8" s="3" t="s">
        <v>45</v>
      </c>
      <c r="D8" s="4" t="s">
        <v>40</v>
      </c>
      <c r="E8">
        <v>1839</v>
      </c>
      <c r="F8">
        <v>2781</v>
      </c>
      <c r="G8">
        <v>151</v>
      </c>
      <c r="H8">
        <v>5.4</v>
      </c>
      <c r="I8" s="6" t="s">
        <v>59</v>
      </c>
      <c r="J8" s="6"/>
      <c r="K8" s="6"/>
      <c r="L8" s="1"/>
    </row>
    <row r="9" spans="1:12" ht="13.2">
      <c r="A9" s="3" t="s">
        <v>5</v>
      </c>
      <c r="B9" s="3" t="s">
        <v>6</v>
      </c>
      <c r="C9" s="3" t="s">
        <v>45</v>
      </c>
      <c r="D9" s="4" t="s">
        <v>40</v>
      </c>
      <c r="E9">
        <v>1840</v>
      </c>
      <c r="F9">
        <v>2889</v>
      </c>
      <c r="G9">
        <v>267</v>
      </c>
      <c r="H9">
        <v>9.1999999999999993</v>
      </c>
      <c r="I9" s="6" t="s">
        <v>59</v>
      </c>
      <c r="J9" s="6"/>
      <c r="K9" s="6"/>
      <c r="L9" s="1"/>
    </row>
    <row r="10" spans="1:12" ht="13.2">
      <c r="A10" s="3" t="s">
        <v>5</v>
      </c>
      <c r="B10" s="3" t="s">
        <v>6</v>
      </c>
      <c r="C10" s="3" t="s">
        <v>45</v>
      </c>
      <c r="D10" s="4" t="s">
        <v>40</v>
      </c>
      <c r="E10">
        <v>1841</v>
      </c>
      <c r="F10">
        <v>3036</v>
      </c>
      <c r="G10">
        <v>237</v>
      </c>
      <c r="H10">
        <v>7.8</v>
      </c>
      <c r="I10" s="6" t="s">
        <v>60</v>
      </c>
      <c r="J10" s="6"/>
      <c r="K10" s="6"/>
      <c r="L10" s="4"/>
    </row>
    <row r="11" spans="1:12" ht="13.2">
      <c r="A11" s="3" t="s">
        <v>5</v>
      </c>
      <c r="B11" s="3" t="s">
        <v>6</v>
      </c>
      <c r="C11" s="3" t="s">
        <v>45</v>
      </c>
      <c r="D11" s="4" t="s">
        <v>40</v>
      </c>
      <c r="E11">
        <v>1842</v>
      </c>
      <c r="F11">
        <v>3287</v>
      </c>
      <c r="G11">
        <v>518</v>
      </c>
      <c r="H11">
        <v>15.8</v>
      </c>
      <c r="I11" s="6" t="s">
        <v>59</v>
      </c>
      <c r="J11" s="6"/>
      <c r="K11" s="6"/>
      <c r="L11" s="1"/>
    </row>
    <row r="12" spans="1:12" ht="13.2">
      <c r="A12" s="3" t="s">
        <v>5</v>
      </c>
      <c r="B12" s="3" t="s">
        <v>6</v>
      </c>
      <c r="C12" s="3" t="s">
        <v>45</v>
      </c>
      <c r="D12" s="4" t="s">
        <v>40</v>
      </c>
      <c r="E12">
        <v>1843</v>
      </c>
      <c r="F12">
        <v>3060</v>
      </c>
      <c r="G12">
        <v>274</v>
      </c>
      <c r="H12">
        <v>9</v>
      </c>
      <c r="I12" s="6" t="s">
        <v>59</v>
      </c>
      <c r="J12" s="6"/>
      <c r="K12" s="6"/>
      <c r="L12" s="1"/>
    </row>
    <row r="13" spans="1:12" ht="13.2">
      <c r="A13" s="3" t="s">
        <v>5</v>
      </c>
      <c r="B13" s="3" t="s">
        <v>6</v>
      </c>
      <c r="C13" s="3" t="s">
        <v>45</v>
      </c>
      <c r="D13" s="4" t="s">
        <v>40</v>
      </c>
      <c r="E13">
        <v>1844</v>
      </c>
      <c r="F13">
        <v>3157</v>
      </c>
      <c r="G13">
        <v>260</v>
      </c>
      <c r="H13">
        <v>8.1999999999999993</v>
      </c>
      <c r="I13" s="6" t="s">
        <v>59</v>
      </c>
      <c r="J13" s="6"/>
      <c r="K13" s="6"/>
      <c r="L13" s="1"/>
    </row>
    <row r="14" spans="1:12" ht="13.2">
      <c r="A14" s="3" t="s">
        <v>5</v>
      </c>
      <c r="B14" s="3" t="s">
        <v>6</v>
      </c>
      <c r="C14" s="3" t="s">
        <v>45</v>
      </c>
      <c r="D14" s="4" t="s">
        <v>40</v>
      </c>
      <c r="E14">
        <v>1845</v>
      </c>
      <c r="F14">
        <v>3492</v>
      </c>
      <c r="G14">
        <v>241</v>
      </c>
      <c r="H14">
        <v>6.9</v>
      </c>
      <c r="I14" s="6" t="s">
        <v>59</v>
      </c>
      <c r="J14" s="6"/>
      <c r="K14" s="6"/>
      <c r="L14" s="1"/>
    </row>
    <row r="15" spans="1:12" ht="13.2">
      <c r="A15" s="3" t="s">
        <v>5</v>
      </c>
      <c r="B15" s="3" t="s">
        <v>6</v>
      </c>
      <c r="C15" s="3" t="s">
        <v>45</v>
      </c>
      <c r="D15" s="4" t="s">
        <v>40</v>
      </c>
      <c r="E15">
        <v>1846</v>
      </c>
      <c r="F15">
        <v>4010</v>
      </c>
      <c r="G15">
        <v>459</v>
      </c>
      <c r="H15">
        <v>11.4</v>
      </c>
      <c r="I15" s="6" t="s">
        <v>59</v>
      </c>
      <c r="J15" s="6"/>
      <c r="K15" s="6"/>
      <c r="L15" s="1"/>
    </row>
    <row r="16" spans="1:12" ht="13.2">
      <c r="A16" s="3" t="s">
        <v>5</v>
      </c>
      <c r="B16" s="3" t="s">
        <v>6</v>
      </c>
      <c r="C16" s="3" t="s">
        <v>45</v>
      </c>
      <c r="D16" s="4" t="s">
        <v>41</v>
      </c>
      <c r="E16">
        <v>1847</v>
      </c>
      <c r="F16">
        <v>3490</v>
      </c>
      <c r="G16">
        <v>176</v>
      </c>
      <c r="H16">
        <v>5</v>
      </c>
      <c r="I16" s="6" t="s">
        <v>61</v>
      </c>
      <c r="J16" s="6"/>
      <c r="K16" s="6"/>
      <c r="L16" s="4"/>
    </row>
    <row r="17" spans="1:12" ht="13.2">
      <c r="A17" s="3" t="s">
        <v>5</v>
      </c>
      <c r="B17" s="3" t="s">
        <v>6</v>
      </c>
      <c r="C17" s="3" t="s">
        <v>45</v>
      </c>
      <c r="D17" s="4" t="s">
        <v>41</v>
      </c>
      <c r="E17">
        <v>1848</v>
      </c>
      <c r="F17">
        <v>3556</v>
      </c>
      <c r="G17">
        <v>45</v>
      </c>
      <c r="H17">
        <v>1.3</v>
      </c>
      <c r="I17" s="6" t="s">
        <v>59</v>
      </c>
      <c r="J17" s="6"/>
      <c r="K17" s="6"/>
      <c r="L17" s="1"/>
    </row>
    <row r="18" spans="1:12" ht="13.2">
      <c r="A18" s="3" t="s">
        <v>5</v>
      </c>
      <c r="B18" s="3" t="s">
        <v>6</v>
      </c>
      <c r="C18" s="3" t="s">
        <v>45</v>
      </c>
      <c r="D18" s="4" t="s">
        <v>41</v>
      </c>
      <c r="E18">
        <v>1849</v>
      </c>
      <c r="F18">
        <v>3858</v>
      </c>
      <c r="G18">
        <v>103</v>
      </c>
      <c r="H18">
        <v>2.7</v>
      </c>
      <c r="I18" s="6" t="s">
        <v>62</v>
      </c>
      <c r="J18" s="6"/>
      <c r="K18" s="6"/>
      <c r="L18" s="4"/>
    </row>
    <row r="19" spans="1:12" ht="13.2">
      <c r="A19" s="3" t="s">
        <v>5</v>
      </c>
      <c r="B19" s="3" t="s">
        <v>6</v>
      </c>
      <c r="C19" s="3" t="s">
        <v>45</v>
      </c>
      <c r="D19" s="4" t="s">
        <v>41</v>
      </c>
      <c r="E19">
        <v>1850</v>
      </c>
      <c r="F19">
        <v>3745</v>
      </c>
      <c r="G19">
        <v>74</v>
      </c>
      <c r="H19">
        <v>2</v>
      </c>
      <c r="I19" s="6" t="s">
        <v>59</v>
      </c>
      <c r="J19" s="6"/>
      <c r="K19" s="6"/>
      <c r="L19" s="1"/>
    </row>
    <row r="20" spans="1:12" ht="13.2">
      <c r="A20" s="3" t="s">
        <v>5</v>
      </c>
      <c r="B20" s="3" t="s">
        <v>6</v>
      </c>
      <c r="C20" s="3" t="s">
        <v>45</v>
      </c>
      <c r="D20" s="4" t="s">
        <v>41</v>
      </c>
      <c r="E20">
        <v>1851</v>
      </c>
      <c r="F20">
        <v>4194</v>
      </c>
      <c r="G20">
        <v>75</v>
      </c>
      <c r="H20">
        <v>1.8</v>
      </c>
      <c r="I20" s="6" t="s">
        <v>59</v>
      </c>
      <c r="J20" s="6"/>
      <c r="K20" s="6"/>
      <c r="L20" s="1"/>
    </row>
    <row r="21" spans="1:12" ht="13.2">
      <c r="A21" s="3" t="s">
        <v>5</v>
      </c>
      <c r="B21" s="3" t="s">
        <v>6</v>
      </c>
      <c r="C21" s="3" t="s">
        <v>45</v>
      </c>
      <c r="D21" s="4" t="s">
        <v>41</v>
      </c>
      <c r="E21">
        <v>1852</v>
      </c>
      <c r="F21">
        <v>4471</v>
      </c>
      <c r="G21">
        <v>181</v>
      </c>
      <c r="H21">
        <v>4</v>
      </c>
      <c r="I21" s="6" t="s">
        <v>59</v>
      </c>
      <c r="J21" s="6"/>
      <c r="K21" s="6"/>
      <c r="L21" s="1"/>
    </row>
    <row r="22" spans="1:12" ht="13.2">
      <c r="A22" s="3" t="s">
        <v>5</v>
      </c>
      <c r="B22" s="3" t="s">
        <v>6</v>
      </c>
      <c r="C22" s="3" t="s">
        <v>45</v>
      </c>
      <c r="D22" s="4" t="s">
        <v>41</v>
      </c>
      <c r="E22">
        <v>1853</v>
      </c>
      <c r="F22">
        <v>4221</v>
      </c>
      <c r="G22">
        <v>94</v>
      </c>
      <c r="H22">
        <v>2.2000000000000002</v>
      </c>
      <c r="I22" s="6" t="s">
        <v>59</v>
      </c>
      <c r="J22" s="6"/>
      <c r="K22" s="6"/>
      <c r="L22" s="1"/>
    </row>
    <row r="23" spans="1:12" ht="13.2">
      <c r="A23" s="3" t="s">
        <v>5</v>
      </c>
      <c r="B23" s="3" t="s">
        <v>6</v>
      </c>
      <c r="C23" s="3" t="s">
        <v>45</v>
      </c>
      <c r="D23" s="4" t="s">
        <v>41</v>
      </c>
      <c r="E23">
        <v>1854</v>
      </c>
      <c r="F23">
        <v>4393</v>
      </c>
      <c r="G23">
        <v>400</v>
      </c>
      <c r="H23">
        <v>9.1</v>
      </c>
      <c r="I23" s="6" t="s">
        <v>59</v>
      </c>
      <c r="J23" s="6"/>
      <c r="K23" s="6"/>
      <c r="L23" s="1"/>
    </row>
    <row r="24" spans="1:12" ht="13.2">
      <c r="A24" s="3" t="s">
        <v>5</v>
      </c>
      <c r="B24" s="3" t="s">
        <v>6</v>
      </c>
      <c r="C24" s="3" t="s">
        <v>45</v>
      </c>
      <c r="D24" s="4" t="s">
        <v>41</v>
      </c>
      <c r="E24">
        <v>1855</v>
      </c>
      <c r="F24">
        <v>3659</v>
      </c>
      <c r="G24">
        <v>198</v>
      </c>
      <c r="H24">
        <v>5.4</v>
      </c>
      <c r="I24" s="6" t="s">
        <v>59</v>
      </c>
      <c r="J24" s="6"/>
      <c r="K24" s="6"/>
      <c r="L24" s="1"/>
    </row>
    <row r="25" spans="1:12" ht="13.2">
      <c r="A25" s="3" t="s">
        <v>5</v>
      </c>
      <c r="B25" s="3" t="s">
        <v>6</v>
      </c>
      <c r="C25" s="3" t="s">
        <v>45</v>
      </c>
      <c r="D25" s="4" t="s">
        <v>41</v>
      </c>
      <c r="E25">
        <v>1856</v>
      </c>
      <c r="F25">
        <v>3925</v>
      </c>
      <c r="G25">
        <v>156</v>
      </c>
      <c r="H25">
        <v>4</v>
      </c>
      <c r="I25" s="6" t="s">
        <v>59</v>
      </c>
      <c r="J25" s="6"/>
      <c r="K25" s="6"/>
      <c r="L25" s="1"/>
    </row>
    <row r="26" spans="1:12" ht="13.2">
      <c r="A26" s="3" t="s">
        <v>5</v>
      </c>
      <c r="B26" s="3" t="s">
        <v>6</v>
      </c>
      <c r="C26" s="3" t="s">
        <v>45</v>
      </c>
      <c r="D26" s="4" t="s">
        <v>41</v>
      </c>
      <c r="E26">
        <v>1857</v>
      </c>
      <c r="F26">
        <v>4220</v>
      </c>
      <c r="G26">
        <v>124</v>
      </c>
      <c r="H26">
        <v>2.9</v>
      </c>
      <c r="I26" s="6" t="s">
        <v>59</v>
      </c>
      <c r="J26" s="6"/>
      <c r="K26" s="6"/>
      <c r="L26" s="1"/>
    </row>
    <row r="27" spans="1:12" ht="13.2">
      <c r="A27" s="3" t="s">
        <v>5</v>
      </c>
      <c r="B27" s="3" t="s">
        <v>6</v>
      </c>
      <c r="C27" s="3" t="s">
        <v>45</v>
      </c>
      <c r="D27" s="4" t="s">
        <v>41</v>
      </c>
      <c r="E27">
        <v>1858</v>
      </c>
      <c r="F27">
        <v>4203</v>
      </c>
      <c r="G27">
        <v>86</v>
      </c>
      <c r="H27">
        <v>2</v>
      </c>
      <c r="I27" s="6" t="s">
        <v>59</v>
      </c>
      <c r="J27" s="6"/>
      <c r="K27" s="6"/>
      <c r="L27" s="1"/>
    </row>
    <row r="28" spans="1:12" ht="13.2">
      <c r="A28" t="s">
        <v>5</v>
      </c>
      <c r="B28" t="s">
        <v>63</v>
      </c>
      <c r="C28" t="s">
        <v>64</v>
      </c>
      <c r="D28" t="s">
        <v>40</v>
      </c>
      <c r="E28">
        <v>1833</v>
      </c>
      <c r="F28">
        <v>353</v>
      </c>
      <c r="G28">
        <v>8</v>
      </c>
      <c r="H28">
        <v>2.2999999999999998</v>
      </c>
      <c r="I28" t="s">
        <v>58</v>
      </c>
    </row>
    <row r="29" spans="1:12" ht="13.2">
      <c r="A29" t="s">
        <v>5</v>
      </c>
      <c r="B29" t="s">
        <v>63</v>
      </c>
      <c r="C29" t="s">
        <v>64</v>
      </c>
      <c r="D29" t="s">
        <v>40</v>
      </c>
      <c r="E29">
        <v>1834</v>
      </c>
      <c r="F29">
        <v>1744</v>
      </c>
      <c r="G29">
        <v>150</v>
      </c>
      <c r="H29">
        <v>8.6</v>
      </c>
      <c r="I29" t="s">
        <v>59</v>
      </c>
    </row>
    <row r="30" spans="1:12" ht="13.2">
      <c r="A30" t="s">
        <v>5</v>
      </c>
      <c r="B30" t="s">
        <v>63</v>
      </c>
      <c r="C30" t="s">
        <v>64</v>
      </c>
      <c r="D30" t="s">
        <v>40</v>
      </c>
      <c r="E30">
        <v>1835</v>
      </c>
      <c r="F30">
        <v>1682</v>
      </c>
      <c r="G30">
        <v>84</v>
      </c>
      <c r="H30">
        <v>5</v>
      </c>
      <c r="I30" t="s">
        <v>59</v>
      </c>
    </row>
    <row r="31" spans="1:12" ht="13.2">
      <c r="A31" t="s">
        <v>5</v>
      </c>
      <c r="B31" t="s">
        <v>63</v>
      </c>
      <c r="C31" t="s">
        <v>64</v>
      </c>
      <c r="D31" t="s">
        <v>40</v>
      </c>
      <c r="E31">
        <v>1836</v>
      </c>
      <c r="F31">
        <v>1670</v>
      </c>
      <c r="G31">
        <v>131</v>
      </c>
      <c r="H31">
        <v>7.8</v>
      </c>
      <c r="I31" t="s">
        <v>59</v>
      </c>
    </row>
    <row r="32" spans="1:12" ht="13.2">
      <c r="A32" t="s">
        <v>5</v>
      </c>
      <c r="B32" t="s">
        <v>63</v>
      </c>
      <c r="C32" t="s">
        <v>64</v>
      </c>
      <c r="D32" t="s">
        <v>40</v>
      </c>
      <c r="E32">
        <v>1837</v>
      </c>
      <c r="F32">
        <v>1784</v>
      </c>
      <c r="G32">
        <v>124</v>
      </c>
      <c r="H32">
        <v>7</v>
      </c>
      <c r="I32" t="s">
        <v>59</v>
      </c>
    </row>
    <row r="33" spans="1:9" ht="13.2">
      <c r="A33" t="s">
        <v>5</v>
      </c>
      <c r="B33" t="s">
        <v>63</v>
      </c>
      <c r="C33" t="s">
        <v>64</v>
      </c>
      <c r="D33" t="s">
        <v>40</v>
      </c>
      <c r="E33">
        <v>1838</v>
      </c>
      <c r="F33">
        <v>1779</v>
      </c>
      <c r="G33">
        <v>88</v>
      </c>
      <c r="H33">
        <v>4.9000000000000004</v>
      </c>
      <c r="I33" t="s">
        <v>59</v>
      </c>
    </row>
    <row r="34" spans="1:9" ht="13.2">
      <c r="A34" t="s">
        <v>5</v>
      </c>
      <c r="B34" t="s">
        <v>63</v>
      </c>
      <c r="C34" t="s">
        <v>64</v>
      </c>
      <c r="D34" t="s">
        <v>40</v>
      </c>
      <c r="E34">
        <v>1839</v>
      </c>
      <c r="F34">
        <v>2010</v>
      </c>
      <c r="G34">
        <v>91</v>
      </c>
      <c r="H34">
        <v>4.5</v>
      </c>
      <c r="I34" t="s">
        <v>59</v>
      </c>
    </row>
    <row r="35" spans="1:9" ht="13.2">
      <c r="A35" t="s">
        <v>5</v>
      </c>
      <c r="B35" t="s">
        <v>63</v>
      </c>
      <c r="C35" t="s">
        <v>64</v>
      </c>
      <c r="D35" t="s">
        <v>40</v>
      </c>
      <c r="E35">
        <v>1840</v>
      </c>
      <c r="F35">
        <v>2073</v>
      </c>
      <c r="G35">
        <v>55</v>
      </c>
      <c r="H35">
        <v>2.7</v>
      </c>
      <c r="I35" t="s">
        <v>59</v>
      </c>
    </row>
    <row r="36" spans="1:9" ht="13.2">
      <c r="A36" t="s">
        <v>5</v>
      </c>
      <c r="B36" t="s">
        <v>63</v>
      </c>
      <c r="C36" t="s">
        <v>64</v>
      </c>
      <c r="D36" t="s">
        <v>40</v>
      </c>
      <c r="E36">
        <v>1841</v>
      </c>
      <c r="F36">
        <v>2442</v>
      </c>
      <c r="G36">
        <v>86</v>
      </c>
      <c r="H36">
        <v>3.5</v>
      </c>
      <c r="I36" t="s">
        <v>60</v>
      </c>
    </row>
    <row r="37" spans="1:9" ht="13.2">
      <c r="A37" t="s">
        <v>5</v>
      </c>
      <c r="B37" t="s">
        <v>63</v>
      </c>
      <c r="C37" t="s">
        <v>64</v>
      </c>
      <c r="D37" t="s">
        <v>40</v>
      </c>
      <c r="E37">
        <v>1842</v>
      </c>
      <c r="F37">
        <v>2659</v>
      </c>
      <c r="G37">
        <v>202</v>
      </c>
      <c r="H37">
        <v>7.6</v>
      </c>
      <c r="I37" t="s">
        <v>59</v>
      </c>
    </row>
    <row r="38" spans="1:9" ht="13.2">
      <c r="A38" t="s">
        <v>5</v>
      </c>
      <c r="B38" t="s">
        <v>63</v>
      </c>
      <c r="C38" t="s">
        <v>64</v>
      </c>
      <c r="D38" t="s">
        <v>40</v>
      </c>
      <c r="E38">
        <v>1843</v>
      </c>
      <c r="F38">
        <v>2739</v>
      </c>
      <c r="G38">
        <v>164</v>
      </c>
      <c r="H38">
        <v>6</v>
      </c>
      <c r="I38" t="s">
        <v>59</v>
      </c>
    </row>
    <row r="39" spans="1:9" ht="13.2">
      <c r="A39" t="s">
        <v>5</v>
      </c>
      <c r="B39" t="s">
        <v>63</v>
      </c>
      <c r="C39" t="s">
        <v>64</v>
      </c>
      <c r="D39" t="s">
        <v>40</v>
      </c>
      <c r="E39">
        <v>1844</v>
      </c>
      <c r="F39">
        <v>2956</v>
      </c>
      <c r="G39">
        <v>68</v>
      </c>
      <c r="H39">
        <v>2.2999999999999998</v>
      </c>
      <c r="I39" t="s">
        <v>59</v>
      </c>
    </row>
    <row r="40" spans="1:9" ht="13.2">
      <c r="A40" t="s">
        <v>5</v>
      </c>
      <c r="B40" t="s">
        <v>63</v>
      </c>
      <c r="C40" t="s">
        <v>64</v>
      </c>
      <c r="D40" t="s">
        <v>40</v>
      </c>
      <c r="E40">
        <v>1845</v>
      </c>
      <c r="F40">
        <v>3241</v>
      </c>
      <c r="G40">
        <v>66</v>
      </c>
      <c r="H40">
        <v>2</v>
      </c>
      <c r="I40" t="s">
        <v>59</v>
      </c>
    </row>
    <row r="41" spans="1:9" ht="13.2">
      <c r="A41" t="s">
        <v>5</v>
      </c>
      <c r="B41" t="s">
        <v>63</v>
      </c>
      <c r="C41" t="s">
        <v>64</v>
      </c>
      <c r="D41" t="s">
        <v>40</v>
      </c>
      <c r="E41">
        <v>1846</v>
      </c>
      <c r="F41">
        <v>3754</v>
      </c>
      <c r="G41">
        <v>105</v>
      </c>
      <c r="H41">
        <v>2.8</v>
      </c>
      <c r="I41" t="s">
        <v>59</v>
      </c>
    </row>
    <row r="42" spans="1:9" ht="13.2">
      <c r="A42" t="s">
        <v>5</v>
      </c>
      <c r="B42" t="s">
        <v>63</v>
      </c>
      <c r="C42" t="s">
        <v>64</v>
      </c>
      <c r="D42" t="s">
        <v>41</v>
      </c>
      <c r="E42">
        <v>1847</v>
      </c>
      <c r="F42">
        <v>3306</v>
      </c>
      <c r="G42">
        <v>32</v>
      </c>
      <c r="H42">
        <v>1</v>
      </c>
      <c r="I42" t="s">
        <v>61</v>
      </c>
    </row>
    <row r="43" spans="1:9" ht="13.2">
      <c r="A43" t="s">
        <v>5</v>
      </c>
      <c r="B43" t="s">
        <v>63</v>
      </c>
      <c r="C43" t="s">
        <v>64</v>
      </c>
      <c r="D43" t="s">
        <v>41</v>
      </c>
      <c r="E43">
        <v>1848</v>
      </c>
      <c r="F43">
        <v>3319</v>
      </c>
      <c r="G43">
        <v>43</v>
      </c>
      <c r="H43">
        <v>1.3</v>
      </c>
      <c r="I43" t="s">
        <v>59</v>
      </c>
    </row>
    <row r="44" spans="1:9" ht="13.2">
      <c r="A44" t="s">
        <v>5</v>
      </c>
      <c r="B44" t="s">
        <v>63</v>
      </c>
      <c r="C44" t="s">
        <v>64</v>
      </c>
      <c r="D44" t="s">
        <v>41</v>
      </c>
      <c r="E44">
        <v>1849</v>
      </c>
      <c r="F44">
        <v>3371</v>
      </c>
      <c r="G44">
        <v>87</v>
      </c>
      <c r="H44">
        <v>2.6</v>
      </c>
      <c r="I44" t="s">
        <v>62</v>
      </c>
    </row>
    <row r="45" spans="1:9" ht="13.2">
      <c r="A45" t="s">
        <v>5</v>
      </c>
      <c r="B45" t="s">
        <v>63</v>
      </c>
      <c r="C45" t="s">
        <v>64</v>
      </c>
      <c r="D45" t="s">
        <v>41</v>
      </c>
      <c r="E45">
        <v>1850</v>
      </c>
      <c r="F45">
        <v>3261</v>
      </c>
      <c r="G45">
        <v>54</v>
      </c>
      <c r="H45">
        <v>1.7</v>
      </c>
      <c r="I45" t="s">
        <v>59</v>
      </c>
    </row>
    <row r="46" spans="1:9" ht="13.2">
      <c r="A46" t="s">
        <v>5</v>
      </c>
      <c r="B46" t="s">
        <v>63</v>
      </c>
      <c r="C46" t="s">
        <v>64</v>
      </c>
      <c r="D46" t="s">
        <v>41</v>
      </c>
      <c r="E46">
        <v>1851</v>
      </c>
      <c r="F46">
        <v>3395</v>
      </c>
      <c r="G46">
        <v>121</v>
      </c>
      <c r="H46">
        <v>3.6</v>
      </c>
      <c r="I46" t="s">
        <v>59</v>
      </c>
    </row>
    <row r="47" spans="1:9" ht="13.2">
      <c r="A47" t="s">
        <v>5</v>
      </c>
      <c r="B47" t="s">
        <v>63</v>
      </c>
      <c r="C47" t="s">
        <v>64</v>
      </c>
      <c r="D47" t="s">
        <v>41</v>
      </c>
      <c r="E47">
        <v>1852</v>
      </c>
      <c r="F47">
        <v>3360</v>
      </c>
      <c r="G47">
        <v>192</v>
      </c>
      <c r="H47">
        <v>5.7</v>
      </c>
      <c r="I47" t="s">
        <v>59</v>
      </c>
    </row>
    <row r="48" spans="1:9" ht="13.2">
      <c r="A48" t="s">
        <v>5</v>
      </c>
      <c r="B48" t="s">
        <v>63</v>
      </c>
      <c r="C48" t="s">
        <v>64</v>
      </c>
      <c r="D48" t="s">
        <v>41</v>
      </c>
      <c r="E48">
        <v>1853</v>
      </c>
      <c r="F48">
        <v>3480</v>
      </c>
      <c r="G48">
        <v>67</v>
      </c>
      <c r="H48">
        <v>1.9</v>
      </c>
      <c r="I48" t="s">
        <v>59</v>
      </c>
    </row>
    <row r="49" spans="1:9" ht="13.2">
      <c r="A49" t="s">
        <v>5</v>
      </c>
      <c r="B49" t="s">
        <v>63</v>
      </c>
      <c r="C49" t="s">
        <v>64</v>
      </c>
      <c r="D49" t="s">
        <v>41</v>
      </c>
      <c r="E49">
        <v>1854</v>
      </c>
      <c r="F49">
        <v>3396</v>
      </c>
      <c r="G49">
        <v>210</v>
      </c>
      <c r="H49">
        <v>6.2</v>
      </c>
      <c r="I49" t="s">
        <v>59</v>
      </c>
    </row>
    <row r="50" spans="1:9" ht="13.2">
      <c r="A50" t="s">
        <v>5</v>
      </c>
      <c r="B50" t="s">
        <v>63</v>
      </c>
      <c r="C50" t="s">
        <v>64</v>
      </c>
      <c r="D50" t="s">
        <v>41</v>
      </c>
      <c r="E50">
        <v>1855</v>
      </c>
      <c r="F50">
        <v>2938</v>
      </c>
      <c r="G50">
        <v>174</v>
      </c>
      <c r="H50">
        <v>5.9</v>
      </c>
      <c r="I50" t="s">
        <v>59</v>
      </c>
    </row>
    <row r="51" spans="1:9" ht="13.2">
      <c r="A51" t="s">
        <v>5</v>
      </c>
      <c r="B51" t="s">
        <v>63</v>
      </c>
      <c r="C51" t="s">
        <v>64</v>
      </c>
      <c r="D51" t="s">
        <v>41</v>
      </c>
      <c r="E51">
        <v>1856</v>
      </c>
      <c r="F51">
        <v>3070</v>
      </c>
      <c r="G51">
        <v>125</v>
      </c>
      <c r="H51">
        <v>4.0999999999999996</v>
      </c>
      <c r="I51" t="s">
        <v>59</v>
      </c>
    </row>
    <row r="52" spans="1:9" ht="13.2">
      <c r="A52" t="s">
        <v>5</v>
      </c>
      <c r="B52" t="s">
        <v>63</v>
      </c>
      <c r="C52" t="s">
        <v>64</v>
      </c>
      <c r="D52" t="s">
        <v>41</v>
      </c>
      <c r="E52">
        <v>1857</v>
      </c>
      <c r="F52">
        <v>3795</v>
      </c>
      <c r="G52">
        <v>83</v>
      </c>
      <c r="H52">
        <v>2.2000000000000002</v>
      </c>
      <c r="I52" t="s">
        <v>59</v>
      </c>
    </row>
    <row r="53" spans="1:9" ht="13.2">
      <c r="A53" t="s">
        <v>5</v>
      </c>
      <c r="B53" t="s">
        <v>63</v>
      </c>
      <c r="C53" t="s">
        <v>64</v>
      </c>
      <c r="D53" t="s">
        <v>41</v>
      </c>
      <c r="E53">
        <v>1858</v>
      </c>
      <c r="F53">
        <v>4179</v>
      </c>
      <c r="G53">
        <v>60</v>
      </c>
      <c r="H53">
        <v>1.4</v>
      </c>
      <c r="I53" t="s">
        <v>59</v>
      </c>
    </row>
  </sheetData>
  <phoneticPr fontId="7"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637CC49-28FD-4F37-937D-F9CE11AF1E6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Overview</vt:lpstr>
      <vt:lpstr>Fig 2.2. Time series of rates</vt:lpstr>
      <vt:lpstr>Fig 2.2 XmR chart of rates</vt:lpstr>
      <vt:lpstr>Fig 2.5 XmR charts</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Jim Lehner</cp:lastModifiedBy>
  <dcterms:modified xsi:type="dcterms:W3CDTF">2026-05-07T16:28:26Z</dcterms:modified>
</cp:coreProperties>
</file>