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88763442-1882-4B5D-9F36-B0B4A3ADE0A3}"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B.1. Cumulative % curve" sheetId="15" r:id="rId2"/>
    <sheet name="Table B.1. Cumulative % curve" sheetId="16" r:id="rId3"/>
    <sheet name="Data" sheetId="10" r:id="rId4"/>
  </sheets>
  <definedNames>
    <definedName name="ExternalData_1" localSheetId="3" hidden="1">Data!#REF!</definedName>
    <definedName name="ExternalData_2" localSheetId="3" hidden="1">Data!#REF!</definedName>
    <definedName name="ExternalData_3" localSheetId="3" hidden="1">Data!$A$1:$C$17</definedName>
    <definedName name="ExternalData_3" localSheetId="1" hidden="1">'Fig B.1. Cumulative % curve'!$A$1:$C$17</definedName>
    <definedName name="ExternalData_3" localSheetId="2" hidden="1">'Table B.1. Cumulative % curve'!$A$1:$C$17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6" l="1"/>
  <c r="C18" i="15"/>
  <c r="D14" i="16" l="1"/>
  <c r="D6" i="16"/>
  <c r="D10" i="16"/>
  <c r="D9" i="16"/>
  <c r="D8" i="16"/>
  <c r="D2" i="16"/>
  <c r="D5" i="16"/>
  <c r="D4" i="16"/>
  <c r="D3" i="16"/>
  <c r="D17" i="16"/>
  <c r="D16" i="16"/>
  <c r="D15" i="16"/>
  <c r="D13" i="16"/>
  <c r="D11" i="16"/>
  <c r="D7" i="16"/>
  <c r="D12" i="16"/>
  <c r="D2" i="15"/>
  <c r="D3" i="15"/>
  <c r="D5" i="15"/>
  <c r="D6" i="15"/>
  <c r="D7" i="15"/>
  <c r="D8" i="15"/>
  <c r="D9" i="15"/>
  <c r="D11" i="15"/>
  <c r="D12" i="15"/>
  <c r="D13" i="15"/>
  <c r="D15" i="15"/>
  <c r="D17" i="15"/>
  <c r="D10" i="15"/>
  <c r="D14" i="15"/>
  <c r="D16" i="15"/>
  <c r="D4" i="15"/>
  <c r="D18" i="16" l="1"/>
  <c r="E2" i="16"/>
  <c r="E3" i="16" s="1"/>
  <c r="E4" i="16" s="1"/>
  <c r="E5" i="16"/>
  <c r="E6" i="16" s="1"/>
  <c r="E7" i="16" s="1"/>
  <c r="E8" i="16" s="1"/>
  <c r="E9" i="16" s="1"/>
  <c r="E10" i="16" s="1"/>
  <c r="E11" i="16" s="1"/>
  <c r="E12" i="16" s="1"/>
  <c r="E13" i="16" s="1"/>
  <c r="E14" i="16" s="1"/>
  <c r="E15" i="16" s="1"/>
  <c r="E16" i="16" s="1"/>
  <c r="E17" i="16" s="1"/>
  <c r="E2" i="15"/>
  <c r="E3" i="15"/>
  <c r="E4" i="15" s="1"/>
  <c r="E5" i="15" s="1"/>
  <c r="E6" i="15" s="1"/>
  <c r="E7" i="15" s="1"/>
  <c r="E8" i="15" s="1"/>
  <c r="E9" i="15" s="1"/>
  <c r="E10" i="15" s="1"/>
  <c r="E11" i="15" s="1"/>
  <c r="E12" i="15" s="1"/>
  <c r="E13" i="15" s="1"/>
  <c r="E14" i="15" s="1"/>
  <c r="D18" i="15"/>
  <c r="E15" i="15" l="1"/>
  <c r="E16" i="15" s="1"/>
  <c r="E17" i="1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B468C3-3EC2-42A2-8D4B-456AA092BFB0}" keepAlive="1" name="Query - causes-of-death-in-1864-dublin" description="Connection to the 'causes-of-death-in-1864-dublin' query in the workbook." type="5" refreshedVersion="8" background="1" saveData="1">
    <dbPr connection="Provider=Microsoft.Mashup.OleDb.1;Data Source=$Workbook$;Location=causes-of-death-in-1864-dublin;Extended Properties=&quot;&quot;" command="SELECT * FROM [causes-of-death-in-1864-dublin]"/>
  </connection>
  <connection id="2" xr16:uid="{C9C46A5C-9419-42DF-806B-6F30A64B1BF5}" keepAlive="1" name="Query - causes-of-death-in-1864-dublin (3)" description="Connection to the 'causes-of-death-in-1864-dublin (3)' query in the workbook." type="5" refreshedVersion="8" background="1" saveData="1">
    <dbPr connection="Provider=Microsoft.Mashup.OleDb.1;Data Source=$Workbook$;Location=&quot;causes-of-death-in-1864-dublin (3)&quot;;Extended Properties=&quot;&quot;" command="SELECT * FROM [causes-of-death-in-1864-dublin (3)]"/>
  </connection>
  <connection id="3" xr16:uid="{7365A71D-277E-44D7-854D-8C1EDA758A23}" keepAlive="1" name="Query - causes-of-death-in-1864-dublin (4)" description="Connection to the 'causes-of-death-in-1864-dublin (4)' query in the workbook." type="5" refreshedVersion="8" background="1" saveData="1">
    <dbPr connection="Provider=Microsoft.Mashup.OleDb.1;Data Source=$Workbook$;Location=&quot;causes-of-death-in-1864-dublin (4)&quot;;Extended Properties=&quot;&quot;" command="SELECT * FROM [causes-of-death-in-1864-dublin (4)]"/>
  </connection>
</connections>
</file>

<file path=xl/sharedStrings.xml><?xml version="1.0" encoding="utf-8"?>
<sst xmlns="http://schemas.openxmlformats.org/spreadsheetml/2006/main" count="123" uniqueCount="35">
  <si>
    <t>Sum</t>
  </si>
  <si>
    <t>Cause of Death</t>
  </si>
  <si>
    <t>Number of Deaths</t>
  </si>
  <si>
    <t>Dublin (North &amp; South)</t>
  </si>
  <si>
    <t>Respiratory</t>
  </si>
  <si>
    <t>Consumption</t>
  </si>
  <si>
    <t>Fever</t>
  </si>
  <si>
    <t>Diarrhea</t>
  </si>
  <si>
    <t>Violence</t>
  </si>
  <si>
    <t>Scarlatina</t>
  </si>
  <si>
    <t>Dysentery</t>
  </si>
  <si>
    <t>Diphtheria</t>
  </si>
  <si>
    <t>Childbed Fever</t>
  </si>
  <si>
    <t>Erysipelas</t>
  </si>
  <si>
    <t>Influenza</t>
  </si>
  <si>
    <t>Childbirth</t>
  </si>
  <si>
    <t>Measles</t>
  </si>
  <si>
    <t>Cholera</t>
  </si>
  <si>
    <t>% of Total</t>
  </si>
  <si>
    <t>Cumulative %</t>
  </si>
  <si>
    <t>Link to book:</t>
  </si>
  <si>
    <t>https://www.brokenquality.com/book</t>
  </si>
  <si>
    <t>Link to GitHub:</t>
  </si>
  <si>
    <t>https://github.com/jimlehner/virus-of-variation-book</t>
  </si>
  <si>
    <t>Contact:</t>
  </si>
  <si>
    <t>James.Lehner@gmail.com</t>
  </si>
  <si>
    <t>QualityIsBroken@gmail.com</t>
  </si>
  <si>
    <t>City</t>
  </si>
  <si>
    <t>Smallpox</t>
  </si>
  <si>
    <t>Whooping Cough</t>
  </si>
  <si>
    <t>Appendix B. Cumulative Percentage Curve Calculations</t>
  </si>
  <si>
    <r>
      <t>This file serves as a resource for building Figure B.1 and Table B.1 in Appendix B of in The Virus of Variation using Mircosoft Excel or Google Sheets.
The figure and table have their own tabs. The data used in the figure and table can be found in the Data tab.
For additional details, see Chapter 6.5 Pareto charts, in The Virus of Variation
(</t>
    </r>
    <r>
      <rPr>
        <b/>
        <sz val="12"/>
        <color rgb="FF000000"/>
        <rFont val="Montserrat"/>
      </rPr>
      <t>BrokenQuality.com/book</t>
    </r>
    <r>
      <rPr>
        <sz val="12"/>
        <color rgb="FF000000"/>
        <rFont val="Montserrat"/>
      </rPr>
      <t xml:space="preserve">).
If you are familiar with Python (or would like to learn), the Python code used to generate Figure B.1, as it appears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</si>
  <si>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Fig B.1.</t>
  </si>
  <si>
    <t>https://raw.githubusercontent.com/jimlehner/virus-of-variation-book/refs/heads/main/data/causes-of-death-in-1864-dublin.csv</t>
  </si>
  <si>
    <t>Raw Data GitHub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</si>
</sst>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0"/>
      <color rgb="FF000000"/>
      <name val="Arial"/>
      <scheme val="minor"/>
    </font>
    <font>
      <b/>
      <sz val="16"/>
      <color rgb="FFD72323"/>
      <name val="Montserrat"/>
    </font>
    <font>
      <sz val="10"/>
      <color theme="1"/>
      <name val="Arial"/>
      <family val="2"/>
    </font>
    <font>
      <sz val="9"/>
      <color theme="1"/>
      <name val="Arial"/>
      <family val="2"/>
    </font>
    <font>
      <sz val="10"/>
      <color rgb="FF1F2328"/>
      <name val="Arial"/>
      <family val="2"/>
    </font>
    <font>
      <sz val="10"/>
      <color rgb="FF1F2328"/>
      <name val="-apple-system"/>
    </font>
    <font>
      <sz val="10"/>
      <color theme="1"/>
      <name val="Arial"/>
      <family val="2"/>
      <scheme val="minor"/>
    </font>
    <font>
      <u/>
      <sz val="10"/>
      <color theme="10"/>
      <name val="Arial"/>
      <family val="2"/>
      <scheme val="minor"/>
    </font>
    <font>
      <sz val="10"/>
      <color rgb="FF000000"/>
      <name val="Arial"/>
      <family val="2"/>
      <scheme val="minor"/>
    </font>
    <font>
      <sz val="12"/>
      <color rgb="FF000000"/>
      <name val="Montserrat"/>
    </font>
    <font>
      <b/>
      <sz val="12"/>
      <color rgb="FF000000"/>
      <name val="Montserrat"/>
    </font>
    <font>
      <b/>
      <sz val="10"/>
      <color rgb="FF000000"/>
      <name val="Arial"/>
      <family val="2"/>
      <scheme val="minor"/>
    </font>
    <font>
      <sz val="10"/>
      <name val="Arial"/>
      <family val="2"/>
    </font>
  </fonts>
  <fills count="2">
    <fill>
      <patternFill patternType="none"/>
    </fill>
    <fill>
      <patternFill patternType="gray125"/>
    </fill>
  </fills>
  <borders count="13">
    <border>
      <left/>
      <right/>
      <top/>
      <bottom/>
      <diagonal/>
    </border>
    <border>
      <left/>
      <right/>
      <top/>
      <bottom style="thin">
        <color rgb="FFB7B7B7"/>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7" fillId="0" borderId="0" applyNumberFormat="0" applyFill="0" applyBorder="0" applyAlignment="0" applyProtection="0"/>
    <xf numFmtId="0" fontId="8" fillId="0" borderId="0"/>
  </cellStyleXfs>
  <cellXfs count="44">
    <xf numFmtId="0" fontId="0" fillId="0" borderId="0" xfId="0"/>
    <xf numFmtId="0" fontId="2" fillId="0" borderId="0" xfId="0" applyFont="1"/>
    <xf numFmtId="0" fontId="3" fillId="0" borderId="0" xfId="0" applyFont="1" applyAlignment="1">
      <alignment horizontal="right"/>
    </xf>
    <xf numFmtId="10" fontId="3" fillId="0" borderId="0" xfId="0" applyNumberFormat="1" applyFont="1" applyAlignment="1">
      <alignment horizontal="right"/>
    </xf>
    <xf numFmtId="10" fontId="3" fillId="0" borderId="1" xfId="0" applyNumberFormat="1" applyFont="1" applyBorder="1" applyAlignment="1">
      <alignment horizontal="right"/>
    </xf>
    <xf numFmtId="49" fontId="5" fillId="0" borderId="0" xfId="0" applyNumberFormat="1" applyFont="1" applyAlignment="1">
      <alignment horizontal="right"/>
    </xf>
    <xf numFmtId="0" fontId="6" fillId="0" borderId="0" xfId="0" applyFont="1"/>
    <xf numFmtId="3" fontId="6" fillId="0" borderId="0" xfId="0" applyNumberFormat="1" applyFont="1"/>
    <xf numFmtId="0" fontId="6" fillId="0" borderId="0" xfId="0" applyFont="1" applyAlignment="1">
      <alignment horizontal="right"/>
    </xf>
    <xf numFmtId="0" fontId="6" fillId="0" borderId="0" xfId="0" applyFont="1" applyAlignment="1">
      <alignment horizontal="left"/>
    </xf>
    <xf numFmtId="2" fontId="6" fillId="0" borderId="0" xfId="0" applyNumberFormat="1" applyFont="1"/>
    <xf numFmtId="0" fontId="8" fillId="0" borderId="0" xfId="0" applyFont="1"/>
    <xf numFmtId="0" fontId="5" fillId="0" borderId="0" xfId="0" applyFont="1" applyAlignment="1">
      <alignment horizontal="right"/>
    </xf>
    <xf numFmtId="0" fontId="4" fillId="0" borderId="0" xfId="0" applyFont="1" applyAlignment="1">
      <alignment horizontal="right"/>
    </xf>
    <xf numFmtId="0" fontId="4" fillId="0" borderId="0" xfId="0" applyFont="1" applyAlignment="1">
      <alignment horizontal="left"/>
    </xf>
    <xf numFmtId="0" fontId="5" fillId="0" borderId="0" xfId="0" applyFont="1" applyAlignment="1">
      <alignment horizontal="left"/>
    </xf>
    <xf numFmtId="0" fontId="8" fillId="0" borderId="0" xfId="0" applyFont="1" applyAlignment="1">
      <alignment horizontal="left"/>
    </xf>
    <xf numFmtId="0" fontId="9" fillId="0" borderId="0" xfId="0" applyFont="1" applyAlignment="1">
      <alignment vertical="center" wrapText="1"/>
    </xf>
    <xf numFmtId="0" fontId="7" fillId="0" borderId="0" xfId="1" applyBorder="1" applyAlignment="1"/>
    <xf numFmtId="0" fontId="11" fillId="0" borderId="0" xfId="0" applyFont="1"/>
    <xf numFmtId="0" fontId="11" fillId="0" borderId="7" xfId="0" applyFont="1" applyBorder="1"/>
    <xf numFmtId="0" fontId="7" fillId="0" borderId="5" xfId="1" applyBorder="1" applyAlignment="1">
      <alignment horizontal="center"/>
    </xf>
    <xf numFmtId="0" fontId="7" fillId="0" borderId="0" xfId="1" applyBorder="1" applyAlignment="1">
      <alignment horizontal="center"/>
    </xf>
    <xf numFmtId="0" fontId="7" fillId="0" borderId="6" xfId="1" applyBorder="1" applyAlignment="1">
      <alignment horizontal="center"/>
    </xf>
    <xf numFmtId="0" fontId="11" fillId="0" borderId="5" xfId="0" applyFont="1" applyBorder="1" applyAlignment="1">
      <alignment horizontal="center"/>
    </xf>
    <xf numFmtId="0" fontId="11" fillId="0" borderId="0" xfId="0" applyFont="1" applyAlignment="1">
      <alignment horizontal="center"/>
    </xf>
    <xf numFmtId="0" fontId="11" fillId="0" borderId="6" xfId="0" applyFont="1" applyBorder="1" applyAlignment="1">
      <alignment horizont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0" xfId="0" applyFont="1" applyAlignment="1">
      <alignment horizontal="center" vertical="center" wrapText="1"/>
    </xf>
    <xf numFmtId="0" fontId="9" fillId="0" borderId="6" xfId="0" applyFont="1" applyBorder="1" applyAlignment="1">
      <alignment horizontal="center" vertical="center" wrapText="1"/>
    </xf>
    <xf numFmtId="0" fontId="11" fillId="0" borderId="2" xfId="0" applyFont="1" applyBorder="1" applyAlignment="1">
      <alignment horizontal="center"/>
    </xf>
    <xf numFmtId="0" fontId="11" fillId="0" borderId="3" xfId="0" applyFont="1" applyBorder="1" applyAlignment="1">
      <alignment horizontal="center"/>
    </xf>
    <xf numFmtId="0" fontId="11" fillId="0" borderId="4" xfId="0" applyFont="1" applyBorder="1" applyAlignment="1">
      <alignment horizontal="center"/>
    </xf>
    <xf numFmtId="0" fontId="11" fillId="0" borderId="2" xfId="0" applyFont="1" applyBorder="1" applyAlignment="1">
      <alignment horizontal="center" wrapText="1"/>
    </xf>
    <xf numFmtId="0" fontId="11" fillId="0" borderId="3" xfId="0" applyFont="1" applyBorder="1" applyAlignment="1">
      <alignment horizontal="center" wrapText="1"/>
    </xf>
    <xf numFmtId="0" fontId="11" fillId="0" borderId="4" xfId="0" applyFont="1" applyBorder="1" applyAlignment="1">
      <alignment horizontal="center" wrapText="1"/>
    </xf>
    <xf numFmtId="0" fontId="0" fillId="0" borderId="8" xfId="0" applyBorder="1" applyAlignment="1">
      <alignment horizontal="left"/>
    </xf>
    <xf numFmtId="0" fontId="0" fillId="0" borderId="9" xfId="0" applyBorder="1" applyAlignment="1">
      <alignment horizontal="left"/>
    </xf>
    <xf numFmtId="0" fontId="1" fillId="0" borderId="10" xfId="0" applyFont="1" applyBorder="1" applyAlignment="1">
      <alignment horizontal="center"/>
    </xf>
    <xf numFmtId="0" fontId="12" fillId="0" borderId="11" xfId="0" applyFont="1" applyBorder="1"/>
    <xf numFmtId="0" fontId="12" fillId="0" borderId="12" xfId="0" applyFont="1" applyBorder="1"/>
  </cellXfs>
  <cellStyles count="3">
    <cellStyle name="Hyperlink" xfId="1" builtinId="8"/>
    <cellStyle name="Normal" xfId="0" builtinId="0"/>
    <cellStyle name="Normal 2" xfId="2" xr:uid="{E3526070-6356-4A29-B5BF-B60691250854}"/>
  </cellStyles>
  <dxfs count="23">
    <dxf>
      <font>
        <b val="0"/>
        <i val="0"/>
        <strike val="0"/>
        <condense val="0"/>
        <extend val="0"/>
        <outline val="0"/>
        <shadow val="0"/>
        <u val="none"/>
        <vertAlign val="baseline"/>
        <sz val="10"/>
        <color rgb="FF1F2328"/>
        <name val="-apple-system"/>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alignment horizontal="righ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alignment horizontal="righ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rgb="FF1F2328"/>
        <name val="-apple-system"/>
        <scheme val="none"/>
      </font>
      <alignment horizontal="right" vertical="bottom" textRotation="0" wrapText="0" indent="0" justifyLastLine="0" shrinkToFit="0" readingOrder="0"/>
    </dxf>
    <dxf>
      <alignment horizontal="left" vertical="bottom" textRotation="0" wrapText="0" indent="0" justifyLastLine="0" shrinkToFit="0" readingOrder="0"/>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ACAE1D49-FB62-40EB-847C-FDEF0F7ED49E}">
      <tableStyleElement type="wholeTable" dxfId="22"/>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B.1. Cumulative % curve'!$C$1</c:f>
              <c:strCache>
                <c:ptCount val="1"/>
                <c:pt idx="0">
                  <c:v>Number of Deaths</c:v>
                </c:pt>
              </c:strCache>
            </c:strRef>
          </c:tx>
          <c:spPr>
            <a:solidFill>
              <a:schemeClr val="accent1"/>
            </a:solidFill>
            <a:ln>
              <a:noFill/>
            </a:ln>
            <a:effectLst/>
          </c:spPr>
          <c:invertIfNegative val="0"/>
          <c:cat>
            <c:strRef>
              <c:f>'Fig B.1. Cumulative % curve'!$B$2:$B$17</c:f>
              <c:strCache>
                <c:ptCount val="16"/>
                <c:pt idx="0">
                  <c:v>Respiratory</c:v>
                </c:pt>
                <c:pt idx="1">
                  <c:v>Consumption</c:v>
                </c:pt>
                <c:pt idx="2">
                  <c:v>Fever</c:v>
                </c:pt>
                <c:pt idx="3">
                  <c:v>Diarrhea</c:v>
                </c:pt>
                <c:pt idx="4">
                  <c:v>Violence</c:v>
                </c:pt>
                <c:pt idx="5">
                  <c:v>Scarlatina</c:v>
                </c:pt>
                <c:pt idx="6">
                  <c:v>Whooping Cough</c:v>
                </c:pt>
                <c:pt idx="7">
                  <c:v>Dysentery</c:v>
                </c:pt>
                <c:pt idx="8">
                  <c:v>Diphtheria</c:v>
                </c:pt>
                <c:pt idx="9">
                  <c:v>Childbed Fever</c:v>
                </c:pt>
                <c:pt idx="10">
                  <c:v>Erysipelas</c:v>
                </c:pt>
                <c:pt idx="11">
                  <c:v>Influenza</c:v>
                </c:pt>
                <c:pt idx="12">
                  <c:v>Smallpox</c:v>
                </c:pt>
                <c:pt idx="13">
                  <c:v>Childbirth</c:v>
                </c:pt>
                <c:pt idx="14">
                  <c:v>Measles</c:v>
                </c:pt>
                <c:pt idx="15">
                  <c:v>Cholera</c:v>
                </c:pt>
              </c:strCache>
            </c:strRef>
          </c:cat>
          <c:val>
            <c:numRef>
              <c:f>'Fig B.1. Cumulative % curve'!$C$2:$C$17</c:f>
              <c:numCache>
                <c:formatCode>General</c:formatCode>
                <c:ptCount val="16"/>
                <c:pt idx="0">
                  <c:v>1582</c:v>
                </c:pt>
                <c:pt idx="1">
                  <c:v>974</c:v>
                </c:pt>
                <c:pt idx="2">
                  <c:v>394</c:v>
                </c:pt>
                <c:pt idx="3">
                  <c:v>213</c:v>
                </c:pt>
                <c:pt idx="4">
                  <c:v>194</c:v>
                </c:pt>
                <c:pt idx="5">
                  <c:v>153</c:v>
                </c:pt>
                <c:pt idx="6">
                  <c:v>82</c:v>
                </c:pt>
                <c:pt idx="7">
                  <c:v>47</c:v>
                </c:pt>
                <c:pt idx="8">
                  <c:v>43</c:v>
                </c:pt>
                <c:pt idx="9">
                  <c:v>43</c:v>
                </c:pt>
                <c:pt idx="10">
                  <c:v>39</c:v>
                </c:pt>
                <c:pt idx="11">
                  <c:v>27</c:v>
                </c:pt>
                <c:pt idx="12">
                  <c:v>25.18</c:v>
                </c:pt>
                <c:pt idx="13">
                  <c:v>18</c:v>
                </c:pt>
                <c:pt idx="14">
                  <c:v>15</c:v>
                </c:pt>
                <c:pt idx="15">
                  <c:v>12</c:v>
                </c:pt>
              </c:numCache>
            </c:numRef>
          </c:val>
          <c:extLst>
            <c:ext xmlns:c16="http://schemas.microsoft.com/office/drawing/2014/chart" uri="{C3380CC4-5D6E-409C-BE32-E72D297353CC}">
              <c16:uniqueId val="{00000000-13AF-4044-BF59-41917AE41F8F}"/>
            </c:ext>
          </c:extLst>
        </c:ser>
        <c:dLbls>
          <c:showLegendKey val="0"/>
          <c:showVal val="0"/>
          <c:showCatName val="0"/>
          <c:showSerName val="0"/>
          <c:showPercent val="0"/>
          <c:showBubbleSize val="0"/>
        </c:dLbls>
        <c:gapWidth val="219"/>
        <c:overlap val="-27"/>
        <c:axId val="446621200"/>
        <c:axId val="446623120"/>
      </c:barChart>
      <c:lineChart>
        <c:grouping val="standard"/>
        <c:varyColors val="0"/>
        <c:ser>
          <c:idx val="1"/>
          <c:order val="1"/>
          <c:tx>
            <c:strRef>
              <c:f>'Fig B.1. Cumulative % curve'!$E$1</c:f>
              <c:strCache>
                <c:ptCount val="1"/>
                <c:pt idx="0">
                  <c:v>Cumulative %</c:v>
                </c:pt>
              </c:strCache>
            </c:strRef>
          </c:tx>
          <c:spPr>
            <a:ln w="28575" cap="rnd">
              <a:solidFill>
                <a:schemeClr val="accent2"/>
              </a:solidFill>
              <a:round/>
            </a:ln>
            <a:effectLst/>
          </c:spPr>
          <c:marker>
            <c:symbol val="none"/>
          </c:marker>
          <c:cat>
            <c:strRef>
              <c:f>'Fig B.1. Cumulative % curve'!$B$2:$B$17</c:f>
              <c:strCache>
                <c:ptCount val="16"/>
                <c:pt idx="0">
                  <c:v>Respiratory</c:v>
                </c:pt>
                <c:pt idx="1">
                  <c:v>Consumption</c:v>
                </c:pt>
                <c:pt idx="2">
                  <c:v>Fever</c:v>
                </c:pt>
                <c:pt idx="3">
                  <c:v>Diarrhea</c:v>
                </c:pt>
                <c:pt idx="4">
                  <c:v>Violence</c:v>
                </c:pt>
                <c:pt idx="5">
                  <c:v>Scarlatina</c:v>
                </c:pt>
                <c:pt idx="6">
                  <c:v>Whooping Cough</c:v>
                </c:pt>
                <c:pt idx="7">
                  <c:v>Dysentery</c:v>
                </c:pt>
                <c:pt idx="8">
                  <c:v>Diphtheria</c:v>
                </c:pt>
                <c:pt idx="9">
                  <c:v>Childbed Fever</c:v>
                </c:pt>
                <c:pt idx="10">
                  <c:v>Erysipelas</c:v>
                </c:pt>
                <c:pt idx="11">
                  <c:v>Influenza</c:v>
                </c:pt>
                <c:pt idx="12">
                  <c:v>Smallpox</c:v>
                </c:pt>
                <c:pt idx="13">
                  <c:v>Childbirth</c:v>
                </c:pt>
                <c:pt idx="14">
                  <c:v>Measles</c:v>
                </c:pt>
                <c:pt idx="15">
                  <c:v>Cholera</c:v>
                </c:pt>
              </c:strCache>
            </c:strRef>
          </c:cat>
          <c:val>
            <c:numRef>
              <c:f>'Fig B.1. Cumulative % curve'!$E$2:$E$17</c:f>
              <c:numCache>
                <c:formatCode>General</c:formatCode>
                <c:ptCount val="16"/>
                <c:pt idx="0">
                  <c:v>40.97</c:v>
                </c:pt>
                <c:pt idx="1">
                  <c:v>66.2</c:v>
                </c:pt>
                <c:pt idx="2">
                  <c:v>76.400000000000006</c:v>
                </c:pt>
                <c:pt idx="3">
                  <c:v>81.92</c:v>
                </c:pt>
                <c:pt idx="4">
                  <c:v>86.94</c:v>
                </c:pt>
                <c:pt idx="5">
                  <c:v>90.899999999999991</c:v>
                </c:pt>
                <c:pt idx="6">
                  <c:v>93.02</c:v>
                </c:pt>
                <c:pt idx="7">
                  <c:v>94.24</c:v>
                </c:pt>
                <c:pt idx="8">
                  <c:v>95.35</c:v>
                </c:pt>
                <c:pt idx="9">
                  <c:v>96.46</c:v>
                </c:pt>
                <c:pt idx="10">
                  <c:v>97.47</c:v>
                </c:pt>
                <c:pt idx="11">
                  <c:v>98.17</c:v>
                </c:pt>
                <c:pt idx="12">
                  <c:v>98.820000000000007</c:v>
                </c:pt>
                <c:pt idx="13">
                  <c:v>99.29</c:v>
                </c:pt>
                <c:pt idx="14">
                  <c:v>99.68</c:v>
                </c:pt>
                <c:pt idx="15">
                  <c:v>99.990000000000009</c:v>
                </c:pt>
              </c:numCache>
            </c:numRef>
          </c:val>
          <c:smooth val="0"/>
          <c:extLst>
            <c:ext xmlns:c16="http://schemas.microsoft.com/office/drawing/2014/chart" uri="{C3380CC4-5D6E-409C-BE32-E72D297353CC}">
              <c16:uniqueId val="{00000001-13AF-4044-BF59-41917AE41F8F}"/>
            </c:ext>
          </c:extLst>
        </c:ser>
        <c:dLbls>
          <c:showLegendKey val="0"/>
          <c:showVal val="0"/>
          <c:showCatName val="0"/>
          <c:showSerName val="0"/>
          <c:showPercent val="0"/>
          <c:showBubbleSize val="0"/>
        </c:dLbls>
        <c:marker val="1"/>
        <c:smooth val="0"/>
        <c:axId val="99972384"/>
        <c:axId val="99970464"/>
      </c:lineChart>
      <c:catAx>
        <c:axId val="44662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23120"/>
        <c:crosses val="autoZero"/>
        <c:auto val="1"/>
        <c:lblAlgn val="ctr"/>
        <c:lblOffset val="100"/>
        <c:noMultiLvlLbl val="0"/>
      </c:catAx>
      <c:valAx>
        <c:axId val="446623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21200"/>
        <c:crosses val="autoZero"/>
        <c:crossBetween val="between"/>
      </c:valAx>
      <c:valAx>
        <c:axId val="9997046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Cumulative</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2384"/>
        <c:crosses val="max"/>
        <c:crossBetween val="between"/>
      </c:valAx>
      <c:catAx>
        <c:axId val="99972384"/>
        <c:scaling>
          <c:orientation val="minMax"/>
        </c:scaling>
        <c:delete val="1"/>
        <c:axPos val="b"/>
        <c:numFmt formatCode="General" sourceLinked="1"/>
        <c:majorTickMark val="out"/>
        <c:minorTickMark val="none"/>
        <c:tickLblPos val="nextTo"/>
        <c:crossAx val="9997046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'Table B.1. Cumulative % curve'!$C$1</c:f>
              <c:strCache>
                <c:ptCount val="1"/>
                <c:pt idx="0">
                  <c:v>Number of Deaths</c:v>
                </c:pt>
              </c:strCache>
            </c:strRef>
          </c:tx>
          <c:spPr>
            <a:solidFill>
              <a:schemeClr val="accent1"/>
            </a:solidFill>
            <a:ln>
              <a:noFill/>
            </a:ln>
            <a:effectLst/>
          </c:spPr>
          <c:invertIfNegative val="0"/>
          <c:cat>
            <c:strRef>
              <c:f>'Table B.1. Cumulative % curve'!$B$2:$B$17</c:f>
              <c:strCache>
                <c:ptCount val="16"/>
                <c:pt idx="0">
                  <c:v>Respiratory</c:v>
                </c:pt>
                <c:pt idx="1">
                  <c:v>Consumption</c:v>
                </c:pt>
                <c:pt idx="2">
                  <c:v>Fever</c:v>
                </c:pt>
                <c:pt idx="3">
                  <c:v>Diarrhea</c:v>
                </c:pt>
                <c:pt idx="4">
                  <c:v>Violence</c:v>
                </c:pt>
                <c:pt idx="5">
                  <c:v>Scarlatina</c:v>
                </c:pt>
                <c:pt idx="6">
                  <c:v>Whooping Cough</c:v>
                </c:pt>
                <c:pt idx="7">
                  <c:v>Dysentery</c:v>
                </c:pt>
                <c:pt idx="8">
                  <c:v>Diphtheria</c:v>
                </c:pt>
                <c:pt idx="9">
                  <c:v>Childbed Fever</c:v>
                </c:pt>
                <c:pt idx="10">
                  <c:v>Erysipelas</c:v>
                </c:pt>
                <c:pt idx="11">
                  <c:v>Influenza</c:v>
                </c:pt>
                <c:pt idx="12">
                  <c:v>Smallpox</c:v>
                </c:pt>
                <c:pt idx="13">
                  <c:v>Childbirth</c:v>
                </c:pt>
                <c:pt idx="14">
                  <c:v>Measles</c:v>
                </c:pt>
                <c:pt idx="15">
                  <c:v>Cholera</c:v>
                </c:pt>
              </c:strCache>
            </c:strRef>
          </c:cat>
          <c:val>
            <c:numRef>
              <c:f>'Table B.1. Cumulative % curve'!$C$2:$C$17</c:f>
              <c:numCache>
                <c:formatCode>General</c:formatCode>
                <c:ptCount val="16"/>
                <c:pt idx="0">
                  <c:v>1582</c:v>
                </c:pt>
                <c:pt idx="1">
                  <c:v>974</c:v>
                </c:pt>
                <c:pt idx="2">
                  <c:v>394</c:v>
                </c:pt>
                <c:pt idx="3">
                  <c:v>213</c:v>
                </c:pt>
                <c:pt idx="4">
                  <c:v>194</c:v>
                </c:pt>
                <c:pt idx="5">
                  <c:v>153</c:v>
                </c:pt>
                <c:pt idx="6">
                  <c:v>82</c:v>
                </c:pt>
                <c:pt idx="7">
                  <c:v>47</c:v>
                </c:pt>
                <c:pt idx="8">
                  <c:v>43</c:v>
                </c:pt>
                <c:pt idx="9">
                  <c:v>43</c:v>
                </c:pt>
                <c:pt idx="10">
                  <c:v>39</c:v>
                </c:pt>
                <c:pt idx="11">
                  <c:v>27</c:v>
                </c:pt>
                <c:pt idx="12">
                  <c:v>25.18</c:v>
                </c:pt>
                <c:pt idx="13">
                  <c:v>18</c:v>
                </c:pt>
                <c:pt idx="14">
                  <c:v>15</c:v>
                </c:pt>
                <c:pt idx="15">
                  <c:v>12</c:v>
                </c:pt>
              </c:numCache>
            </c:numRef>
          </c:val>
          <c:extLst>
            <c:ext xmlns:c16="http://schemas.microsoft.com/office/drawing/2014/chart" uri="{C3380CC4-5D6E-409C-BE32-E72D297353CC}">
              <c16:uniqueId val="{00000000-CF60-4F5D-B703-6290BD91D635}"/>
            </c:ext>
          </c:extLst>
        </c:ser>
        <c:dLbls>
          <c:showLegendKey val="0"/>
          <c:showVal val="0"/>
          <c:showCatName val="0"/>
          <c:showSerName val="0"/>
          <c:showPercent val="0"/>
          <c:showBubbleSize val="0"/>
        </c:dLbls>
        <c:gapWidth val="219"/>
        <c:overlap val="-27"/>
        <c:axId val="446621200"/>
        <c:axId val="446623120"/>
      </c:barChart>
      <c:lineChart>
        <c:grouping val="standard"/>
        <c:varyColors val="0"/>
        <c:ser>
          <c:idx val="1"/>
          <c:order val="1"/>
          <c:tx>
            <c:strRef>
              <c:f>'Table B.1. Cumulative % curve'!$E$1</c:f>
              <c:strCache>
                <c:ptCount val="1"/>
                <c:pt idx="0">
                  <c:v>Cumulative %</c:v>
                </c:pt>
              </c:strCache>
            </c:strRef>
          </c:tx>
          <c:spPr>
            <a:ln w="28575" cap="rnd">
              <a:solidFill>
                <a:schemeClr val="accent2"/>
              </a:solidFill>
              <a:round/>
            </a:ln>
            <a:effectLst/>
          </c:spPr>
          <c:marker>
            <c:symbol val="none"/>
          </c:marker>
          <c:cat>
            <c:strRef>
              <c:f>'Table B.1. Cumulative % curve'!$B$2:$B$17</c:f>
              <c:strCache>
                <c:ptCount val="16"/>
                <c:pt idx="0">
                  <c:v>Respiratory</c:v>
                </c:pt>
                <c:pt idx="1">
                  <c:v>Consumption</c:v>
                </c:pt>
                <c:pt idx="2">
                  <c:v>Fever</c:v>
                </c:pt>
                <c:pt idx="3">
                  <c:v>Diarrhea</c:v>
                </c:pt>
                <c:pt idx="4">
                  <c:v>Violence</c:v>
                </c:pt>
                <c:pt idx="5">
                  <c:v>Scarlatina</c:v>
                </c:pt>
                <c:pt idx="6">
                  <c:v>Whooping Cough</c:v>
                </c:pt>
                <c:pt idx="7">
                  <c:v>Dysentery</c:v>
                </c:pt>
                <c:pt idx="8">
                  <c:v>Diphtheria</c:v>
                </c:pt>
                <c:pt idx="9">
                  <c:v>Childbed Fever</c:v>
                </c:pt>
                <c:pt idx="10">
                  <c:v>Erysipelas</c:v>
                </c:pt>
                <c:pt idx="11">
                  <c:v>Influenza</c:v>
                </c:pt>
                <c:pt idx="12">
                  <c:v>Smallpox</c:v>
                </c:pt>
                <c:pt idx="13">
                  <c:v>Childbirth</c:v>
                </c:pt>
                <c:pt idx="14">
                  <c:v>Measles</c:v>
                </c:pt>
                <c:pt idx="15">
                  <c:v>Cholera</c:v>
                </c:pt>
              </c:strCache>
            </c:strRef>
          </c:cat>
          <c:val>
            <c:numRef>
              <c:f>'Table B.1. Cumulative % curve'!$E$2:$E$17</c:f>
              <c:numCache>
                <c:formatCode>General</c:formatCode>
                <c:ptCount val="16"/>
                <c:pt idx="0">
                  <c:v>40.97</c:v>
                </c:pt>
                <c:pt idx="1">
                  <c:v>66.2</c:v>
                </c:pt>
                <c:pt idx="2">
                  <c:v>76.400000000000006</c:v>
                </c:pt>
                <c:pt idx="3">
                  <c:v>81.92</c:v>
                </c:pt>
                <c:pt idx="4">
                  <c:v>86.94</c:v>
                </c:pt>
                <c:pt idx="5">
                  <c:v>90.899999999999991</c:v>
                </c:pt>
                <c:pt idx="6">
                  <c:v>93.02</c:v>
                </c:pt>
                <c:pt idx="7">
                  <c:v>94.24</c:v>
                </c:pt>
                <c:pt idx="8">
                  <c:v>95.35</c:v>
                </c:pt>
                <c:pt idx="9">
                  <c:v>96.46</c:v>
                </c:pt>
                <c:pt idx="10">
                  <c:v>97.47</c:v>
                </c:pt>
                <c:pt idx="11">
                  <c:v>98.17</c:v>
                </c:pt>
                <c:pt idx="12">
                  <c:v>98.820000000000007</c:v>
                </c:pt>
                <c:pt idx="13">
                  <c:v>99.29</c:v>
                </c:pt>
                <c:pt idx="14">
                  <c:v>99.68</c:v>
                </c:pt>
                <c:pt idx="15">
                  <c:v>99.990000000000009</c:v>
                </c:pt>
              </c:numCache>
            </c:numRef>
          </c:val>
          <c:smooth val="0"/>
          <c:extLst>
            <c:ext xmlns:c16="http://schemas.microsoft.com/office/drawing/2014/chart" uri="{C3380CC4-5D6E-409C-BE32-E72D297353CC}">
              <c16:uniqueId val="{00000001-CF60-4F5D-B703-6290BD91D635}"/>
            </c:ext>
          </c:extLst>
        </c:ser>
        <c:dLbls>
          <c:showLegendKey val="0"/>
          <c:showVal val="0"/>
          <c:showCatName val="0"/>
          <c:showSerName val="0"/>
          <c:showPercent val="0"/>
          <c:showBubbleSize val="0"/>
        </c:dLbls>
        <c:marker val="1"/>
        <c:smooth val="0"/>
        <c:axId val="99972384"/>
        <c:axId val="99970464"/>
      </c:lineChart>
      <c:catAx>
        <c:axId val="44662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23120"/>
        <c:crosses val="autoZero"/>
        <c:auto val="1"/>
        <c:lblAlgn val="ctr"/>
        <c:lblOffset val="100"/>
        <c:noMultiLvlLbl val="0"/>
      </c:catAx>
      <c:valAx>
        <c:axId val="446623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21200"/>
        <c:crosses val="autoZero"/>
        <c:crossBetween val="between"/>
      </c:valAx>
      <c:valAx>
        <c:axId val="9997046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Cumulative</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2384"/>
        <c:crosses val="max"/>
        <c:crossBetween val="between"/>
      </c:valAx>
      <c:catAx>
        <c:axId val="99972384"/>
        <c:scaling>
          <c:orientation val="minMax"/>
        </c:scaling>
        <c:delete val="1"/>
        <c:axPos val="b"/>
        <c:numFmt formatCode="General" sourceLinked="1"/>
        <c:majorTickMark val="out"/>
        <c:minorTickMark val="none"/>
        <c:tickLblPos val="nextTo"/>
        <c:crossAx val="9997046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88900</xdr:rowOff>
    </xdr:to>
    <xdr:pic>
      <xdr:nvPicPr>
        <xdr:cNvPr id="3" name="image1.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6273800" y="196850"/>
          <a:ext cx="2683933" cy="4025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xdr:row>
      <xdr:rowOff>0</xdr:rowOff>
    </xdr:from>
    <xdr:to>
      <xdr:col>14</xdr:col>
      <xdr:colOff>190500</xdr:colOff>
      <xdr:row>17</xdr:row>
      <xdr:rowOff>0</xdr:rowOff>
    </xdr:to>
    <xdr:graphicFrame macro="">
      <xdr:nvGraphicFramePr>
        <xdr:cNvPr id="3" name="Chart 2">
          <a:extLst>
            <a:ext uri="{FF2B5EF4-FFF2-40B4-BE49-F238E27FC236}">
              <a16:creationId xmlns:a16="http://schemas.microsoft.com/office/drawing/2014/main" id="{479CD64D-8659-2849-8E93-DA13EE286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xdr:row>
      <xdr:rowOff>0</xdr:rowOff>
    </xdr:from>
    <xdr:to>
      <xdr:col>14</xdr:col>
      <xdr:colOff>190500</xdr:colOff>
      <xdr:row>17</xdr:row>
      <xdr:rowOff>0</xdr:rowOff>
    </xdr:to>
    <xdr:graphicFrame macro="">
      <xdr:nvGraphicFramePr>
        <xdr:cNvPr id="2" name="Chart 1">
          <a:extLst>
            <a:ext uri="{FF2B5EF4-FFF2-40B4-BE49-F238E27FC236}">
              <a16:creationId xmlns:a16="http://schemas.microsoft.com/office/drawing/2014/main" id="{9F5C64C5-541D-4173-8302-96FB8F374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5DDB5CE7-5B99-45C9-85E2-B796405C1C82}" autoFormatId="16" applyNumberFormats="0" applyBorderFormats="0" applyFontFormats="0" applyPatternFormats="0" applyAlignmentFormats="0" applyWidthHeightFormats="0">
  <queryTableRefresh nextId="6" unboundColumnsRight="2">
    <queryTableFields count="5">
      <queryTableField id="1" name="City" tableColumnId="1"/>
      <queryTableField id="2" name="Cause of Death" tableColumnId="2"/>
      <queryTableField id="3" name="Number of Deaths" tableColumnId="3"/>
      <queryTableField id="4" dataBound="0" tableColumnId="4"/>
      <queryTableField id="5" dataBound="0"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7540D4D6-5255-4372-BC2D-41D4B2B3174A}" autoFormatId="16" applyNumberFormats="0" applyBorderFormats="0" applyFontFormats="0" applyPatternFormats="0" applyAlignmentFormats="0" applyWidthHeightFormats="0">
  <queryTableRefresh nextId="6" unboundColumnsRight="2">
    <queryTableFields count="5">
      <queryTableField id="1" name="City" tableColumnId="1"/>
      <queryTableField id="2" name="Cause of Death" tableColumnId="2"/>
      <queryTableField id="3" name="Number of Deaths" tableColumnId="3"/>
      <queryTableField id="4" dataBound="0" tableColumnId="4"/>
      <queryTableField id="5" dataBound="0"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85A17403-E9A7-422C-B4D0-41766C6A155B}" autoFormatId="16" applyNumberFormats="0" applyBorderFormats="0" applyFontFormats="0" applyPatternFormats="0" applyAlignmentFormats="0" applyWidthHeightFormats="0">
  <queryTableRefresh nextId="4">
    <queryTableFields count="3">
      <queryTableField id="1" name="City" tableColumnId="1"/>
      <queryTableField id="2" name="Cause of Death" tableColumnId="2"/>
      <queryTableField id="3" name="Number of Deaths"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D506100-0C12-4A52-846E-167BE4570149}" name="causes_of_death_in_1864_dublin1415" displayName="causes_of_death_in_1864_dublin1415" ref="A1:E17" tableType="queryTable" totalsRowShown="0" headerRowDxfId="18" dataDxfId="17">
  <autoFilter ref="A1:E17" xr:uid="{DEC3DE23-E41D-47FD-8DDF-DC8E30B632AD}"/>
  <sortState xmlns:xlrd2="http://schemas.microsoft.com/office/spreadsheetml/2017/richdata2" ref="A2:C17">
    <sortCondition descending="1" ref="C1:C17"/>
  </sortState>
  <tableColumns count="5">
    <tableColumn id="1" xr3:uid="{79276238-706C-4883-8AF8-4F6F873D1757}" uniqueName="1" name="City" queryTableFieldId="1" dataDxfId="16"/>
    <tableColumn id="2" xr3:uid="{B896F28C-1E36-45C3-9C73-45D59E6F7FF7}" uniqueName="2" name="Cause of Death" queryTableFieldId="2" dataDxfId="15"/>
    <tableColumn id="3" xr3:uid="{E4EB3147-FBDC-4AB4-A914-B8A0E42FFB08}" uniqueName="3" name="Number of Deaths" queryTableFieldId="3" dataDxfId="14"/>
    <tableColumn id="4" xr3:uid="{8D8DF5DD-EB1D-4B2A-BD6F-D9DE4D6EACF4}" uniqueName="4" name="% of Total" queryTableFieldId="4" dataDxfId="13">
      <calculatedColumnFormula>ROUND((C2/$C$18)*100,2)</calculatedColumnFormula>
    </tableColumn>
    <tableColumn id="5" xr3:uid="{BBA43010-359E-4531-8B32-9878D44C9C19}" uniqueName="5" name="Cumulative %" queryTableFieldId="5" dataDxfId="12">
      <calculatedColumnFormula>D2</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48D59F-6BED-4D47-8B66-E9FA8B795B27}" name="causes_of_death_in_1864_dublin14152" displayName="causes_of_death_in_1864_dublin14152" ref="A1:E17" tableType="queryTable" totalsRowShown="0" headerRowDxfId="11" dataDxfId="10">
  <autoFilter ref="A1:E17" xr:uid="{DEC3DE23-E41D-47FD-8DDF-DC8E30B632AD}"/>
  <sortState xmlns:xlrd2="http://schemas.microsoft.com/office/spreadsheetml/2017/richdata2" ref="A2:C17">
    <sortCondition descending="1" ref="C1:C17"/>
  </sortState>
  <tableColumns count="5">
    <tableColumn id="1" xr3:uid="{9FB1B2F6-2A15-4577-95F0-A9D6112A487B}" uniqueName="1" name="City" queryTableFieldId="1" dataDxfId="9"/>
    <tableColumn id="2" xr3:uid="{8D39FFDA-9E36-48B7-A3E7-081C48BE4CFD}" uniqueName="2" name="Cause of Death" queryTableFieldId="2" dataDxfId="8"/>
    <tableColumn id="3" xr3:uid="{B729E13C-2BFA-4CC7-B0DE-04B9F7BE60EF}" uniqueName="3" name="Number of Deaths" queryTableFieldId="3" dataDxfId="7"/>
    <tableColumn id="4" xr3:uid="{09AB3FCE-CD2A-4ADD-997B-F3B5B8002993}" uniqueName="4" name="% of Total" queryTableFieldId="4" dataDxfId="6">
      <calculatedColumnFormula>ROUND((C2/$C$18)*100,2)</calculatedColumnFormula>
    </tableColumn>
    <tableColumn id="5" xr3:uid="{6804E7B4-E9C3-451E-8406-DCD6DE5D065D}" uniqueName="5" name="Cumulative %" queryTableFieldId="5" dataDxfId="5">
      <calculatedColumnFormula>D2</calculatedColumnFormula>
    </tableColumn>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08DD14-87D5-48F8-B3EE-E8F4C2490729}" name="causes_of_death_in_1864_dublin" displayName="causes_of_death_in_1864_dublin" ref="A1:C17" tableType="queryTable" totalsRowShown="0" headerRowDxfId="4" dataDxfId="3">
  <autoFilter ref="A1:C17" xr:uid="{9B08DD14-87D5-48F8-B3EE-E8F4C2490729}"/>
  <tableColumns count="3">
    <tableColumn id="1" xr3:uid="{AB89E087-AEAB-423D-84B3-E77BE074ACE3}" uniqueName="1" name="City" queryTableFieldId="1" dataDxfId="2"/>
    <tableColumn id="2" xr3:uid="{2A951708-0B95-4B13-9B4A-9C29B495E500}" uniqueName="2" name="Cause of Death" queryTableFieldId="2" dataDxfId="1"/>
    <tableColumn id="3" xr3:uid="{0F9414FC-CE29-49C0-9589-E85CFC3B89E9}" uniqueName="3" name="Number of Deaths" queryTableFieldId="3" dataDxfId="0"/>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40"/>
  <sheetViews>
    <sheetView showGridLines="0" tabSelected="1" workbookViewId="0">
      <selection activeCell="O11" sqref="O11"/>
    </sheetView>
  </sheetViews>
  <sheetFormatPr defaultColWidth="12.6640625" defaultRowHeight="15.75" customHeight="1"/>
  <cols>
    <col min="8" max="8" width="1.33203125" customWidth="1"/>
    <col min="13" max="13" width="1.33203125" customWidth="1"/>
  </cols>
  <sheetData>
    <row r="1" spans="1:12" ht="24.6">
      <c r="A1" s="41" t="s">
        <v>30</v>
      </c>
      <c r="B1" s="42"/>
      <c r="C1" s="42"/>
      <c r="D1" s="42"/>
      <c r="E1" s="42"/>
      <c r="F1" s="42"/>
      <c r="G1" s="43"/>
      <c r="H1" s="1"/>
      <c r="I1" s="1"/>
      <c r="J1" s="1"/>
      <c r="K1" s="1"/>
      <c r="L1" s="1"/>
    </row>
    <row r="2" spans="1:12" ht="15.75" customHeight="1">
      <c r="A2" s="27" t="s">
        <v>31</v>
      </c>
      <c r="B2" s="28"/>
      <c r="C2" s="28"/>
      <c r="D2" s="28"/>
      <c r="E2" s="28"/>
      <c r="F2" s="28"/>
      <c r="G2" s="29"/>
      <c r="H2" s="1"/>
      <c r="I2" s="1"/>
    </row>
    <row r="3" spans="1:12" ht="15.75" customHeight="1">
      <c r="A3" s="30"/>
      <c r="B3" s="31"/>
      <c r="C3" s="31"/>
      <c r="D3" s="31"/>
      <c r="E3" s="31"/>
      <c r="F3" s="31"/>
      <c r="G3" s="32"/>
      <c r="H3" s="1"/>
    </row>
    <row r="4" spans="1:12" ht="15.75" customHeight="1">
      <c r="A4" s="30"/>
      <c r="B4" s="31"/>
      <c r="C4" s="31"/>
      <c r="D4" s="31"/>
      <c r="E4" s="31"/>
      <c r="F4" s="31"/>
      <c r="G4" s="32"/>
      <c r="H4" s="1"/>
    </row>
    <row r="5" spans="1:12" ht="15.75" customHeight="1">
      <c r="A5" s="30"/>
      <c r="B5" s="31"/>
      <c r="C5" s="31"/>
      <c r="D5" s="31"/>
      <c r="E5" s="31"/>
      <c r="F5" s="31"/>
      <c r="G5" s="32"/>
      <c r="H5" s="1"/>
    </row>
    <row r="6" spans="1:12" ht="15.75" customHeight="1">
      <c r="A6" s="30"/>
      <c r="B6" s="31"/>
      <c r="C6" s="31"/>
      <c r="D6" s="31"/>
      <c r="E6" s="31"/>
      <c r="F6" s="31"/>
      <c r="G6" s="32"/>
      <c r="H6" s="1"/>
    </row>
    <row r="7" spans="1:12" ht="15.75" customHeight="1">
      <c r="A7" s="30"/>
      <c r="B7" s="31"/>
      <c r="C7" s="31"/>
      <c r="D7" s="31"/>
      <c r="E7" s="31"/>
      <c r="F7" s="31"/>
      <c r="G7" s="32"/>
      <c r="H7" s="1"/>
    </row>
    <row r="8" spans="1:12" ht="15.75" customHeight="1">
      <c r="A8" s="30"/>
      <c r="B8" s="31"/>
      <c r="C8" s="31"/>
      <c r="D8" s="31"/>
      <c r="E8" s="31"/>
      <c r="F8" s="31"/>
      <c r="G8" s="32"/>
      <c r="H8" s="1"/>
    </row>
    <row r="9" spans="1:12" ht="15.75" customHeight="1">
      <c r="A9" s="30"/>
      <c r="B9" s="31"/>
      <c r="C9" s="31"/>
      <c r="D9" s="31"/>
      <c r="E9" s="31"/>
      <c r="F9" s="31"/>
      <c r="G9" s="32"/>
      <c r="H9" s="1"/>
    </row>
    <row r="10" spans="1:12" ht="15.75" customHeight="1">
      <c r="A10" s="30"/>
      <c r="B10" s="31"/>
      <c r="C10" s="31"/>
      <c r="D10" s="31"/>
      <c r="E10" s="31"/>
      <c r="F10" s="31"/>
      <c r="G10" s="32"/>
      <c r="H10" s="1"/>
    </row>
    <row r="11" spans="1:12" ht="15.75" customHeight="1">
      <c r="A11" s="30"/>
      <c r="B11" s="31"/>
      <c r="C11" s="31"/>
      <c r="D11" s="31"/>
      <c r="E11" s="31"/>
      <c r="F11" s="31"/>
      <c r="G11" s="32"/>
      <c r="H11" s="1"/>
    </row>
    <row r="12" spans="1:12" ht="15.75" customHeight="1">
      <c r="A12" s="30"/>
      <c r="B12" s="31"/>
      <c r="C12" s="31"/>
      <c r="D12" s="31"/>
      <c r="E12" s="31"/>
      <c r="F12" s="31"/>
      <c r="G12" s="32"/>
      <c r="H12" s="1"/>
    </row>
    <row r="13" spans="1:12" ht="15.75" customHeight="1">
      <c r="A13" s="30"/>
      <c r="B13" s="31"/>
      <c r="C13" s="31"/>
      <c r="D13" s="31"/>
      <c r="E13" s="31"/>
      <c r="F13" s="31"/>
      <c r="G13" s="32"/>
      <c r="H13" s="1"/>
    </row>
    <row r="14" spans="1:12" ht="15.75" customHeight="1">
      <c r="A14" s="30"/>
      <c r="B14" s="31"/>
      <c r="C14" s="31"/>
      <c r="D14" s="31"/>
      <c r="E14" s="31"/>
      <c r="F14" s="31"/>
      <c r="G14" s="32"/>
      <c r="H14" s="1"/>
    </row>
    <row r="15" spans="1:12" ht="15.75" customHeight="1">
      <c r="A15" s="30"/>
      <c r="B15" s="31"/>
      <c r="C15" s="31"/>
      <c r="D15" s="31"/>
      <c r="E15" s="31"/>
      <c r="F15" s="31"/>
      <c r="G15" s="32"/>
      <c r="H15" s="1"/>
    </row>
    <row r="16" spans="1:12" ht="15.75" customHeight="1">
      <c r="A16" s="30"/>
      <c r="B16" s="31"/>
      <c r="C16" s="31"/>
      <c r="D16" s="31"/>
      <c r="E16" s="31"/>
      <c r="F16" s="31"/>
      <c r="G16" s="32"/>
      <c r="H16" s="1"/>
    </row>
    <row r="17" spans="1:8" ht="15.75" customHeight="1">
      <c r="A17" s="30"/>
      <c r="B17" s="31"/>
      <c r="C17" s="31"/>
      <c r="D17" s="31"/>
      <c r="E17" s="31"/>
      <c r="F17" s="31"/>
      <c r="G17" s="32"/>
      <c r="H17" s="1"/>
    </row>
    <row r="18" spans="1:8" ht="15.75" customHeight="1">
      <c r="A18" s="30"/>
      <c r="B18" s="31"/>
      <c r="C18" s="31"/>
      <c r="D18" s="31"/>
      <c r="E18" s="31"/>
      <c r="F18" s="31"/>
      <c r="G18" s="32"/>
      <c r="H18" s="1"/>
    </row>
    <row r="19" spans="1:8" ht="15.75" customHeight="1">
      <c r="A19" s="30"/>
      <c r="B19" s="31"/>
      <c r="C19" s="31"/>
      <c r="D19" s="31"/>
      <c r="E19" s="31"/>
      <c r="F19" s="31"/>
      <c r="G19" s="32"/>
      <c r="H19" s="1"/>
    </row>
    <row r="20" spans="1:8" ht="15.75" customHeight="1">
      <c r="A20" s="30"/>
      <c r="B20" s="31"/>
      <c r="C20" s="31"/>
      <c r="D20" s="31"/>
      <c r="E20" s="31"/>
      <c r="F20" s="31"/>
      <c r="G20" s="32"/>
      <c r="H20" s="1"/>
    </row>
    <row r="21" spans="1:8" ht="15.75" customHeight="1">
      <c r="A21" s="30"/>
      <c r="B21" s="31"/>
      <c r="C21" s="31"/>
      <c r="D21" s="31"/>
      <c r="E21" s="31"/>
      <c r="F21" s="31"/>
      <c r="G21" s="32"/>
      <c r="H21" s="1"/>
    </row>
    <row r="22" spans="1:8" ht="15.75" customHeight="1">
      <c r="A22" s="30"/>
      <c r="B22" s="31"/>
      <c r="C22" s="31"/>
      <c r="D22" s="31"/>
      <c r="E22" s="31"/>
      <c r="F22" s="31"/>
      <c r="G22" s="32"/>
      <c r="H22" s="1"/>
    </row>
    <row r="23" spans="1:8" ht="15.75" customHeight="1">
      <c r="A23" s="33" t="s">
        <v>20</v>
      </c>
      <c r="B23" s="34"/>
      <c r="C23" s="34"/>
      <c r="D23" s="34"/>
      <c r="E23" s="34"/>
      <c r="F23" s="34"/>
      <c r="G23" s="35"/>
      <c r="H23" s="1"/>
    </row>
    <row r="24" spans="1:8" ht="15.75" customHeight="1">
      <c r="A24" s="21" t="s">
        <v>21</v>
      </c>
      <c r="B24" s="22"/>
      <c r="C24" s="22"/>
      <c r="D24" s="22"/>
      <c r="E24" s="22"/>
      <c r="F24" s="22"/>
      <c r="G24" s="23"/>
      <c r="H24" s="1"/>
    </row>
    <row r="25" spans="1:8" ht="15.75" customHeight="1">
      <c r="A25" s="24" t="s">
        <v>22</v>
      </c>
      <c r="B25" s="25"/>
      <c r="C25" s="25"/>
      <c r="D25" s="25"/>
      <c r="E25" s="25"/>
      <c r="F25" s="25"/>
      <c r="G25" s="26"/>
      <c r="H25" s="1"/>
    </row>
    <row r="26" spans="1:8" ht="15.75" customHeight="1">
      <c r="A26" s="21" t="s">
        <v>23</v>
      </c>
      <c r="B26" s="22"/>
      <c r="C26" s="22"/>
      <c r="D26" s="22"/>
      <c r="E26" s="22"/>
      <c r="F26" s="22"/>
      <c r="G26" s="23"/>
      <c r="H26" s="1"/>
    </row>
    <row r="27" spans="1:8" ht="13.2" customHeight="1">
      <c r="A27" s="24" t="s">
        <v>24</v>
      </c>
      <c r="B27" s="25"/>
      <c r="C27" s="25"/>
      <c r="D27" s="25"/>
      <c r="E27" s="25"/>
      <c r="F27" s="25"/>
      <c r="G27" s="26"/>
      <c r="H27" s="1"/>
    </row>
    <row r="28" spans="1:8" ht="15.75" customHeight="1">
      <c r="A28" s="21" t="s">
        <v>25</v>
      </c>
      <c r="B28" s="22"/>
      <c r="C28" s="22"/>
      <c r="D28" s="22"/>
      <c r="E28" s="22"/>
      <c r="F28" s="22"/>
      <c r="G28" s="23"/>
    </row>
    <row r="29" spans="1:8" ht="15.75" customHeight="1">
      <c r="A29" s="21" t="s">
        <v>26</v>
      </c>
      <c r="B29" s="22"/>
      <c r="C29" s="22"/>
      <c r="D29" s="22"/>
      <c r="E29" s="22"/>
      <c r="F29" s="22"/>
      <c r="G29" s="23"/>
    </row>
    <row r="30" spans="1:8" ht="15.75" customHeight="1">
      <c r="A30" s="36" t="s">
        <v>34</v>
      </c>
      <c r="B30" s="37"/>
      <c r="C30" s="37"/>
      <c r="D30" s="37"/>
      <c r="E30" s="37"/>
      <c r="F30" s="37"/>
      <c r="G30" s="38"/>
    </row>
    <row r="31" spans="1:8" ht="15.75" customHeight="1">
      <c r="A31" s="20" t="s">
        <v>32</v>
      </c>
      <c r="B31" s="39" t="s">
        <v>33</v>
      </c>
      <c r="C31" s="39"/>
      <c r="D31" s="39"/>
      <c r="E31" s="39"/>
      <c r="F31" s="39"/>
      <c r="G31" s="40"/>
    </row>
    <row r="32" spans="1:8" ht="15.75" customHeight="1">
      <c r="A32" s="17"/>
      <c r="B32" s="17"/>
      <c r="C32" s="17"/>
      <c r="D32" s="17"/>
      <c r="E32" s="17"/>
      <c r="F32" s="17"/>
      <c r="G32" s="17"/>
    </row>
    <row r="33" spans="1:7" ht="15.75" customHeight="1">
      <c r="A33" s="17"/>
      <c r="B33" s="17"/>
      <c r="C33" s="17"/>
      <c r="D33" s="17"/>
      <c r="E33" s="17"/>
      <c r="F33" s="17"/>
      <c r="G33" s="17"/>
    </row>
    <row r="34" spans="1:7" ht="15.75" customHeight="1">
      <c r="A34" s="19"/>
      <c r="B34" s="19"/>
      <c r="C34" s="19"/>
      <c r="D34" s="19"/>
      <c r="E34" s="19"/>
      <c r="F34" s="19"/>
      <c r="G34" s="19"/>
    </row>
    <row r="35" spans="1:7" ht="15.75" customHeight="1">
      <c r="A35" s="18"/>
      <c r="B35" s="18"/>
      <c r="C35" s="18"/>
      <c r="D35" s="18"/>
      <c r="E35" s="18"/>
      <c r="F35" s="18"/>
      <c r="G35" s="18"/>
    </row>
    <row r="36" spans="1:7" ht="15.75" customHeight="1">
      <c r="A36" s="19"/>
      <c r="B36" s="19"/>
      <c r="C36" s="19"/>
      <c r="D36" s="19"/>
      <c r="E36" s="19"/>
      <c r="F36" s="19"/>
      <c r="G36" s="19"/>
    </row>
    <row r="37" spans="1:7" ht="15.75" customHeight="1">
      <c r="A37" s="18"/>
      <c r="B37" s="18"/>
      <c r="C37" s="18"/>
      <c r="D37" s="18"/>
      <c r="E37" s="18"/>
      <c r="F37" s="18"/>
      <c r="G37" s="18"/>
    </row>
    <row r="38" spans="1:7" ht="15.75" customHeight="1">
      <c r="A38" s="19"/>
      <c r="B38" s="19"/>
      <c r="C38" s="19"/>
      <c r="D38" s="19"/>
      <c r="E38" s="19"/>
      <c r="F38" s="19"/>
      <c r="G38" s="19"/>
    </row>
    <row r="39" spans="1:7" ht="15.75" customHeight="1">
      <c r="A39" s="18"/>
      <c r="B39" s="18"/>
      <c r="C39" s="18"/>
      <c r="D39" s="18"/>
      <c r="E39" s="18"/>
      <c r="F39" s="18"/>
      <c r="G39" s="18"/>
    </row>
    <row r="40" spans="1:7" ht="15.75" customHeight="1">
      <c r="A40" s="22"/>
      <c r="B40" s="22"/>
      <c r="C40" s="22"/>
      <c r="D40" s="22"/>
      <c r="E40" s="22"/>
      <c r="F40" s="22"/>
      <c r="G40" s="22"/>
    </row>
  </sheetData>
  <mergeCells count="12">
    <mergeCell ref="A28:G28"/>
    <mergeCell ref="A29:G29"/>
    <mergeCell ref="A30:G30"/>
    <mergeCell ref="B31:G31"/>
    <mergeCell ref="A40:G40"/>
    <mergeCell ref="A26:G26"/>
    <mergeCell ref="A27:G27"/>
    <mergeCell ref="A1:G1"/>
    <mergeCell ref="A2:G22"/>
    <mergeCell ref="A23:G23"/>
    <mergeCell ref="A24:G24"/>
    <mergeCell ref="A25:G25"/>
  </mergeCells>
  <hyperlinks>
    <hyperlink ref="A26" r:id="rId1" xr:uid="{12FAB849-13DC-4330-A8C2-8D0506E69102}"/>
    <hyperlink ref="A24" r:id="rId2" xr:uid="{E3693745-1716-42FF-B732-70C94ECD0C27}"/>
    <hyperlink ref="A28" r:id="rId3" xr:uid="{E76CA312-02DF-4372-A11B-0432940355D9}"/>
    <hyperlink ref="A29" r:id="rId4" xr:uid="{49D2AE16-5638-4D2B-A499-B59F8F9A14DA}"/>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40AE0-F00F-4624-8763-38FF0477F9EB}">
  <sheetPr>
    <outlinePr summaryBelow="0" summaryRight="0"/>
  </sheetPr>
  <dimension ref="A1:I18"/>
  <sheetViews>
    <sheetView workbookViewId="0">
      <selection activeCell="K21" sqref="K21"/>
    </sheetView>
  </sheetViews>
  <sheetFormatPr defaultColWidth="12.6640625" defaultRowHeight="15.75" customHeight="1"/>
  <cols>
    <col min="1" max="1" width="17.44140625" customWidth="1"/>
    <col min="2" max="2" width="16" bestFit="1" customWidth="1"/>
    <col min="3" max="3" width="18" customWidth="1"/>
    <col min="4" max="4" width="11.33203125" bestFit="1" customWidth="1"/>
    <col min="5" max="5" width="14.21875" bestFit="1" customWidth="1"/>
    <col min="6" max="6" width="14.21875" customWidth="1"/>
  </cols>
  <sheetData>
    <row r="1" spans="1:9" ht="15.75" customHeight="1">
      <c r="A1" s="14" t="s">
        <v>27</v>
      </c>
      <c r="B1" s="14" t="s">
        <v>1</v>
      </c>
      <c r="C1" s="14" t="s">
        <v>2</v>
      </c>
      <c r="D1" s="16" t="s">
        <v>18</v>
      </c>
      <c r="E1" s="16" t="s">
        <v>19</v>
      </c>
      <c r="F1" s="16"/>
      <c r="H1" s="2"/>
      <c r="I1" s="2"/>
    </row>
    <row r="2" spans="1:9" ht="15.75" customHeight="1">
      <c r="A2" s="15" t="s">
        <v>3</v>
      </c>
      <c r="B2" s="12" t="s">
        <v>4</v>
      </c>
      <c r="C2">
        <v>1582</v>
      </c>
      <c r="D2" s="12">
        <f t="shared" ref="D2:D17" si="0">ROUND((C2/$C$18)*100,2)</f>
        <v>40.97</v>
      </c>
      <c r="E2" s="12">
        <f t="shared" ref="E2" si="1">D2</f>
        <v>40.97</v>
      </c>
      <c r="F2" s="12"/>
      <c r="H2" s="3"/>
      <c r="I2" s="3"/>
    </row>
    <row r="3" spans="1:9" ht="15.75" customHeight="1">
      <c r="A3" s="15" t="s">
        <v>3</v>
      </c>
      <c r="B3" s="12" t="s">
        <v>5</v>
      </c>
      <c r="C3">
        <v>974</v>
      </c>
      <c r="D3" s="12">
        <f t="shared" si="0"/>
        <v>25.23</v>
      </c>
      <c r="E3" s="12">
        <f>D3+E2</f>
        <v>66.2</v>
      </c>
      <c r="F3" s="12"/>
      <c r="H3" s="3"/>
      <c r="I3" s="3"/>
    </row>
    <row r="4" spans="1:9" ht="15.75" customHeight="1">
      <c r="A4" s="9" t="s">
        <v>3</v>
      </c>
      <c r="B4" s="8" t="s">
        <v>6</v>
      </c>
      <c r="C4">
        <v>394</v>
      </c>
      <c r="D4" s="12">
        <f t="shared" si="0"/>
        <v>10.199999999999999</v>
      </c>
      <c r="E4" s="12">
        <f t="shared" ref="E4:E17" si="2">D4+E3</f>
        <v>76.400000000000006</v>
      </c>
      <c r="F4" s="12"/>
      <c r="H4" s="3"/>
      <c r="I4" s="3"/>
    </row>
    <row r="5" spans="1:9" ht="15.75" customHeight="1">
      <c r="A5" s="15" t="s">
        <v>3</v>
      </c>
      <c r="B5" s="12" t="s">
        <v>7</v>
      </c>
      <c r="C5">
        <v>213</v>
      </c>
      <c r="D5" s="12">
        <f t="shared" si="0"/>
        <v>5.52</v>
      </c>
      <c r="E5" s="12">
        <f t="shared" si="2"/>
        <v>81.92</v>
      </c>
      <c r="F5" s="12"/>
      <c r="H5" s="3"/>
      <c r="I5" s="3"/>
    </row>
    <row r="6" spans="1:9" ht="15.75" customHeight="1">
      <c r="A6" s="15" t="s">
        <v>3</v>
      </c>
      <c r="B6" s="12" t="s">
        <v>8</v>
      </c>
      <c r="C6">
        <v>194</v>
      </c>
      <c r="D6" s="12">
        <f t="shared" si="0"/>
        <v>5.0199999999999996</v>
      </c>
      <c r="E6" s="12">
        <f t="shared" si="2"/>
        <v>86.94</v>
      </c>
      <c r="F6" s="12"/>
      <c r="H6" s="3"/>
      <c r="I6" s="3"/>
    </row>
    <row r="7" spans="1:9" ht="15.75" customHeight="1">
      <c r="A7" s="15" t="s">
        <v>3</v>
      </c>
      <c r="B7" s="12" t="s">
        <v>9</v>
      </c>
      <c r="C7">
        <v>153</v>
      </c>
      <c r="D7" s="12">
        <f t="shared" si="0"/>
        <v>3.96</v>
      </c>
      <c r="E7" s="12">
        <f t="shared" si="2"/>
        <v>90.899999999999991</v>
      </c>
      <c r="F7" s="12"/>
      <c r="H7" s="3"/>
      <c r="I7" s="3"/>
    </row>
    <row r="8" spans="1:9" ht="15.75" customHeight="1">
      <c r="A8" s="9" t="s">
        <v>3</v>
      </c>
      <c r="B8" s="8" t="s">
        <v>29</v>
      </c>
      <c r="C8">
        <v>82</v>
      </c>
      <c r="D8" s="12">
        <f t="shared" si="0"/>
        <v>2.12</v>
      </c>
      <c r="E8" s="12">
        <f t="shared" si="2"/>
        <v>93.02</v>
      </c>
      <c r="F8" s="12"/>
      <c r="H8" s="3"/>
      <c r="I8" s="3"/>
    </row>
    <row r="9" spans="1:9" ht="15.75" customHeight="1">
      <c r="A9" s="15" t="s">
        <v>3</v>
      </c>
      <c r="B9" s="12" t="s">
        <v>10</v>
      </c>
      <c r="C9">
        <v>47</v>
      </c>
      <c r="D9" s="12">
        <f t="shared" si="0"/>
        <v>1.22</v>
      </c>
      <c r="E9" s="12">
        <f t="shared" si="2"/>
        <v>94.24</v>
      </c>
      <c r="F9" s="12"/>
      <c r="H9" s="3"/>
      <c r="I9" s="3"/>
    </row>
    <row r="10" spans="1:9" ht="15.75" customHeight="1">
      <c r="A10" s="9" t="s">
        <v>3</v>
      </c>
      <c r="B10" s="8" t="s">
        <v>11</v>
      </c>
      <c r="C10">
        <v>43</v>
      </c>
      <c r="D10" s="12">
        <f t="shared" si="0"/>
        <v>1.1100000000000001</v>
      </c>
      <c r="E10" s="12">
        <f t="shared" si="2"/>
        <v>95.35</v>
      </c>
      <c r="F10" s="12"/>
      <c r="H10" s="3"/>
      <c r="I10" s="3"/>
    </row>
    <row r="11" spans="1:9" ht="15.75" customHeight="1">
      <c r="A11" s="15" t="s">
        <v>3</v>
      </c>
      <c r="B11" s="12" t="s">
        <v>12</v>
      </c>
      <c r="C11">
        <v>43</v>
      </c>
      <c r="D11" s="12">
        <f t="shared" si="0"/>
        <v>1.1100000000000001</v>
      </c>
      <c r="E11" s="12">
        <f t="shared" si="2"/>
        <v>96.46</v>
      </c>
      <c r="F11" s="12"/>
      <c r="H11" s="3"/>
      <c r="I11" s="3"/>
    </row>
    <row r="12" spans="1:9" ht="15.75" customHeight="1">
      <c r="A12" s="15" t="s">
        <v>3</v>
      </c>
      <c r="B12" s="12" t="s">
        <v>13</v>
      </c>
      <c r="C12">
        <v>39</v>
      </c>
      <c r="D12" s="12">
        <f t="shared" si="0"/>
        <v>1.01</v>
      </c>
      <c r="E12" s="12">
        <f t="shared" si="2"/>
        <v>97.47</v>
      </c>
      <c r="F12" s="12"/>
      <c r="H12" s="3"/>
      <c r="I12" s="3"/>
    </row>
    <row r="13" spans="1:9" ht="15.75" customHeight="1">
      <c r="A13" s="15" t="s">
        <v>3</v>
      </c>
      <c r="B13" s="12" t="s">
        <v>14</v>
      </c>
      <c r="C13">
        <v>27</v>
      </c>
      <c r="D13" s="12">
        <f t="shared" si="0"/>
        <v>0.7</v>
      </c>
      <c r="E13" s="12">
        <f t="shared" si="2"/>
        <v>98.17</v>
      </c>
      <c r="F13" s="12"/>
      <c r="H13" s="3"/>
      <c r="I13" s="3"/>
    </row>
    <row r="14" spans="1:9" ht="15.75" customHeight="1">
      <c r="A14" s="14" t="s">
        <v>3</v>
      </c>
      <c r="B14" s="13" t="s">
        <v>28</v>
      </c>
      <c r="C14">
        <v>25.18</v>
      </c>
      <c r="D14" s="12">
        <f t="shared" si="0"/>
        <v>0.65</v>
      </c>
      <c r="E14" s="12">
        <f t="shared" si="2"/>
        <v>98.820000000000007</v>
      </c>
      <c r="F14" s="12"/>
      <c r="H14" s="3"/>
      <c r="I14" s="3"/>
    </row>
    <row r="15" spans="1:9" ht="15.75" customHeight="1">
      <c r="A15" s="15" t="s">
        <v>3</v>
      </c>
      <c r="B15" s="12" t="s">
        <v>15</v>
      </c>
      <c r="C15">
        <v>18</v>
      </c>
      <c r="D15" s="12">
        <f t="shared" si="0"/>
        <v>0.47</v>
      </c>
      <c r="E15" s="12">
        <f>D15+E14</f>
        <v>99.29</v>
      </c>
      <c r="F15" s="12"/>
      <c r="H15" s="3"/>
      <c r="I15" s="3"/>
    </row>
    <row r="16" spans="1:9" ht="15.75" customHeight="1">
      <c r="A16" s="14" t="s">
        <v>3</v>
      </c>
      <c r="B16" s="13" t="s">
        <v>16</v>
      </c>
      <c r="C16">
        <v>15</v>
      </c>
      <c r="D16" s="12">
        <f t="shared" si="0"/>
        <v>0.39</v>
      </c>
      <c r="E16" s="12">
        <f t="shared" si="2"/>
        <v>99.68</v>
      </c>
      <c r="F16" s="12"/>
      <c r="H16" s="3"/>
      <c r="I16" s="3"/>
    </row>
    <row r="17" spans="1:9" ht="15.75" customHeight="1">
      <c r="A17" s="15" t="s">
        <v>3</v>
      </c>
      <c r="B17" s="12" t="s">
        <v>17</v>
      </c>
      <c r="C17">
        <v>12</v>
      </c>
      <c r="D17" s="12">
        <f t="shared" si="0"/>
        <v>0.31</v>
      </c>
      <c r="E17" s="12">
        <f t="shared" si="2"/>
        <v>99.990000000000009</v>
      </c>
      <c r="F17" s="12"/>
      <c r="H17" s="4"/>
      <c r="I17" s="4"/>
    </row>
    <row r="18" spans="1:9" ht="15.75" customHeight="1">
      <c r="B18" s="11" t="s">
        <v>0</v>
      </c>
      <c r="C18">
        <f>SUM(causes_of_death_in_1864_dublin1415[Number of Deaths])</f>
        <v>3861.18</v>
      </c>
      <c r="D18">
        <f>SUM(causes_of_death_in_1864_dublin1415[% of Total])</f>
        <v>99.990000000000009</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5F700-D2B3-400F-815C-5190AA72DFEE}">
  <sheetPr>
    <outlinePr summaryBelow="0" summaryRight="0"/>
  </sheetPr>
  <dimension ref="A1:I18"/>
  <sheetViews>
    <sheetView workbookViewId="0">
      <selection activeCell="K21" sqref="K21"/>
    </sheetView>
  </sheetViews>
  <sheetFormatPr defaultColWidth="12.6640625" defaultRowHeight="15.75" customHeight="1"/>
  <cols>
    <col min="1" max="1" width="17.44140625" customWidth="1"/>
    <col min="2" max="2" width="16" bestFit="1" customWidth="1"/>
    <col min="3" max="3" width="18" customWidth="1"/>
    <col min="4" max="4" width="11.33203125" bestFit="1" customWidth="1"/>
    <col min="5" max="5" width="14.21875" bestFit="1" customWidth="1"/>
    <col min="6" max="6" width="14.21875" customWidth="1"/>
  </cols>
  <sheetData>
    <row r="1" spans="1:9" ht="15.75" customHeight="1">
      <c r="A1" s="14" t="s">
        <v>27</v>
      </c>
      <c r="B1" s="14" t="s">
        <v>1</v>
      </c>
      <c r="C1" s="14" t="s">
        <v>2</v>
      </c>
      <c r="D1" s="16" t="s">
        <v>18</v>
      </c>
      <c r="E1" s="16" t="s">
        <v>19</v>
      </c>
      <c r="F1" s="16"/>
      <c r="H1" s="2"/>
      <c r="I1" s="2"/>
    </row>
    <row r="2" spans="1:9" ht="15.75" customHeight="1">
      <c r="A2" s="15" t="s">
        <v>3</v>
      </c>
      <c r="B2" s="12" t="s">
        <v>4</v>
      </c>
      <c r="C2">
        <v>1582</v>
      </c>
      <c r="D2" s="12">
        <f t="shared" ref="D2:D17" si="0">ROUND((C2/$C$18)*100,2)</f>
        <v>40.97</v>
      </c>
      <c r="E2" s="12">
        <f t="shared" ref="E2" si="1">D2</f>
        <v>40.97</v>
      </c>
      <c r="F2" s="12"/>
      <c r="H2" s="3"/>
      <c r="I2" s="3"/>
    </row>
    <row r="3" spans="1:9" ht="15.75" customHeight="1">
      <c r="A3" s="15" t="s">
        <v>3</v>
      </c>
      <c r="B3" s="12" t="s">
        <v>5</v>
      </c>
      <c r="C3">
        <v>974</v>
      </c>
      <c r="D3" s="12">
        <f t="shared" si="0"/>
        <v>25.23</v>
      </c>
      <c r="E3" s="12">
        <f>D3+E2</f>
        <v>66.2</v>
      </c>
      <c r="F3" s="12"/>
      <c r="H3" s="3"/>
      <c r="I3" s="3"/>
    </row>
    <row r="4" spans="1:9" ht="15.75" customHeight="1">
      <c r="A4" s="9" t="s">
        <v>3</v>
      </c>
      <c r="B4" s="8" t="s">
        <v>6</v>
      </c>
      <c r="C4">
        <v>394</v>
      </c>
      <c r="D4" s="12">
        <f t="shared" si="0"/>
        <v>10.199999999999999</v>
      </c>
      <c r="E4" s="12">
        <f t="shared" ref="E4:E17" si="2">D4+E3</f>
        <v>76.400000000000006</v>
      </c>
      <c r="F4" s="12"/>
      <c r="H4" s="3"/>
      <c r="I4" s="3"/>
    </row>
    <row r="5" spans="1:9" ht="15.75" customHeight="1">
      <c r="A5" s="15" t="s">
        <v>3</v>
      </c>
      <c r="B5" s="12" t="s">
        <v>7</v>
      </c>
      <c r="C5">
        <v>213</v>
      </c>
      <c r="D5" s="12">
        <f t="shared" si="0"/>
        <v>5.52</v>
      </c>
      <c r="E5" s="12">
        <f t="shared" si="2"/>
        <v>81.92</v>
      </c>
      <c r="F5" s="12"/>
      <c r="H5" s="3"/>
      <c r="I5" s="3"/>
    </row>
    <row r="6" spans="1:9" ht="15.75" customHeight="1">
      <c r="A6" s="15" t="s">
        <v>3</v>
      </c>
      <c r="B6" s="12" t="s">
        <v>8</v>
      </c>
      <c r="C6">
        <v>194</v>
      </c>
      <c r="D6" s="12">
        <f t="shared" si="0"/>
        <v>5.0199999999999996</v>
      </c>
      <c r="E6" s="12">
        <f t="shared" si="2"/>
        <v>86.94</v>
      </c>
      <c r="F6" s="12"/>
      <c r="H6" s="3"/>
      <c r="I6" s="3"/>
    </row>
    <row r="7" spans="1:9" ht="15.75" customHeight="1">
      <c r="A7" s="15" t="s">
        <v>3</v>
      </c>
      <c r="B7" s="12" t="s">
        <v>9</v>
      </c>
      <c r="C7">
        <v>153</v>
      </c>
      <c r="D7" s="12">
        <f t="shared" si="0"/>
        <v>3.96</v>
      </c>
      <c r="E7" s="12">
        <f t="shared" si="2"/>
        <v>90.899999999999991</v>
      </c>
      <c r="F7" s="12"/>
      <c r="H7" s="3"/>
      <c r="I7" s="3"/>
    </row>
    <row r="8" spans="1:9" ht="15.75" customHeight="1">
      <c r="A8" s="9" t="s">
        <v>3</v>
      </c>
      <c r="B8" s="8" t="s">
        <v>29</v>
      </c>
      <c r="C8">
        <v>82</v>
      </c>
      <c r="D8" s="12">
        <f t="shared" si="0"/>
        <v>2.12</v>
      </c>
      <c r="E8" s="12">
        <f t="shared" si="2"/>
        <v>93.02</v>
      </c>
      <c r="F8" s="12"/>
      <c r="H8" s="3"/>
      <c r="I8" s="3"/>
    </row>
    <row r="9" spans="1:9" ht="15.75" customHeight="1">
      <c r="A9" s="15" t="s">
        <v>3</v>
      </c>
      <c r="B9" s="12" t="s">
        <v>10</v>
      </c>
      <c r="C9">
        <v>47</v>
      </c>
      <c r="D9" s="12">
        <f t="shared" si="0"/>
        <v>1.22</v>
      </c>
      <c r="E9" s="12">
        <f t="shared" si="2"/>
        <v>94.24</v>
      </c>
      <c r="F9" s="12"/>
      <c r="H9" s="3"/>
      <c r="I9" s="3"/>
    </row>
    <row r="10" spans="1:9" ht="15.75" customHeight="1">
      <c r="A10" s="9" t="s">
        <v>3</v>
      </c>
      <c r="B10" s="8" t="s">
        <v>11</v>
      </c>
      <c r="C10">
        <v>43</v>
      </c>
      <c r="D10" s="12">
        <f t="shared" si="0"/>
        <v>1.1100000000000001</v>
      </c>
      <c r="E10" s="12">
        <f t="shared" si="2"/>
        <v>95.35</v>
      </c>
      <c r="F10" s="12"/>
      <c r="H10" s="3"/>
      <c r="I10" s="3"/>
    </row>
    <row r="11" spans="1:9" ht="15.75" customHeight="1">
      <c r="A11" s="15" t="s">
        <v>3</v>
      </c>
      <c r="B11" s="12" t="s">
        <v>12</v>
      </c>
      <c r="C11">
        <v>43</v>
      </c>
      <c r="D11" s="12">
        <f t="shared" si="0"/>
        <v>1.1100000000000001</v>
      </c>
      <c r="E11" s="12">
        <f t="shared" si="2"/>
        <v>96.46</v>
      </c>
      <c r="F11" s="12"/>
      <c r="H11" s="3"/>
      <c r="I11" s="3"/>
    </row>
    <row r="12" spans="1:9" ht="15.75" customHeight="1">
      <c r="A12" s="15" t="s">
        <v>3</v>
      </c>
      <c r="B12" s="12" t="s">
        <v>13</v>
      </c>
      <c r="C12">
        <v>39</v>
      </c>
      <c r="D12" s="12">
        <f t="shared" si="0"/>
        <v>1.01</v>
      </c>
      <c r="E12" s="12">
        <f t="shared" si="2"/>
        <v>97.47</v>
      </c>
      <c r="F12" s="12"/>
      <c r="H12" s="3"/>
      <c r="I12" s="3"/>
    </row>
    <row r="13" spans="1:9" ht="15.75" customHeight="1">
      <c r="A13" s="15" t="s">
        <v>3</v>
      </c>
      <c r="B13" s="12" t="s">
        <v>14</v>
      </c>
      <c r="C13">
        <v>27</v>
      </c>
      <c r="D13" s="12">
        <f t="shared" si="0"/>
        <v>0.7</v>
      </c>
      <c r="E13" s="12">
        <f t="shared" si="2"/>
        <v>98.17</v>
      </c>
      <c r="F13" s="12"/>
      <c r="H13" s="3"/>
      <c r="I13" s="3"/>
    </row>
    <row r="14" spans="1:9" ht="15.75" customHeight="1">
      <c r="A14" s="14" t="s">
        <v>3</v>
      </c>
      <c r="B14" s="13" t="s">
        <v>28</v>
      </c>
      <c r="C14">
        <v>25.18</v>
      </c>
      <c r="D14" s="12">
        <f t="shared" si="0"/>
        <v>0.65</v>
      </c>
      <c r="E14" s="12">
        <f t="shared" si="2"/>
        <v>98.820000000000007</v>
      </c>
      <c r="F14" s="12"/>
      <c r="H14" s="3"/>
      <c r="I14" s="3"/>
    </row>
    <row r="15" spans="1:9" ht="15.75" customHeight="1">
      <c r="A15" s="15" t="s">
        <v>3</v>
      </c>
      <c r="B15" s="12" t="s">
        <v>15</v>
      </c>
      <c r="C15">
        <v>18</v>
      </c>
      <c r="D15" s="12">
        <f t="shared" si="0"/>
        <v>0.47</v>
      </c>
      <c r="E15" s="12">
        <f>D15+E14</f>
        <v>99.29</v>
      </c>
      <c r="F15" s="12"/>
      <c r="H15" s="3"/>
      <c r="I15" s="3"/>
    </row>
    <row r="16" spans="1:9" ht="15.75" customHeight="1">
      <c r="A16" s="14" t="s">
        <v>3</v>
      </c>
      <c r="B16" s="13" t="s">
        <v>16</v>
      </c>
      <c r="C16">
        <v>15</v>
      </c>
      <c r="D16" s="12">
        <f t="shared" si="0"/>
        <v>0.39</v>
      </c>
      <c r="E16" s="12">
        <f t="shared" si="2"/>
        <v>99.68</v>
      </c>
      <c r="F16" s="12"/>
      <c r="H16" s="3"/>
      <c r="I16" s="3"/>
    </row>
    <row r="17" spans="1:9" ht="15.75" customHeight="1">
      <c r="A17" s="15" t="s">
        <v>3</v>
      </c>
      <c r="B17" s="12" t="s">
        <v>17</v>
      </c>
      <c r="C17">
        <v>12</v>
      </c>
      <c r="D17" s="12">
        <f t="shared" si="0"/>
        <v>0.31</v>
      </c>
      <c r="E17" s="12">
        <f t="shared" si="2"/>
        <v>99.990000000000009</v>
      </c>
      <c r="F17" s="12"/>
      <c r="H17" s="4"/>
      <c r="I17" s="4"/>
    </row>
    <row r="18" spans="1:9" ht="15.75" customHeight="1">
      <c r="B18" s="11" t="s">
        <v>0</v>
      </c>
      <c r="C18">
        <f>SUM(causes_of_death_in_1864_dublin14152[Number of Deaths])</f>
        <v>3861.18</v>
      </c>
      <c r="D18">
        <f>SUM(causes_of_death_in_1864_dublin14152[% of Total])</f>
        <v>99.990000000000009</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17"/>
  <sheetViews>
    <sheetView showGridLines="0" workbookViewId="0">
      <selection activeCell="F14" sqref="F14"/>
    </sheetView>
  </sheetViews>
  <sheetFormatPr defaultColWidth="12.6640625" defaultRowHeight="15.75" customHeight="1"/>
  <cols>
    <col min="1" max="1" width="19.5546875" bestFit="1" customWidth="1"/>
    <col min="2" max="2" width="15.33203125" bestFit="1" customWidth="1"/>
    <col min="3" max="3" width="18" bestFit="1" customWidth="1"/>
    <col min="4" max="4" width="14.33203125" customWidth="1"/>
    <col min="5" max="5" width="12.109375" bestFit="1" customWidth="1"/>
    <col min="6" max="6" width="19.5546875" bestFit="1" customWidth="1"/>
    <col min="7" max="7" width="15.109375" bestFit="1" customWidth="1"/>
    <col min="8" max="8" width="15.77734375" bestFit="1" customWidth="1"/>
  </cols>
  <sheetData>
    <row r="1" spans="1:8" ht="13.2">
      <c r="A1" s="14" t="s">
        <v>27</v>
      </c>
      <c r="B1" s="14" t="s">
        <v>1</v>
      </c>
      <c r="C1" s="14" t="s">
        <v>2</v>
      </c>
      <c r="D1" s="5"/>
      <c r="E1" s="6"/>
      <c r="F1" s="6"/>
      <c r="G1" s="6"/>
      <c r="H1" s="6"/>
    </row>
    <row r="2" spans="1:8" ht="13.2">
      <c r="A2" s="14" t="s">
        <v>3</v>
      </c>
      <c r="B2" s="13" t="s">
        <v>28</v>
      </c>
      <c r="C2">
        <v>25.18</v>
      </c>
      <c r="D2" s="5"/>
      <c r="E2" s="6"/>
      <c r="F2" s="6"/>
      <c r="G2" s="7"/>
      <c r="H2" s="8"/>
    </row>
    <row r="3" spans="1:8" ht="13.2">
      <c r="A3" s="14" t="s">
        <v>3</v>
      </c>
      <c r="B3" s="13" t="s">
        <v>16</v>
      </c>
      <c r="C3">
        <v>15</v>
      </c>
      <c r="D3" s="5"/>
      <c r="E3" s="6"/>
      <c r="F3" s="6"/>
      <c r="G3" s="7"/>
      <c r="H3" s="8"/>
    </row>
    <row r="4" spans="1:8" ht="13.2">
      <c r="A4" s="15" t="s">
        <v>3</v>
      </c>
      <c r="B4" s="12" t="s">
        <v>9</v>
      </c>
      <c r="C4">
        <v>153</v>
      </c>
      <c r="D4" s="5"/>
      <c r="E4" s="6"/>
      <c r="F4" s="6"/>
      <c r="G4" s="7"/>
      <c r="H4" s="8"/>
    </row>
    <row r="5" spans="1:8" ht="13.2">
      <c r="A5" s="9" t="s">
        <v>3</v>
      </c>
      <c r="B5" s="8" t="s">
        <v>11</v>
      </c>
      <c r="C5">
        <v>43</v>
      </c>
      <c r="D5" s="8"/>
      <c r="E5" s="6"/>
      <c r="F5" s="6"/>
      <c r="G5" s="7"/>
      <c r="H5" s="8"/>
    </row>
    <row r="6" spans="1:8" ht="13.2">
      <c r="A6" s="9" t="s">
        <v>3</v>
      </c>
      <c r="B6" s="8" t="s">
        <v>29</v>
      </c>
      <c r="C6">
        <v>82</v>
      </c>
      <c r="D6" s="10"/>
      <c r="E6" s="6"/>
      <c r="F6" s="6"/>
      <c r="G6" s="7"/>
      <c r="H6" s="8"/>
    </row>
    <row r="7" spans="1:8" ht="13.2">
      <c r="A7" s="9" t="s">
        <v>3</v>
      </c>
      <c r="B7" s="8" t="s">
        <v>6</v>
      </c>
      <c r="C7">
        <v>394</v>
      </c>
      <c r="D7" s="10"/>
      <c r="E7" s="6"/>
      <c r="F7" s="6"/>
      <c r="G7" s="7"/>
      <c r="H7" s="8"/>
    </row>
    <row r="8" spans="1:8" ht="13.2">
      <c r="A8" s="15" t="s">
        <v>3</v>
      </c>
      <c r="B8" s="12" t="s">
        <v>13</v>
      </c>
      <c r="C8">
        <v>39</v>
      </c>
      <c r="D8" s="5"/>
      <c r="E8" s="6"/>
      <c r="F8" s="6"/>
      <c r="G8" s="7"/>
      <c r="H8" s="8"/>
    </row>
    <row r="9" spans="1:8" ht="13.2">
      <c r="A9" s="15" t="s">
        <v>3</v>
      </c>
      <c r="B9" s="12" t="s">
        <v>12</v>
      </c>
      <c r="C9">
        <v>43</v>
      </c>
      <c r="D9" s="5"/>
      <c r="E9" s="6"/>
      <c r="F9" s="6"/>
      <c r="G9" s="7"/>
      <c r="H9" s="8"/>
    </row>
    <row r="10" spans="1:8" ht="13.2">
      <c r="A10" s="15" t="s">
        <v>3</v>
      </c>
      <c r="B10" s="12" t="s">
        <v>15</v>
      </c>
      <c r="C10">
        <v>18</v>
      </c>
      <c r="D10" s="5"/>
      <c r="E10" s="6"/>
      <c r="F10" s="6"/>
      <c r="G10" s="7"/>
      <c r="H10" s="8"/>
    </row>
    <row r="11" spans="1:8" ht="13.2">
      <c r="A11" s="15" t="s">
        <v>3</v>
      </c>
      <c r="B11" s="12" t="s">
        <v>14</v>
      </c>
      <c r="C11">
        <v>27</v>
      </c>
      <c r="D11" s="5"/>
      <c r="E11" s="6"/>
      <c r="F11" s="6"/>
      <c r="G11" s="7"/>
      <c r="H11" s="8"/>
    </row>
    <row r="12" spans="1:8" ht="13.2">
      <c r="A12" s="15" t="s">
        <v>3</v>
      </c>
      <c r="B12" s="12" t="s">
        <v>10</v>
      </c>
      <c r="C12">
        <v>47</v>
      </c>
      <c r="D12" s="5"/>
      <c r="E12" s="6"/>
      <c r="F12" s="6"/>
      <c r="G12" s="6"/>
      <c r="H12" s="8"/>
    </row>
    <row r="13" spans="1:8" ht="13.2">
      <c r="A13" s="15" t="s">
        <v>3</v>
      </c>
      <c r="B13" s="12" t="s">
        <v>7</v>
      </c>
      <c r="C13">
        <v>213</v>
      </c>
      <c r="D13" s="5"/>
      <c r="E13" s="6"/>
      <c r="F13" s="6"/>
      <c r="G13" s="6"/>
      <c r="H13" s="8"/>
    </row>
    <row r="14" spans="1:8" ht="13.2">
      <c r="A14" s="15" t="s">
        <v>3</v>
      </c>
      <c r="B14" s="12" t="s">
        <v>17</v>
      </c>
      <c r="C14">
        <v>12</v>
      </c>
      <c r="D14" s="5"/>
      <c r="E14" s="6"/>
      <c r="F14" s="6"/>
      <c r="G14" s="6"/>
      <c r="H14" s="8"/>
    </row>
    <row r="15" spans="1:8" ht="13.2">
      <c r="A15" s="15" t="s">
        <v>3</v>
      </c>
      <c r="B15" s="12" t="s">
        <v>5</v>
      </c>
      <c r="C15">
        <v>974</v>
      </c>
      <c r="D15" s="5"/>
      <c r="E15" s="6"/>
      <c r="F15" s="6"/>
      <c r="G15" s="6"/>
      <c r="H15" s="8"/>
    </row>
    <row r="16" spans="1:8" ht="13.2">
      <c r="A16" s="15" t="s">
        <v>3</v>
      </c>
      <c r="B16" s="12" t="s">
        <v>4</v>
      </c>
      <c r="C16">
        <v>1582</v>
      </c>
      <c r="D16" s="5"/>
      <c r="E16" s="6"/>
      <c r="F16" s="6"/>
      <c r="G16" s="6"/>
      <c r="H16" s="8"/>
    </row>
    <row r="17" spans="1:8" ht="13.2">
      <c r="A17" s="15" t="s">
        <v>3</v>
      </c>
      <c r="B17" s="12" t="s">
        <v>8</v>
      </c>
      <c r="C17">
        <v>194</v>
      </c>
      <c r="D17" s="5"/>
      <c r="E17" s="6"/>
      <c r="F17" s="6"/>
      <c r="G17" s="6"/>
      <c r="H17" s="8"/>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B88EB1-5FEB-4664-9798-30BC537C61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Fig B.1. Cumulative % curve</vt:lpstr>
      <vt:lpstr>Table B.1. Cumulative % curve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2026-05-07T17:29:26Z</dcterms:modified>
</cp:coreProperties>
</file>