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drawings/drawing2.xml" ContentType="application/vnd.openxmlformats-officedocument.drawing+xml"/>
  <Override PartName="/xl/tables/table6.xml" ContentType="application/vnd.openxmlformats-officedocument.spreadsheetml.table+xml"/>
  <Override PartName="/xl/queryTables/queryTable6.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tables/table7.xml" ContentType="application/vnd.openxmlformats-officedocument.spreadsheetml.table+xml"/>
  <Override PartName="/xl/queryTables/queryTable7.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james\OneDrive\Documents\GitHub\the-virus-of-variation\excel_files_2\"/>
    </mc:Choice>
  </mc:AlternateContent>
  <xr:revisionPtr revIDLastSave="0" documentId="13_ncr:1_{56035744-48B5-4157-8CB4-F13CEF564CB4}" xr6:coauthVersionLast="47" xr6:coauthVersionMax="47" xr10:uidLastSave="{00000000-0000-0000-0000-000000000000}"/>
  <bookViews>
    <workbookView xWindow="-120" yWindow="-16320" windowWidth="29040" windowHeight="15720" xr2:uid="{00000000-000D-0000-FFFF-FFFF00000000}"/>
  </bookViews>
  <sheets>
    <sheet name="Overview" sheetId="20" r:id="rId1"/>
    <sheet name="Step 1" sheetId="16" r:id="rId2"/>
    <sheet name="Step 2" sheetId="10" r:id="rId3"/>
    <sheet name="Step 3" sheetId="11" r:id="rId4"/>
    <sheet name="Step 4" sheetId="12" r:id="rId5"/>
    <sheet name="Step 5" sheetId="13" r:id="rId6"/>
    <sheet name="Step 6" sheetId="14" r:id="rId7"/>
    <sheet name="Results" sheetId="15" r:id="rId8"/>
    <sheet name="Data" sheetId="21" r:id="rId9"/>
  </sheets>
  <definedNames>
    <definedName name="ExternalData_1" localSheetId="8" hidden="1">Data!$A$1:$D$17</definedName>
    <definedName name="ExternalData_1" localSheetId="6" hidden="1">'Step 6'!$A$2:$B$101</definedName>
    <definedName name="ExternalData_2" localSheetId="7" hidden="1">Results!$A$2:$D$18</definedName>
    <definedName name="ExternalData_3" localSheetId="6" hidden="1">'Step 6'!$A$2:$D$18</definedName>
    <definedName name="ExternalData_4" localSheetId="2" hidden="1">'Step 2'!$A$2:$D$18</definedName>
    <definedName name="ExternalData_4" localSheetId="3" hidden="1">'Step 3'!$A$2:$D$18</definedName>
    <definedName name="ExternalData_4" localSheetId="4" hidden="1">'Step 4'!$A$2:$D$18</definedName>
    <definedName name="ExternalData_4" localSheetId="5" hidden="1">'Step 5'!$A$2:$D$18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1" l="1"/>
  <c r="G17" i="11"/>
  <c r="G16" i="11"/>
  <c r="G15" i="11"/>
  <c r="G14" i="11"/>
  <c r="G13" i="11"/>
  <c r="G12" i="11"/>
  <c r="G11" i="11"/>
  <c r="G10" i="11"/>
  <c r="G9" i="11"/>
  <c r="G8" i="11"/>
  <c r="G7" i="11"/>
  <c r="G6" i="11"/>
  <c r="G5" i="11"/>
  <c r="G4" i="11"/>
  <c r="G18" i="12"/>
  <c r="G17" i="12"/>
  <c r="G16" i="12"/>
  <c r="G15" i="12"/>
  <c r="G14" i="12"/>
  <c r="G13" i="12"/>
  <c r="G12" i="12"/>
  <c r="G11" i="12"/>
  <c r="G10" i="12"/>
  <c r="G9" i="12"/>
  <c r="G8" i="12"/>
  <c r="G7" i="12"/>
  <c r="G6" i="12"/>
  <c r="H3" i="12" s="1"/>
  <c r="G5" i="12"/>
  <c r="G4" i="12"/>
  <c r="G18" i="13"/>
  <c r="G17" i="13"/>
  <c r="G16" i="13"/>
  <c r="G15" i="13"/>
  <c r="G14" i="13"/>
  <c r="G13" i="13"/>
  <c r="G12" i="13"/>
  <c r="G11" i="13"/>
  <c r="G10" i="13"/>
  <c r="G9" i="13"/>
  <c r="G8" i="13"/>
  <c r="G7" i="13"/>
  <c r="G6" i="13"/>
  <c r="G5" i="13"/>
  <c r="H3" i="13" s="1"/>
  <c r="G4" i="13"/>
  <c r="D3" i="13"/>
  <c r="G18" i="14"/>
  <c r="G17" i="14"/>
  <c r="G16" i="14"/>
  <c r="G15" i="14"/>
  <c r="G14" i="14"/>
  <c r="G13" i="14"/>
  <c r="G12" i="14"/>
  <c r="G11" i="14"/>
  <c r="G10" i="14"/>
  <c r="G9" i="14"/>
  <c r="G8" i="14"/>
  <c r="G7" i="14"/>
  <c r="G6" i="14"/>
  <c r="G5" i="14"/>
  <c r="G4" i="14"/>
  <c r="H3" i="14"/>
  <c r="I3" i="14" s="1"/>
  <c r="D3" i="14"/>
  <c r="G4" i="15"/>
  <c r="H3" i="15" s="1"/>
  <c r="G5" i="15"/>
  <c r="G6" i="15"/>
  <c r="G7" i="15"/>
  <c r="G8" i="15"/>
  <c r="G9" i="15"/>
  <c r="G10" i="15"/>
  <c r="G11" i="15"/>
  <c r="G12" i="15"/>
  <c r="G13" i="15"/>
  <c r="G14" i="15"/>
  <c r="G15" i="15"/>
  <c r="G16" i="15"/>
  <c r="G17" i="15"/>
  <c r="G18" i="15"/>
  <c r="D3" i="15"/>
  <c r="F3" i="14" l="1"/>
  <c r="E3" i="14"/>
  <c r="I3" i="15"/>
  <c r="E3" i="15"/>
  <c r="F3" i="15"/>
  <c r="H4" i="14" l="1"/>
  <c r="H14" i="14"/>
  <c r="H13" i="14"/>
  <c r="D4" i="15"/>
  <c r="D5" i="15"/>
  <c r="F5" i="15"/>
  <c r="H7" i="14"/>
  <c r="D10" i="15"/>
  <c r="F10" i="15"/>
  <c r="D13" i="15"/>
  <c r="E13" i="15"/>
  <c r="H16" i="14"/>
  <c r="H15" i="14"/>
  <c r="D4" i="13"/>
  <c r="D14" i="13"/>
  <c r="H5" i="14"/>
  <c r="D18" i="13"/>
  <c r="D6" i="13"/>
  <c r="D9" i="13"/>
  <c r="H6" i="14"/>
  <c r="H4" i="15"/>
  <c r="H8" i="15"/>
  <c r="I8" i="15"/>
  <c r="D4" i="14"/>
  <c r="D5" i="14"/>
  <c r="E5" i="14"/>
  <c r="D16" i="15"/>
  <c r="E16" i="15"/>
  <c r="D8" i="14"/>
  <c r="F8" i="14"/>
  <c r="H9" i="14"/>
  <c r="I9" i="14"/>
  <c r="H6" i="15"/>
  <c r="I6" i="15"/>
  <c r="H18" i="15"/>
  <c r="I18" i="15"/>
  <c r="F5" i="14"/>
  <c r="D17" i="15"/>
  <c r="H8" i="14"/>
  <c r="H4" i="13"/>
  <c r="D9" i="15"/>
  <c r="F9" i="15"/>
  <c r="E9" i="15"/>
  <c r="H10" i="14"/>
  <c r="I10" i="14"/>
  <c r="I8" i="14"/>
  <c r="E5" i="15"/>
  <c r="D12" i="15"/>
  <c r="E12" i="15"/>
  <c r="F16" i="15"/>
  <c r="H9" i="13"/>
  <c r="H17" i="13"/>
  <c r="D6" i="14"/>
  <c r="E6" i="14"/>
  <c r="H12" i="13"/>
  <c r="D15" i="13"/>
  <c r="D11" i="13"/>
  <c r="H11" i="13"/>
  <c r="H5" i="13"/>
  <c r="D15" i="14"/>
  <c r="E15" i="14"/>
  <c r="H15" i="13"/>
  <c r="D10" i="14"/>
  <c r="F10" i="14"/>
  <c r="H5" i="15"/>
  <c r="I5" i="15"/>
  <c r="D11" i="15"/>
  <c r="E11" i="15"/>
  <c r="H9" i="15"/>
  <c r="I9" i="15"/>
  <c r="D18" i="15"/>
  <c r="F11" i="15"/>
  <c r="D6" i="15"/>
  <c r="H7" i="13"/>
  <c r="D7" i="14"/>
  <c r="F7" i="14"/>
  <c r="E17" i="15"/>
  <c r="H10" i="13"/>
  <c r="F12" i="15"/>
  <c r="D17" i="14"/>
  <c r="E17" i="14"/>
  <c r="D8" i="15"/>
  <c r="E7" i="14"/>
  <c r="E8" i="14"/>
  <c r="F17" i="15"/>
  <c r="H13" i="15"/>
  <c r="I13" i="15"/>
  <c r="D18" i="14"/>
  <c r="F18" i="14"/>
  <c r="I14" i="14"/>
  <c r="D14" i="15"/>
  <c r="H16" i="13"/>
  <c r="E4" i="15"/>
  <c r="D17" i="13"/>
  <c r="D16" i="14"/>
  <c r="E16" i="14"/>
  <c r="H18" i="14"/>
  <c r="H11" i="14"/>
  <c r="H18" i="13"/>
  <c r="I13" i="14"/>
  <c r="H6" i="13"/>
  <c r="H12" i="14"/>
  <c r="I12" i="14"/>
  <c r="D14" i="14"/>
  <c r="F14" i="14"/>
  <c r="E10" i="14"/>
  <c r="I4" i="14"/>
  <c r="H7" i="15"/>
  <c r="I7" i="15"/>
  <c r="I5" i="14"/>
  <c r="D15" i="15"/>
  <c r="E10" i="15"/>
  <c r="F13" i="15"/>
  <c r="H13" i="13"/>
  <c r="I16" i="14"/>
  <c r="H11" i="15"/>
  <c r="I11" i="15"/>
  <c r="F15" i="15"/>
  <c r="E18" i="15"/>
  <c r="F4" i="15"/>
  <c r="F14" i="15"/>
  <c r="H4" i="12"/>
  <c r="H5" i="12"/>
  <c r="D9" i="14"/>
  <c r="F9" i="14"/>
  <c r="D12" i="14"/>
  <c r="F12" i="14"/>
  <c r="I15" i="14"/>
  <c r="H8" i="13"/>
  <c r="H10" i="15"/>
  <c r="I10" i="15"/>
  <c r="I18" i="14"/>
  <c r="E15" i="15"/>
  <c r="H9" i="12"/>
  <c r="F17" i="14"/>
  <c r="F18" i="15"/>
  <c r="H14" i="13"/>
  <c r="D11" i="14"/>
  <c r="F11" i="14"/>
  <c r="E6" i="15"/>
  <c r="E14" i="14"/>
  <c r="E12" i="14"/>
  <c r="E8" i="15"/>
  <c r="F6" i="14"/>
  <c r="E9" i="14"/>
  <c r="H11" i="12"/>
  <c r="H8" i="12"/>
  <c r="H14" i="12"/>
  <c r="H18" i="12"/>
  <c r="H13" i="12"/>
  <c r="H6" i="12"/>
  <c r="H12" i="12"/>
  <c r="H15" i="12"/>
  <c r="H7" i="12"/>
  <c r="H16" i="12"/>
  <c r="I7" i="14"/>
  <c r="E18" i="14"/>
  <c r="D7" i="15"/>
  <c r="H17" i="15"/>
  <c r="I17" i="15"/>
  <c r="D5" i="13"/>
  <c r="D13" i="13"/>
  <c r="D12" i="13"/>
  <c r="D16" i="13"/>
  <c r="H14" i="15"/>
  <c r="I14" i="15"/>
  <c r="D7" i="13"/>
  <c r="D10" i="13"/>
  <c r="D8" i="13"/>
  <c r="I6" i="14"/>
  <c r="H16" i="15"/>
  <c r="H17" i="14"/>
  <c r="E7" i="15"/>
  <c r="I16" i="15"/>
  <c r="I17" i="14"/>
  <c r="F15" i="14"/>
  <c r="F16" i="14"/>
  <c r="H12" i="15"/>
  <c r="I12" i="15"/>
  <c r="F8" i="15"/>
  <c r="F6" i="15"/>
  <c r="E14" i="15"/>
  <c r="D13" i="14"/>
  <c r="F13" i="14"/>
  <c r="H17" i="12"/>
  <c r="E13" i="14"/>
  <c r="H10" i="12"/>
  <c r="I11" i="14"/>
  <c r="H15" i="15"/>
  <c r="I15" i="15"/>
  <c r="F7" i="15"/>
  <c r="E11" i="14"/>
  <c r="I4" i="15"/>
  <c r="E4" i="14"/>
  <c r="F4"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F7231A3-EE0F-4A5A-B679-3C56BE6B75AB}" keepAlive="1" name="Query - obstetrics-annual-salaries-1845 (3)" description="Connection to the 'obstetrics-annual-salaries-1845 (3)' query in the workbook." type="5" refreshedVersion="8" background="1" saveData="1">
    <dbPr connection="Provider=Microsoft.Mashup.OleDb.1;Data Source=$Workbook$;Location=&quot;obstetrics-annual-salaries-1845 (3)&quot;;Extended Properties=&quot;&quot;" command="SELECT * FROM [obstetrics-annual-salaries-1845 (3)]"/>
  </connection>
  <connection id="2" xr16:uid="{94423E38-5B61-4F1A-975C-0F46CEDB24FE}" keepAlive="1" name="Query - software-verification-death-to-birth-rates (10)" description="Connection to the 'software-verification-death-to-birth-rates (10)' query in the workbook." type="5" refreshedVersion="8" background="1" saveData="1">
    <dbPr connection="Provider=Microsoft.Mashup.OleDb.1;Data Source=$Workbook$;Location=&quot;software-verification-death-to-birth-rates (10)&quot;;Extended Properties=&quot;&quot;" command="SELECT * FROM [software-verification-death-to-birth-rates (10)]"/>
  </connection>
  <connection id="3" xr16:uid="{8EA0BED3-94FD-4EE7-819E-B45BBB3D3775}" keepAlive="1" name="Query - software-verification-death-to-birth-rates (11)" description="Connection to the 'software-verification-death-to-birth-rates (11)' query in the workbook." type="5" refreshedVersion="8" background="1" saveData="1">
    <dbPr connection="Provider=Microsoft.Mashup.OleDb.1;Data Source=$Workbook$;Location=&quot;software-verification-death-to-birth-rates (11)&quot;;Extended Properties=&quot;&quot;" command="SELECT * FROM [software-verification-death-to-birth-rates (11)]"/>
  </connection>
  <connection id="4" xr16:uid="{6607DD79-18E8-473F-9ECB-63D973DE3CC2}" keepAlive="1" name="Query - software-verification-death-to-birth-rates (12)" description="Connection to the 'software-verification-death-to-birth-rates (12)' query in the workbook." type="5" refreshedVersion="8" background="1" saveData="1">
    <dbPr connection="Provider=Microsoft.Mashup.OleDb.1;Data Source=$Workbook$;Location=&quot;software-verification-death-to-birth-rates (12)&quot;;Extended Properties=&quot;&quot;" command="SELECT * FROM [software-verification-death-to-birth-rates (12)]"/>
  </connection>
  <connection id="5" xr16:uid="{F376C49D-351C-461C-A6B5-E3038C940C5F}" keepAlive="1" name="Query - software-verification-death-to-birth-rates (13)" description="Connection to the 'software-verification-death-to-birth-rates (13)' query in the workbook." type="5" refreshedVersion="8" background="1" saveData="1">
    <dbPr connection="Provider=Microsoft.Mashup.OleDb.1;Data Source=$Workbook$;Location=&quot;software-verification-death-to-birth-rates (13)&quot;;Extended Properties=&quot;&quot;" command="SELECT * FROM [software-verification-death-to-birth-rates (13)]"/>
  </connection>
  <connection id="6" xr16:uid="{CDB4450B-32D7-4E0E-96E5-DFC731CDD4F6}" keepAlive="1" name="Query - software-verification-death-to-birth-rates (14)" description="Connection to the 'software-verification-death-to-birth-rates (14)' query in the workbook." type="5" refreshedVersion="8" background="1" saveData="1">
    <dbPr connection="Provider=Microsoft.Mashup.OleDb.1;Data Source=$Workbook$;Location=&quot;software-verification-death-to-birth-rates (14)&quot;;Extended Properties=&quot;&quot;" command="SELECT * FROM [software-verification-death-to-birth-rates (14)]"/>
  </connection>
  <connection id="7" xr16:uid="{5130FB42-ED14-4600-8B56-DD49A7D87B41}" keepAlive="1" name="Query - software-verification-death-to-birth-rates (15)" description="Connection to the 'software-verification-death-to-birth-rates (15)' query in the workbook." type="5" refreshedVersion="8" background="1" saveData="1">
    <dbPr connection="Provider=Microsoft.Mashup.OleDb.1;Data Source=$Workbook$;Location=&quot;software-verification-death-to-birth-rates (15)&quot;;Extended Properties=&quot;&quot;" command="SELECT * FROM [software-verification-death-to-birth-rates (15)]"/>
  </connection>
  <connection id="8" xr16:uid="{41B14650-8859-422B-9AD8-0EDEE6036DF4}" keepAlive="1" name="Query - software-verification-death-to-birth-rates (16)" description="Connection to the 'software-verification-death-to-birth-rates (16)' query in the workbook." type="5" refreshedVersion="8" background="1" saveData="1">
    <dbPr connection="Provider=Microsoft.Mashup.OleDb.1;Data Source=$Workbook$;Location=&quot;software-verification-death-to-birth-rates (16)&quot;;Extended Properties=&quot;&quot;" command="SELECT * FROM [software-verification-death-to-birth-rates (16)]"/>
  </connection>
  <connection id="9" xr16:uid="{AE9E6B23-329E-42E8-A776-7F9E283B5C9B}" keepAlive="1" name="Query - software-verification-death-to-birth-rates (17)" description="Connection to the 'software-verification-death-to-birth-rates (17)' query in the workbook." type="5" refreshedVersion="8" background="1" saveData="1">
    <dbPr connection="Provider=Microsoft.Mashup.OleDb.1;Data Source=$Workbook$;Location=&quot;software-verification-death-to-birth-rates (17)&quot;;Extended Properties=&quot;&quot;" command="SELECT * FROM [software-verification-death-to-birth-rates (17)]"/>
  </connection>
  <connection id="10" xr16:uid="{4F3A4160-673A-40C6-BF9F-BEE480D709C0}" keepAlive="1" name="Query - software-verification-death-to-birth-rates (18)" description="Connection to the 'software-verification-death-to-birth-rates (18)' query in the workbook." type="5" refreshedVersion="8" background="1" saveData="1">
    <dbPr connection="Provider=Microsoft.Mashup.OleDb.1;Data Source=$Workbook$;Location=&quot;software-verification-death-to-birth-rates (18)&quot;;Extended Properties=&quot;&quot;" command="SELECT * FROM [software-verification-death-to-birth-rates (18)]"/>
  </connection>
  <connection id="11" xr16:uid="{DBA6D86F-A6A0-4D51-9E40-ED3331CB3799}" keepAlive="1" name="Query - software-verification-death-to-birth-rates (2)" description="Connection to the 'software-verification-death-to-birth-rates (2)' query in the workbook." type="5" refreshedVersion="8" background="1" saveData="1">
    <dbPr connection="Provider=Microsoft.Mashup.OleDb.1;Data Source=$Workbook$;Location=&quot;software-verification-death-to-birth-rates (2)&quot;;Extended Properties=&quot;&quot;" command="SELECT * FROM [software-verification-death-to-birth-rates (2)]"/>
  </connection>
  <connection id="12" xr16:uid="{3E3E8BA9-BAE0-425E-8EC9-D6935AA5A229}" keepAlive="1" name="Query - software-verification-death-to-birth-rates (3)" description="Connection to the 'software-verification-death-to-birth-rates (3)' query in the workbook." type="5" refreshedVersion="8" background="1" saveData="1">
    <dbPr connection="Provider=Microsoft.Mashup.OleDb.1;Data Source=$Workbook$;Location=&quot;software-verification-death-to-birth-rates (3)&quot;;Extended Properties=&quot;&quot;" command="SELECT * FROM [software-verification-death-to-birth-rates (3)]"/>
  </connection>
  <connection id="13" xr16:uid="{476FF3F2-0314-4936-8243-064D1B5A95AC}" keepAlive="1" name="Query - software-verification-death-to-birth-rates (4)" description="Connection to the 'software-verification-death-to-birth-rates (4)' query in the workbook." type="5" refreshedVersion="8" background="1" saveData="1">
    <dbPr connection="Provider=Microsoft.Mashup.OleDb.1;Data Source=$Workbook$;Location=&quot;software-verification-death-to-birth-rates (4)&quot;;Extended Properties=&quot;&quot;" command="SELECT * FROM [software-verification-death-to-birth-rates (4)]"/>
  </connection>
  <connection id="14" xr16:uid="{8FE490F5-1829-4F6A-8106-FDF2AAEC3EBE}" keepAlive="1" name="Query - software-verification-death-to-birth-rates (5)" description="Connection to the 'software-verification-death-to-birth-rates (5)' query in the workbook." type="5" refreshedVersion="8" background="1" saveData="1">
    <dbPr connection="Provider=Microsoft.Mashup.OleDb.1;Data Source=$Workbook$;Location=&quot;software-verification-death-to-birth-rates (5)&quot;;Extended Properties=&quot;&quot;" command="SELECT * FROM [software-verification-death-to-birth-rates (5)]"/>
  </connection>
  <connection id="15" xr16:uid="{6016525C-DA05-4903-B5BF-04D41E77FC3A}" keepAlive="1" name="Query - software-verification-death-to-birth-rates (6)" description="Connection to the 'software-verification-death-to-birth-rates (6)' query in the workbook." type="5" refreshedVersion="8" background="1" saveData="1">
    <dbPr connection="Provider=Microsoft.Mashup.OleDb.1;Data Source=$Workbook$;Location=&quot;software-verification-death-to-birth-rates (6)&quot;;Extended Properties=&quot;&quot;" command="SELECT * FROM [software-verification-death-to-birth-rates (6)]"/>
  </connection>
  <connection id="16" xr16:uid="{11E96D33-D757-445B-8900-F53D87ACB253}" keepAlive="1" name="Query - software-verification-death-to-birth-rates (7)" description="Connection to the 'software-verification-death-to-birth-rates (7)' query in the workbook." type="5" refreshedVersion="8" background="1" saveData="1">
    <dbPr connection="Provider=Microsoft.Mashup.OleDb.1;Data Source=$Workbook$;Location=&quot;software-verification-death-to-birth-rates (7)&quot;;Extended Properties=&quot;&quot;" command="SELECT * FROM [software-verification-death-to-birth-rates (7)]"/>
  </connection>
  <connection id="17" xr16:uid="{23A98F10-9B8E-4CE5-A897-13793FEB9F74}" keepAlive="1" name="Query - software-verification-death-to-birth-rates (8)" description="Connection to the 'software-verification-death-to-birth-rates (8)' query in the workbook." type="5" refreshedVersion="8" background="1" saveData="1">
    <dbPr connection="Provider=Microsoft.Mashup.OleDb.1;Data Source=$Workbook$;Location=&quot;software-verification-death-to-birth-rates (8)&quot;;Extended Properties=&quot;&quot;" command="SELECT * FROM [software-verification-death-to-birth-rates (8)]"/>
  </connection>
  <connection id="18" xr16:uid="{5C69D08B-9A52-4D4C-9DB0-6FCDDDF3CDF5}" keepAlive="1" name="Query - software-verification-death-to-birth-rates (9)" description="Connection to the 'software-verification-death-to-birth-rates (9)' query in the workbook." type="5" refreshedVersion="8" background="1" saveData="1">
    <dbPr connection="Provider=Microsoft.Mashup.OleDb.1;Data Source=$Workbook$;Location=&quot;software-verification-death-to-birth-rates (9)&quot;;Extended Properties=&quot;&quot;" command="SELECT * FROM [software-verification-death-to-birth-rates (9)]"/>
  </connection>
</connections>
</file>

<file path=xl/sharedStrings.xml><?xml version="1.0" encoding="utf-8"?>
<sst xmlns="http://schemas.openxmlformats.org/spreadsheetml/2006/main" count="318" uniqueCount="57">
  <si>
    <t>Step 1. Gather the data</t>
  </si>
  <si>
    <t>Instructions</t>
  </si>
  <si>
    <t>Rate</t>
  </si>
  <si>
    <t>Mean</t>
  </si>
  <si>
    <t>UPL</t>
  </si>
  <si>
    <t>LPL</t>
  </si>
  <si>
    <t>mR</t>
  </si>
  <si>
    <t>Ave. mR</t>
  </si>
  <si>
    <t>URL</t>
  </si>
  <si>
    <t>Step 2. Calculate the moving range</t>
  </si>
  <si>
    <t>Step 4. Calculate the mean</t>
  </si>
  <si>
    <t>Step 5. Calculate the process limits</t>
  </si>
  <si>
    <t>Step 6. Put it all together</t>
  </si>
  <si>
    <t>Understanding the XmR chart</t>
  </si>
  <si>
    <t>Hospital</t>
  </si>
  <si>
    <t>Vienna General Hospital</t>
  </si>
  <si>
    <t>Results</t>
  </si>
  <si>
    <t>Raw GitHub URL</t>
  </si>
  <si>
    <t>X chart</t>
  </si>
  <si>
    <t>mR chart</t>
  </si>
  <si>
    <t>Year</t>
  </si>
  <si>
    <t>Link to book:</t>
  </si>
  <si>
    <t>https://github.com/jimlehner/virus-of-variation-book</t>
  </si>
  <si>
    <t>https://www.brokenquality.com/book</t>
  </si>
  <si>
    <t>Link to GitHub:</t>
  </si>
  <si>
    <t>Contact:</t>
  </si>
  <si>
    <t>James.Lehner@gmail.com</t>
  </si>
  <si>
    <t>QualityIsBroken@gmail.com</t>
  </si>
  <si>
    <t>Chapter 20.2. A Warning About Software</t>
  </si>
  <si>
    <r>
      <t xml:space="preserve">The most useful type of process behavior chart and easiest to construct is the XmR chart. This chart is composed of the chart of individual values, called the X chart, and the chart of the associated moving ranges, called the mR chart.
This Excel workbook provides step-by-step instructions for how to construct an XmR chart using the data discussed in Chapter 20.2, </t>
    </r>
    <r>
      <rPr>
        <i/>
        <sz val="12"/>
        <color rgb="FF000000"/>
        <rFont val="Montserrat"/>
      </rPr>
      <t>A Warning About Software</t>
    </r>
    <r>
      <rPr>
        <sz val="12"/>
        <color rgb="FF000000"/>
        <rFont val="Montserrat"/>
      </rPr>
      <t xml:space="preserve">, in </t>
    </r>
    <r>
      <rPr>
        <i/>
        <sz val="12"/>
        <color rgb="FF000000"/>
        <rFont val="Montserrat"/>
      </rPr>
      <t>The Virus of Variation</t>
    </r>
    <r>
      <rPr>
        <sz val="12"/>
        <color rgb="FF000000"/>
        <rFont val="Montserrat"/>
      </rPr>
      <t>. 
The 6 steps for constructing the XmR chart are:
1. Gather the data
2. Calculate the moving ranges
3. Calculate the average moving range
4. Calculate the mean
5. Calculate the process limits
6. Put it all together
Each of these steps corresponds with a tab in this workbook. If you get stuck, the subsequent tab for each step can be used as a reference for the prior step. That is, the "answers" to Step 1 can be found in Step 2.
The workbook also contains a Results tab which can be used for further reference.
For additional details outlining the theory, construction, and use of the XmR chart see
The Virus of Variation: Making Sense of Death and Data Using Process Behavior Charts (</t>
    </r>
    <r>
      <rPr>
        <b/>
        <sz val="12"/>
        <color rgb="FF000000"/>
        <rFont val="Montserrat"/>
      </rPr>
      <t>BrokenQuality.com/book</t>
    </r>
    <r>
      <rPr>
        <sz val="12"/>
        <color rgb="FF000000"/>
        <rFont val="Montserrat"/>
      </rPr>
      <t xml:space="preserve">).
If you are familiar with Python (or would like to learn), the Python code used to generate the XmR chart, as it appears in The Virus of Variation, can be found at:
</t>
    </r>
    <r>
      <rPr>
        <b/>
        <sz val="12"/>
        <color rgb="FF000000"/>
        <rFont val="Montserrat"/>
      </rPr>
      <t xml:space="preserve">github.com/jimlehner/virus-of-variation-book
</t>
    </r>
    <r>
      <rPr>
        <sz val="12"/>
        <color rgb="FF000000"/>
        <rFont val="Montserrat"/>
      </rPr>
      <t xml:space="preserve">
If you have question or feedback email us at:
</t>
    </r>
    <r>
      <rPr>
        <b/>
        <sz val="12"/>
        <color rgb="FF000000"/>
        <rFont val="Montserrat"/>
      </rPr>
      <t>James.Lehner@gmail.com</t>
    </r>
    <r>
      <rPr>
        <sz val="12"/>
        <color rgb="FF000000"/>
        <rFont val="Montserrat"/>
      </rPr>
      <t xml:space="preserve"> or </t>
    </r>
    <r>
      <rPr>
        <b/>
        <sz val="12"/>
        <color rgb="FF000000"/>
        <rFont val="Montserrat"/>
      </rPr>
      <t>QualityIsBroken@gmail.com</t>
    </r>
    <r>
      <rPr>
        <sz val="12"/>
        <color rgb="FF000000"/>
        <rFont val="Montserrat"/>
      </rPr>
      <t>.</t>
    </r>
  </si>
  <si>
    <t>https://raw.githubusercontent.com/jimlehner/virus-of-variation-book/refs/heads/main/data/software-verification-death-to-birth-rates.csv</t>
  </si>
  <si>
    <t>Moving Range</t>
  </si>
  <si>
    <t>1810</t>
  </si>
  <si>
    <t>1811</t>
  </si>
  <si>
    <t>1812</t>
  </si>
  <si>
    <t>1813</t>
  </si>
  <si>
    <t>1814</t>
  </si>
  <si>
    <t>1815</t>
  </si>
  <si>
    <t>1816</t>
  </si>
  <si>
    <t>1817</t>
  </si>
  <si>
    <t>1818</t>
  </si>
  <si>
    <t>1819</t>
  </si>
  <si>
    <t>1820</t>
  </si>
  <si>
    <t>1821</t>
  </si>
  <si>
    <t>1822</t>
  </si>
  <si>
    <t>1823</t>
  </si>
  <si>
    <t>1824</t>
  </si>
  <si>
    <t>1825</t>
  </si>
  <si>
    <r>
      <t xml:space="preserve">The table of death-to-birth rates used here can be found in the DATA tab. However, rather than copy and paste it from there, we will load it using the more pragmatic approach of </t>
    </r>
    <r>
      <rPr>
        <b/>
        <sz val="12"/>
        <color theme="1"/>
        <rFont val="Montserrat"/>
      </rPr>
      <t>Power Query</t>
    </r>
    <r>
      <rPr>
        <sz val="12"/>
        <color theme="1"/>
        <rFont val="Montserrat"/>
      </rPr>
      <t xml:space="preserve">, Excel's data transformation and prepartiation tool.
To begin, select cell </t>
    </r>
    <r>
      <rPr>
        <b/>
        <sz val="12"/>
        <color theme="1"/>
        <rFont val="Montserrat"/>
      </rPr>
      <t>AB6</t>
    </r>
    <r>
      <rPr>
        <sz val="12"/>
        <color theme="1"/>
        <rFont val="Montserrat"/>
      </rPr>
      <t xml:space="preserve"> and press CTRL + C. This will copy the raw GitHub URL in this cell-------------------------------------------------&gt;
Next, select cell </t>
    </r>
    <r>
      <rPr>
        <b/>
        <sz val="12"/>
        <color theme="1"/>
        <rFont val="Montserrat"/>
      </rPr>
      <t>A2</t>
    </r>
    <r>
      <rPr>
        <sz val="12"/>
        <color theme="1"/>
        <rFont val="Montserrat"/>
      </rPr>
      <t xml:space="preserve">, then in the </t>
    </r>
    <r>
      <rPr>
        <b/>
        <sz val="12"/>
        <color theme="1"/>
        <rFont val="Montserrat"/>
      </rPr>
      <t>Ribbon</t>
    </r>
    <r>
      <rPr>
        <sz val="12"/>
        <color theme="1"/>
        <rFont val="Montserrat"/>
      </rPr>
      <t xml:space="preserve">, navigate to </t>
    </r>
    <r>
      <rPr>
        <b/>
        <sz val="12"/>
        <color theme="1"/>
        <rFont val="Montserrat"/>
      </rPr>
      <t>Data &gt; Get Data &gt; From Other Sources &gt; From Web</t>
    </r>
    <r>
      <rPr>
        <sz val="12"/>
        <color theme="1"/>
        <rFont val="Montserrat"/>
      </rPr>
      <t xml:space="preserve">. The </t>
    </r>
    <r>
      <rPr>
        <b/>
        <sz val="12"/>
        <color theme="1"/>
        <rFont val="Montserrat"/>
      </rPr>
      <t>From Web</t>
    </r>
    <r>
      <rPr>
        <sz val="12"/>
        <color theme="1"/>
        <rFont val="Montserrat"/>
      </rPr>
      <t xml:space="preserve"> dialogue box will appear. Paste the copied URL in the URL field of the </t>
    </r>
    <r>
      <rPr>
        <b/>
        <sz val="12"/>
        <color theme="1"/>
        <rFont val="Montserrat"/>
      </rPr>
      <t>From Web</t>
    </r>
    <r>
      <rPr>
        <sz val="12"/>
        <color theme="1"/>
        <rFont val="Montserrat"/>
      </rPr>
      <t xml:space="preserve"> dialogue box and click </t>
    </r>
    <r>
      <rPr>
        <b/>
        <sz val="12"/>
        <color theme="1"/>
        <rFont val="Montserrat"/>
      </rPr>
      <t>OK</t>
    </r>
    <r>
      <rPr>
        <sz val="12"/>
        <color theme="1"/>
        <rFont val="Montserrat"/>
      </rPr>
      <t xml:space="preserve">.
After clicking OK, the </t>
    </r>
    <r>
      <rPr>
        <b/>
        <sz val="12"/>
        <color theme="1"/>
        <rFont val="Montserrat"/>
      </rPr>
      <t>Navigation Window</t>
    </r>
    <r>
      <rPr>
        <sz val="12"/>
        <color theme="1"/>
        <rFont val="Montserrat"/>
      </rPr>
      <t xml:space="preserve"> appear. This is where Excel shows a preview of the data from the web source and allows you to load the data or transform it. Because the death-to-birth rate data contains a column that we will not use (Sample) and a blank row, some filtering is required. To do this click the </t>
    </r>
    <r>
      <rPr>
        <b/>
        <sz val="12"/>
        <color theme="1"/>
        <rFont val="Montserrat"/>
      </rPr>
      <t>Transform Data</t>
    </r>
    <r>
      <rPr>
        <sz val="12"/>
        <color theme="1"/>
        <rFont val="Montserrat"/>
      </rPr>
      <t xml:space="preserve"> button in the bottom right-hand corner of the Navigation Window. The </t>
    </r>
    <r>
      <rPr>
        <b/>
        <sz val="12"/>
        <color theme="1"/>
        <rFont val="Montserrat"/>
      </rPr>
      <t>Power Query Editor</t>
    </r>
    <r>
      <rPr>
        <sz val="12"/>
        <color theme="1"/>
        <rFont val="Montserrat"/>
      </rPr>
      <t xml:space="preserve"> will appear.
In the Power Query Editor, right-click on the </t>
    </r>
    <r>
      <rPr>
        <b/>
        <sz val="12"/>
        <color theme="1"/>
        <rFont val="Montserrat"/>
      </rPr>
      <t xml:space="preserve">Sample </t>
    </r>
    <r>
      <rPr>
        <sz val="12"/>
        <color theme="1"/>
        <rFont val="Montserrat"/>
      </rPr>
      <t xml:space="preserve">column header and select </t>
    </r>
    <r>
      <rPr>
        <b/>
        <sz val="12"/>
        <color theme="1"/>
        <rFont val="Montserrat"/>
      </rPr>
      <t>Remove</t>
    </r>
    <r>
      <rPr>
        <sz val="12"/>
        <color theme="1"/>
        <rFont val="Montserrat"/>
      </rPr>
      <t xml:space="preserve">. Do the same for the </t>
    </r>
    <r>
      <rPr>
        <b/>
        <sz val="12"/>
        <color theme="1"/>
        <rFont val="Montserrat"/>
      </rPr>
      <t>Moving Range</t>
    </r>
    <r>
      <rPr>
        <sz val="12"/>
        <color theme="1"/>
        <rFont val="Montserrat"/>
      </rPr>
      <t xml:space="preserve"> column (we will calculate the moving range rather than import it). The </t>
    </r>
    <r>
      <rPr>
        <b/>
        <sz val="12"/>
        <color theme="1"/>
        <rFont val="Montserrat"/>
      </rPr>
      <t xml:space="preserve">Sample </t>
    </r>
    <r>
      <rPr>
        <sz val="12"/>
        <color theme="1"/>
        <rFont val="Montserrat"/>
      </rPr>
      <t xml:space="preserve">column is now hidden and will not appear in the query's output. Additionally, click the drop down arrow next to the </t>
    </r>
    <r>
      <rPr>
        <b/>
        <sz val="12"/>
        <color theme="1"/>
        <rFont val="Montserrat"/>
      </rPr>
      <t>Hospital</t>
    </r>
    <r>
      <rPr>
        <sz val="12"/>
        <color theme="1"/>
        <rFont val="Montserrat"/>
      </rPr>
      <t xml:space="preserve"> header and uncheck the box next to </t>
    </r>
    <r>
      <rPr>
        <b/>
        <sz val="12"/>
        <color theme="1"/>
        <rFont val="Montserrat"/>
      </rPr>
      <t>None</t>
    </r>
    <r>
      <rPr>
        <sz val="12"/>
        <color theme="1"/>
        <rFont val="Montserrat"/>
      </rPr>
      <t xml:space="preserve">. This will remove the empty row.
In the top left hand corner of the </t>
    </r>
    <r>
      <rPr>
        <b/>
        <sz val="12"/>
        <color theme="1"/>
        <rFont val="Montserrat"/>
      </rPr>
      <t>Power Query Editor</t>
    </r>
    <r>
      <rPr>
        <sz val="12"/>
        <color theme="1"/>
        <rFont val="Montserrat"/>
      </rPr>
      <t xml:space="preserve"> under File, click the drop down arrow under </t>
    </r>
    <r>
      <rPr>
        <b/>
        <sz val="12"/>
        <color theme="1"/>
        <rFont val="Montserrat"/>
      </rPr>
      <t>Close &amp; Load</t>
    </r>
    <r>
      <rPr>
        <sz val="12"/>
        <color theme="1"/>
        <rFont val="Montserrat"/>
      </rPr>
      <t xml:space="preserve"> and select </t>
    </r>
    <r>
      <rPr>
        <b/>
        <sz val="12"/>
        <color theme="1"/>
        <rFont val="Montserrat"/>
      </rPr>
      <t>Close &amp; Load To...</t>
    </r>
    <r>
      <rPr>
        <sz val="12"/>
        <color theme="1"/>
        <rFont val="Montserrat"/>
      </rPr>
      <t xml:space="preserve"> The </t>
    </r>
    <r>
      <rPr>
        <b/>
        <sz val="12"/>
        <color theme="1"/>
        <rFont val="Montserrat"/>
      </rPr>
      <t>Import Data</t>
    </r>
    <r>
      <rPr>
        <sz val="12"/>
        <color theme="1"/>
        <rFont val="Montserrat"/>
      </rPr>
      <t xml:space="preserve"> window will appear. Here, under </t>
    </r>
    <r>
      <rPr>
        <b/>
        <sz val="12"/>
        <color theme="1"/>
        <rFont val="Montserrat"/>
      </rPr>
      <t>Where do you want to put the data?</t>
    </r>
    <r>
      <rPr>
        <sz val="12"/>
        <color theme="1"/>
        <rFont val="Montserrat"/>
      </rPr>
      <t xml:space="preserve">, select </t>
    </r>
    <r>
      <rPr>
        <b/>
        <sz val="12"/>
        <color theme="1"/>
        <rFont val="Montserrat"/>
      </rPr>
      <t>Existing Worksheet</t>
    </r>
    <r>
      <rPr>
        <sz val="12"/>
        <color theme="1"/>
        <rFont val="Montserrat"/>
      </rPr>
      <t xml:space="preserve">. Before clicking </t>
    </r>
    <r>
      <rPr>
        <b/>
        <sz val="12"/>
        <color theme="1"/>
        <rFont val="Montserrat"/>
      </rPr>
      <t>OK</t>
    </r>
    <r>
      <rPr>
        <sz val="12"/>
        <color theme="1"/>
        <rFont val="Montserrat"/>
      </rPr>
      <t xml:space="preserve">, verify that the text box below the words Existing Worksheet displays </t>
    </r>
    <r>
      <rPr>
        <b/>
        <sz val="12"/>
        <color theme="1"/>
        <rFont val="Montserrat"/>
      </rPr>
      <t>=$A$2.</t>
    </r>
    <r>
      <rPr>
        <sz val="12"/>
        <color theme="1"/>
        <rFont val="Montserrat"/>
      </rPr>
      <t xml:space="preserve"> If it does not, change the value to </t>
    </r>
    <r>
      <rPr>
        <b/>
        <sz val="12"/>
        <color theme="1"/>
        <rFont val="Montserrat"/>
      </rPr>
      <t>=$A$2</t>
    </r>
    <r>
      <rPr>
        <sz val="12"/>
        <color theme="1"/>
        <rFont val="Montserrat"/>
      </rPr>
      <t xml:space="preserve"> and click </t>
    </r>
    <r>
      <rPr>
        <b/>
        <sz val="12"/>
        <color theme="1"/>
        <rFont val="Montserrat"/>
      </rPr>
      <t>OK</t>
    </r>
    <r>
      <rPr>
        <sz val="12"/>
        <color theme="1"/>
        <rFont val="Montserrat"/>
      </rPr>
      <t xml:space="preserve">. The death-to-birth rate data will be loaded as a table of two columns that starts in cell A2 and in cell B101.
Finally, label columns </t>
    </r>
    <r>
      <rPr>
        <b/>
        <sz val="12"/>
        <color theme="1"/>
        <rFont val="Montserrat"/>
      </rPr>
      <t>B2</t>
    </r>
    <r>
      <rPr>
        <sz val="12"/>
        <color theme="1"/>
        <rFont val="Montserrat"/>
      </rPr>
      <t xml:space="preserve"> through </t>
    </r>
    <r>
      <rPr>
        <b/>
        <sz val="12"/>
        <color theme="1"/>
        <rFont val="Montserrat"/>
      </rPr>
      <t>I2</t>
    </r>
    <r>
      <rPr>
        <sz val="12"/>
        <color theme="1"/>
        <rFont val="Montserrat"/>
      </rPr>
      <t xml:space="preserve"> with the following headers: </t>
    </r>
    <r>
      <rPr>
        <b/>
        <sz val="12"/>
        <color theme="1"/>
        <rFont val="Montserrat"/>
      </rPr>
      <t>Mean</t>
    </r>
    <r>
      <rPr>
        <sz val="12"/>
        <color theme="1"/>
        <rFont val="Montserrat"/>
      </rPr>
      <t xml:space="preserve">, </t>
    </r>
    <r>
      <rPr>
        <b/>
        <sz val="12"/>
        <color theme="1"/>
        <rFont val="Montserrat"/>
      </rPr>
      <t>UPL</t>
    </r>
    <r>
      <rPr>
        <sz val="12"/>
        <color theme="1"/>
        <rFont val="Montserrat"/>
      </rPr>
      <t xml:space="preserve">, </t>
    </r>
    <r>
      <rPr>
        <b/>
        <sz val="12"/>
        <color theme="1"/>
        <rFont val="Montserrat"/>
      </rPr>
      <t>LPL</t>
    </r>
    <r>
      <rPr>
        <sz val="12"/>
        <color theme="1"/>
        <rFont val="Montserrat"/>
      </rPr>
      <t xml:space="preserve">, </t>
    </r>
    <r>
      <rPr>
        <b/>
        <sz val="12"/>
        <color theme="1"/>
        <rFont val="Montserrat"/>
      </rPr>
      <t>mR</t>
    </r>
    <r>
      <rPr>
        <sz val="12"/>
        <color theme="1"/>
        <rFont val="Montserrat"/>
      </rPr>
      <t xml:space="preserve">, </t>
    </r>
    <r>
      <rPr>
        <b/>
        <sz val="12"/>
        <color theme="1"/>
        <rFont val="Montserrat"/>
      </rPr>
      <t>Ave. mR</t>
    </r>
    <r>
      <rPr>
        <sz val="12"/>
        <color theme="1"/>
        <rFont val="Montserrat"/>
      </rPr>
      <t xml:space="preserve">, </t>
    </r>
    <r>
      <rPr>
        <b/>
        <sz val="12"/>
        <color theme="1"/>
        <rFont val="Montserrat"/>
      </rPr>
      <t>URL</t>
    </r>
    <r>
      <rPr>
        <sz val="12"/>
        <color theme="1"/>
        <rFont val="Montserrat"/>
      </rPr>
      <t>. By labeling the table columns in this way, the data and values associated with the X chart are placed in columns B through F, while the data and values associated with the mR chart are placed in columns G through I. This will simplify the task of constructing the XmR chart in step 6.</t>
    </r>
  </si>
  <si>
    <r>
      <t xml:space="preserve">To calculate the moving ranges, begin by selecting cell </t>
    </r>
    <r>
      <rPr>
        <b/>
        <sz val="12"/>
        <color theme="1"/>
        <rFont val="Montserrat"/>
      </rPr>
      <t>G4</t>
    </r>
    <r>
      <rPr>
        <sz val="12"/>
        <color theme="1"/>
        <rFont val="Montserrat"/>
      </rPr>
      <t xml:space="preserve"> and entering the equation </t>
    </r>
    <r>
      <rPr>
        <b/>
        <sz val="12"/>
        <color theme="1"/>
        <rFont val="Montserrat"/>
      </rPr>
      <t>= ROUND(ABS(C3 - C4), 2)</t>
    </r>
    <r>
      <rPr>
        <sz val="12"/>
        <color theme="1"/>
        <rFont val="Montserrat"/>
      </rPr>
      <t xml:space="preserve">. This formula calculates the absolute value of the difference between cells C3 (0.8) and C4 (1.9). Because we are working inside a table, Excel automatically copies the formula to all other rows in column F, calculating all of the values of the moving range. 
Since we are only concerned with the magnitude of the difference between values, the formula wraps the subtraction between successive cells in the </t>
    </r>
    <r>
      <rPr>
        <b/>
        <sz val="12"/>
        <color theme="1"/>
        <rFont val="Montserrat"/>
      </rPr>
      <t>ABS()</t>
    </r>
    <r>
      <rPr>
        <sz val="12"/>
        <color theme="1"/>
        <rFont val="Montserrat"/>
      </rPr>
      <t xml:space="preserve"> function. This ensures the result of the subtraction is always positive, never negative. The </t>
    </r>
    <r>
      <rPr>
        <b/>
        <sz val="12"/>
        <color theme="1"/>
        <rFont val="Montserrat"/>
      </rPr>
      <t>ABS()</t>
    </r>
    <r>
      <rPr>
        <sz val="12"/>
        <color theme="1"/>
        <rFont val="Montserrat"/>
      </rPr>
      <t xml:space="preserve"> function is then wrapped in </t>
    </r>
    <r>
      <rPr>
        <b/>
        <sz val="12"/>
        <color theme="1"/>
        <rFont val="Montserrat"/>
      </rPr>
      <t>ROUND()</t>
    </r>
    <r>
      <rPr>
        <sz val="12"/>
        <color theme="1"/>
        <rFont val="Montserrat"/>
      </rPr>
      <t xml:space="preserve"> so we can specify the result is returned to 2 decimal places.
When the formula is entered correctly, the moving range in cell F4 should be 7.1. 
Note that cell G3 returns </t>
    </r>
    <r>
      <rPr>
        <b/>
        <sz val="12"/>
        <color theme="1"/>
        <rFont val="Montserrat"/>
      </rPr>
      <t>#VALUE!</t>
    </r>
    <r>
      <rPr>
        <sz val="12"/>
        <color theme="1"/>
        <rFont val="Montserrat"/>
      </rPr>
      <t xml:space="preserve"> This error is Excel's way of telling you that one of the cells in the formula contains text instead of a number. That is, Excel has attempted to subtract the numeric value in C3 (0.8) from the text value in C2 (Rate). Since arithmetic between text and numbers is not possible </t>
    </r>
    <r>
      <rPr>
        <b/>
        <sz val="12"/>
        <color theme="1"/>
        <rFont val="Montserrat"/>
      </rPr>
      <t>#VALUE!</t>
    </r>
    <r>
      <rPr>
        <sz val="12"/>
        <color theme="1"/>
        <rFont val="Montserrat"/>
      </rPr>
      <t xml:space="preserve"> is returned. Select G4 and press delete to remove the error.</t>
    </r>
  </si>
  <si>
    <t>Step 3. Calculate the average moving range</t>
  </si>
  <si>
    <r>
      <t xml:space="preserve">To calculate the mean, select cell D3 and enter the formula:
</t>
    </r>
    <r>
      <rPr>
        <b/>
        <sz val="12"/>
        <color theme="1"/>
        <rFont val="Montserrat"/>
      </rPr>
      <t xml:space="preserve">=ROUND(AVERAGE($C$3:$C$18), 2)
</t>
    </r>
    <r>
      <rPr>
        <sz val="12"/>
        <color theme="1"/>
        <rFont val="Montserrat"/>
      </rPr>
      <t xml:space="preserve">After pressing enter, the mean of 2.69 will populate all of the cells in column D.
Note that </t>
    </r>
    <r>
      <rPr>
        <b/>
        <sz val="12"/>
        <color theme="1"/>
        <rFont val="Montserrat"/>
      </rPr>
      <t>$</t>
    </r>
    <r>
      <rPr>
        <sz val="12"/>
        <color theme="1"/>
        <rFont val="Montserrat"/>
      </rPr>
      <t xml:space="preserve"> symbol is once again used to create absolute references and the </t>
    </r>
    <r>
      <rPr>
        <b/>
        <sz val="12"/>
        <color theme="1"/>
        <rFont val="Montserrat"/>
      </rPr>
      <t>AVERAGE()</t>
    </r>
    <r>
      <rPr>
        <sz val="12"/>
        <color theme="1"/>
        <rFont val="Montserrat"/>
      </rPr>
      <t xml:space="preserve"> function is wrapped in </t>
    </r>
    <r>
      <rPr>
        <b/>
        <sz val="12"/>
        <color theme="1"/>
        <rFont val="Montserrat"/>
      </rPr>
      <t>ROUND()</t>
    </r>
    <r>
      <rPr>
        <sz val="12"/>
        <color theme="1"/>
        <rFont val="Montserrat"/>
      </rPr>
      <t xml:space="preserve"> to ensure the result is returned to 2 decimal places.</t>
    </r>
  </si>
  <si>
    <r>
      <t xml:space="preserve">To calculate the average moving range, select cell H3 and enter the formula:
</t>
    </r>
    <r>
      <rPr>
        <b/>
        <sz val="12"/>
        <color theme="1"/>
        <rFont val="Montserrat"/>
      </rPr>
      <t xml:space="preserve">=ROUND(AVERAGE($G$4:$G$18), 2)
</t>
    </r>
    <r>
      <rPr>
        <sz val="12"/>
        <color theme="1"/>
        <rFont val="Montserrat"/>
      </rPr>
      <t xml:space="preserve">After pressing enter, the average moving range of 1.97 will populate all of the cells in column H.
Note that the inside the </t>
    </r>
    <r>
      <rPr>
        <b/>
        <sz val="12"/>
        <color theme="1"/>
        <rFont val="Montserrat"/>
      </rPr>
      <t>AVERAGE()</t>
    </r>
    <r>
      <rPr>
        <sz val="12"/>
        <color theme="1"/>
        <rFont val="Montserrat"/>
      </rPr>
      <t xml:space="preserve"> function, the </t>
    </r>
    <r>
      <rPr>
        <b/>
        <sz val="12"/>
        <color theme="1"/>
        <rFont val="Montserrat"/>
      </rPr>
      <t>$</t>
    </r>
    <r>
      <rPr>
        <sz val="12"/>
        <color theme="1"/>
        <rFont val="Montserrat"/>
      </rPr>
      <t xml:space="preserve"> symbol is used to create absolute references. This locks the cell address so it doesn't change when the formula is copied to the other cells in column H. The </t>
    </r>
    <r>
      <rPr>
        <b/>
        <sz val="12"/>
        <color theme="1"/>
        <rFont val="Montserrat"/>
      </rPr>
      <t>AVERAGE()</t>
    </r>
    <r>
      <rPr>
        <sz val="12"/>
        <color theme="1"/>
        <rFont val="Montserrat"/>
      </rPr>
      <t xml:space="preserve"> function is then wrapped in the </t>
    </r>
    <r>
      <rPr>
        <b/>
        <sz val="12"/>
        <color theme="1"/>
        <rFont val="Montserrat"/>
      </rPr>
      <t>ROUND()</t>
    </r>
    <r>
      <rPr>
        <sz val="12"/>
        <color theme="1"/>
        <rFont val="Montserrat"/>
      </rPr>
      <t xml:space="preserve"> function to ensure the result is returned to 2 decimal places.</t>
    </r>
  </si>
  <si>
    <r>
      <t xml:space="preserve">The XmR chart requires the calculation of three process limits: the Upper Process Limit (UPL) , the Lower Process Limit (LPL) , and the Upper Range Limit (URL). The generic formulas for these limits are:
UPL = Mean + (2.660*Ave. mR)
LPL = Mean - (2.660*Ave. mR)
URL = 3.268*Ave. mR
Note that the scaling factors, 2.660 and 3.268, are always used when calcuting process limits for an XmR chart. Failure to use these scaling factors will yield incorrect limits.
To calculate the UPL of the death-to-birth rates in Excel, enter the following formula in cell E3:
</t>
    </r>
    <r>
      <rPr>
        <b/>
        <sz val="12"/>
        <color theme="1"/>
        <rFont val="Montserrat"/>
      </rPr>
      <t xml:space="preserve">=ROUND(D3 + (2.660*H3), 2)
</t>
    </r>
    <r>
      <rPr>
        <sz val="12"/>
        <color theme="1"/>
        <rFont val="Montserrat"/>
      </rPr>
      <t xml:space="preserve">The UPL of 18.7 will automatically populate column E.
To calculate the LPL, enter the following formula in cell F3:
</t>
    </r>
    <r>
      <rPr>
        <b/>
        <sz val="12"/>
        <color theme="1"/>
        <rFont val="Montserrat"/>
      </rPr>
      <t>=ROUND(MAX(0, D3 - (2.660*H3)), 2)</t>
    </r>
    <r>
      <rPr>
        <sz val="12"/>
        <color theme="1"/>
        <rFont val="Montserrat"/>
      </rPr>
      <t xml:space="preserve">
After pressing enter, the LPL of 0 will automatically populate column F. Note that the formula for the LPL is wrapped in a </t>
    </r>
    <r>
      <rPr>
        <b/>
        <sz val="12"/>
        <color theme="1"/>
        <rFont val="Montserrat"/>
      </rPr>
      <t>MAX()</t>
    </r>
    <r>
      <rPr>
        <sz val="12"/>
        <color theme="1"/>
        <rFont val="Montserrat"/>
      </rPr>
      <t xml:space="preserve"> function, ensuring that the larger value of the two arguments is returned. Without the MAX() function, the returned value for the LPL will be -2.55. In the context of death-to-birth rates, a negative value does not make sense. Thus, the MAX() function ensures that the LPL assumes the boundary value of 0.
To calculate the URL for the moving ranges, enter the following formula in cell I3:
</t>
    </r>
    <r>
      <rPr>
        <b/>
        <sz val="12"/>
        <color theme="1"/>
        <rFont val="Montserrat"/>
      </rPr>
      <t>=ROUND(3.268*H2, 2)</t>
    </r>
    <r>
      <rPr>
        <sz val="12"/>
        <color theme="1"/>
        <rFont val="Montserrat"/>
      </rPr>
      <t xml:space="preserve">
The URL of 12.39 will automatically populate column I.</t>
    </r>
  </si>
  <si>
    <r>
      <t xml:space="preserve">Constructing an XmR chart in Excel is achieved in two steps: constructing the X chart and constructing the mR chart. We will begin by constructing the X chart. 
To construct the X chart select cells B2 through F18. With these cells selected, navigate to the toolbar and select </t>
    </r>
    <r>
      <rPr>
        <b/>
        <sz val="12"/>
        <color theme="1"/>
        <rFont val="Montserrat"/>
      </rPr>
      <t>INSERT &gt; CHARTS &gt; LINE</t>
    </r>
    <r>
      <rPr>
        <sz val="12"/>
        <color theme="1"/>
        <rFont val="Montserrat"/>
      </rPr>
      <t xml:space="preserve">.
To construct the mR chart select cells G2 through I18. With these cells selected, navigate to </t>
    </r>
    <r>
      <rPr>
        <b/>
        <sz val="12"/>
        <color theme="1"/>
        <rFont val="Montserrat"/>
      </rPr>
      <t>INSERT &gt; CHARTS &gt; LINE</t>
    </r>
    <r>
      <rPr>
        <sz val="12"/>
        <color theme="1"/>
        <rFont val="Montserrat"/>
      </rPr>
      <t xml:space="preserve">.
With the charts inserted, format them so that:
1) Delete the </t>
    </r>
    <r>
      <rPr>
        <b/>
        <sz val="12"/>
        <color theme="1"/>
        <rFont val="Montserrat"/>
      </rPr>
      <t>Chart Titles</t>
    </r>
    <r>
      <rPr>
        <sz val="12"/>
        <color theme="1"/>
        <rFont val="Montserrat"/>
      </rPr>
      <t xml:space="preserve">, </t>
    </r>
    <r>
      <rPr>
        <b/>
        <sz val="12"/>
        <color theme="1"/>
        <rFont val="Montserrat"/>
      </rPr>
      <t>Legends</t>
    </r>
    <r>
      <rPr>
        <sz val="12"/>
        <color theme="1"/>
        <rFont val="Montserrat"/>
      </rPr>
      <t xml:space="preserve">, and </t>
    </r>
    <r>
      <rPr>
        <b/>
        <sz val="12"/>
        <color theme="1"/>
        <rFont val="Montserrat"/>
      </rPr>
      <t>horizontal grid lines</t>
    </r>
    <r>
      <rPr>
        <sz val="12"/>
        <color theme="1"/>
        <rFont val="Montserrat"/>
      </rPr>
      <t xml:space="preserve">. 
2) Change all of the process limits to a </t>
    </r>
    <r>
      <rPr>
        <b/>
        <sz val="12"/>
        <color theme="1"/>
        <rFont val="Montserrat"/>
      </rPr>
      <t>dashed</t>
    </r>
    <r>
      <rPr>
        <sz val="12"/>
        <color theme="1"/>
        <rFont val="Montserrat"/>
      </rPr>
      <t xml:space="preserve"> line style and make the color </t>
    </r>
    <r>
      <rPr>
        <b/>
        <sz val="12"/>
        <color theme="1"/>
        <rFont val="Montserrat"/>
      </rPr>
      <t>red</t>
    </r>
    <r>
      <rPr>
        <sz val="12"/>
        <color theme="1"/>
        <rFont val="Montserrat"/>
      </rPr>
      <t xml:space="preserve">.
3) Change the line color for the mean and the average moving range to </t>
    </r>
    <r>
      <rPr>
        <b/>
        <sz val="12"/>
        <color theme="1"/>
        <rFont val="Montserrat"/>
      </rPr>
      <t>black</t>
    </r>
    <r>
      <rPr>
        <sz val="12"/>
        <color theme="1"/>
        <rFont val="Montserrat"/>
      </rPr>
      <t xml:space="preserve">. 
4) Change the marker type for the rates and moving ranges to </t>
    </r>
    <r>
      <rPr>
        <b/>
        <sz val="12"/>
        <color theme="1"/>
        <rFont val="Montserrat"/>
      </rPr>
      <t>built-in</t>
    </r>
    <r>
      <rPr>
        <sz val="12"/>
        <color theme="1"/>
        <rFont val="Montserrat"/>
      </rPr>
      <t xml:space="preserve"> &gt; </t>
    </r>
    <r>
      <rPr>
        <b/>
        <sz val="12"/>
        <color theme="1"/>
        <rFont val="Montserrat"/>
      </rPr>
      <t xml:space="preserve">Type </t>
    </r>
    <r>
      <rPr>
        <sz val="12"/>
        <color theme="1"/>
        <rFont val="Montserrat"/>
      </rPr>
      <t>circle and size 6.
Additionally, establish conditional formating paramters for the Rate column (B3:B18) so that any cell with a death-to-birth rate that is greater than the UPL or equal to the LPL is highlighted with a light red fill and a dark red text. Also establish conditional formatting for any moving range greater than the URL in the mR column (G4:G18).</t>
    </r>
  </si>
  <si>
    <r>
      <t xml:space="preserve">With 1 value greater than the Upper Process Limit (UPL), and 1 value greater than the Upper Range Limit (URL), the underlying causal system is characterized as </t>
    </r>
    <r>
      <rPr>
        <b/>
        <sz val="12"/>
        <rFont val="Montserrat"/>
      </rPr>
      <t>UNPREDICTABLE</t>
    </r>
    <r>
      <rPr>
        <sz val="12"/>
        <color theme="1"/>
        <rFont val="Montserrat"/>
      </rPr>
      <t>.
An unpredictable process, as oppsed to a predictable process, is influenced by both common causes of routine variation and assignable causes of exceptional variation. This means that, moving forward, all that we can expect from this process is the unexpected.
Until the assignable causes of exceptional variation are identified, understood, and eliminated, this process will continue to produce values outside of the specification limits.</t>
    </r>
  </si>
  <si>
    <t>Raw Data GitHub 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</si>
</sst>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4" formatCode="_(&quot;$&quot;* #,##0.00_);_(&quot;$&quot;* \(#,##0.00\);_(&quot;$&quot;* &quot;-&quot;??_);_(@_)"/>
  </numFmts>
  <fonts count="14" x14ac:knownFonts="1">
    <font>
      <sz val="10"/>
      <color rgb="FF000000"/>
      <name val="Arial"/>
      <scheme val="minor"/>
    </font>
    <font>
      <sz val="10"/>
      <color theme="1"/>
      <name val="Arial"/>
      <family val="2"/>
    </font>
    <font>
      <b/>
      <sz val="16"/>
      <color rgb="FFD72323"/>
      <name val="Montserrat"/>
    </font>
    <font>
      <sz val="12"/>
      <color theme="1"/>
      <name val="Montserrat"/>
    </font>
    <font>
      <b/>
      <sz val="16"/>
      <color rgb="FFFF0000"/>
      <name val="Montserrat"/>
    </font>
    <font>
      <b/>
      <sz val="12"/>
      <color theme="1"/>
      <name val="Montserrat"/>
    </font>
    <font>
      <u/>
      <sz val="10"/>
      <color theme="10"/>
      <name val="Arial"/>
      <family val="2"/>
      <scheme val="minor"/>
    </font>
    <font>
      <sz val="10"/>
      <color rgb="FF000000"/>
      <name val="Arial"/>
      <family val="2"/>
      <scheme val="minor"/>
    </font>
    <font>
      <b/>
      <sz val="10"/>
      <color rgb="FF000000"/>
      <name val="Arial"/>
      <family val="2"/>
      <scheme val="minor"/>
    </font>
    <font>
      <sz val="24"/>
      <color rgb="FF000000"/>
      <name val="Arial"/>
      <family val="2"/>
      <scheme val="minor"/>
    </font>
    <font>
      <b/>
      <sz val="12"/>
      <name val="Montserrat"/>
    </font>
    <font>
      <sz val="12"/>
      <color rgb="FF000000"/>
      <name val="Montserrat"/>
    </font>
    <font>
      <i/>
      <sz val="12"/>
      <color rgb="FF000000"/>
      <name val="Montserrat"/>
    </font>
    <font>
      <b/>
      <sz val="12"/>
      <color rgb="FF000000"/>
      <name val="Montserrat"/>
    </font>
  </fonts>
  <fills count="2">
    <fill>
      <patternFill patternType="none"/>
    </fill>
    <fill>
      <patternFill patternType="gray125"/>
    </fill>
  </fills>
  <borders count="13">
    <border>
      <left/>
      <right/>
      <top/>
      <bottom/>
      <diagonal/>
    </border>
    <border>
      <left style="thin">
        <color theme="0" tint="-0.249977111117893"/>
      </left>
      <right/>
      <top/>
      <bottom/>
      <diagonal/>
    </border>
    <border>
      <left style="thin">
        <color theme="0" tint="-0.14999847407452621"/>
      </left>
      <right/>
      <top style="thin">
        <color theme="0" tint="-0.14999847407452621"/>
      </top>
      <bottom/>
      <diagonal/>
    </border>
    <border>
      <left/>
      <right/>
      <top style="thin">
        <color theme="0" tint="-0.14999847407452621"/>
      </top>
      <bottom/>
      <diagonal/>
    </border>
    <border>
      <left/>
      <right style="thin">
        <color theme="0" tint="-0.14999847407452621"/>
      </right>
      <top style="thin">
        <color theme="0" tint="-0.14999847407452621"/>
      </top>
      <bottom/>
      <diagonal/>
    </border>
    <border>
      <left style="thin">
        <color theme="0" tint="-0.14999847407452621"/>
      </left>
      <right/>
      <top/>
      <bottom/>
      <diagonal/>
    </border>
    <border>
      <left/>
      <right style="thin">
        <color theme="0" tint="-0.14999847407452621"/>
      </right>
      <top/>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s>
  <cellStyleXfs count="4">
    <xf numFmtId="0" fontId="0" fillId="0" borderId="0"/>
    <xf numFmtId="0" fontId="6" fillId="0" borderId="0" applyNumberFormat="0" applyFill="0" applyBorder="0" applyAlignment="0" applyProtection="0"/>
    <xf numFmtId="0" fontId="7" fillId="0" borderId="0"/>
    <xf numFmtId="44" fontId="7" fillId="0" borderId="0" applyFont="0" applyFill="0" applyBorder="0" applyAlignment="0" applyProtection="0"/>
  </cellStyleXfs>
  <cellXfs count="42">
    <xf numFmtId="0" fontId="0" fillId="0" borderId="0" xfId="0"/>
    <xf numFmtId="0" fontId="1" fillId="0" borderId="0" xfId="0" applyFont="1"/>
    <xf numFmtId="0" fontId="3" fillId="0" borderId="0" xfId="0" applyFont="1" applyAlignment="1">
      <alignment vertical="center" wrapText="1"/>
    </xf>
    <xf numFmtId="0" fontId="7" fillId="0" borderId="0" xfId="0" applyFont="1"/>
    <xf numFmtId="0" fontId="8" fillId="0" borderId="0" xfId="0" applyFont="1"/>
    <xf numFmtId="0" fontId="11" fillId="0" borderId="0" xfId="0" applyFont="1" applyAlignment="1">
      <alignment vertical="center" wrapText="1"/>
    </xf>
    <xf numFmtId="0" fontId="6" fillId="0" borderId="5" xfId="1" applyBorder="1" applyAlignment="1">
      <alignment horizontal="center"/>
    </xf>
    <xf numFmtId="0" fontId="6" fillId="0" borderId="0" xfId="1" applyBorder="1" applyAlignment="1">
      <alignment horizontal="center"/>
    </xf>
    <xf numFmtId="0" fontId="6" fillId="0" borderId="6" xfId="1" applyBorder="1" applyAlignment="1">
      <alignment horizontal="center"/>
    </xf>
    <xf numFmtId="0" fontId="6" fillId="0" borderId="7" xfId="1" applyBorder="1" applyAlignment="1">
      <alignment horizontal="center"/>
    </xf>
    <xf numFmtId="0" fontId="6" fillId="0" borderId="8" xfId="1" applyBorder="1" applyAlignment="1">
      <alignment horizontal="center"/>
    </xf>
    <xf numFmtId="0" fontId="6" fillId="0" borderId="9" xfId="1" applyBorder="1" applyAlignment="1">
      <alignment horizontal="center"/>
    </xf>
    <xf numFmtId="0" fontId="2" fillId="0" borderId="10" xfId="0" applyFont="1" applyBorder="1" applyAlignment="1">
      <alignment horizontal="center"/>
    </xf>
    <xf numFmtId="0" fontId="2" fillId="0" borderId="11" xfId="0" applyFont="1" applyBorder="1" applyAlignment="1">
      <alignment horizontal="center"/>
    </xf>
    <xf numFmtId="0" fontId="2" fillId="0" borderId="12" xfId="0" applyFont="1" applyBorder="1" applyAlignment="1">
      <alignment horizontal="center"/>
    </xf>
    <xf numFmtId="0" fontId="11" fillId="0" borderId="2" xfId="0" applyFont="1" applyBorder="1" applyAlignment="1">
      <alignment horizontal="center" vertical="center" wrapText="1"/>
    </xf>
    <xf numFmtId="0" fontId="11" fillId="0" borderId="3" xfId="0" applyFont="1" applyBorder="1" applyAlignment="1">
      <alignment horizontal="center" vertical="center" wrapText="1"/>
    </xf>
    <xf numFmtId="0" fontId="11" fillId="0" borderId="4" xfId="0" applyFont="1" applyBorder="1" applyAlignment="1">
      <alignment horizontal="center" vertical="center" wrapText="1"/>
    </xf>
    <xf numFmtId="0" fontId="11" fillId="0" borderId="5" xfId="0" applyFont="1" applyBorder="1" applyAlignment="1">
      <alignment horizontal="center" vertical="center" wrapText="1"/>
    </xf>
    <xf numFmtId="0" fontId="11" fillId="0" borderId="0" xfId="0" applyFont="1" applyAlignment="1">
      <alignment horizontal="center" vertical="center" wrapText="1"/>
    </xf>
    <xf numFmtId="0" fontId="11" fillId="0" borderId="6" xfId="0" applyFont="1" applyBorder="1" applyAlignment="1">
      <alignment horizontal="center" vertical="center" wrapText="1"/>
    </xf>
    <xf numFmtId="0" fontId="11" fillId="0" borderId="7" xfId="0" applyFont="1" applyBorder="1" applyAlignment="1">
      <alignment horizontal="center" vertical="center" wrapText="1"/>
    </xf>
    <xf numFmtId="0" fontId="11" fillId="0" borderId="8" xfId="0" applyFont="1" applyBorder="1" applyAlignment="1">
      <alignment horizontal="center" vertical="center" wrapText="1"/>
    </xf>
    <xf numFmtId="0" fontId="11" fillId="0" borderId="9" xfId="0" applyFont="1" applyBorder="1" applyAlignment="1">
      <alignment horizontal="center" vertical="center" wrapText="1"/>
    </xf>
    <xf numFmtId="0" fontId="0" fillId="0" borderId="0" xfId="0" applyAlignment="1">
      <alignment horizontal="center"/>
    </xf>
    <xf numFmtId="0" fontId="0" fillId="0" borderId="6" xfId="0" applyBorder="1" applyAlignment="1">
      <alignment horizontal="center"/>
    </xf>
    <xf numFmtId="0" fontId="8" fillId="0" borderId="5" xfId="0" applyFont="1" applyBorder="1" applyAlignment="1">
      <alignment horizontal="center"/>
    </xf>
    <xf numFmtId="0" fontId="8" fillId="0" borderId="0" xfId="0" applyFont="1" applyAlignment="1">
      <alignment horizontal="center"/>
    </xf>
    <xf numFmtId="0" fontId="8" fillId="0" borderId="6" xfId="0" applyFont="1" applyBorder="1" applyAlignment="1">
      <alignment horizontal="center"/>
    </xf>
    <xf numFmtId="0" fontId="8"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0" fillId="0" borderId="7" xfId="0" applyBorder="1" applyAlignment="1">
      <alignment horizontal="left"/>
    </xf>
    <xf numFmtId="0" fontId="0" fillId="0" borderId="8" xfId="0" applyBorder="1" applyAlignment="1">
      <alignment horizontal="left"/>
    </xf>
    <xf numFmtId="0" fontId="0" fillId="0" borderId="9" xfId="0" applyBorder="1" applyAlignment="1">
      <alignment horizontal="left"/>
    </xf>
    <xf numFmtId="0" fontId="2" fillId="0" borderId="1" xfId="0" applyFont="1" applyBorder="1" applyAlignment="1">
      <alignment horizontal="center"/>
    </xf>
    <xf numFmtId="0" fontId="2" fillId="0" borderId="0" xfId="0" applyFont="1" applyAlignment="1">
      <alignment horizontal="center"/>
    </xf>
    <xf numFmtId="0" fontId="3" fillId="0" borderId="0" xfId="0" applyFont="1" applyAlignment="1">
      <alignment horizontal="center" vertical="center" wrapText="1"/>
    </xf>
    <xf numFmtId="0" fontId="4" fillId="0" borderId="1" xfId="0" applyFont="1" applyBorder="1" applyAlignment="1">
      <alignment horizontal="center"/>
    </xf>
    <xf numFmtId="0" fontId="4" fillId="0" borderId="0" xfId="0" applyFont="1" applyAlignment="1">
      <alignment horizontal="center"/>
    </xf>
    <xf numFmtId="0" fontId="9" fillId="0" borderId="0" xfId="0" applyFont="1" applyAlignment="1">
      <alignment horizontal="center" vertical="center"/>
    </xf>
    <xf numFmtId="0" fontId="0" fillId="0" borderId="0" xfId="0" applyAlignment="1">
      <alignment horizontal="center" vertical="center"/>
    </xf>
  </cellXfs>
  <cellStyles count="4">
    <cellStyle name="Currency 2" xfId="3" xr:uid="{F2F5D640-CE87-4AAF-A698-1E6B6EF9B319}"/>
    <cellStyle name="Hyperlink" xfId="1" builtinId="8"/>
    <cellStyle name="Normal" xfId="0" builtinId="0"/>
    <cellStyle name="Normal 2" xfId="2" xr:uid="{A99EBB7F-D5F0-4B31-B1F6-ECB955D6AF04}"/>
  </cellStyles>
  <dxfs count="78">
    <dxf>
      <font>
        <color rgb="FF9C0006"/>
      </font>
      <fill>
        <patternFill>
          <bgColor rgb="FFFFC7CE"/>
        </patternFill>
      </fill>
    </dxf>
    <dxf>
      <font>
        <color rgb="FF9C0006"/>
      </font>
      <fill>
        <patternFill>
          <bgColor rgb="FFFFC7CE"/>
        </patternFill>
      </fill>
    </dxf>
    <dxf>
      <numFmt numFmtId="0" formatCode="General"/>
    </dxf>
    <dxf>
      <numFmt numFmtId="0" formatCode="General"/>
    </dxf>
    <dxf>
      <numFmt numFmtId="0" formatCode="General"/>
      <fill>
        <patternFill patternType="none">
          <fgColor indexed="64"/>
          <bgColor indexed="65"/>
        </patternFill>
      </fill>
    </dxf>
    <dxf>
      <numFmt numFmtId="0" formatCode="General"/>
      <fill>
        <patternFill patternType="none">
          <fgColor indexed="64"/>
          <bgColor indexed="65"/>
        </patternFill>
      </fill>
    </dxf>
    <dxf>
      <numFmt numFmtId="0" formatCode="General"/>
      <fill>
        <patternFill patternType="none">
          <fgColor indexed="64"/>
          <bgColor indexed="65"/>
        </patternFill>
      </fill>
    </dxf>
    <dxf>
      <numFmt numFmtId="0" formatCode="General"/>
      <fill>
        <patternFill patternType="none">
          <fgColor indexed="64"/>
          <bgColor indexed="65"/>
        </patternFill>
      </fill>
    </dxf>
    <dxf>
      <numFmt numFmtId="0" formatCode="General"/>
      <fill>
        <patternFill patternType="none">
          <fgColor indexed="64"/>
          <bgColor indexed="65"/>
        </patternFill>
      </fill>
    </dxf>
    <dxf>
      <numFmt numFmtId="0" formatCode="General"/>
    </dxf>
    <dxf>
      <numFmt numFmtId="0" formatCode="General"/>
    </dxf>
    <dxf>
      <numFmt numFmtId="0" formatCode="General"/>
      <fill>
        <patternFill patternType="none">
          <fgColor indexed="64"/>
          <bgColor indexed="65"/>
        </patternFill>
      </fill>
    </dxf>
    <dxf>
      <numFmt numFmtId="0" formatCode="General"/>
      <fill>
        <patternFill patternType="none">
          <fgColor indexed="64"/>
          <bgColor indexed="65"/>
        </patternFill>
      </fill>
    </dxf>
    <dxf>
      <numFmt numFmtId="0" formatCode="General"/>
      <fill>
        <patternFill patternType="none">
          <fgColor indexed="64"/>
          <bgColor indexed="65"/>
        </patternFill>
      </fill>
    </dxf>
    <dxf>
      <numFmt numFmtId="0" formatCode="General"/>
      <fill>
        <patternFill patternType="none">
          <fgColor indexed="64"/>
          <bgColor indexed="65"/>
        </patternFill>
      </fill>
    </dxf>
    <dxf>
      <numFmt numFmtId="0" formatCode="General"/>
      <fill>
        <patternFill patternType="none">
          <fgColor indexed="64"/>
          <bgColor indexed="65"/>
        </patternFill>
      </fill>
    </dxf>
    <dxf>
      <numFmt numFmtId="0" formatCode="General"/>
    </dxf>
    <dxf>
      <numFmt numFmtId="0" formatCode="General"/>
    </dxf>
    <dxf>
      <numFmt numFmtId="0" formatCode="General"/>
      <fill>
        <patternFill patternType="none">
          <fgColor indexed="64"/>
          <bgColor indexed="65"/>
        </patternFill>
      </fill>
    </dxf>
    <dxf>
      <numFmt numFmtId="0" formatCode="General"/>
      <fill>
        <patternFill patternType="none">
          <fgColor indexed="64"/>
          <bgColor indexed="65"/>
        </patternFill>
      </fill>
    </dxf>
    <dxf>
      <numFmt numFmtId="0" formatCode="General"/>
      <fill>
        <patternFill patternType="none">
          <fgColor indexed="64"/>
          <bgColor indexed="65"/>
        </patternFill>
      </fill>
    </dxf>
    <dxf>
      <numFmt numFmtId="0" formatCode="General"/>
      <fill>
        <patternFill patternType="none">
          <fgColor indexed="64"/>
          <bgColor indexed="65"/>
        </patternFill>
      </fill>
    </dxf>
    <dxf>
      <numFmt numFmtId="0" formatCode="General"/>
      <fill>
        <patternFill patternType="none">
          <fgColor indexed="64"/>
          <bgColor indexed="65"/>
        </patternFill>
      </fill>
    </dxf>
    <dxf>
      <numFmt numFmtId="0" formatCode="General"/>
    </dxf>
    <dxf>
      <numFmt numFmtId="0" formatCode="General"/>
    </dxf>
    <dxf>
      <numFmt numFmtId="0" formatCode="General"/>
      <fill>
        <patternFill patternType="none">
          <fgColor indexed="64"/>
          <bgColor indexed="65"/>
        </patternFill>
      </fill>
    </dxf>
    <dxf>
      <numFmt numFmtId="0" formatCode="General"/>
      <fill>
        <patternFill patternType="none">
          <fgColor indexed="64"/>
          <bgColor indexed="65"/>
        </patternFill>
      </fill>
    </dxf>
    <dxf>
      <numFmt numFmtId="0" formatCode="General"/>
      <fill>
        <patternFill patternType="none">
          <fgColor indexed="64"/>
          <bgColor indexed="65"/>
        </patternFill>
      </fill>
    </dxf>
    <dxf>
      <numFmt numFmtId="0" formatCode="General"/>
      <fill>
        <patternFill patternType="none">
          <fgColor indexed="64"/>
          <bgColor indexed="65"/>
        </patternFill>
      </fill>
    </dxf>
    <dxf>
      <numFmt numFmtId="0" formatCode="General"/>
      <fill>
        <patternFill patternType="none">
          <fgColor indexed="64"/>
          <bgColor indexed="65"/>
        </patternFill>
      </fill>
    </dxf>
    <dxf>
      <numFmt numFmtId="0" formatCode="General"/>
    </dxf>
    <dxf>
      <numFmt numFmtId="0" formatCode="General"/>
    </dxf>
    <dxf>
      <numFmt numFmtId="0" formatCode="General"/>
      <fill>
        <patternFill patternType="none">
          <fgColor indexed="64"/>
          <bgColor indexed="65"/>
        </patternFill>
      </fill>
    </dxf>
    <dxf>
      <numFmt numFmtId="0" formatCode="General"/>
      <fill>
        <patternFill patternType="none">
          <fgColor indexed="64"/>
          <bgColor indexed="65"/>
        </patternFill>
      </fill>
    </dxf>
    <dxf>
      <numFmt numFmtId="0" formatCode="General"/>
      <fill>
        <patternFill patternType="none">
          <fgColor indexed="64"/>
          <bgColor indexed="65"/>
        </patternFill>
      </fill>
    </dxf>
    <dxf>
      <numFmt numFmtId="0" formatCode="General"/>
      <fill>
        <patternFill patternType="none">
          <fgColor indexed="64"/>
          <bgColor indexed="65"/>
        </patternFill>
      </fill>
    </dxf>
    <dxf>
      <numFmt numFmtId="0" formatCode="General"/>
      <fill>
        <patternFill patternType="none">
          <fgColor indexed="64"/>
          <bgColor indexed="65"/>
        </patternFill>
      </fill>
    </dxf>
    <dxf>
      <numFmt numFmtId="0" formatCode="General"/>
    </dxf>
    <dxf>
      <numFmt numFmtId="0" formatCode="General"/>
    </dxf>
    <dxf>
      <numFmt numFmtId="0" formatCode="General"/>
      <fill>
        <patternFill patternType="none">
          <fgColor indexed="64"/>
          <bgColor indexed="65"/>
        </patternFill>
      </fill>
    </dxf>
    <dxf>
      <numFmt numFmtId="0" formatCode="General"/>
      <fill>
        <patternFill patternType="none">
          <fgColor indexed="64"/>
          <bgColor indexed="65"/>
        </patternFill>
      </fill>
    </dxf>
    <dxf>
      <numFmt numFmtId="0" formatCode="General"/>
      <fill>
        <patternFill patternType="none">
          <fgColor indexed="64"/>
          <bgColor indexed="65"/>
        </patternFill>
      </fill>
    </dxf>
    <dxf>
      <numFmt numFmtId="0" formatCode="General"/>
      <fill>
        <patternFill patternType="none">
          <fgColor indexed="64"/>
          <bgColor indexed="65"/>
        </patternFill>
      </fill>
    </dxf>
    <dxf>
      <numFmt numFmtId="0" formatCode="General"/>
      <fill>
        <patternFill patternType="none">
          <fgColor indexed="64"/>
          <bgColor indexed="65"/>
        </patternFill>
      </fill>
    </dxf>
    <dxf>
      <numFmt numFmtId="0" formatCode="General"/>
    </dxf>
    <dxf>
      <numFmt numFmtId="0" formatCode="General"/>
    </dxf>
    <dxf>
      <fill>
        <patternFill>
          <bgColor rgb="FFFFFFFF"/>
        </patternFill>
      </fill>
    </dxf>
    <dxf>
      <fill>
        <patternFill>
          <bgColor rgb="FFE8F3F7"/>
        </patternFill>
      </fill>
    </dxf>
    <dxf>
      <fill>
        <patternFill>
          <bgColor rgb="FF3688A4"/>
        </patternFill>
      </fill>
    </dxf>
    <dxf>
      <border>
        <left style="thin">
          <color rgb="FF8BB4C5"/>
        </left>
        <right style="thin">
          <color rgb="FF8BB4C5"/>
        </right>
        <top style="thin">
          <color rgb="FF8BB4C5"/>
        </top>
        <bottom style="thin">
          <color rgb="FF8BB4C5"/>
        </bottom>
        <vertical style="thin">
          <color rgb="FFC8DDE6"/>
        </vertical>
        <horizontal style="thin">
          <color rgb="FF8BB4C5"/>
        </horizontal>
      </border>
    </dxf>
    <dxf>
      <fill>
        <patternFill patternType="solid">
          <fgColor rgb="FFF6F8F9"/>
          <bgColor rgb="FFF6F8F9"/>
        </patternFill>
      </fill>
    </dxf>
    <dxf>
      <fill>
        <patternFill patternType="solid">
          <fgColor rgb="FFFFFFFF"/>
          <bgColor rgb="FFFFFFFF"/>
        </patternFill>
      </fill>
    </dxf>
    <dxf>
      <fill>
        <patternFill patternType="solid">
          <fgColor rgb="FFD72323"/>
          <bgColor rgb="FFD72323"/>
        </patternFill>
      </fill>
    </dxf>
    <dxf>
      <border>
        <left style="thin">
          <color rgb="FFD72323"/>
        </left>
        <right style="thin">
          <color rgb="FFD72323"/>
        </right>
        <top style="thin">
          <color rgb="FFD72323"/>
        </top>
        <bottom style="thin">
          <color rgb="FFD72323"/>
        </bottom>
      </border>
    </dxf>
    <dxf>
      <fill>
        <patternFill patternType="solid">
          <fgColor rgb="FFF6F8F9"/>
          <bgColor rgb="FFF6F8F9"/>
        </patternFill>
      </fill>
    </dxf>
    <dxf>
      <fill>
        <patternFill patternType="solid">
          <fgColor rgb="FFFFFFFF"/>
          <bgColor rgb="FFFFFFFF"/>
        </patternFill>
      </fill>
    </dxf>
    <dxf>
      <fill>
        <patternFill patternType="solid">
          <fgColor rgb="FFD72323"/>
          <bgColor rgb="FFD72323"/>
        </patternFill>
      </fill>
    </dxf>
    <dxf>
      <border>
        <left style="thin">
          <color rgb="FFD72323"/>
        </left>
        <right style="thin">
          <color rgb="FFD72323"/>
        </right>
        <top style="thin">
          <color rgb="FFD72323"/>
        </top>
        <bottom style="thin">
          <color rgb="FFD72323"/>
        </bottom>
        <vertical style="thin">
          <color rgb="FFD4D4D4"/>
        </vertical>
        <horizontal style="thin">
          <color rgb="FFD4D4D4"/>
        </horizontal>
      </border>
    </dxf>
    <dxf>
      <fill>
        <patternFill patternType="solid">
          <fgColor rgb="FFF6F8F9"/>
          <bgColor rgb="FFF6F8F9"/>
        </patternFill>
      </fill>
    </dxf>
    <dxf>
      <fill>
        <patternFill patternType="solid">
          <fgColor rgb="FFFFFFFF"/>
          <bgColor rgb="FFFFFFFF"/>
        </patternFill>
      </fill>
    </dxf>
    <dxf>
      <fill>
        <patternFill patternType="solid">
          <fgColor rgb="FFD72323"/>
          <bgColor rgb="FFD72323"/>
        </patternFill>
      </fill>
    </dxf>
    <dxf>
      <border>
        <left style="thin">
          <color rgb="FFD72323"/>
        </left>
        <right style="thin">
          <color rgb="FFD72323"/>
        </right>
        <top style="thin">
          <color rgb="FFD72323"/>
        </top>
        <bottom style="thin">
          <color rgb="FFD72323"/>
        </bottom>
        <vertical style="thin">
          <color rgb="FFD4D4D4"/>
        </vertical>
        <horizontal style="thin">
          <color rgb="FFD4D4D4"/>
        </horizontal>
      </border>
    </dxf>
    <dxf>
      <fill>
        <patternFill patternType="solid">
          <fgColor rgb="FFF6F8F9"/>
          <bgColor rgb="FFF6F8F9"/>
        </patternFill>
      </fill>
    </dxf>
    <dxf>
      <fill>
        <patternFill patternType="solid">
          <fgColor rgb="FFFFFFFF"/>
          <bgColor rgb="FFFFFFFF"/>
        </patternFill>
      </fill>
    </dxf>
    <dxf>
      <fill>
        <patternFill patternType="solid">
          <fgColor rgb="FFD72323"/>
          <bgColor rgb="FFD72323"/>
        </patternFill>
      </fill>
    </dxf>
    <dxf>
      <border>
        <left style="thin">
          <color rgb="FFD72323"/>
        </left>
        <right style="thin">
          <color rgb="FFD72323"/>
        </right>
        <top style="thin">
          <color rgb="FFD72323"/>
        </top>
        <bottom style="thin">
          <color rgb="FFD72323"/>
        </bottom>
        <vertical style="thin">
          <color rgb="FFD4D4D4"/>
        </vertical>
        <horizontal style="thin">
          <color rgb="FFD4D4D4"/>
        </horizontal>
      </border>
    </dxf>
    <dxf>
      <fill>
        <patternFill patternType="solid">
          <fgColor rgb="FFF6F8F9"/>
          <bgColor rgb="FFF6F8F9"/>
        </patternFill>
      </fill>
    </dxf>
    <dxf>
      <fill>
        <patternFill patternType="solid">
          <fgColor rgb="FFFFFFFF"/>
          <bgColor rgb="FFFFFFFF"/>
        </patternFill>
      </fill>
    </dxf>
    <dxf>
      <fill>
        <patternFill patternType="solid">
          <fgColor rgb="FFD72323"/>
          <bgColor rgb="FFD72323"/>
        </patternFill>
      </fill>
    </dxf>
    <dxf>
      <border>
        <left style="thin">
          <color rgb="FFD72323"/>
        </left>
        <right style="thin">
          <color rgb="FFD72323"/>
        </right>
        <top style="thin">
          <color rgb="FFD72323"/>
        </top>
        <bottom style="thin">
          <color rgb="FFD72323"/>
        </bottom>
        <vertical style="thin">
          <color rgb="FFD4D4D4"/>
        </vertical>
        <horizontal style="thin">
          <color rgb="FFD4D4D4"/>
        </horizontal>
      </border>
    </dxf>
    <dxf>
      <fill>
        <patternFill patternType="solid">
          <fgColor rgb="FFF6F8F9"/>
          <bgColor rgb="FFF6F8F9"/>
        </patternFill>
      </fill>
    </dxf>
    <dxf>
      <fill>
        <patternFill patternType="solid">
          <fgColor rgb="FFFFFFFF"/>
          <bgColor rgb="FFFFFFFF"/>
        </patternFill>
      </fill>
    </dxf>
    <dxf>
      <fill>
        <patternFill patternType="solid">
          <fgColor rgb="FFD72323"/>
          <bgColor rgb="FFD72323"/>
        </patternFill>
      </fill>
    </dxf>
    <dxf>
      <border>
        <left style="thin">
          <color rgb="FFD72323"/>
        </left>
        <right style="thin">
          <color rgb="FFD72323"/>
        </right>
        <top style="thin">
          <color rgb="FFD72323"/>
        </top>
        <bottom style="thin">
          <color rgb="FFD72323"/>
        </bottom>
        <vertical style="thin">
          <color rgb="FFD4D4D4"/>
        </vertical>
        <horizontal style="thin">
          <color rgb="FFD4D4D4"/>
        </horizontal>
      </border>
    </dxf>
    <dxf>
      <fill>
        <patternFill patternType="solid">
          <fgColor rgb="FFF6F8F9"/>
          <bgColor rgb="FFF6F8F9"/>
        </patternFill>
      </fill>
    </dxf>
    <dxf>
      <fill>
        <patternFill patternType="solid">
          <fgColor rgb="FFFFFFFF"/>
          <bgColor rgb="FFFFFFFF"/>
        </patternFill>
      </fill>
    </dxf>
    <dxf>
      <fill>
        <patternFill patternType="solid">
          <fgColor rgb="FFD72323"/>
          <bgColor rgb="FFD72323"/>
        </patternFill>
      </fill>
    </dxf>
    <dxf>
      <border>
        <left style="thin">
          <color rgb="FFD72323"/>
        </left>
        <right style="thin">
          <color rgb="FFD72323"/>
        </right>
        <top style="thin">
          <color rgb="FFD72323"/>
        </top>
        <bottom style="thin">
          <color rgb="FFD72323"/>
        </bottom>
      </border>
    </dxf>
  </dxfs>
  <tableStyles count="9" defaultTableStyle="The Virus of Variation">
    <tableStyle name="Step 1-style" pivot="0" count="4" xr9:uid="{00000000-0011-0000-FFFF-FFFF00000000}">
      <tableStyleElement type="wholeTable" size="0" dxfId="77"/>
      <tableStyleElement type="headerRow" dxfId="76"/>
      <tableStyleElement type="firstRowStripe" dxfId="75"/>
      <tableStyleElement type="secondRowStripe" dxfId="74"/>
    </tableStyle>
    <tableStyle name="Step 2-style" pivot="0" count="4" xr9:uid="{00000000-0011-0000-FFFF-FFFF01000000}">
      <tableStyleElement type="wholeTable" size="0" dxfId="73"/>
      <tableStyleElement type="headerRow" dxfId="72"/>
      <tableStyleElement type="firstRowStripe" dxfId="71"/>
      <tableStyleElement type="secondRowStripe" dxfId="70"/>
    </tableStyle>
    <tableStyle name="Step 3-style" pivot="0" count="4" xr9:uid="{00000000-0011-0000-FFFF-FFFF02000000}">
      <tableStyleElement type="wholeTable" size="0" dxfId="69"/>
      <tableStyleElement type="headerRow" dxfId="68"/>
      <tableStyleElement type="firstRowStripe" dxfId="67"/>
      <tableStyleElement type="secondRowStripe" dxfId="66"/>
    </tableStyle>
    <tableStyle name="Step 4-style" pivot="0" count="4" xr9:uid="{00000000-0011-0000-FFFF-FFFF03000000}">
      <tableStyleElement type="wholeTable" size="0" dxfId="65"/>
      <tableStyleElement type="headerRow" dxfId="64"/>
      <tableStyleElement type="firstRowStripe" dxfId="63"/>
      <tableStyleElement type="secondRowStripe" dxfId="62"/>
    </tableStyle>
    <tableStyle name="Step 5-style" pivot="0" count="4" xr9:uid="{00000000-0011-0000-FFFF-FFFF04000000}">
      <tableStyleElement type="wholeTable" size="0" dxfId="61"/>
      <tableStyleElement type="headerRow" dxfId="60"/>
      <tableStyleElement type="firstRowStripe" dxfId="59"/>
      <tableStyleElement type="secondRowStripe" dxfId="58"/>
    </tableStyle>
    <tableStyle name="Step 6-style" pivot="0" count="4" xr9:uid="{00000000-0011-0000-FFFF-FFFF05000000}">
      <tableStyleElement type="wholeTable" size="0" dxfId="57"/>
      <tableStyleElement type="headerRow" dxfId="56"/>
      <tableStyleElement type="firstRowStripe" dxfId="55"/>
      <tableStyleElement type="secondRowStripe" dxfId="54"/>
    </tableStyle>
    <tableStyle name="Results-style" pivot="0" count="4" xr9:uid="{00000000-0011-0000-FFFF-FFFF06000000}">
      <tableStyleElement type="wholeTable" size="0" dxfId="53"/>
      <tableStyleElement type="headerRow" dxfId="52"/>
      <tableStyleElement type="firstRowStripe" dxfId="51"/>
      <tableStyleElement type="secondRowStripe" dxfId="50"/>
    </tableStyle>
    <tableStyle name="Table Style 1" pivot="0" count="0" xr9:uid="{BE55866D-FF73-42A2-A435-7E211190098B}"/>
    <tableStyle name="The Virus of Variation" pivot="0" count="4" xr9:uid="{7993DD85-50BD-4AC4-BB45-FE1F924045FB}">
      <tableStyleElement type="wholeTable" dxfId="49"/>
      <tableStyleElement type="headerRow" dxfId="48"/>
      <tableStyleElement type="firstRowStripe" dxfId="47"/>
      <tableStyleElement type="secondRowStripe" dxfId="46"/>
    </tableStyle>
  </tableStyles>
  <colors>
    <mruColors>
      <color rgb="FF3688A4"/>
      <color rgb="FFC8DDE6"/>
      <color rgb="FF8BB4C5"/>
      <color rgb="FFB8D4DE"/>
      <color rgb="FFFFFFFF"/>
      <color rgb="FFE8F3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Results!$C$2</c:f>
              <c:strCache>
                <c:ptCount val="1"/>
                <c:pt idx="0">
                  <c:v>Rate</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cat>
            <c:strRef>
              <c:f>Results!$B$3:$B$18</c:f>
              <c:strCache>
                <c:ptCount val="16"/>
                <c:pt idx="0">
                  <c:v>1810</c:v>
                </c:pt>
                <c:pt idx="1">
                  <c:v>1811</c:v>
                </c:pt>
                <c:pt idx="2">
                  <c:v>1812</c:v>
                </c:pt>
                <c:pt idx="3">
                  <c:v>1813</c:v>
                </c:pt>
                <c:pt idx="4">
                  <c:v>1814</c:v>
                </c:pt>
                <c:pt idx="5">
                  <c:v>1815</c:v>
                </c:pt>
                <c:pt idx="6">
                  <c:v>1816</c:v>
                </c:pt>
                <c:pt idx="7">
                  <c:v>1817</c:v>
                </c:pt>
                <c:pt idx="8">
                  <c:v>1818</c:v>
                </c:pt>
                <c:pt idx="9">
                  <c:v>1819</c:v>
                </c:pt>
                <c:pt idx="10">
                  <c:v>1820</c:v>
                </c:pt>
                <c:pt idx="11">
                  <c:v>1821</c:v>
                </c:pt>
                <c:pt idx="12">
                  <c:v>1822</c:v>
                </c:pt>
                <c:pt idx="13">
                  <c:v>1823</c:v>
                </c:pt>
                <c:pt idx="14">
                  <c:v>1824</c:v>
                </c:pt>
                <c:pt idx="15">
                  <c:v>1825</c:v>
                </c:pt>
              </c:strCache>
            </c:strRef>
          </c:cat>
          <c:val>
            <c:numRef>
              <c:f>Results!$C$3:$C$18</c:f>
              <c:numCache>
                <c:formatCode>General</c:formatCode>
                <c:ptCount val="16"/>
                <c:pt idx="0">
                  <c:v>0.8</c:v>
                </c:pt>
                <c:pt idx="1">
                  <c:v>1.9</c:v>
                </c:pt>
                <c:pt idx="2">
                  <c:v>0.6</c:v>
                </c:pt>
                <c:pt idx="3">
                  <c:v>1.1000000000000001</c:v>
                </c:pt>
                <c:pt idx="4">
                  <c:v>3.2</c:v>
                </c:pt>
                <c:pt idx="5">
                  <c:v>0.7</c:v>
                </c:pt>
                <c:pt idx="6">
                  <c:v>0.5</c:v>
                </c:pt>
                <c:pt idx="7">
                  <c:v>0.9</c:v>
                </c:pt>
                <c:pt idx="8">
                  <c:v>2.2000000000000002</c:v>
                </c:pt>
                <c:pt idx="9">
                  <c:v>5</c:v>
                </c:pt>
                <c:pt idx="10">
                  <c:v>2.5</c:v>
                </c:pt>
                <c:pt idx="11">
                  <c:v>1.7</c:v>
                </c:pt>
                <c:pt idx="12">
                  <c:v>0.8</c:v>
                </c:pt>
                <c:pt idx="13">
                  <c:v>7.5</c:v>
                </c:pt>
                <c:pt idx="14">
                  <c:v>4.9000000000000004</c:v>
                </c:pt>
                <c:pt idx="15">
                  <c:v>8.8000000000000007</c:v>
                </c:pt>
              </c:numCache>
            </c:numRef>
          </c:val>
          <c:smooth val="0"/>
          <c:extLst>
            <c:ext xmlns:c16="http://schemas.microsoft.com/office/drawing/2014/chart" uri="{C3380CC4-5D6E-409C-BE32-E72D297353CC}">
              <c16:uniqueId val="{00000000-329B-41D6-8340-43856FD2F6C5}"/>
            </c:ext>
          </c:extLst>
        </c:ser>
        <c:ser>
          <c:idx val="1"/>
          <c:order val="1"/>
          <c:tx>
            <c:strRef>
              <c:f>Results!$D$2</c:f>
              <c:strCache>
                <c:ptCount val="1"/>
                <c:pt idx="0">
                  <c:v>Mean</c:v>
                </c:pt>
              </c:strCache>
            </c:strRef>
          </c:tx>
          <c:spPr>
            <a:ln w="28575" cap="rnd">
              <a:solidFill>
                <a:schemeClr val="tx1"/>
              </a:solidFill>
              <a:round/>
            </a:ln>
            <a:effectLst/>
          </c:spPr>
          <c:marker>
            <c:symbol val="none"/>
          </c:marker>
          <c:cat>
            <c:strRef>
              <c:f>Results!$B$3:$B$18</c:f>
              <c:strCache>
                <c:ptCount val="16"/>
                <c:pt idx="0">
                  <c:v>1810</c:v>
                </c:pt>
                <c:pt idx="1">
                  <c:v>1811</c:v>
                </c:pt>
                <c:pt idx="2">
                  <c:v>1812</c:v>
                </c:pt>
                <c:pt idx="3">
                  <c:v>1813</c:v>
                </c:pt>
                <c:pt idx="4">
                  <c:v>1814</c:v>
                </c:pt>
                <c:pt idx="5">
                  <c:v>1815</c:v>
                </c:pt>
                <c:pt idx="6">
                  <c:v>1816</c:v>
                </c:pt>
                <c:pt idx="7">
                  <c:v>1817</c:v>
                </c:pt>
                <c:pt idx="8">
                  <c:v>1818</c:v>
                </c:pt>
                <c:pt idx="9">
                  <c:v>1819</c:v>
                </c:pt>
                <c:pt idx="10">
                  <c:v>1820</c:v>
                </c:pt>
                <c:pt idx="11">
                  <c:v>1821</c:v>
                </c:pt>
                <c:pt idx="12">
                  <c:v>1822</c:v>
                </c:pt>
                <c:pt idx="13">
                  <c:v>1823</c:v>
                </c:pt>
                <c:pt idx="14">
                  <c:v>1824</c:v>
                </c:pt>
                <c:pt idx="15">
                  <c:v>1825</c:v>
                </c:pt>
              </c:strCache>
            </c:strRef>
          </c:cat>
          <c:val>
            <c:numRef>
              <c:f>Results!$D$3:$D$18</c:f>
              <c:numCache>
                <c:formatCode>General</c:formatCode>
                <c:ptCount val="16"/>
                <c:pt idx="0">
                  <c:v>2.69</c:v>
                </c:pt>
                <c:pt idx="1">
                  <c:v>2.69</c:v>
                </c:pt>
                <c:pt idx="2">
                  <c:v>2.69</c:v>
                </c:pt>
                <c:pt idx="3">
                  <c:v>2.69</c:v>
                </c:pt>
                <c:pt idx="4">
                  <c:v>2.69</c:v>
                </c:pt>
                <c:pt idx="5">
                  <c:v>2.69</c:v>
                </c:pt>
                <c:pt idx="6">
                  <c:v>2.69</c:v>
                </c:pt>
                <c:pt idx="7">
                  <c:v>2.69</c:v>
                </c:pt>
                <c:pt idx="8">
                  <c:v>2.69</c:v>
                </c:pt>
                <c:pt idx="9">
                  <c:v>2.69</c:v>
                </c:pt>
                <c:pt idx="10">
                  <c:v>2.69</c:v>
                </c:pt>
                <c:pt idx="11">
                  <c:v>2.69</c:v>
                </c:pt>
                <c:pt idx="12">
                  <c:v>2.69</c:v>
                </c:pt>
                <c:pt idx="13">
                  <c:v>2.69</c:v>
                </c:pt>
                <c:pt idx="14">
                  <c:v>2.69</c:v>
                </c:pt>
                <c:pt idx="15">
                  <c:v>2.69</c:v>
                </c:pt>
              </c:numCache>
            </c:numRef>
          </c:val>
          <c:smooth val="0"/>
          <c:extLst>
            <c:ext xmlns:c16="http://schemas.microsoft.com/office/drawing/2014/chart" uri="{C3380CC4-5D6E-409C-BE32-E72D297353CC}">
              <c16:uniqueId val="{00000001-329B-41D6-8340-43856FD2F6C5}"/>
            </c:ext>
          </c:extLst>
        </c:ser>
        <c:ser>
          <c:idx val="2"/>
          <c:order val="2"/>
          <c:tx>
            <c:strRef>
              <c:f>Results!$E$2</c:f>
              <c:strCache>
                <c:ptCount val="1"/>
                <c:pt idx="0">
                  <c:v>UPL</c:v>
                </c:pt>
              </c:strCache>
            </c:strRef>
          </c:tx>
          <c:spPr>
            <a:ln w="28575" cap="rnd">
              <a:solidFill>
                <a:srgbClr val="D72323"/>
              </a:solidFill>
              <a:prstDash val="dash"/>
              <a:round/>
            </a:ln>
            <a:effectLst/>
          </c:spPr>
          <c:marker>
            <c:symbol val="none"/>
          </c:marker>
          <c:cat>
            <c:strRef>
              <c:f>Results!$B$3:$B$18</c:f>
              <c:strCache>
                <c:ptCount val="16"/>
                <c:pt idx="0">
                  <c:v>1810</c:v>
                </c:pt>
                <c:pt idx="1">
                  <c:v>1811</c:v>
                </c:pt>
                <c:pt idx="2">
                  <c:v>1812</c:v>
                </c:pt>
                <c:pt idx="3">
                  <c:v>1813</c:v>
                </c:pt>
                <c:pt idx="4">
                  <c:v>1814</c:v>
                </c:pt>
                <c:pt idx="5">
                  <c:v>1815</c:v>
                </c:pt>
                <c:pt idx="6">
                  <c:v>1816</c:v>
                </c:pt>
                <c:pt idx="7">
                  <c:v>1817</c:v>
                </c:pt>
                <c:pt idx="8">
                  <c:v>1818</c:v>
                </c:pt>
                <c:pt idx="9">
                  <c:v>1819</c:v>
                </c:pt>
                <c:pt idx="10">
                  <c:v>1820</c:v>
                </c:pt>
                <c:pt idx="11">
                  <c:v>1821</c:v>
                </c:pt>
                <c:pt idx="12">
                  <c:v>1822</c:v>
                </c:pt>
                <c:pt idx="13">
                  <c:v>1823</c:v>
                </c:pt>
                <c:pt idx="14">
                  <c:v>1824</c:v>
                </c:pt>
                <c:pt idx="15">
                  <c:v>1825</c:v>
                </c:pt>
              </c:strCache>
            </c:strRef>
          </c:cat>
          <c:val>
            <c:numRef>
              <c:f>Results!$E$3:$E$18</c:f>
              <c:numCache>
                <c:formatCode>General</c:formatCode>
                <c:ptCount val="16"/>
                <c:pt idx="0">
                  <c:v>7.93</c:v>
                </c:pt>
                <c:pt idx="1">
                  <c:v>7.93</c:v>
                </c:pt>
                <c:pt idx="2">
                  <c:v>7.93</c:v>
                </c:pt>
                <c:pt idx="3">
                  <c:v>7.93</c:v>
                </c:pt>
                <c:pt idx="4">
                  <c:v>7.93</c:v>
                </c:pt>
                <c:pt idx="5">
                  <c:v>7.93</c:v>
                </c:pt>
                <c:pt idx="6">
                  <c:v>7.93</c:v>
                </c:pt>
                <c:pt idx="7">
                  <c:v>7.93</c:v>
                </c:pt>
                <c:pt idx="8">
                  <c:v>7.93</c:v>
                </c:pt>
                <c:pt idx="9">
                  <c:v>7.93</c:v>
                </c:pt>
                <c:pt idx="10">
                  <c:v>7.93</c:v>
                </c:pt>
                <c:pt idx="11">
                  <c:v>7.93</c:v>
                </c:pt>
                <c:pt idx="12">
                  <c:v>7.93</c:v>
                </c:pt>
                <c:pt idx="13">
                  <c:v>7.93</c:v>
                </c:pt>
                <c:pt idx="14">
                  <c:v>7.93</c:v>
                </c:pt>
                <c:pt idx="15">
                  <c:v>7.93</c:v>
                </c:pt>
              </c:numCache>
            </c:numRef>
          </c:val>
          <c:smooth val="0"/>
          <c:extLst>
            <c:ext xmlns:c16="http://schemas.microsoft.com/office/drawing/2014/chart" uri="{C3380CC4-5D6E-409C-BE32-E72D297353CC}">
              <c16:uniqueId val="{00000002-329B-41D6-8340-43856FD2F6C5}"/>
            </c:ext>
          </c:extLst>
        </c:ser>
        <c:ser>
          <c:idx val="3"/>
          <c:order val="3"/>
          <c:tx>
            <c:strRef>
              <c:f>Results!$F$2</c:f>
              <c:strCache>
                <c:ptCount val="1"/>
                <c:pt idx="0">
                  <c:v>LPL</c:v>
                </c:pt>
              </c:strCache>
            </c:strRef>
          </c:tx>
          <c:spPr>
            <a:ln w="28575" cap="rnd">
              <a:solidFill>
                <a:srgbClr val="D72323"/>
              </a:solidFill>
              <a:prstDash val="dash"/>
              <a:round/>
            </a:ln>
            <a:effectLst/>
          </c:spPr>
          <c:marker>
            <c:symbol val="none"/>
          </c:marker>
          <c:cat>
            <c:strRef>
              <c:f>Results!$B$3:$B$18</c:f>
              <c:strCache>
                <c:ptCount val="16"/>
                <c:pt idx="0">
                  <c:v>1810</c:v>
                </c:pt>
                <c:pt idx="1">
                  <c:v>1811</c:v>
                </c:pt>
                <c:pt idx="2">
                  <c:v>1812</c:v>
                </c:pt>
                <c:pt idx="3">
                  <c:v>1813</c:v>
                </c:pt>
                <c:pt idx="4">
                  <c:v>1814</c:v>
                </c:pt>
                <c:pt idx="5">
                  <c:v>1815</c:v>
                </c:pt>
                <c:pt idx="6">
                  <c:v>1816</c:v>
                </c:pt>
                <c:pt idx="7">
                  <c:v>1817</c:v>
                </c:pt>
                <c:pt idx="8">
                  <c:v>1818</c:v>
                </c:pt>
                <c:pt idx="9">
                  <c:v>1819</c:v>
                </c:pt>
                <c:pt idx="10">
                  <c:v>1820</c:v>
                </c:pt>
                <c:pt idx="11">
                  <c:v>1821</c:v>
                </c:pt>
                <c:pt idx="12">
                  <c:v>1822</c:v>
                </c:pt>
                <c:pt idx="13">
                  <c:v>1823</c:v>
                </c:pt>
                <c:pt idx="14">
                  <c:v>1824</c:v>
                </c:pt>
                <c:pt idx="15">
                  <c:v>1825</c:v>
                </c:pt>
              </c:strCache>
            </c:strRef>
          </c:cat>
          <c:val>
            <c:numRef>
              <c:f>Results!$F$3:$F$18</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smooth val="0"/>
          <c:extLst>
            <c:ext xmlns:c16="http://schemas.microsoft.com/office/drawing/2014/chart" uri="{C3380CC4-5D6E-409C-BE32-E72D297353CC}">
              <c16:uniqueId val="{00000003-329B-41D6-8340-43856FD2F6C5}"/>
            </c:ext>
          </c:extLst>
        </c:ser>
        <c:dLbls>
          <c:showLegendKey val="0"/>
          <c:showVal val="0"/>
          <c:showCatName val="0"/>
          <c:showSerName val="0"/>
          <c:showPercent val="0"/>
          <c:showBubbleSize val="0"/>
        </c:dLbls>
        <c:marker val="1"/>
        <c:smooth val="0"/>
        <c:axId val="2024056368"/>
        <c:axId val="2024057808"/>
      </c:lineChart>
      <c:catAx>
        <c:axId val="202405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7808"/>
        <c:crosses val="autoZero"/>
        <c:auto val="1"/>
        <c:lblAlgn val="ctr"/>
        <c:lblOffset val="100"/>
        <c:noMultiLvlLbl val="0"/>
      </c:catAx>
      <c:valAx>
        <c:axId val="20240578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Death-to-Birth Rate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6368"/>
        <c:crosses val="autoZero"/>
        <c:crossBetween val="between"/>
      </c:valAx>
      <c:spPr>
        <a:noFill/>
        <a:ln w="25400">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Results!$G$2</c:f>
              <c:strCache>
                <c:ptCount val="1"/>
                <c:pt idx="0">
                  <c:v>mR</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val>
            <c:numRef>
              <c:f>Results!$G$3:$G$18</c:f>
              <c:numCache>
                <c:formatCode>General</c:formatCode>
                <c:ptCount val="16"/>
                <c:pt idx="1">
                  <c:v>1.0999999999999999</c:v>
                </c:pt>
                <c:pt idx="2">
                  <c:v>1.2999999999999998</c:v>
                </c:pt>
                <c:pt idx="3">
                  <c:v>0.50000000000000011</c:v>
                </c:pt>
                <c:pt idx="4">
                  <c:v>2.1</c:v>
                </c:pt>
                <c:pt idx="5">
                  <c:v>2.5</c:v>
                </c:pt>
                <c:pt idx="6">
                  <c:v>0.19999999999999996</c:v>
                </c:pt>
                <c:pt idx="7">
                  <c:v>0.4</c:v>
                </c:pt>
                <c:pt idx="8">
                  <c:v>1.3000000000000003</c:v>
                </c:pt>
                <c:pt idx="9">
                  <c:v>2.8</c:v>
                </c:pt>
                <c:pt idx="10">
                  <c:v>2.5</c:v>
                </c:pt>
                <c:pt idx="11">
                  <c:v>0.8</c:v>
                </c:pt>
                <c:pt idx="12">
                  <c:v>0.89999999999999991</c:v>
                </c:pt>
                <c:pt idx="13">
                  <c:v>6.7</c:v>
                </c:pt>
                <c:pt idx="14">
                  <c:v>2.5999999999999996</c:v>
                </c:pt>
                <c:pt idx="15">
                  <c:v>3.9000000000000004</c:v>
                </c:pt>
              </c:numCache>
            </c:numRef>
          </c:val>
          <c:smooth val="0"/>
          <c:extLst>
            <c:ext xmlns:c16="http://schemas.microsoft.com/office/drawing/2014/chart" uri="{C3380CC4-5D6E-409C-BE32-E72D297353CC}">
              <c16:uniqueId val="{00000000-5D18-47FA-93F7-2AB89D044415}"/>
            </c:ext>
          </c:extLst>
        </c:ser>
        <c:ser>
          <c:idx val="1"/>
          <c:order val="1"/>
          <c:tx>
            <c:strRef>
              <c:f>Results!$H$2</c:f>
              <c:strCache>
                <c:ptCount val="1"/>
                <c:pt idx="0">
                  <c:v>Ave. mR</c:v>
                </c:pt>
              </c:strCache>
            </c:strRef>
          </c:tx>
          <c:spPr>
            <a:ln w="28575" cap="rnd">
              <a:solidFill>
                <a:schemeClr val="tx1"/>
              </a:solidFill>
              <a:round/>
            </a:ln>
            <a:effectLst/>
          </c:spPr>
          <c:marker>
            <c:symbol val="none"/>
          </c:marker>
          <c:val>
            <c:numRef>
              <c:f>Results!$H$3:$H$18</c:f>
              <c:numCache>
                <c:formatCode>General</c:formatCode>
                <c:ptCount val="16"/>
                <c:pt idx="0">
                  <c:v>1.97</c:v>
                </c:pt>
                <c:pt idx="1">
                  <c:v>1.97</c:v>
                </c:pt>
                <c:pt idx="2">
                  <c:v>1.97</c:v>
                </c:pt>
                <c:pt idx="3">
                  <c:v>1.97</c:v>
                </c:pt>
                <c:pt idx="4">
                  <c:v>1.97</c:v>
                </c:pt>
                <c:pt idx="5">
                  <c:v>1.97</c:v>
                </c:pt>
                <c:pt idx="6">
                  <c:v>1.97</c:v>
                </c:pt>
                <c:pt idx="7">
                  <c:v>1.97</c:v>
                </c:pt>
                <c:pt idx="8">
                  <c:v>1.97</c:v>
                </c:pt>
                <c:pt idx="9">
                  <c:v>1.97</c:v>
                </c:pt>
                <c:pt idx="10">
                  <c:v>1.97</c:v>
                </c:pt>
                <c:pt idx="11">
                  <c:v>1.97</c:v>
                </c:pt>
                <c:pt idx="12">
                  <c:v>1.97</c:v>
                </c:pt>
                <c:pt idx="13">
                  <c:v>1.97</c:v>
                </c:pt>
                <c:pt idx="14">
                  <c:v>1.97</c:v>
                </c:pt>
                <c:pt idx="15">
                  <c:v>1.97</c:v>
                </c:pt>
              </c:numCache>
            </c:numRef>
          </c:val>
          <c:smooth val="0"/>
          <c:extLst>
            <c:ext xmlns:c16="http://schemas.microsoft.com/office/drawing/2014/chart" uri="{C3380CC4-5D6E-409C-BE32-E72D297353CC}">
              <c16:uniqueId val="{00000001-5D18-47FA-93F7-2AB89D044415}"/>
            </c:ext>
          </c:extLst>
        </c:ser>
        <c:ser>
          <c:idx val="2"/>
          <c:order val="2"/>
          <c:tx>
            <c:strRef>
              <c:f>Results!$I$2</c:f>
              <c:strCache>
                <c:ptCount val="1"/>
                <c:pt idx="0">
                  <c:v>URL</c:v>
                </c:pt>
              </c:strCache>
            </c:strRef>
          </c:tx>
          <c:spPr>
            <a:ln w="28575" cap="rnd">
              <a:solidFill>
                <a:srgbClr val="D72323"/>
              </a:solidFill>
              <a:prstDash val="dash"/>
              <a:round/>
            </a:ln>
            <a:effectLst/>
          </c:spPr>
          <c:marker>
            <c:symbol val="none"/>
          </c:marker>
          <c:val>
            <c:numRef>
              <c:f>Results!$I$3:$I$18</c:f>
              <c:numCache>
                <c:formatCode>General</c:formatCode>
                <c:ptCount val="16"/>
                <c:pt idx="0">
                  <c:v>6.44</c:v>
                </c:pt>
                <c:pt idx="1">
                  <c:v>6.44</c:v>
                </c:pt>
                <c:pt idx="2">
                  <c:v>6.44</c:v>
                </c:pt>
                <c:pt idx="3">
                  <c:v>6.44</c:v>
                </c:pt>
                <c:pt idx="4">
                  <c:v>6.44</c:v>
                </c:pt>
                <c:pt idx="5">
                  <c:v>6.44</c:v>
                </c:pt>
                <c:pt idx="6">
                  <c:v>6.44</c:v>
                </c:pt>
                <c:pt idx="7">
                  <c:v>6.44</c:v>
                </c:pt>
                <c:pt idx="8">
                  <c:v>6.44</c:v>
                </c:pt>
                <c:pt idx="9">
                  <c:v>6.44</c:v>
                </c:pt>
                <c:pt idx="10">
                  <c:v>6.44</c:v>
                </c:pt>
                <c:pt idx="11">
                  <c:v>6.44</c:v>
                </c:pt>
                <c:pt idx="12">
                  <c:v>6.44</c:v>
                </c:pt>
                <c:pt idx="13">
                  <c:v>6.44</c:v>
                </c:pt>
                <c:pt idx="14">
                  <c:v>6.44</c:v>
                </c:pt>
                <c:pt idx="15">
                  <c:v>6.44</c:v>
                </c:pt>
              </c:numCache>
            </c:numRef>
          </c:val>
          <c:smooth val="0"/>
          <c:extLst>
            <c:ext xmlns:c16="http://schemas.microsoft.com/office/drawing/2014/chart" uri="{C3380CC4-5D6E-409C-BE32-E72D297353CC}">
              <c16:uniqueId val="{00000002-5D18-47FA-93F7-2AB89D044415}"/>
            </c:ext>
          </c:extLst>
        </c:ser>
        <c:dLbls>
          <c:showLegendKey val="0"/>
          <c:showVal val="0"/>
          <c:showCatName val="0"/>
          <c:showSerName val="0"/>
          <c:showPercent val="0"/>
          <c:showBubbleSize val="0"/>
        </c:dLbls>
        <c:marker val="1"/>
        <c:smooth val="0"/>
        <c:axId val="2024086608"/>
        <c:axId val="2024084208"/>
      </c:lineChart>
      <c:catAx>
        <c:axId val="2024086608"/>
        <c:scaling>
          <c:orientation val="minMax"/>
        </c:scaling>
        <c:delete val="1"/>
        <c:axPos val="b"/>
        <c:majorTickMark val="none"/>
        <c:minorTickMark val="none"/>
        <c:tickLblPos val="nextTo"/>
        <c:crossAx val="2024084208"/>
        <c:crosses val="autoZero"/>
        <c:auto val="1"/>
        <c:lblAlgn val="ctr"/>
        <c:lblOffset val="100"/>
        <c:noMultiLvlLbl val="0"/>
      </c:catAx>
      <c:valAx>
        <c:axId val="20240842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Moving Range (mR)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86608"/>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18</xdr:col>
      <xdr:colOff>0</xdr:colOff>
      <xdr:row>1</xdr:row>
      <xdr:rowOff>0</xdr:rowOff>
    </xdr:from>
    <xdr:to>
      <xdr:col>22</xdr:col>
      <xdr:colOff>197908</xdr:colOff>
      <xdr:row>24</xdr:row>
      <xdr:rowOff>153670</xdr:rowOff>
    </xdr:to>
    <xdr:pic>
      <xdr:nvPicPr>
        <xdr:cNvPr id="2" name="image1.jpg">
          <a:extLst>
            <a:ext uri="{FF2B5EF4-FFF2-40B4-BE49-F238E27FC236}">
              <a16:creationId xmlns:a16="http://schemas.microsoft.com/office/drawing/2014/main" id="{902BDF45-5796-4C67-98E9-5C82FD5EA2A3}"/>
            </a:ext>
          </a:extLst>
        </xdr:cNvPr>
        <xdr:cNvPicPr preferRelativeResize="0"/>
      </xdr:nvPicPr>
      <xdr:blipFill>
        <a:blip xmlns:r="http://schemas.openxmlformats.org/officeDocument/2006/relationships" r:embed="rId1" cstate="print"/>
        <a:stretch>
          <a:fillRect/>
        </a:stretch>
      </xdr:blipFill>
      <xdr:spPr>
        <a:xfrm>
          <a:off x="10972800" y="314325"/>
          <a:ext cx="2636308" cy="4097020"/>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10</xdr:col>
      <xdr:colOff>0</xdr:colOff>
      <xdr:row>17</xdr:row>
      <xdr:rowOff>0</xdr:rowOff>
    </xdr:from>
    <xdr:to>
      <xdr:col>25</xdr:col>
      <xdr:colOff>0</xdr:colOff>
      <xdr:row>29</xdr:row>
      <xdr:rowOff>0</xdr:rowOff>
    </xdr:to>
    <xdr:graphicFrame macro="">
      <xdr:nvGraphicFramePr>
        <xdr:cNvPr id="2" name="Chart 1">
          <a:extLst>
            <a:ext uri="{FF2B5EF4-FFF2-40B4-BE49-F238E27FC236}">
              <a16:creationId xmlns:a16="http://schemas.microsoft.com/office/drawing/2014/main" id="{B34E2824-B69F-FDF5-E179-273DD1D70E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29</xdr:row>
      <xdr:rowOff>0</xdr:rowOff>
    </xdr:from>
    <xdr:to>
      <xdr:col>25</xdr:col>
      <xdr:colOff>0</xdr:colOff>
      <xdr:row>40</xdr:row>
      <xdr:rowOff>0</xdr:rowOff>
    </xdr:to>
    <xdr:graphicFrame macro="">
      <xdr:nvGraphicFramePr>
        <xdr:cNvPr id="3" name="Chart 2">
          <a:extLst>
            <a:ext uri="{FF2B5EF4-FFF2-40B4-BE49-F238E27FC236}">
              <a16:creationId xmlns:a16="http://schemas.microsoft.com/office/drawing/2014/main" id="{8A280768-404D-0BF2-682F-46ECDF1BB5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10" xr16:uid="{61EFDF4F-6AE3-4C67-B2BB-3FCD0F5E4480}" autoFormatId="16" applyNumberFormats="0" applyBorderFormats="0" applyFontFormats="0" applyPatternFormats="0" applyAlignmentFormats="0" applyWidthHeightFormats="0">
  <queryTableRefresh nextId="11" unboundColumnsRight="5">
    <queryTableFields count="9">
      <queryTableField id="2" name="Hospital" tableColumnId="2"/>
      <queryTableField id="3" name="Year" tableColumnId="3"/>
      <queryTableField id="4" name="Rate" tableColumnId="4"/>
      <queryTableField id="5" name="Moving Range" tableColumnId="5"/>
      <queryTableField id="6" dataBound="0" tableColumnId="6"/>
      <queryTableField id="7" dataBound="0" tableColumnId="7"/>
      <queryTableField id="8" dataBound="0" tableColumnId="8"/>
      <queryTableField id="9" dataBound="0" tableColumnId="9"/>
      <queryTableField id="10" dataBound="0" tableColumnId="10"/>
    </queryTableFields>
    <queryTableDeletedFields count="1">
      <deletedField name="Sample"/>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9" xr16:uid="{08330A5C-70D4-420C-B8BE-5906692A3D78}" autoFormatId="16" applyNumberFormats="0" applyBorderFormats="0" applyFontFormats="0" applyPatternFormats="0" applyAlignmentFormats="0" applyWidthHeightFormats="0">
  <queryTableRefresh nextId="11" unboundColumnsRight="5">
    <queryTableFields count="9">
      <queryTableField id="2" name="Hospital" tableColumnId="2"/>
      <queryTableField id="3" name="Year" tableColumnId="3"/>
      <queryTableField id="4" name="Rate" tableColumnId="4"/>
      <queryTableField id="5" name="Moving Range" tableColumnId="5"/>
      <queryTableField id="6" dataBound="0" tableColumnId="6"/>
      <queryTableField id="7" dataBound="0" tableColumnId="7"/>
      <queryTableField id="8" dataBound="0" tableColumnId="8"/>
      <queryTableField id="9" dataBound="0" tableColumnId="9"/>
      <queryTableField id="10" dataBound="0" tableColumnId="10"/>
    </queryTableFields>
    <queryTableDeletedFields count="1">
      <deletedField name="Sample"/>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connectionId="8" xr16:uid="{08E46467-99BE-496F-8204-817CB928C732}" autoFormatId="16" applyNumberFormats="0" applyBorderFormats="0" applyFontFormats="0" applyPatternFormats="0" applyAlignmentFormats="0" applyWidthHeightFormats="0">
  <queryTableRefresh nextId="11" unboundColumnsRight="5">
    <queryTableFields count="9">
      <queryTableField id="2" name="Hospital" tableColumnId="2"/>
      <queryTableField id="3" name="Year" tableColumnId="3"/>
      <queryTableField id="4" name="Rate" tableColumnId="4"/>
      <queryTableField id="5" name="Moving Range" tableColumnId="5"/>
      <queryTableField id="6" dataBound="0" tableColumnId="6"/>
      <queryTableField id="7" dataBound="0" tableColumnId="7"/>
      <queryTableField id="8" dataBound="0" tableColumnId="8"/>
      <queryTableField id="9" dataBound="0" tableColumnId="9"/>
      <queryTableField id="10" dataBound="0" tableColumnId="10"/>
    </queryTableFields>
    <queryTableDeletedFields count="1">
      <deletedField name="Sample"/>
    </queryTableDeleted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connectionId="7" xr16:uid="{1A93D170-E7BA-4940-A4A3-5C1051619854}" autoFormatId="16" applyNumberFormats="0" applyBorderFormats="0" applyFontFormats="0" applyPatternFormats="0" applyAlignmentFormats="0" applyWidthHeightFormats="0">
  <queryTableRefresh nextId="11" unboundColumnsRight="5">
    <queryTableFields count="9">
      <queryTableField id="2" name="Hospital" tableColumnId="2"/>
      <queryTableField id="3" name="Year" tableColumnId="3"/>
      <queryTableField id="4" name="Rate" tableColumnId="4"/>
      <queryTableField id="5" name="Moving Range" tableColumnId="5"/>
      <queryTableField id="6" dataBound="0" tableColumnId="6"/>
      <queryTableField id="7" dataBound="0" tableColumnId="7"/>
      <queryTableField id="8" dataBound="0" tableColumnId="8"/>
      <queryTableField id="9" dataBound="0" tableColumnId="9"/>
      <queryTableField id="10" dataBound="0" tableColumnId="10"/>
    </queryTableFields>
    <queryTableDeletedFields count="1">
      <deletedField name="Sample"/>
    </queryTableDeleted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3" connectionId="6" xr16:uid="{26694AD3-AB73-4AF5-817C-8D434F1F257F}" autoFormatId="16" applyNumberFormats="0" applyBorderFormats="0" applyFontFormats="0" applyPatternFormats="0" applyAlignmentFormats="0" applyWidthHeightFormats="0">
  <queryTableRefresh nextId="11" unboundColumnsRight="5">
    <queryTableFields count="9">
      <queryTableField id="2" name="Hospital" tableColumnId="2"/>
      <queryTableField id="3" name="Year" tableColumnId="3"/>
      <queryTableField id="4" name="Rate" tableColumnId="4"/>
      <queryTableField id="5" name="Moving Range" tableColumnId="5"/>
      <queryTableField id="6" dataBound="0" tableColumnId="6"/>
      <queryTableField id="7" dataBound="0" tableColumnId="7"/>
      <queryTableField id="8" dataBound="0" tableColumnId="8"/>
      <queryTableField id="9" dataBound="0" tableColumnId="9"/>
      <queryTableField id="10" dataBound="0" tableColumnId="10"/>
    </queryTableFields>
    <queryTableDeletedFields count="1">
      <deletedField name="Sample"/>
    </queryTableDeleted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2" connectionId="17" xr16:uid="{DFDD0A66-A09C-42D0-A4A4-D9F7237A71A6}" autoFormatId="16" applyNumberFormats="0" applyBorderFormats="0" applyFontFormats="0" applyPatternFormats="0" applyAlignmentFormats="0" applyWidthHeightFormats="0">
  <queryTableRefresh nextId="11" unboundColumnsRight="5">
    <queryTableFields count="9">
      <queryTableField id="2" name="Hospital" tableColumnId="2"/>
      <queryTableField id="3" name="Year" tableColumnId="3"/>
      <queryTableField id="4" name="Rate" tableColumnId="4"/>
      <queryTableField id="5" name="Moving Range" tableColumnId="5"/>
      <queryTableField id="6" dataBound="0" tableColumnId="6"/>
      <queryTableField id="7" dataBound="0" tableColumnId="7"/>
      <queryTableField id="8" dataBound="0" tableColumnId="8"/>
      <queryTableField id="9" dataBound="0" tableColumnId="9"/>
      <queryTableField id="10" dataBound="0" tableColumnId="10"/>
    </queryTableFields>
    <queryTableDeletedFields count="1">
      <deletedField name="Sample"/>
    </queryTableDeleted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11" xr16:uid="{BBB8C6C3-D52E-4D22-B1BC-420B0A002129}" autoFormatId="16" applyNumberFormats="0" applyBorderFormats="0" applyFontFormats="0" applyPatternFormats="0" applyAlignmentFormats="0" applyWidthHeightFormats="0">
  <queryTableRefresh nextId="6">
    <queryTableFields count="4">
      <queryTableField id="2" name="Hospital" tableColumnId="2"/>
      <queryTableField id="3" name="Year" tableColumnId="3"/>
      <queryTableField id="4" name="Rate" tableColumnId="4"/>
      <queryTableField id="5" name="Moving Range" tableColumnId="5"/>
    </queryTableFields>
    <queryTableDeletedFields count="1">
      <deletedField name="Sample"/>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F63C56B3-EBB4-476E-89F3-B3EE7E2A5BD7}" name="software_verification_death_to_birth_rates__2101620" displayName="software_verification_death_to_birth_rates__2101620" ref="A2:I18" tableType="queryTable" totalsRowShown="0">
  <autoFilter ref="A2:I18" xr:uid="{F63C56B3-EBB4-476E-89F3-B3EE7E2A5BD7}"/>
  <tableColumns count="9">
    <tableColumn id="2" xr3:uid="{ED2C717D-9B70-48B1-B77E-FCCF0D44DC30}" uniqueName="2" name="Hospital" queryTableFieldId="2" dataDxfId="45"/>
    <tableColumn id="3" xr3:uid="{90E0AB92-9FC0-40FE-8E5E-E9D74BABC46A}" uniqueName="3" name="Year" queryTableFieldId="3" dataDxfId="44"/>
    <tableColumn id="4" xr3:uid="{9E864ABB-A0B9-4EC9-8EB5-41AD6BA2054A}" uniqueName="4" name="Rate" queryTableFieldId="4"/>
    <tableColumn id="5" xr3:uid="{33A9E9F9-9356-47B6-9F38-272D2D0E6FBF}" uniqueName="5" name="Mean" queryTableFieldId="5"/>
    <tableColumn id="6" xr3:uid="{EA084007-B03C-41CF-850E-2B2785A27C86}" uniqueName="6" name="UPL" queryTableFieldId="6" dataDxfId="43"/>
    <tableColumn id="7" xr3:uid="{A2F86286-7B15-4230-BBCF-F76CA820B46B}" uniqueName="7" name="LPL" queryTableFieldId="7" dataDxfId="42"/>
    <tableColumn id="8" xr3:uid="{C6F35A6E-ED1C-4178-914B-58EFBDE6B3FB}" uniqueName="8" name="mR" queryTableFieldId="8" dataDxfId="41"/>
    <tableColumn id="9" xr3:uid="{F2CEE501-A85F-48F5-83DA-7F914BDB5222}" uniqueName="9" name="Ave. mR" queryTableFieldId="9" dataDxfId="40"/>
    <tableColumn id="10" xr3:uid="{616383A2-8241-4074-A5AC-07AD24849051}" uniqueName="10" name="URL" queryTableFieldId="10" dataDxfId="39"/>
  </tableColumns>
  <tableStyleInfo name="The Virus of Variation"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F0EAE513-175F-4DE1-B476-848AC192EFA0}" name="software_verification_death_to_birth_rates__2101619" displayName="software_verification_death_to_birth_rates__2101619" ref="A2:I18" tableType="queryTable" totalsRowShown="0">
  <autoFilter ref="A2:I18" xr:uid="{F0EAE513-175F-4DE1-B476-848AC192EFA0}"/>
  <tableColumns count="9">
    <tableColumn id="2" xr3:uid="{DB744AA5-7135-45C5-9476-6EFBE80708D8}" uniqueName="2" name="Hospital" queryTableFieldId="2" dataDxfId="38"/>
    <tableColumn id="3" xr3:uid="{09C170FB-10EB-42D6-BC90-B09517E7F916}" uniqueName="3" name="Year" queryTableFieldId="3" dataDxfId="37"/>
    <tableColumn id="4" xr3:uid="{5E40F483-A99A-470F-A530-C5778E80A750}" uniqueName="4" name="Rate" queryTableFieldId="4"/>
    <tableColumn id="5" xr3:uid="{4E4DA64C-911C-40B8-9833-7BAE0404189E}" uniqueName="5" name="Mean" queryTableFieldId="5"/>
    <tableColumn id="6" xr3:uid="{CDF135DE-FB54-424A-8496-29FA7B4F3B21}" uniqueName="6" name="UPL" queryTableFieldId="6" dataDxfId="36"/>
    <tableColumn id="7" xr3:uid="{CAD87A0D-1D08-41D8-B9D7-24A15A929535}" uniqueName="7" name="LPL" queryTableFieldId="7" dataDxfId="35"/>
    <tableColumn id="8" xr3:uid="{00C4F156-22DF-4A6C-B079-6623924FCE77}" uniqueName="8" name="mR" queryTableFieldId="8" dataDxfId="34">
      <calculatedColumnFormula>ABS(C2-C3)</calculatedColumnFormula>
    </tableColumn>
    <tableColumn id="9" xr3:uid="{AE3119E4-AC11-425C-8124-75146AC3EF1E}" uniqueName="9" name="Ave. mR" queryTableFieldId="9" dataDxfId="33"/>
    <tableColumn id="10" xr3:uid="{1F4A3786-F33D-4E4F-A9DB-962451AA442B}" uniqueName="10" name="URL" queryTableFieldId="10" dataDxfId="32"/>
  </tableColumns>
  <tableStyleInfo name="The Virus of Variation"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1C43A82D-E8AF-4CFC-87F7-FD575E14774F}" name="software_verification_death_to_birth_rates__2101618" displayName="software_verification_death_to_birth_rates__2101618" ref="A2:I18" tableType="queryTable" totalsRowShown="0">
  <autoFilter ref="A2:I18" xr:uid="{1C43A82D-E8AF-4CFC-87F7-FD575E14774F}"/>
  <tableColumns count="9">
    <tableColumn id="2" xr3:uid="{46BB6FF8-8BEF-4B09-A6E3-E1C22AD752EB}" uniqueName="2" name="Hospital" queryTableFieldId="2" dataDxfId="31"/>
    <tableColumn id="3" xr3:uid="{5DF6130A-9E7C-4D6C-8A8F-BA72350BF55A}" uniqueName="3" name="Year" queryTableFieldId="3" dataDxfId="30"/>
    <tableColumn id="4" xr3:uid="{BF58857A-0938-494B-8AE8-FCB011F652F4}" uniqueName="4" name="Rate" queryTableFieldId="4"/>
    <tableColumn id="5" xr3:uid="{37A648D8-0A37-4671-A07B-233340C3E8F6}" uniqueName="5" name="Mean" queryTableFieldId="5"/>
    <tableColumn id="6" xr3:uid="{7ED16456-7269-478D-A945-8C00D66AE586}" uniqueName="6" name="UPL" queryTableFieldId="6" dataDxfId="29"/>
    <tableColumn id="7" xr3:uid="{507CECFC-7D87-4394-99C6-65DB6D7E0689}" uniqueName="7" name="LPL" queryTableFieldId="7" dataDxfId="28"/>
    <tableColumn id="8" xr3:uid="{64E526E6-2ABB-4F1D-8D7B-A2FB5EC4C57D}" uniqueName="8" name="mR" queryTableFieldId="8" dataDxfId="27">
      <calculatedColumnFormula>ABS(C2-C3)</calculatedColumnFormula>
    </tableColumn>
    <tableColumn id="9" xr3:uid="{50F9C79A-E7C6-43AB-97C5-C80F9E846699}" uniqueName="9" name="Ave. mR" queryTableFieldId="9" dataDxfId="26">
      <calculatedColumnFormula>ROUND(AVERAGE($G$4:G18),2)</calculatedColumnFormula>
    </tableColumn>
    <tableColumn id="10" xr3:uid="{F2EAE097-D691-4BA8-AB86-D6F921986F7A}" uniqueName="10" name="URL" queryTableFieldId="10" dataDxfId="25"/>
  </tableColumns>
  <tableStyleInfo name="The Virus of Variation"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AFF29441-BC2F-43DB-A1F9-2E26957310FC}" name="software_verification_death_to_birth_rates__2101617" displayName="software_verification_death_to_birth_rates__2101617" ref="A2:I18" tableType="queryTable" totalsRowShown="0">
  <autoFilter ref="A2:I18" xr:uid="{AFF29441-BC2F-43DB-A1F9-2E26957310FC}"/>
  <tableColumns count="9">
    <tableColumn id="2" xr3:uid="{EFF8D1E5-A64B-446B-AB40-102CDD87AFC7}" uniqueName="2" name="Hospital" queryTableFieldId="2" dataDxfId="24"/>
    <tableColumn id="3" xr3:uid="{B2A2F574-8363-42DD-BF6B-629043ADE210}" uniqueName="3" name="Year" queryTableFieldId="3" dataDxfId="23"/>
    <tableColumn id="4" xr3:uid="{285C6D8D-AA46-4C62-B910-A89D639BAE71}" uniqueName="4" name="Rate" queryTableFieldId="4"/>
    <tableColumn id="5" xr3:uid="{97257993-B4DA-4CFA-840C-C3F537A8DF64}" uniqueName="5" name="Mean" queryTableFieldId="5"/>
    <tableColumn id="6" xr3:uid="{8596E361-6356-44E4-B772-C24B8DFA1F20}" uniqueName="6" name="UPL" queryTableFieldId="6" dataDxfId="22"/>
    <tableColumn id="7" xr3:uid="{5CFC2A95-458C-4B09-8BA5-12F5DD26053B}" uniqueName="7" name="LPL" queryTableFieldId="7" dataDxfId="21"/>
    <tableColumn id="8" xr3:uid="{C187A77E-4BFC-40FF-BCF4-CC3ECE3D66FA}" uniqueName="8" name="mR" queryTableFieldId="8" dataDxfId="20">
      <calculatedColumnFormula>ABS(C2-C3)</calculatedColumnFormula>
    </tableColumn>
    <tableColumn id="9" xr3:uid="{1548F2EC-B0A4-451E-BB62-E2077FF79E85}" uniqueName="9" name="Ave. mR" queryTableFieldId="9" dataDxfId="19">
      <calculatedColumnFormula>ROUND(AVERAGE($G$4:G18),2)</calculatedColumnFormula>
    </tableColumn>
    <tableColumn id="10" xr3:uid="{39AD9B8C-9037-4B44-B6BB-669BCB61C5B6}" uniqueName="10" name="URL" queryTableFieldId="10" dataDxfId="18"/>
  </tableColumns>
  <tableStyleInfo name="The Virus of Variation"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B688593-E9A3-4665-B49C-27B5205EE3F5}" name="software_verification_death_to_birth_rates__21016" displayName="software_verification_death_to_birth_rates__21016" ref="A2:I18" tableType="queryTable" totalsRowShown="0">
  <autoFilter ref="A2:I18" xr:uid="{EB688593-E9A3-4665-B49C-27B5205EE3F5}"/>
  <tableColumns count="9">
    <tableColumn id="2" xr3:uid="{63ED27A2-8921-452E-B92C-02116F1395A6}" uniqueName="2" name="Hospital" queryTableFieldId="2" dataDxfId="17"/>
    <tableColumn id="3" xr3:uid="{C7137196-F859-4C1C-8ADB-F59D45938956}" uniqueName="3" name="Year" queryTableFieldId="3" dataDxfId="16"/>
    <tableColumn id="4" xr3:uid="{A0BD71A0-49FC-495D-B491-0A8BCC46196C}" uniqueName="4" name="Rate" queryTableFieldId="4"/>
    <tableColumn id="5" xr3:uid="{21557792-5954-428E-9321-45CB23C5D85F}" uniqueName="5" name="Mean" queryTableFieldId="5"/>
    <tableColumn id="6" xr3:uid="{6067EBA5-B4E3-4BDE-862D-291DD4766A8B}" uniqueName="6" name="UPL" queryTableFieldId="6" dataDxfId="15">
      <calculatedColumnFormula>ROUND(D3+(2.66*H3),2)</calculatedColumnFormula>
    </tableColumn>
    <tableColumn id="7" xr3:uid="{434CC317-2695-4E72-BAEA-93387B77F250}" uniqueName="7" name="LPL" queryTableFieldId="7" dataDxfId="14">
      <calculatedColumnFormula>ROUND(MAX(0,D3-(2.66*H3)),2)</calculatedColumnFormula>
    </tableColumn>
    <tableColumn id="8" xr3:uid="{0C21A831-68A9-4C3D-A20A-9F77D93A47AF}" uniqueName="8" name="mR" queryTableFieldId="8" dataDxfId="13">
      <calculatedColumnFormula>ABS(C2-C3)</calculatedColumnFormula>
    </tableColumn>
    <tableColumn id="9" xr3:uid="{70D77D10-62A7-4B25-841E-3AE6002AEE5F}" uniqueName="9" name="Ave. mR" queryTableFieldId="9" dataDxfId="12">
      <calculatedColumnFormula>ROUND(AVERAGE($G$4:G18),2)</calculatedColumnFormula>
    </tableColumn>
    <tableColumn id="10" xr3:uid="{8DF22207-731B-4AD4-894C-5AFD2D8ED446}" uniqueName="10" name="URL" queryTableFieldId="10" dataDxfId="11">
      <calculatedColumnFormula>ROUND(3.268*H3,2)</calculatedColumnFormula>
    </tableColumn>
  </tableColumns>
  <tableStyleInfo name="The Virus of Variation"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19172AC-4C67-4AA0-8A80-3FBFB433DC2C}" name="software_verification_death_to_birth_rates__210" displayName="software_verification_death_to_birth_rates__210" ref="A2:I18" tableType="queryTable" totalsRowShown="0">
  <autoFilter ref="A2:I18" xr:uid="{519172AC-4C67-4AA0-8A80-3FBFB433DC2C}"/>
  <tableColumns count="9">
    <tableColumn id="2" xr3:uid="{34360AFC-8D2C-4B0C-9F7B-60E1D6CCEAE4}" uniqueName="2" name="Hospital" queryTableFieldId="2" dataDxfId="10"/>
    <tableColumn id="3" xr3:uid="{4544F3E1-0864-46FA-A670-75217B18D575}" uniqueName="3" name="Year" queryTableFieldId="3" dataDxfId="9"/>
    <tableColumn id="4" xr3:uid="{0D599918-F621-4430-B767-1D01A2B8D461}" uniqueName="4" name="Rate" queryTableFieldId="4"/>
    <tableColumn id="5" xr3:uid="{543E1DB3-D114-41CC-92C7-33529E286904}" uniqueName="5" name="Mean" queryTableFieldId="5"/>
    <tableColumn id="6" xr3:uid="{ABE2C5BD-11EE-4BC2-A78D-921751E476BA}" uniqueName="6" name="UPL" queryTableFieldId="6" dataDxfId="8">
      <calculatedColumnFormula>ROUND(D3+(2.66*H3),2)</calculatedColumnFormula>
    </tableColumn>
    <tableColumn id="7" xr3:uid="{837A55E3-32C1-44CB-B270-EACEDE22FA00}" uniqueName="7" name="LPL" queryTableFieldId="7" dataDxfId="7">
      <calculatedColumnFormula>ROUND(MAX(0,D3-(2.66*H3)),2)</calculatedColumnFormula>
    </tableColumn>
    <tableColumn id="8" xr3:uid="{CF269B42-BA0B-47B8-AB28-A2D693233184}" uniqueName="8" name="mR" queryTableFieldId="8" dataDxfId="6">
      <calculatedColumnFormula>ABS(C2-C3)</calculatedColumnFormula>
    </tableColumn>
    <tableColumn id="9" xr3:uid="{40345817-128F-4BA8-BD4F-0B964081FF8C}" uniqueName="9" name="Ave. mR" queryTableFieldId="9" dataDxfId="5">
      <calculatedColumnFormula>ROUND(AVERAGE($G$4:G18),2)</calculatedColumnFormula>
    </tableColumn>
    <tableColumn id="10" xr3:uid="{86814315-42C2-4B26-BFB8-10B6BB718D49}" uniqueName="10" name="URL" queryTableFieldId="10" dataDxfId="4">
      <calculatedColumnFormula>ROUND(3.268*H3,2)</calculatedColumnFormula>
    </tableColumn>
  </tableColumns>
  <tableStyleInfo name="The Virus of Variation"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4DA52EE-6D64-48BC-8632-507D2DEB427D}" name="software_verification_death_to_birth_rates__2" displayName="software_verification_death_to_birth_rates__2" ref="A1:D17" tableType="queryTable" totalsRowShown="0">
  <autoFilter ref="A1:D17" xr:uid="{D4DA52EE-6D64-48BC-8632-507D2DEB427D}"/>
  <tableColumns count="4">
    <tableColumn id="2" xr3:uid="{E12DD810-DEC7-401A-AC76-CAA72DD6F6E9}" uniqueName="2" name="Hospital" queryTableFieldId="2" dataDxfId="3"/>
    <tableColumn id="3" xr3:uid="{CAF3833B-B59E-4D68-808F-E57BF8825648}" uniqueName="3" name="Year" queryTableFieldId="3" dataDxfId="2"/>
    <tableColumn id="4" xr3:uid="{C1DCDF9B-15F9-4FF5-9159-C2BEEEC7919A}" uniqueName="4" name="Rate" queryTableFieldId="4"/>
    <tableColumn id="5" xr3:uid="{3CB6F54C-025E-4310-9801-56B15290CAA0}" uniqueName="5" name="Moving Range" queryTableFieldId="5"/>
  </tableColumns>
  <tableStyleInfo name="The Virus of Variation"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hyperlink" Target="mailto:James.Lehner@gmail.com" TargetMode="External"/><Relationship Id="rId2" Type="http://schemas.openxmlformats.org/officeDocument/2006/relationships/hyperlink" Target="https://www.brokenquality.com/book" TargetMode="External"/><Relationship Id="rId1" Type="http://schemas.openxmlformats.org/officeDocument/2006/relationships/hyperlink" Target="https://github.com/jimlehner/virus-of-variation-book" TargetMode="External"/><Relationship Id="rId5" Type="http://schemas.openxmlformats.org/officeDocument/2006/relationships/drawing" Target="../drawings/drawing1.xml"/><Relationship Id="rId4" Type="http://schemas.openxmlformats.org/officeDocument/2006/relationships/hyperlink" Target="mailto:QualityIsBroken@gmail.com"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4D46-A188-461A-93A3-95949C72A03E}">
  <dimension ref="A1:W44"/>
  <sheetViews>
    <sheetView showGridLines="0" tabSelected="1" workbookViewId="0">
      <selection activeCell="X20" sqref="X20"/>
    </sheetView>
  </sheetViews>
  <sheetFormatPr defaultRowHeight="13.2" x14ac:dyDescent="0.25"/>
  <sheetData>
    <row r="1" spans="1:17" ht="24.6" x14ac:dyDescent="0.55000000000000004">
      <c r="A1" s="12" t="s">
        <v>28</v>
      </c>
      <c r="B1" s="13"/>
      <c r="C1" s="13"/>
      <c r="D1" s="13"/>
      <c r="E1" s="13"/>
      <c r="F1" s="13"/>
      <c r="G1" s="13"/>
      <c r="H1" s="13"/>
      <c r="I1" s="13"/>
      <c r="J1" s="13"/>
      <c r="K1" s="13"/>
      <c r="L1" s="13"/>
      <c r="M1" s="13"/>
      <c r="N1" s="13"/>
      <c r="O1" s="13"/>
      <c r="P1" s="13"/>
      <c r="Q1" s="14"/>
    </row>
    <row r="2" spans="1:17" ht="13.2" customHeight="1" x14ac:dyDescent="0.25">
      <c r="A2" s="15" t="s">
        <v>29</v>
      </c>
      <c r="B2" s="16"/>
      <c r="C2" s="16"/>
      <c r="D2" s="16"/>
      <c r="E2" s="16"/>
      <c r="F2" s="16"/>
      <c r="G2" s="16"/>
      <c r="H2" s="16"/>
      <c r="I2" s="16"/>
      <c r="J2" s="16"/>
      <c r="K2" s="16"/>
      <c r="L2" s="16"/>
      <c r="M2" s="16"/>
      <c r="N2" s="16"/>
      <c r="O2" s="16"/>
      <c r="P2" s="16"/>
      <c r="Q2" s="17"/>
    </row>
    <row r="3" spans="1:17" ht="13.2" customHeight="1" x14ac:dyDescent="0.25">
      <c r="A3" s="18"/>
      <c r="B3" s="19"/>
      <c r="C3" s="19"/>
      <c r="D3" s="19"/>
      <c r="E3" s="19"/>
      <c r="F3" s="19"/>
      <c r="G3" s="19"/>
      <c r="H3" s="19"/>
      <c r="I3" s="19"/>
      <c r="J3" s="19"/>
      <c r="K3" s="19"/>
      <c r="L3" s="19"/>
      <c r="M3" s="19"/>
      <c r="N3" s="19"/>
      <c r="O3" s="19"/>
      <c r="P3" s="19"/>
      <c r="Q3" s="20"/>
    </row>
    <row r="4" spans="1:17" ht="13.2" customHeight="1" x14ac:dyDescent="0.25">
      <c r="A4" s="18"/>
      <c r="B4" s="19"/>
      <c r="C4" s="19"/>
      <c r="D4" s="19"/>
      <c r="E4" s="19"/>
      <c r="F4" s="19"/>
      <c r="G4" s="19"/>
      <c r="H4" s="19"/>
      <c r="I4" s="19"/>
      <c r="J4" s="19"/>
      <c r="K4" s="19"/>
      <c r="L4" s="19"/>
      <c r="M4" s="19"/>
      <c r="N4" s="19"/>
      <c r="O4" s="19"/>
      <c r="P4" s="19"/>
      <c r="Q4" s="20"/>
    </row>
    <row r="5" spans="1:17" ht="13.2" customHeight="1" x14ac:dyDescent="0.25">
      <c r="A5" s="18"/>
      <c r="B5" s="19"/>
      <c r="C5" s="19"/>
      <c r="D5" s="19"/>
      <c r="E5" s="19"/>
      <c r="F5" s="19"/>
      <c r="G5" s="19"/>
      <c r="H5" s="19"/>
      <c r="I5" s="19"/>
      <c r="J5" s="19"/>
      <c r="K5" s="19"/>
      <c r="L5" s="19"/>
      <c r="M5" s="19"/>
      <c r="N5" s="19"/>
      <c r="O5" s="19"/>
      <c r="P5" s="19"/>
      <c r="Q5" s="20"/>
    </row>
    <row r="6" spans="1:17" ht="13.2" customHeight="1" x14ac:dyDescent="0.25">
      <c r="A6" s="18"/>
      <c r="B6" s="19"/>
      <c r="C6" s="19"/>
      <c r="D6" s="19"/>
      <c r="E6" s="19"/>
      <c r="F6" s="19"/>
      <c r="G6" s="19"/>
      <c r="H6" s="19"/>
      <c r="I6" s="19"/>
      <c r="J6" s="19"/>
      <c r="K6" s="19"/>
      <c r="L6" s="19"/>
      <c r="M6" s="19"/>
      <c r="N6" s="19"/>
      <c r="O6" s="19"/>
      <c r="P6" s="19"/>
      <c r="Q6" s="20"/>
    </row>
    <row r="7" spans="1:17" ht="13.2" customHeight="1" x14ac:dyDescent="0.25">
      <c r="A7" s="18"/>
      <c r="B7" s="19"/>
      <c r="C7" s="19"/>
      <c r="D7" s="19"/>
      <c r="E7" s="19"/>
      <c r="F7" s="19"/>
      <c r="G7" s="19"/>
      <c r="H7" s="19"/>
      <c r="I7" s="19"/>
      <c r="J7" s="19"/>
      <c r="K7" s="19"/>
      <c r="L7" s="19"/>
      <c r="M7" s="19"/>
      <c r="N7" s="19"/>
      <c r="O7" s="19"/>
      <c r="P7" s="19"/>
      <c r="Q7" s="20"/>
    </row>
    <row r="8" spans="1:17" ht="13.2" customHeight="1" x14ac:dyDescent="0.25">
      <c r="A8" s="18"/>
      <c r="B8" s="19"/>
      <c r="C8" s="19"/>
      <c r="D8" s="19"/>
      <c r="E8" s="19"/>
      <c r="F8" s="19"/>
      <c r="G8" s="19"/>
      <c r="H8" s="19"/>
      <c r="I8" s="19"/>
      <c r="J8" s="19"/>
      <c r="K8" s="19"/>
      <c r="L8" s="19"/>
      <c r="M8" s="19"/>
      <c r="N8" s="19"/>
      <c r="O8" s="19"/>
      <c r="P8" s="19"/>
      <c r="Q8" s="20"/>
    </row>
    <row r="9" spans="1:17" ht="13.2" customHeight="1" x14ac:dyDescent="0.25">
      <c r="A9" s="18"/>
      <c r="B9" s="19"/>
      <c r="C9" s="19"/>
      <c r="D9" s="19"/>
      <c r="E9" s="19"/>
      <c r="F9" s="19"/>
      <c r="G9" s="19"/>
      <c r="H9" s="19"/>
      <c r="I9" s="19"/>
      <c r="J9" s="19"/>
      <c r="K9" s="19"/>
      <c r="L9" s="19"/>
      <c r="M9" s="19"/>
      <c r="N9" s="19"/>
      <c r="O9" s="19"/>
      <c r="P9" s="19"/>
      <c r="Q9" s="20"/>
    </row>
    <row r="10" spans="1:17" ht="13.2" customHeight="1" x14ac:dyDescent="0.25">
      <c r="A10" s="18"/>
      <c r="B10" s="19"/>
      <c r="C10" s="19"/>
      <c r="D10" s="19"/>
      <c r="E10" s="19"/>
      <c r="F10" s="19"/>
      <c r="G10" s="19"/>
      <c r="H10" s="19"/>
      <c r="I10" s="19"/>
      <c r="J10" s="19"/>
      <c r="K10" s="19"/>
      <c r="L10" s="19"/>
      <c r="M10" s="19"/>
      <c r="N10" s="19"/>
      <c r="O10" s="19"/>
      <c r="P10" s="19"/>
      <c r="Q10" s="20"/>
    </row>
    <row r="11" spans="1:17" ht="13.2" customHeight="1" x14ac:dyDescent="0.25">
      <c r="A11" s="18"/>
      <c r="B11" s="19"/>
      <c r="C11" s="19"/>
      <c r="D11" s="19"/>
      <c r="E11" s="19"/>
      <c r="F11" s="19"/>
      <c r="G11" s="19"/>
      <c r="H11" s="19"/>
      <c r="I11" s="19"/>
      <c r="J11" s="19"/>
      <c r="K11" s="19"/>
      <c r="L11" s="19"/>
      <c r="M11" s="19"/>
      <c r="N11" s="19"/>
      <c r="O11" s="19"/>
      <c r="P11" s="19"/>
      <c r="Q11" s="20"/>
    </row>
    <row r="12" spans="1:17" ht="13.2" customHeight="1" x14ac:dyDescent="0.25">
      <c r="A12" s="18"/>
      <c r="B12" s="19"/>
      <c r="C12" s="19"/>
      <c r="D12" s="19"/>
      <c r="E12" s="19"/>
      <c r="F12" s="19"/>
      <c r="G12" s="19"/>
      <c r="H12" s="19"/>
      <c r="I12" s="19"/>
      <c r="J12" s="19"/>
      <c r="K12" s="19"/>
      <c r="L12" s="19"/>
      <c r="M12" s="19"/>
      <c r="N12" s="19"/>
      <c r="O12" s="19"/>
      <c r="P12" s="19"/>
      <c r="Q12" s="20"/>
    </row>
    <row r="13" spans="1:17" ht="13.2" customHeight="1" x14ac:dyDescent="0.25">
      <c r="A13" s="18"/>
      <c r="B13" s="19"/>
      <c r="C13" s="19"/>
      <c r="D13" s="19"/>
      <c r="E13" s="19"/>
      <c r="F13" s="19"/>
      <c r="G13" s="19"/>
      <c r="H13" s="19"/>
      <c r="I13" s="19"/>
      <c r="J13" s="19"/>
      <c r="K13" s="19"/>
      <c r="L13" s="19"/>
      <c r="M13" s="19"/>
      <c r="N13" s="19"/>
      <c r="O13" s="19"/>
      <c r="P13" s="19"/>
      <c r="Q13" s="20"/>
    </row>
    <row r="14" spans="1:17" ht="13.2" customHeight="1" x14ac:dyDescent="0.25">
      <c r="A14" s="18"/>
      <c r="B14" s="19"/>
      <c r="C14" s="19"/>
      <c r="D14" s="19"/>
      <c r="E14" s="19"/>
      <c r="F14" s="19"/>
      <c r="G14" s="19"/>
      <c r="H14" s="19"/>
      <c r="I14" s="19"/>
      <c r="J14" s="19"/>
      <c r="K14" s="19"/>
      <c r="L14" s="19"/>
      <c r="M14" s="19"/>
      <c r="N14" s="19"/>
      <c r="O14" s="19"/>
      <c r="P14" s="19"/>
      <c r="Q14" s="20"/>
    </row>
    <row r="15" spans="1:17" ht="13.2" customHeight="1" x14ac:dyDescent="0.25">
      <c r="A15" s="18"/>
      <c r="B15" s="19"/>
      <c r="C15" s="19"/>
      <c r="D15" s="19"/>
      <c r="E15" s="19"/>
      <c r="F15" s="19"/>
      <c r="G15" s="19"/>
      <c r="H15" s="19"/>
      <c r="I15" s="19"/>
      <c r="J15" s="19"/>
      <c r="K15" s="19"/>
      <c r="L15" s="19"/>
      <c r="M15" s="19"/>
      <c r="N15" s="19"/>
      <c r="O15" s="19"/>
      <c r="P15" s="19"/>
      <c r="Q15" s="20"/>
    </row>
    <row r="16" spans="1:17" ht="13.2" customHeight="1" x14ac:dyDescent="0.25">
      <c r="A16" s="18"/>
      <c r="B16" s="19"/>
      <c r="C16" s="19"/>
      <c r="D16" s="19"/>
      <c r="E16" s="19"/>
      <c r="F16" s="19"/>
      <c r="G16" s="19"/>
      <c r="H16" s="19"/>
      <c r="I16" s="19"/>
      <c r="J16" s="19"/>
      <c r="K16" s="19"/>
      <c r="L16" s="19"/>
      <c r="M16" s="19"/>
      <c r="N16" s="19"/>
      <c r="O16" s="19"/>
      <c r="P16" s="19"/>
      <c r="Q16" s="20"/>
    </row>
    <row r="17" spans="1:23" ht="13.2" customHeight="1" x14ac:dyDescent="0.25">
      <c r="A17" s="18"/>
      <c r="B17" s="19"/>
      <c r="C17" s="19"/>
      <c r="D17" s="19"/>
      <c r="E17" s="19"/>
      <c r="F17" s="19"/>
      <c r="G17" s="19"/>
      <c r="H17" s="19"/>
      <c r="I17" s="19"/>
      <c r="J17" s="19"/>
      <c r="K17" s="19"/>
      <c r="L17" s="19"/>
      <c r="M17" s="19"/>
      <c r="N17" s="19"/>
      <c r="O17" s="19"/>
      <c r="P17" s="19"/>
      <c r="Q17" s="20"/>
    </row>
    <row r="18" spans="1:23" ht="13.2" customHeight="1" x14ac:dyDescent="0.25">
      <c r="A18" s="18"/>
      <c r="B18" s="19"/>
      <c r="C18" s="19"/>
      <c r="D18" s="19"/>
      <c r="E18" s="19"/>
      <c r="F18" s="19"/>
      <c r="G18" s="19"/>
      <c r="H18" s="19"/>
      <c r="I18" s="19"/>
      <c r="J18" s="19"/>
      <c r="K18" s="19"/>
      <c r="L18" s="19"/>
      <c r="M18" s="19"/>
      <c r="N18" s="19"/>
      <c r="O18" s="19"/>
      <c r="P18" s="19"/>
      <c r="Q18" s="20"/>
    </row>
    <row r="19" spans="1:23" ht="13.2" customHeight="1" x14ac:dyDescent="0.25">
      <c r="A19" s="18"/>
      <c r="B19" s="19"/>
      <c r="C19" s="19"/>
      <c r="D19" s="19"/>
      <c r="E19" s="19"/>
      <c r="F19" s="19"/>
      <c r="G19" s="19"/>
      <c r="H19" s="19"/>
      <c r="I19" s="19"/>
      <c r="J19" s="19"/>
      <c r="K19" s="19"/>
      <c r="L19" s="19"/>
      <c r="M19" s="19"/>
      <c r="N19" s="19"/>
      <c r="O19" s="19"/>
      <c r="P19" s="19"/>
      <c r="Q19" s="20"/>
    </row>
    <row r="20" spans="1:23" ht="13.2" customHeight="1" x14ac:dyDescent="0.25">
      <c r="A20" s="18"/>
      <c r="B20" s="19"/>
      <c r="C20" s="19"/>
      <c r="D20" s="19"/>
      <c r="E20" s="19"/>
      <c r="F20" s="19"/>
      <c r="G20" s="19"/>
      <c r="H20" s="19"/>
      <c r="I20" s="19"/>
      <c r="J20" s="19"/>
      <c r="K20" s="19"/>
      <c r="L20" s="19"/>
      <c r="M20" s="19"/>
      <c r="N20" s="19"/>
      <c r="O20" s="19"/>
      <c r="P20" s="19"/>
      <c r="Q20" s="20"/>
    </row>
    <row r="21" spans="1:23" ht="13.2" customHeight="1" x14ac:dyDescent="0.25">
      <c r="A21" s="18"/>
      <c r="B21" s="19"/>
      <c r="C21" s="19"/>
      <c r="D21" s="19"/>
      <c r="E21" s="19"/>
      <c r="F21" s="19"/>
      <c r="G21" s="19"/>
      <c r="H21" s="19"/>
      <c r="I21" s="19"/>
      <c r="J21" s="19"/>
      <c r="K21" s="19"/>
      <c r="L21" s="19"/>
      <c r="M21" s="19"/>
      <c r="N21" s="19"/>
      <c r="O21" s="19"/>
      <c r="P21" s="19"/>
      <c r="Q21" s="20"/>
    </row>
    <row r="22" spans="1:23" ht="13.2" customHeight="1" x14ac:dyDescent="0.25">
      <c r="A22" s="18"/>
      <c r="B22" s="19"/>
      <c r="C22" s="19"/>
      <c r="D22" s="19"/>
      <c r="E22" s="19"/>
      <c r="F22" s="19"/>
      <c r="G22" s="19"/>
      <c r="H22" s="19"/>
      <c r="I22" s="19"/>
      <c r="J22" s="19"/>
      <c r="K22" s="19"/>
      <c r="L22" s="19"/>
      <c r="M22" s="19"/>
      <c r="N22" s="19"/>
      <c r="O22" s="19"/>
      <c r="P22" s="19"/>
      <c r="Q22" s="20"/>
    </row>
    <row r="23" spans="1:23" ht="13.2" customHeight="1" x14ac:dyDescent="0.25">
      <c r="A23" s="18"/>
      <c r="B23" s="19"/>
      <c r="C23" s="19"/>
      <c r="D23" s="19"/>
      <c r="E23" s="19"/>
      <c r="F23" s="19"/>
      <c r="G23" s="19"/>
      <c r="H23" s="19"/>
      <c r="I23" s="19"/>
      <c r="J23" s="19"/>
      <c r="K23" s="19"/>
      <c r="L23" s="19"/>
      <c r="M23" s="19"/>
      <c r="N23" s="19"/>
      <c r="O23" s="19"/>
      <c r="P23" s="19"/>
      <c r="Q23" s="20"/>
    </row>
    <row r="24" spans="1:23" ht="13.2" customHeight="1" x14ac:dyDescent="0.25">
      <c r="A24" s="18"/>
      <c r="B24" s="19"/>
      <c r="C24" s="19"/>
      <c r="D24" s="19"/>
      <c r="E24" s="19"/>
      <c r="F24" s="19"/>
      <c r="G24" s="19"/>
      <c r="H24" s="19"/>
      <c r="I24" s="19"/>
      <c r="J24" s="19"/>
      <c r="K24" s="19"/>
      <c r="L24" s="19"/>
      <c r="M24" s="19"/>
      <c r="N24" s="19"/>
      <c r="O24" s="19"/>
      <c r="P24" s="19"/>
      <c r="Q24" s="20"/>
    </row>
    <row r="25" spans="1:23" ht="13.2" customHeight="1" x14ac:dyDescent="0.25">
      <c r="A25" s="18"/>
      <c r="B25" s="19"/>
      <c r="C25" s="19"/>
      <c r="D25" s="19"/>
      <c r="E25" s="19"/>
      <c r="F25" s="19"/>
      <c r="G25" s="19"/>
      <c r="H25" s="19"/>
      <c r="I25" s="19"/>
      <c r="J25" s="19"/>
      <c r="K25" s="19"/>
      <c r="L25" s="19"/>
      <c r="M25" s="19"/>
      <c r="N25" s="19"/>
      <c r="O25" s="19"/>
      <c r="P25" s="19"/>
      <c r="Q25" s="20"/>
    </row>
    <row r="26" spans="1:23" ht="13.2" customHeight="1" x14ac:dyDescent="0.25">
      <c r="A26" s="18"/>
      <c r="B26" s="19"/>
      <c r="C26" s="19"/>
      <c r="D26" s="19"/>
      <c r="E26" s="19"/>
      <c r="F26" s="19"/>
      <c r="G26" s="19"/>
      <c r="H26" s="19"/>
      <c r="I26" s="19"/>
      <c r="J26" s="19"/>
      <c r="K26" s="19"/>
      <c r="L26" s="19"/>
      <c r="M26" s="19"/>
      <c r="N26" s="19"/>
      <c r="O26" s="19"/>
      <c r="P26" s="19"/>
      <c r="Q26" s="20"/>
    </row>
    <row r="27" spans="1:23" ht="13.2" customHeight="1" x14ac:dyDescent="0.25">
      <c r="A27" s="18"/>
      <c r="B27" s="19"/>
      <c r="C27" s="19"/>
      <c r="D27" s="19"/>
      <c r="E27" s="19"/>
      <c r="F27" s="19"/>
      <c r="G27" s="19"/>
      <c r="H27" s="19"/>
      <c r="I27" s="19"/>
      <c r="J27" s="19"/>
      <c r="K27" s="19"/>
      <c r="L27" s="19"/>
      <c r="M27" s="19"/>
      <c r="N27" s="19"/>
      <c r="O27" s="19"/>
      <c r="P27" s="19"/>
      <c r="Q27" s="20"/>
      <c r="S27" s="29" t="s">
        <v>21</v>
      </c>
      <c r="T27" s="30"/>
      <c r="U27" s="30"/>
      <c r="V27" s="30"/>
      <c r="W27" s="31"/>
    </row>
    <row r="28" spans="1:23" ht="13.2" customHeight="1" x14ac:dyDescent="0.25">
      <c r="A28" s="18"/>
      <c r="B28" s="19"/>
      <c r="C28" s="19"/>
      <c r="D28" s="19"/>
      <c r="E28" s="19"/>
      <c r="F28" s="19"/>
      <c r="G28" s="19"/>
      <c r="H28" s="19"/>
      <c r="I28" s="19"/>
      <c r="J28" s="19"/>
      <c r="K28" s="19"/>
      <c r="L28" s="19"/>
      <c r="M28" s="19"/>
      <c r="N28" s="19"/>
      <c r="O28" s="19"/>
      <c r="P28" s="19"/>
      <c r="Q28" s="20"/>
      <c r="S28" s="6" t="s">
        <v>23</v>
      </c>
      <c r="T28" s="24"/>
      <c r="U28" s="24"/>
      <c r="V28" s="24"/>
      <c r="W28" s="25"/>
    </row>
    <row r="29" spans="1:23" ht="13.2" customHeight="1" x14ac:dyDescent="0.25">
      <c r="A29" s="18"/>
      <c r="B29" s="19"/>
      <c r="C29" s="19"/>
      <c r="D29" s="19"/>
      <c r="E29" s="19"/>
      <c r="F29" s="19"/>
      <c r="G29" s="19"/>
      <c r="H29" s="19"/>
      <c r="I29" s="19"/>
      <c r="J29" s="19"/>
      <c r="K29" s="19"/>
      <c r="L29" s="19"/>
      <c r="M29" s="19"/>
      <c r="N29" s="19"/>
      <c r="O29" s="19"/>
      <c r="P29" s="19"/>
      <c r="Q29" s="20"/>
      <c r="S29" s="26" t="s">
        <v>24</v>
      </c>
      <c r="T29" s="27"/>
      <c r="U29" s="27"/>
      <c r="V29" s="27"/>
      <c r="W29" s="28"/>
    </row>
    <row r="30" spans="1:23" ht="13.2" customHeight="1" x14ac:dyDescent="0.25">
      <c r="A30" s="18"/>
      <c r="B30" s="19"/>
      <c r="C30" s="19"/>
      <c r="D30" s="19"/>
      <c r="E30" s="19"/>
      <c r="F30" s="19"/>
      <c r="G30" s="19"/>
      <c r="H30" s="19"/>
      <c r="I30" s="19"/>
      <c r="J30" s="19"/>
      <c r="K30" s="19"/>
      <c r="L30" s="19"/>
      <c r="M30" s="19"/>
      <c r="N30" s="19"/>
      <c r="O30" s="19"/>
      <c r="P30" s="19"/>
      <c r="Q30" s="20"/>
      <c r="S30" s="6" t="s">
        <v>22</v>
      </c>
      <c r="T30" s="7"/>
      <c r="U30" s="7"/>
      <c r="V30" s="7"/>
      <c r="W30" s="8"/>
    </row>
    <row r="31" spans="1:23" ht="13.2" customHeight="1" x14ac:dyDescent="0.25">
      <c r="A31" s="18"/>
      <c r="B31" s="19"/>
      <c r="C31" s="19"/>
      <c r="D31" s="19"/>
      <c r="E31" s="19"/>
      <c r="F31" s="19"/>
      <c r="G31" s="19"/>
      <c r="H31" s="19"/>
      <c r="I31" s="19"/>
      <c r="J31" s="19"/>
      <c r="K31" s="19"/>
      <c r="L31" s="19"/>
      <c r="M31" s="19"/>
      <c r="N31" s="19"/>
      <c r="O31" s="19"/>
      <c r="P31" s="19"/>
      <c r="Q31" s="20"/>
      <c r="S31" s="26" t="s">
        <v>25</v>
      </c>
      <c r="T31" s="24"/>
      <c r="U31" s="24"/>
      <c r="V31" s="24"/>
      <c r="W31" s="25"/>
    </row>
    <row r="32" spans="1:23" ht="13.2" customHeight="1" x14ac:dyDescent="0.25">
      <c r="A32" s="18"/>
      <c r="B32" s="19"/>
      <c r="C32" s="19"/>
      <c r="D32" s="19"/>
      <c r="E32" s="19"/>
      <c r="F32" s="19"/>
      <c r="G32" s="19"/>
      <c r="H32" s="19"/>
      <c r="I32" s="19"/>
      <c r="J32" s="19"/>
      <c r="K32" s="19"/>
      <c r="L32" s="19"/>
      <c r="M32" s="19"/>
      <c r="N32" s="19"/>
      <c r="O32" s="19"/>
      <c r="P32" s="19"/>
      <c r="Q32" s="20"/>
      <c r="S32" s="6" t="s">
        <v>26</v>
      </c>
      <c r="T32" s="7"/>
      <c r="U32" s="7"/>
      <c r="V32" s="7"/>
      <c r="W32" s="8"/>
    </row>
    <row r="33" spans="1:23" ht="13.2" customHeight="1" x14ac:dyDescent="0.25">
      <c r="A33" s="18"/>
      <c r="B33" s="19"/>
      <c r="C33" s="19"/>
      <c r="D33" s="19"/>
      <c r="E33" s="19"/>
      <c r="F33" s="19"/>
      <c r="G33" s="19"/>
      <c r="H33" s="19"/>
      <c r="I33" s="19"/>
      <c r="J33" s="19"/>
      <c r="K33" s="19"/>
      <c r="L33" s="19"/>
      <c r="M33" s="19"/>
      <c r="N33" s="19"/>
      <c r="O33" s="19"/>
      <c r="P33" s="19"/>
      <c r="Q33" s="20"/>
      <c r="S33" s="9" t="s">
        <v>27</v>
      </c>
      <c r="T33" s="10"/>
      <c r="U33" s="10"/>
      <c r="V33" s="10"/>
      <c r="W33" s="11"/>
    </row>
    <row r="34" spans="1:23" ht="13.2" customHeight="1" x14ac:dyDescent="0.25">
      <c r="A34" s="18"/>
      <c r="B34" s="19"/>
      <c r="C34" s="19"/>
      <c r="D34" s="19"/>
      <c r="E34" s="19"/>
      <c r="F34" s="19"/>
      <c r="G34" s="19"/>
      <c r="H34" s="19"/>
      <c r="I34" s="19"/>
      <c r="J34" s="19"/>
      <c r="K34" s="19"/>
      <c r="L34" s="19"/>
      <c r="M34" s="19"/>
      <c r="N34" s="19"/>
      <c r="O34" s="19"/>
      <c r="P34" s="19"/>
      <c r="Q34" s="20"/>
      <c r="S34" s="29" t="s">
        <v>56</v>
      </c>
      <c r="T34" s="30"/>
      <c r="U34" s="30"/>
      <c r="V34" s="30"/>
      <c r="W34" s="31"/>
    </row>
    <row r="35" spans="1:23" ht="13.2" customHeight="1" x14ac:dyDescent="0.25">
      <c r="A35" s="18"/>
      <c r="B35" s="19"/>
      <c r="C35" s="19"/>
      <c r="D35" s="19"/>
      <c r="E35" s="19"/>
      <c r="F35" s="19"/>
      <c r="G35" s="19"/>
      <c r="H35" s="19"/>
      <c r="I35" s="19"/>
      <c r="J35" s="19"/>
      <c r="K35" s="19"/>
      <c r="L35" s="19"/>
      <c r="M35" s="19"/>
      <c r="N35" s="19"/>
      <c r="O35" s="19"/>
      <c r="P35" s="19"/>
      <c r="Q35" s="20"/>
      <c r="S35" s="32" t="s">
        <v>30</v>
      </c>
      <c r="T35" s="33"/>
      <c r="U35" s="33"/>
      <c r="V35" s="33"/>
      <c r="W35" s="34"/>
    </row>
    <row r="36" spans="1:23" ht="13.2" customHeight="1" x14ac:dyDescent="0.25">
      <c r="A36" s="18"/>
      <c r="B36" s="19"/>
      <c r="C36" s="19"/>
      <c r="D36" s="19"/>
      <c r="E36" s="19"/>
      <c r="F36" s="19"/>
      <c r="G36" s="19"/>
      <c r="H36" s="19"/>
      <c r="I36" s="19"/>
      <c r="J36" s="19"/>
      <c r="K36" s="19"/>
      <c r="L36" s="19"/>
      <c r="M36" s="19"/>
      <c r="N36" s="19"/>
      <c r="O36" s="19"/>
      <c r="P36" s="19"/>
      <c r="Q36" s="20"/>
    </row>
    <row r="37" spans="1:23" ht="13.2" customHeight="1" x14ac:dyDescent="0.25">
      <c r="A37" s="18"/>
      <c r="B37" s="19"/>
      <c r="C37" s="19"/>
      <c r="D37" s="19"/>
      <c r="E37" s="19"/>
      <c r="F37" s="19"/>
      <c r="G37" s="19"/>
      <c r="H37" s="19"/>
      <c r="I37" s="19"/>
      <c r="J37" s="19"/>
      <c r="K37" s="19"/>
      <c r="L37" s="19"/>
      <c r="M37" s="19"/>
      <c r="N37" s="19"/>
      <c r="O37" s="19"/>
      <c r="P37" s="19"/>
      <c r="Q37" s="20"/>
    </row>
    <row r="38" spans="1:23" ht="13.2" customHeight="1" x14ac:dyDescent="0.25">
      <c r="A38" s="18"/>
      <c r="B38" s="19"/>
      <c r="C38" s="19"/>
      <c r="D38" s="19"/>
      <c r="E38" s="19"/>
      <c r="F38" s="19"/>
      <c r="G38" s="19"/>
      <c r="H38" s="19"/>
      <c r="I38" s="19"/>
      <c r="J38" s="19"/>
      <c r="K38" s="19"/>
      <c r="L38" s="19"/>
      <c r="M38" s="19"/>
      <c r="N38" s="19"/>
      <c r="O38" s="19"/>
      <c r="P38" s="19"/>
      <c r="Q38" s="20"/>
    </row>
    <row r="39" spans="1:23" ht="13.2" customHeight="1" x14ac:dyDescent="0.25">
      <c r="A39" s="18"/>
      <c r="B39" s="19"/>
      <c r="C39" s="19"/>
      <c r="D39" s="19"/>
      <c r="E39" s="19"/>
      <c r="F39" s="19"/>
      <c r="G39" s="19"/>
      <c r="H39" s="19"/>
      <c r="I39" s="19"/>
      <c r="J39" s="19"/>
      <c r="K39" s="19"/>
      <c r="L39" s="19"/>
      <c r="M39" s="19"/>
      <c r="N39" s="19"/>
      <c r="O39" s="19"/>
      <c r="P39" s="19"/>
      <c r="Q39" s="20"/>
    </row>
    <row r="40" spans="1:23" ht="13.2" customHeight="1" x14ac:dyDescent="0.25">
      <c r="A40" s="18"/>
      <c r="B40" s="19"/>
      <c r="C40" s="19"/>
      <c r="D40" s="19"/>
      <c r="E40" s="19"/>
      <c r="F40" s="19"/>
      <c r="G40" s="19"/>
      <c r="H40" s="19"/>
      <c r="I40" s="19"/>
      <c r="J40" s="19"/>
      <c r="K40" s="19"/>
      <c r="L40" s="19"/>
      <c r="M40" s="19"/>
      <c r="N40" s="19"/>
      <c r="O40" s="19"/>
      <c r="P40" s="19"/>
      <c r="Q40" s="20"/>
    </row>
    <row r="41" spans="1:23" ht="13.2" customHeight="1" x14ac:dyDescent="0.25">
      <c r="A41" s="18"/>
      <c r="B41" s="19"/>
      <c r="C41" s="19"/>
      <c r="D41" s="19"/>
      <c r="E41" s="19"/>
      <c r="F41" s="19"/>
      <c r="G41" s="19"/>
      <c r="H41" s="19"/>
      <c r="I41" s="19"/>
      <c r="J41" s="19"/>
      <c r="K41" s="19"/>
      <c r="L41" s="19"/>
      <c r="M41" s="19"/>
      <c r="N41" s="19"/>
      <c r="O41" s="19"/>
      <c r="P41" s="19"/>
      <c r="Q41" s="20"/>
    </row>
    <row r="42" spans="1:23" ht="13.2" customHeight="1" x14ac:dyDescent="0.25">
      <c r="A42" s="18"/>
      <c r="B42" s="19"/>
      <c r="C42" s="19"/>
      <c r="D42" s="19"/>
      <c r="E42" s="19"/>
      <c r="F42" s="19"/>
      <c r="G42" s="19"/>
      <c r="H42" s="19"/>
      <c r="I42" s="19"/>
      <c r="J42" s="19"/>
      <c r="K42" s="19"/>
      <c r="L42" s="19"/>
      <c r="M42" s="19"/>
      <c r="N42" s="19"/>
      <c r="O42" s="19"/>
      <c r="P42" s="19"/>
      <c r="Q42" s="20"/>
    </row>
    <row r="43" spans="1:23" ht="13.2" customHeight="1" x14ac:dyDescent="0.25">
      <c r="A43" s="21"/>
      <c r="B43" s="22"/>
      <c r="C43" s="22"/>
      <c r="D43" s="22"/>
      <c r="E43" s="22"/>
      <c r="F43" s="22"/>
      <c r="G43" s="22"/>
      <c r="H43" s="22"/>
      <c r="I43" s="22"/>
      <c r="J43" s="22"/>
      <c r="K43" s="22"/>
      <c r="L43" s="22"/>
      <c r="M43" s="22"/>
      <c r="N43" s="22"/>
      <c r="O43" s="22"/>
      <c r="P43" s="22"/>
      <c r="Q43" s="23"/>
    </row>
    <row r="44" spans="1:23" ht="13.2" customHeight="1" x14ac:dyDescent="0.25">
      <c r="A44" s="5"/>
      <c r="B44" s="5"/>
      <c r="C44" s="5"/>
      <c r="D44" s="5"/>
      <c r="E44" s="5"/>
      <c r="F44" s="5"/>
      <c r="G44" s="5"/>
      <c r="H44" s="5"/>
      <c r="I44" s="5"/>
      <c r="J44" s="5"/>
      <c r="K44" s="5"/>
      <c r="L44" s="5"/>
      <c r="M44" s="5"/>
      <c r="N44" s="5"/>
      <c r="O44" s="5"/>
      <c r="P44" s="5"/>
      <c r="Q44" s="5"/>
    </row>
  </sheetData>
  <mergeCells count="11">
    <mergeCell ref="S32:W32"/>
    <mergeCell ref="S33:W33"/>
    <mergeCell ref="A1:Q1"/>
    <mergeCell ref="A2:Q43"/>
    <mergeCell ref="S28:W28"/>
    <mergeCell ref="S30:W30"/>
    <mergeCell ref="S29:W29"/>
    <mergeCell ref="S27:W27"/>
    <mergeCell ref="S31:W31"/>
    <mergeCell ref="S34:W34"/>
    <mergeCell ref="S35:W35"/>
  </mergeCells>
  <hyperlinks>
    <hyperlink ref="S30" r:id="rId1" xr:uid="{8990BC72-2B31-49A5-AC8A-D06EEE252434}"/>
    <hyperlink ref="S28" r:id="rId2" xr:uid="{26C9D285-B536-4F82-B843-EDF37E7D8B04}"/>
    <hyperlink ref="S32" r:id="rId3" xr:uid="{72C8EF7E-21B6-404C-8E0C-FA25B332A9E9}"/>
    <hyperlink ref="S33" r:id="rId4" xr:uid="{1407152A-4542-4750-9E75-8EC15DF9544C}"/>
  </hyperlinks>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02841-CFF7-43A9-A3A2-F8F7C7F07F47}">
  <dimension ref="A1:AE41"/>
  <sheetViews>
    <sheetView workbookViewId="0">
      <selection activeCell="AB22" sqref="AB22"/>
    </sheetView>
  </sheetViews>
  <sheetFormatPr defaultRowHeight="13.2" x14ac:dyDescent="0.25"/>
  <cols>
    <col min="27" max="27" width="16.5546875" customWidth="1"/>
  </cols>
  <sheetData>
    <row r="1" spans="1:31" ht="24.6" x14ac:dyDescent="0.55000000000000004">
      <c r="A1" s="36" t="s">
        <v>0</v>
      </c>
      <c r="B1" s="36"/>
      <c r="C1" s="36"/>
      <c r="D1" s="36"/>
      <c r="E1" s="36"/>
      <c r="F1" s="36"/>
      <c r="G1" s="36"/>
      <c r="H1" s="36"/>
      <c r="I1" s="36"/>
      <c r="K1" s="35" t="s">
        <v>1</v>
      </c>
      <c r="L1" s="36"/>
      <c r="M1" s="36"/>
      <c r="N1" s="36"/>
      <c r="O1" s="36"/>
      <c r="P1" s="36"/>
      <c r="Q1" s="36"/>
      <c r="R1" s="36"/>
      <c r="S1" s="36"/>
      <c r="T1" s="36"/>
      <c r="U1" s="36"/>
      <c r="V1" s="36"/>
      <c r="W1" s="36"/>
      <c r="X1" s="36"/>
      <c r="Y1" s="36"/>
      <c r="Z1" s="36"/>
    </row>
    <row r="2" spans="1:31" ht="13.2" customHeight="1" x14ac:dyDescent="0.25">
      <c r="K2" s="37" t="s">
        <v>48</v>
      </c>
      <c r="L2" s="37"/>
      <c r="M2" s="37"/>
      <c r="N2" s="37"/>
      <c r="O2" s="37"/>
      <c r="P2" s="37"/>
      <c r="Q2" s="37"/>
      <c r="R2" s="37"/>
      <c r="S2" s="37"/>
      <c r="T2" s="37"/>
      <c r="U2" s="37"/>
      <c r="V2" s="37"/>
      <c r="W2" s="37"/>
      <c r="X2" s="37"/>
      <c r="Y2" s="37"/>
      <c r="Z2" s="37"/>
      <c r="AB2" s="3"/>
    </row>
    <row r="3" spans="1:31" ht="13.2" customHeight="1" x14ac:dyDescent="0.25">
      <c r="K3" s="37"/>
      <c r="L3" s="37"/>
      <c r="M3" s="37"/>
      <c r="N3" s="37"/>
      <c r="O3" s="37"/>
      <c r="P3" s="37"/>
      <c r="Q3" s="37"/>
      <c r="R3" s="37"/>
      <c r="S3" s="37"/>
      <c r="T3" s="37"/>
      <c r="U3" s="37"/>
      <c r="V3" s="37"/>
      <c r="W3" s="37"/>
      <c r="X3" s="37"/>
      <c r="Y3" s="37"/>
      <c r="Z3" s="37"/>
    </row>
    <row r="4" spans="1:31" ht="13.2" customHeight="1" x14ac:dyDescent="0.25">
      <c r="K4" s="37"/>
      <c r="L4" s="37"/>
      <c r="M4" s="37"/>
      <c r="N4" s="37"/>
      <c r="O4" s="37"/>
      <c r="P4" s="37"/>
      <c r="Q4" s="37"/>
      <c r="R4" s="37"/>
      <c r="S4" s="37"/>
      <c r="T4" s="37"/>
      <c r="U4" s="37"/>
      <c r="V4" s="37"/>
      <c r="W4" s="37"/>
      <c r="X4" s="37"/>
      <c r="Y4" s="37"/>
      <c r="Z4" s="37"/>
    </row>
    <row r="5" spans="1:31" ht="13.2" customHeight="1" x14ac:dyDescent="0.25">
      <c r="K5" s="37"/>
      <c r="L5" s="37"/>
      <c r="M5" s="37"/>
      <c r="N5" s="37"/>
      <c r="O5" s="37"/>
      <c r="P5" s="37"/>
      <c r="Q5" s="37"/>
      <c r="R5" s="37"/>
      <c r="S5" s="37"/>
      <c r="T5" s="37"/>
      <c r="U5" s="37"/>
      <c r="V5" s="37"/>
      <c r="W5" s="37"/>
      <c r="X5" s="37"/>
      <c r="Y5" s="37"/>
      <c r="Z5" s="37"/>
      <c r="AA5" s="4" t="s">
        <v>17</v>
      </c>
    </row>
    <row r="6" spans="1:31" ht="13.2" customHeight="1" x14ac:dyDescent="0.25">
      <c r="K6" s="37"/>
      <c r="L6" s="37"/>
      <c r="M6" s="37"/>
      <c r="N6" s="37"/>
      <c r="O6" s="37"/>
      <c r="P6" s="37"/>
      <c r="Q6" s="37"/>
      <c r="R6" s="37"/>
      <c r="S6" s="37"/>
      <c r="T6" s="37"/>
      <c r="U6" s="37"/>
      <c r="V6" s="37"/>
      <c r="W6" s="37"/>
      <c r="X6" s="37"/>
      <c r="Y6" s="37"/>
      <c r="Z6" s="37"/>
      <c r="AA6" s="32" t="s">
        <v>30</v>
      </c>
      <c r="AB6" s="33"/>
      <c r="AC6" s="33"/>
      <c r="AD6" s="33"/>
      <c r="AE6" s="34"/>
    </row>
    <row r="7" spans="1:31" ht="13.2" customHeight="1" x14ac:dyDescent="0.25">
      <c r="K7" s="37"/>
      <c r="L7" s="37"/>
      <c r="M7" s="37"/>
      <c r="N7" s="37"/>
      <c r="O7" s="37"/>
      <c r="P7" s="37"/>
      <c r="Q7" s="37"/>
      <c r="R7" s="37"/>
      <c r="S7" s="37"/>
      <c r="T7" s="37"/>
      <c r="U7" s="37"/>
      <c r="V7" s="37"/>
      <c r="W7" s="37"/>
      <c r="X7" s="37"/>
      <c r="Y7" s="37"/>
      <c r="Z7" s="37"/>
    </row>
    <row r="8" spans="1:31" ht="13.2" customHeight="1" x14ac:dyDescent="0.25">
      <c r="K8" s="37"/>
      <c r="L8" s="37"/>
      <c r="M8" s="37"/>
      <c r="N8" s="37"/>
      <c r="O8" s="37"/>
      <c r="P8" s="37"/>
      <c r="Q8" s="37"/>
      <c r="R8" s="37"/>
      <c r="S8" s="37"/>
      <c r="T8" s="37"/>
      <c r="U8" s="37"/>
      <c r="V8" s="37"/>
      <c r="W8" s="37"/>
      <c r="X8" s="37"/>
      <c r="Y8" s="37"/>
      <c r="Z8" s="37"/>
    </row>
    <row r="9" spans="1:31" ht="13.2" customHeight="1" x14ac:dyDescent="0.25">
      <c r="K9" s="37"/>
      <c r="L9" s="37"/>
      <c r="M9" s="37"/>
      <c r="N9" s="37"/>
      <c r="O9" s="37"/>
      <c r="P9" s="37"/>
      <c r="Q9" s="37"/>
      <c r="R9" s="37"/>
      <c r="S9" s="37"/>
      <c r="T9" s="37"/>
      <c r="U9" s="37"/>
      <c r="V9" s="37"/>
      <c r="W9" s="37"/>
      <c r="X9" s="37"/>
      <c r="Y9" s="37"/>
      <c r="Z9" s="37"/>
    </row>
    <row r="10" spans="1:31" ht="13.2" customHeight="1" x14ac:dyDescent="0.25">
      <c r="K10" s="37"/>
      <c r="L10" s="37"/>
      <c r="M10" s="37"/>
      <c r="N10" s="37"/>
      <c r="O10" s="37"/>
      <c r="P10" s="37"/>
      <c r="Q10" s="37"/>
      <c r="R10" s="37"/>
      <c r="S10" s="37"/>
      <c r="T10" s="37"/>
      <c r="U10" s="37"/>
      <c r="V10" s="37"/>
      <c r="W10" s="37"/>
      <c r="X10" s="37"/>
      <c r="Y10" s="37"/>
      <c r="Z10" s="37"/>
    </row>
    <row r="11" spans="1:31" ht="13.2" customHeight="1" x14ac:dyDescent="0.25">
      <c r="K11" s="37"/>
      <c r="L11" s="37"/>
      <c r="M11" s="37"/>
      <c r="N11" s="37"/>
      <c r="O11" s="37"/>
      <c r="P11" s="37"/>
      <c r="Q11" s="37"/>
      <c r="R11" s="37"/>
      <c r="S11" s="37"/>
      <c r="T11" s="37"/>
      <c r="U11" s="37"/>
      <c r="V11" s="37"/>
      <c r="W11" s="37"/>
      <c r="X11" s="37"/>
      <c r="Y11" s="37"/>
      <c r="Z11" s="37"/>
    </row>
    <row r="12" spans="1:31" ht="13.2" customHeight="1" x14ac:dyDescent="0.25">
      <c r="K12" s="37"/>
      <c r="L12" s="37"/>
      <c r="M12" s="37"/>
      <c r="N12" s="37"/>
      <c r="O12" s="37"/>
      <c r="P12" s="37"/>
      <c r="Q12" s="37"/>
      <c r="R12" s="37"/>
      <c r="S12" s="37"/>
      <c r="T12" s="37"/>
      <c r="U12" s="37"/>
      <c r="V12" s="37"/>
      <c r="W12" s="37"/>
      <c r="X12" s="37"/>
      <c r="Y12" s="37"/>
      <c r="Z12" s="37"/>
    </row>
    <row r="13" spans="1:31" ht="13.2" customHeight="1" x14ac:dyDescent="0.25">
      <c r="K13" s="37"/>
      <c r="L13" s="37"/>
      <c r="M13" s="37"/>
      <c r="N13" s="37"/>
      <c r="O13" s="37"/>
      <c r="P13" s="37"/>
      <c r="Q13" s="37"/>
      <c r="R13" s="37"/>
      <c r="S13" s="37"/>
      <c r="T13" s="37"/>
      <c r="U13" s="37"/>
      <c r="V13" s="37"/>
      <c r="W13" s="37"/>
      <c r="X13" s="37"/>
      <c r="Y13" s="37"/>
      <c r="Z13" s="37"/>
    </row>
    <row r="14" spans="1:31" ht="13.2" customHeight="1" x14ac:dyDescent="0.25">
      <c r="K14" s="37"/>
      <c r="L14" s="37"/>
      <c r="M14" s="37"/>
      <c r="N14" s="37"/>
      <c r="O14" s="37"/>
      <c r="P14" s="37"/>
      <c r="Q14" s="37"/>
      <c r="R14" s="37"/>
      <c r="S14" s="37"/>
      <c r="T14" s="37"/>
      <c r="U14" s="37"/>
      <c r="V14" s="37"/>
      <c r="W14" s="37"/>
      <c r="X14" s="37"/>
      <c r="Y14" s="37"/>
      <c r="Z14" s="37"/>
    </row>
    <row r="15" spans="1:31" ht="13.2" customHeight="1" x14ac:dyDescent="0.25">
      <c r="K15" s="37"/>
      <c r="L15" s="37"/>
      <c r="M15" s="37"/>
      <c r="N15" s="37"/>
      <c r="O15" s="37"/>
      <c r="P15" s="37"/>
      <c r="Q15" s="37"/>
      <c r="R15" s="37"/>
      <c r="S15" s="37"/>
      <c r="T15" s="37"/>
      <c r="U15" s="37"/>
      <c r="V15" s="37"/>
      <c r="W15" s="37"/>
      <c r="X15" s="37"/>
      <c r="Y15" s="37"/>
      <c r="Z15" s="37"/>
    </row>
    <row r="16" spans="1:31" ht="13.2" customHeight="1" x14ac:dyDescent="0.25">
      <c r="K16" s="37"/>
      <c r="L16" s="37"/>
      <c r="M16" s="37"/>
      <c r="N16" s="37"/>
      <c r="O16" s="37"/>
      <c r="P16" s="37"/>
      <c r="Q16" s="37"/>
      <c r="R16" s="37"/>
      <c r="S16" s="37"/>
      <c r="T16" s="37"/>
      <c r="U16" s="37"/>
      <c r="V16" s="37"/>
      <c r="W16" s="37"/>
      <c r="X16" s="37"/>
      <c r="Y16" s="37"/>
      <c r="Z16" s="37"/>
    </row>
    <row r="17" spans="11:26" ht="13.2" customHeight="1" x14ac:dyDescent="0.25">
      <c r="K17" s="37"/>
      <c r="L17" s="37"/>
      <c r="M17" s="37"/>
      <c r="N17" s="37"/>
      <c r="O17" s="37"/>
      <c r="P17" s="37"/>
      <c r="Q17" s="37"/>
      <c r="R17" s="37"/>
      <c r="S17" s="37"/>
      <c r="T17" s="37"/>
      <c r="U17" s="37"/>
      <c r="V17" s="37"/>
      <c r="W17" s="37"/>
      <c r="X17" s="37"/>
      <c r="Y17" s="37"/>
      <c r="Z17" s="37"/>
    </row>
    <row r="18" spans="11:26" ht="13.2" customHeight="1" x14ac:dyDescent="0.25">
      <c r="K18" s="37"/>
      <c r="L18" s="37"/>
      <c r="M18" s="37"/>
      <c r="N18" s="37"/>
      <c r="O18" s="37"/>
      <c r="P18" s="37"/>
      <c r="Q18" s="37"/>
      <c r="R18" s="37"/>
      <c r="S18" s="37"/>
      <c r="T18" s="37"/>
      <c r="U18" s="37"/>
      <c r="V18" s="37"/>
      <c r="W18" s="37"/>
      <c r="X18" s="37"/>
      <c r="Y18" s="37"/>
      <c r="Z18" s="37"/>
    </row>
    <row r="19" spans="11:26" ht="13.2" customHeight="1" x14ac:dyDescent="0.25">
      <c r="K19" s="37"/>
      <c r="L19" s="37"/>
      <c r="M19" s="37"/>
      <c r="N19" s="37"/>
      <c r="O19" s="37"/>
      <c r="P19" s="37"/>
      <c r="Q19" s="37"/>
      <c r="R19" s="37"/>
      <c r="S19" s="37"/>
      <c r="T19" s="37"/>
      <c r="U19" s="37"/>
      <c r="V19" s="37"/>
      <c r="W19" s="37"/>
      <c r="X19" s="37"/>
      <c r="Y19" s="37"/>
      <c r="Z19" s="37"/>
    </row>
    <row r="20" spans="11:26" ht="13.2" customHeight="1" x14ac:dyDescent="0.25">
      <c r="K20" s="37"/>
      <c r="L20" s="37"/>
      <c r="M20" s="37"/>
      <c r="N20" s="37"/>
      <c r="O20" s="37"/>
      <c r="P20" s="37"/>
      <c r="Q20" s="37"/>
      <c r="R20" s="37"/>
      <c r="S20" s="37"/>
      <c r="T20" s="37"/>
      <c r="U20" s="37"/>
      <c r="V20" s="37"/>
      <c r="W20" s="37"/>
      <c r="X20" s="37"/>
      <c r="Y20" s="37"/>
      <c r="Z20" s="37"/>
    </row>
    <row r="21" spans="11:26" ht="13.2" customHeight="1" x14ac:dyDescent="0.25">
      <c r="K21" s="37"/>
      <c r="L21" s="37"/>
      <c r="M21" s="37"/>
      <c r="N21" s="37"/>
      <c r="O21" s="37"/>
      <c r="P21" s="37"/>
      <c r="Q21" s="37"/>
      <c r="R21" s="37"/>
      <c r="S21" s="37"/>
      <c r="T21" s="37"/>
      <c r="U21" s="37"/>
      <c r="V21" s="37"/>
      <c r="W21" s="37"/>
      <c r="X21" s="37"/>
      <c r="Y21" s="37"/>
      <c r="Z21" s="37"/>
    </row>
    <row r="22" spans="11:26" ht="13.2" customHeight="1" x14ac:dyDescent="0.25">
      <c r="K22" s="37"/>
      <c r="L22" s="37"/>
      <c r="M22" s="37"/>
      <c r="N22" s="37"/>
      <c r="O22" s="37"/>
      <c r="P22" s="37"/>
      <c r="Q22" s="37"/>
      <c r="R22" s="37"/>
      <c r="S22" s="37"/>
      <c r="T22" s="37"/>
      <c r="U22" s="37"/>
      <c r="V22" s="37"/>
      <c r="W22" s="37"/>
      <c r="X22" s="37"/>
      <c r="Y22" s="37"/>
      <c r="Z22" s="37"/>
    </row>
    <row r="23" spans="11:26" ht="13.2" customHeight="1" x14ac:dyDescent="0.25">
      <c r="K23" s="37"/>
      <c r="L23" s="37"/>
      <c r="M23" s="37"/>
      <c r="N23" s="37"/>
      <c r="O23" s="37"/>
      <c r="P23" s="37"/>
      <c r="Q23" s="37"/>
      <c r="R23" s="37"/>
      <c r="S23" s="37"/>
      <c r="T23" s="37"/>
      <c r="U23" s="37"/>
      <c r="V23" s="37"/>
      <c r="W23" s="37"/>
      <c r="X23" s="37"/>
      <c r="Y23" s="37"/>
      <c r="Z23" s="37"/>
    </row>
    <row r="24" spans="11:26" ht="13.2" customHeight="1" x14ac:dyDescent="0.25">
      <c r="K24" s="37"/>
      <c r="L24" s="37"/>
      <c r="M24" s="37"/>
      <c r="N24" s="37"/>
      <c r="O24" s="37"/>
      <c r="P24" s="37"/>
      <c r="Q24" s="37"/>
      <c r="R24" s="37"/>
      <c r="S24" s="37"/>
      <c r="T24" s="37"/>
      <c r="U24" s="37"/>
      <c r="V24" s="37"/>
      <c r="W24" s="37"/>
      <c r="X24" s="37"/>
      <c r="Y24" s="37"/>
      <c r="Z24" s="37"/>
    </row>
    <row r="25" spans="11:26" ht="13.2" customHeight="1" x14ac:dyDescent="0.25">
      <c r="K25" s="37"/>
      <c r="L25" s="37"/>
      <c r="M25" s="37"/>
      <c r="N25" s="37"/>
      <c r="O25" s="37"/>
      <c r="P25" s="37"/>
      <c r="Q25" s="37"/>
      <c r="R25" s="37"/>
      <c r="S25" s="37"/>
      <c r="T25" s="37"/>
      <c r="U25" s="37"/>
      <c r="V25" s="37"/>
      <c r="W25" s="37"/>
      <c r="X25" s="37"/>
      <c r="Y25" s="37"/>
      <c r="Z25" s="37"/>
    </row>
    <row r="26" spans="11:26" ht="13.2" customHeight="1" x14ac:dyDescent="0.25">
      <c r="K26" s="37"/>
      <c r="L26" s="37"/>
      <c r="M26" s="37"/>
      <c r="N26" s="37"/>
      <c r="O26" s="37"/>
      <c r="P26" s="37"/>
      <c r="Q26" s="37"/>
      <c r="R26" s="37"/>
      <c r="S26" s="37"/>
      <c r="T26" s="37"/>
      <c r="U26" s="37"/>
      <c r="V26" s="37"/>
      <c r="W26" s="37"/>
      <c r="X26" s="37"/>
      <c r="Y26" s="37"/>
      <c r="Z26" s="37"/>
    </row>
    <row r="27" spans="11:26" ht="13.2" customHeight="1" x14ac:dyDescent="0.25">
      <c r="K27" s="37"/>
      <c r="L27" s="37"/>
      <c r="M27" s="37"/>
      <c r="N27" s="37"/>
      <c r="O27" s="37"/>
      <c r="P27" s="37"/>
      <c r="Q27" s="37"/>
      <c r="R27" s="37"/>
      <c r="S27" s="37"/>
      <c r="T27" s="37"/>
      <c r="U27" s="37"/>
      <c r="V27" s="37"/>
      <c r="W27" s="37"/>
      <c r="X27" s="37"/>
      <c r="Y27" s="37"/>
      <c r="Z27" s="37"/>
    </row>
    <row r="28" spans="11:26" ht="13.2" customHeight="1" x14ac:dyDescent="0.25">
      <c r="K28" s="37"/>
      <c r="L28" s="37"/>
      <c r="M28" s="37"/>
      <c r="N28" s="37"/>
      <c r="O28" s="37"/>
      <c r="P28" s="37"/>
      <c r="Q28" s="37"/>
      <c r="R28" s="37"/>
      <c r="S28" s="37"/>
      <c r="T28" s="37"/>
      <c r="U28" s="37"/>
      <c r="V28" s="37"/>
      <c r="W28" s="37"/>
      <c r="X28" s="37"/>
      <c r="Y28" s="37"/>
      <c r="Z28" s="37"/>
    </row>
    <row r="29" spans="11:26" ht="13.2" customHeight="1" x14ac:dyDescent="0.25">
      <c r="K29" s="37"/>
      <c r="L29" s="37"/>
      <c r="M29" s="37"/>
      <c r="N29" s="37"/>
      <c r="O29" s="37"/>
      <c r="P29" s="37"/>
      <c r="Q29" s="37"/>
      <c r="R29" s="37"/>
      <c r="S29" s="37"/>
      <c r="T29" s="37"/>
      <c r="U29" s="37"/>
      <c r="V29" s="37"/>
      <c r="W29" s="37"/>
      <c r="X29" s="37"/>
      <c r="Y29" s="37"/>
      <c r="Z29" s="37"/>
    </row>
    <row r="30" spans="11:26" ht="13.2" customHeight="1" x14ac:dyDescent="0.25">
      <c r="K30" s="37"/>
      <c r="L30" s="37"/>
      <c r="M30" s="37"/>
      <c r="N30" s="37"/>
      <c r="O30" s="37"/>
      <c r="P30" s="37"/>
      <c r="Q30" s="37"/>
      <c r="R30" s="37"/>
      <c r="S30" s="37"/>
      <c r="T30" s="37"/>
      <c r="U30" s="37"/>
      <c r="V30" s="37"/>
      <c r="W30" s="37"/>
      <c r="X30" s="37"/>
      <c r="Y30" s="37"/>
      <c r="Z30" s="37"/>
    </row>
    <row r="31" spans="11:26" ht="13.2" customHeight="1" x14ac:dyDescent="0.25">
      <c r="K31" s="37"/>
      <c r="L31" s="37"/>
      <c r="M31" s="37"/>
      <c r="N31" s="37"/>
      <c r="O31" s="37"/>
      <c r="P31" s="37"/>
      <c r="Q31" s="37"/>
      <c r="R31" s="37"/>
      <c r="S31" s="37"/>
      <c r="T31" s="37"/>
      <c r="U31" s="37"/>
      <c r="V31" s="37"/>
      <c r="W31" s="37"/>
      <c r="X31" s="37"/>
      <c r="Y31" s="37"/>
      <c r="Z31" s="37"/>
    </row>
    <row r="32" spans="11:26" ht="13.2" customHeight="1" x14ac:dyDescent="0.25">
      <c r="K32" s="37"/>
      <c r="L32" s="37"/>
      <c r="M32" s="37"/>
      <c r="N32" s="37"/>
      <c r="O32" s="37"/>
      <c r="P32" s="37"/>
      <c r="Q32" s="37"/>
      <c r="R32" s="37"/>
      <c r="S32" s="37"/>
      <c r="T32" s="37"/>
      <c r="U32" s="37"/>
      <c r="V32" s="37"/>
      <c r="W32" s="37"/>
      <c r="X32" s="37"/>
      <c r="Y32" s="37"/>
      <c r="Z32" s="37"/>
    </row>
    <row r="33" spans="11:26" ht="13.2" customHeight="1" x14ac:dyDescent="0.25">
      <c r="K33" s="37"/>
      <c r="L33" s="37"/>
      <c r="M33" s="37"/>
      <c r="N33" s="37"/>
      <c r="O33" s="37"/>
      <c r="P33" s="37"/>
      <c r="Q33" s="37"/>
      <c r="R33" s="37"/>
      <c r="S33" s="37"/>
      <c r="T33" s="37"/>
      <c r="U33" s="37"/>
      <c r="V33" s="37"/>
      <c r="W33" s="37"/>
      <c r="X33" s="37"/>
      <c r="Y33" s="37"/>
      <c r="Z33" s="37"/>
    </row>
    <row r="34" spans="11:26" ht="13.2" customHeight="1" x14ac:dyDescent="0.25">
      <c r="K34" s="37"/>
      <c r="L34" s="37"/>
      <c r="M34" s="37"/>
      <c r="N34" s="37"/>
      <c r="O34" s="37"/>
      <c r="P34" s="37"/>
      <c r="Q34" s="37"/>
      <c r="R34" s="37"/>
      <c r="S34" s="37"/>
      <c r="T34" s="37"/>
      <c r="U34" s="37"/>
      <c r="V34" s="37"/>
      <c r="W34" s="37"/>
      <c r="X34" s="37"/>
      <c r="Y34" s="37"/>
      <c r="Z34" s="37"/>
    </row>
    <row r="35" spans="11:26" ht="13.2" customHeight="1" x14ac:dyDescent="0.25">
      <c r="K35" s="37"/>
      <c r="L35" s="37"/>
      <c r="M35" s="37"/>
      <c r="N35" s="37"/>
      <c r="O35" s="37"/>
      <c r="P35" s="37"/>
      <c r="Q35" s="37"/>
      <c r="R35" s="37"/>
      <c r="S35" s="37"/>
      <c r="T35" s="37"/>
      <c r="U35" s="37"/>
      <c r="V35" s="37"/>
      <c r="W35" s="37"/>
      <c r="X35" s="37"/>
      <c r="Y35" s="37"/>
      <c r="Z35" s="37"/>
    </row>
    <row r="36" spans="11:26" ht="13.2" customHeight="1" x14ac:dyDescent="0.25">
      <c r="K36" s="37"/>
      <c r="L36" s="37"/>
      <c r="M36" s="37"/>
      <c r="N36" s="37"/>
      <c r="O36" s="37"/>
      <c r="P36" s="37"/>
      <c r="Q36" s="37"/>
      <c r="R36" s="37"/>
      <c r="S36" s="37"/>
      <c r="T36" s="37"/>
      <c r="U36" s="37"/>
      <c r="V36" s="37"/>
      <c r="W36" s="37"/>
      <c r="X36" s="37"/>
      <c r="Y36" s="37"/>
      <c r="Z36" s="37"/>
    </row>
    <row r="37" spans="11:26" ht="13.2" customHeight="1" x14ac:dyDescent="0.25">
      <c r="K37" s="37"/>
      <c r="L37" s="37"/>
      <c r="M37" s="37"/>
      <c r="N37" s="37"/>
      <c r="O37" s="37"/>
      <c r="P37" s="37"/>
      <c r="Q37" s="37"/>
      <c r="R37" s="37"/>
      <c r="S37" s="37"/>
      <c r="T37" s="37"/>
      <c r="U37" s="37"/>
      <c r="V37" s="37"/>
      <c r="W37" s="37"/>
      <c r="X37" s="37"/>
      <c r="Y37" s="37"/>
      <c r="Z37" s="37"/>
    </row>
    <row r="38" spans="11:26" ht="13.2" customHeight="1" x14ac:dyDescent="0.25">
      <c r="K38" s="37"/>
      <c r="L38" s="37"/>
      <c r="M38" s="37"/>
      <c r="N38" s="37"/>
      <c r="O38" s="37"/>
      <c r="P38" s="37"/>
      <c r="Q38" s="37"/>
      <c r="R38" s="37"/>
      <c r="S38" s="37"/>
      <c r="T38" s="37"/>
      <c r="U38" s="37"/>
      <c r="V38" s="37"/>
      <c r="W38" s="37"/>
      <c r="X38" s="37"/>
      <c r="Y38" s="37"/>
      <c r="Z38" s="37"/>
    </row>
    <row r="39" spans="11:26" ht="13.2" customHeight="1" x14ac:dyDescent="0.25">
      <c r="K39" s="37"/>
      <c r="L39" s="37"/>
      <c r="M39" s="37"/>
      <c r="N39" s="37"/>
      <c r="O39" s="37"/>
      <c r="P39" s="37"/>
      <c r="Q39" s="37"/>
      <c r="R39" s="37"/>
      <c r="S39" s="37"/>
      <c r="T39" s="37"/>
      <c r="U39" s="37"/>
      <c r="V39" s="37"/>
      <c r="W39" s="37"/>
      <c r="X39" s="37"/>
      <c r="Y39" s="37"/>
      <c r="Z39" s="37"/>
    </row>
    <row r="40" spans="11:26" ht="13.2" customHeight="1" x14ac:dyDescent="0.25">
      <c r="K40" s="2"/>
      <c r="L40" s="2"/>
      <c r="M40" s="2"/>
      <c r="N40" s="2"/>
      <c r="O40" s="2"/>
      <c r="P40" s="2"/>
      <c r="Q40" s="2"/>
      <c r="R40" s="2"/>
      <c r="S40" s="2"/>
      <c r="T40" s="2"/>
      <c r="U40" s="2"/>
      <c r="V40" s="2"/>
      <c r="W40" s="2"/>
      <c r="X40" s="2"/>
      <c r="Y40" s="2"/>
      <c r="Z40" s="2"/>
    </row>
    <row r="41" spans="11:26" ht="13.2" customHeight="1" x14ac:dyDescent="0.25">
      <c r="K41" s="2"/>
      <c r="L41" s="2"/>
      <c r="M41" s="2"/>
      <c r="N41" s="2"/>
      <c r="O41" s="2"/>
      <c r="P41" s="2"/>
      <c r="Q41" s="2"/>
      <c r="R41" s="2"/>
      <c r="S41" s="2"/>
      <c r="T41" s="2"/>
      <c r="U41" s="2"/>
      <c r="V41" s="2"/>
      <c r="W41" s="2"/>
      <c r="X41" s="2"/>
      <c r="Y41" s="2"/>
      <c r="Z41" s="2"/>
    </row>
  </sheetData>
  <mergeCells count="4">
    <mergeCell ref="K1:Z1"/>
    <mergeCell ref="AA6:AE6"/>
    <mergeCell ref="A1:I1"/>
    <mergeCell ref="K2:Z3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8A826-FF99-4ECA-96CC-C7665C3C18A1}">
  <dimension ref="A1:Y33"/>
  <sheetViews>
    <sheetView workbookViewId="0">
      <selection activeCell="K22" sqref="K22"/>
    </sheetView>
  </sheetViews>
  <sheetFormatPr defaultRowHeight="13.2" x14ac:dyDescent="0.25"/>
  <cols>
    <col min="1" max="1" width="20.77734375" bestFit="1" customWidth="1"/>
    <col min="2" max="2" width="7.109375" bestFit="1" customWidth="1"/>
    <col min="3" max="3" width="6.88671875" bestFit="1" customWidth="1"/>
    <col min="4" max="4" width="7.6640625" bestFit="1" customWidth="1"/>
    <col min="5" max="5" width="6.6640625" bestFit="1" customWidth="1"/>
    <col min="6" max="6" width="6.44140625" bestFit="1" customWidth="1"/>
    <col min="7" max="7" width="6" bestFit="1" customWidth="1"/>
    <col min="8" max="8" width="10" bestFit="1" customWidth="1"/>
    <col min="9" max="9" width="6.6640625" bestFit="1" customWidth="1"/>
  </cols>
  <sheetData>
    <row r="1" spans="1:25" ht="24.6" x14ac:dyDescent="0.55000000000000004">
      <c r="A1" s="36" t="s">
        <v>9</v>
      </c>
      <c r="B1" s="36"/>
      <c r="C1" s="36"/>
      <c r="D1" s="36"/>
      <c r="E1" s="36"/>
      <c r="F1" s="36"/>
      <c r="G1" s="36"/>
      <c r="H1" s="36"/>
      <c r="I1" s="36"/>
      <c r="K1" s="38" t="s">
        <v>1</v>
      </c>
      <c r="L1" s="39"/>
      <c r="M1" s="39"/>
      <c r="N1" s="39"/>
      <c r="O1" s="39"/>
      <c r="P1" s="39"/>
      <c r="Q1" s="39"/>
      <c r="R1" s="39"/>
      <c r="S1" s="39"/>
      <c r="T1" s="39"/>
      <c r="U1" s="39"/>
      <c r="V1" s="39"/>
      <c r="W1" s="39"/>
      <c r="X1" s="39"/>
      <c r="Y1" s="39"/>
    </row>
    <row r="2" spans="1:25" ht="13.2" customHeight="1" x14ac:dyDescent="0.25">
      <c r="A2" t="s">
        <v>14</v>
      </c>
      <c r="B2" t="s">
        <v>20</v>
      </c>
      <c r="C2" t="s">
        <v>2</v>
      </c>
      <c r="D2" s="3" t="s">
        <v>3</v>
      </c>
      <c r="E2" s="1" t="s">
        <v>4</v>
      </c>
      <c r="F2" s="1" t="s">
        <v>5</v>
      </c>
      <c r="G2" s="1" t="s">
        <v>6</v>
      </c>
      <c r="H2" s="1" t="s">
        <v>7</v>
      </c>
      <c r="I2" s="1" t="s">
        <v>8</v>
      </c>
      <c r="K2" s="37" t="s">
        <v>49</v>
      </c>
      <c r="L2" s="37"/>
      <c r="M2" s="37"/>
      <c r="N2" s="37"/>
      <c r="O2" s="37"/>
      <c r="P2" s="37"/>
      <c r="Q2" s="37"/>
      <c r="R2" s="37"/>
      <c r="S2" s="37"/>
      <c r="T2" s="37"/>
      <c r="U2" s="37"/>
      <c r="V2" s="37"/>
      <c r="W2" s="37"/>
      <c r="X2" s="37"/>
      <c r="Y2" s="37"/>
    </row>
    <row r="3" spans="1:25" ht="13.2" customHeight="1" x14ac:dyDescent="0.25">
      <c r="A3" t="s">
        <v>15</v>
      </c>
      <c r="B3" t="s">
        <v>32</v>
      </c>
      <c r="C3">
        <v>0.8</v>
      </c>
      <c r="K3" s="37"/>
      <c r="L3" s="37"/>
      <c r="M3" s="37"/>
      <c r="N3" s="37"/>
      <c r="O3" s="37"/>
      <c r="P3" s="37"/>
      <c r="Q3" s="37"/>
      <c r="R3" s="37"/>
      <c r="S3" s="37"/>
      <c r="T3" s="37"/>
      <c r="U3" s="37"/>
      <c r="V3" s="37"/>
      <c r="W3" s="37"/>
      <c r="X3" s="37"/>
      <c r="Y3" s="37"/>
    </row>
    <row r="4" spans="1:25" ht="13.2" customHeight="1" x14ac:dyDescent="0.25">
      <c r="A4" t="s">
        <v>15</v>
      </c>
      <c r="B4" t="s">
        <v>33</v>
      </c>
      <c r="C4">
        <v>1.9</v>
      </c>
      <c r="K4" s="37"/>
      <c r="L4" s="37"/>
      <c r="M4" s="37"/>
      <c r="N4" s="37"/>
      <c r="O4" s="37"/>
      <c r="P4" s="37"/>
      <c r="Q4" s="37"/>
      <c r="R4" s="37"/>
      <c r="S4" s="37"/>
      <c r="T4" s="37"/>
      <c r="U4" s="37"/>
      <c r="V4" s="37"/>
      <c r="W4" s="37"/>
      <c r="X4" s="37"/>
      <c r="Y4" s="37"/>
    </row>
    <row r="5" spans="1:25" ht="13.2" customHeight="1" x14ac:dyDescent="0.25">
      <c r="A5" t="s">
        <v>15</v>
      </c>
      <c r="B5" t="s">
        <v>34</v>
      </c>
      <c r="C5">
        <v>0.6</v>
      </c>
      <c r="K5" s="37"/>
      <c r="L5" s="37"/>
      <c r="M5" s="37"/>
      <c r="N5" s="37"/>
      <c r="O5" s="37"/>
      <c r="P5" s="37"/>
      <c r="Q5" s="37"/>
      <c r="R5" s="37"/>
      <c r="S5" s="37"/>
      <c r="T5" s="37"/>
      <c r="U5" s="37"/>
      <c r="V5" s="37"/>
      <c r="W5" s="37"/>
      <c r="X5" s="37"/>
      <c r="Y5" s="37"/>
    </row>
    <row r="6" spans="1:25" ht="13.2" customHeight="1" x14ac:dyDescent="0.25">
      <c r="A6" t="s">
        <v>15</v>
      </c>
      <c r="B6" t="s">
        <v>35</v>
      </c>
      <c r="C6">
        <v>1.1000000000000001</v>
      </c>
      <c r="K6" s="37"/>
      <c r="L6" s="37"/>
      <c r="M6" s="37"/>
      <c r="N6" s="37"/>
      <c r="O6" s="37"/>
      <c r="P6" s="37"/>
      <c r="Q6" s="37"/>
      <c r="R6" s="37"/>
      <c r="S6" s="37"/>
      <c r="T6" s="37"/>
      <c r="U6" s="37"/>
      <c r="V6" s="37"/>
      <c r="W6" s="37"/>
      <c r="X6" s="37"/>
      <c r="Y6" s="37"/>
    </row>
    <row r="7" spans="1:25" ht="13.2" customHeight="1" x14ac:dyDescent="0.25">
      <c r="A7" t="s">
        <v>15</v>
      </c>
      <c r="B7" t="s">
        <v>36</v>
      </c>
      <c r="C7">
        <v>3.2</v>
      </c>
      <c r="K7" s="37"/>
      <c r="L7" s="37"/>
      <c r="M7" s="37"/>
      <c r="N7" s="37"/>
      <c r="O7" s="37"/>
      <c r="P7" s="37"/>
      <c r="Q7" s="37"/>
      <c r="R7" s="37"/>
      <c r="S7" s="37"/>
      <c r="T7" s="37"/>
      <c r="U7" s="37"/>
      <c r="V7" s="37"/>
      <c r="W7" s="37"/>
      <c r="X7" s="37"/>
      <c r="Y7" s="37"/>
    </row>
    <row r="8" spans="1:25" ht="13.2" customHeight="1" x14ac:dyDescent="0.25">
      <c r="A8" t="s">
        <v>15</v>
      </c>
      <c r="B8" t="s">
        <v>37</v>
      </c>
      <c r="C8">
        <v>0.7</v>
      </c>
      <c r="K8" s="37"/>
      <c r="L8" s="37"/>
      <c r="M8" s="37"/>
      <c r="N8" s="37"/>
      <c r="O8" s="37"/>
      <c r="P8" s="37"/>
      <c r="Q8" s="37"/>
      <c r="R8" s="37"/>
      <c r="S8" s="37"/>
      <c r="T8" s="37"/>
      <c r="U8" s="37"/>
      <c r="V8" s="37"/>
      <c r="W8" s="37"/>
      <c r="X8" s="37"/>
      <c r="Y8" s="37"/>
    </row>
    <row r="9" spans="1:25" ht="13.2" customHeight="1" x14ac:dyDescent="0.25">
      <c r="A9" t="s">
        <v>15</v>
      </c>
      <c r="B9" t="s">
        <v>38</v>
      </c>
      <c r="C9">
        <v>0.5</v>
      </c>
      <c r="K9" s="37"/>
      <c r="L9" s="37"/>
      <c r="M9" s="37"/>
      <c r="N9" s="37"/>
      <c r="O9" s="37"/>
      <c r="P9" s="37"/>
      <c r="Q9" s="37"/>
      <c r="R9" s="37"/>
      <c r="S9" s="37"/>
      <c r="T9" s="37"/>
      <c r="U9" s="37"/>
      <c r="V9" s="37"/>
      <c r="W9" s="37"/>
      <c r="X9" s="37"/>
      <c r="Y9" s="37"/>
    </row>
    <row r="10" spans="1:25" ht="13.2" customHeight="1" x14ac:dyDescent="0.25">
      <c r="A10" t="s">
        <v>15</v>
      </c>
      <c r="B10" t="s">
        <v>39</v>
      </c>
      <c r="C10">
        <v>0.9</v>
      </c>
      <c r="K10" s="37"/>
      <c r="L10" s="37"/>
      <c r="M10" s="37"/>
      <c r="N10" s="37"/>
      <c r="O10" s="37"/>
      <c r="P10" s="37"/>
      <c r="Q10" s="37"/>
      <c r="R10" s="37"/>
      <c r="S10" s="37"/>
      <c r="T10" s="37"/>
      <c r="U10" s="37"/>
      <c r="V10" s="37"/>
      <c r="W10" s="37"/>
      <c r="X10" s="37"/>
      <c r="Y10" s="37"/>
    </row>
    <row r="11" spans="1:25" ht="13.2" customHeight="1" x14ac:dyDescent="0.25">
      <c r="A11" t="s">
        <v>15</v>
      </c>
      <c r="B11" t="s">
        <v>40</v>
      </c>
      <c r="C11">
        <v>2.2000000000000002</v>
      </c>
      <c r="K11" s="37"/>
      <c r="L11" s="37"/>
      <c r="M11" s="37"/>
      <c r="N11" s="37"/>
      <c r="O11" s="37"/>
      <c r="P11" s="37"/>
      <c r="Q11" s="37"/>
      <c r="R11" s="37"/>
      <c r="S11" s="37"/>
      <c r="T11" s="37"/>
      <c r="U11" s="37"/>
      <c r="V11" s="37"/>
      <c r="W11" s="37"/>
      <c r="X11" s="37"/>
      <c r="Y11" s="37"/>
    </row>
    <row r="12" spans="1:25" ht="13.2" customHeight="1" x14ac:dyDescent="0.25">
      <c r="A12" t="s">
        <v>15</v>
      </c>
      <c r="B12" t="s">
        <v>41</v>
      </c>
      <c r="C12">
        <v>5</v>
      </c>
      <c r="K12" s="37"/>
      <c r="L12" s="37"/>
      <c r="M12" s="37"/>
      <c r="N12" s="37"/>
      <c r="O12" s="37"/>
      <c r="P12" s="37"/>
      <c r="Q12" s="37"/>
      <c r="R12" s="37"/>
      <c r="S12" s="37"/>
      <c r="T12" s="37"/>
      <c r="U12" s="37"/>
      <c r="V12" s="37"/>
      <c r="W12" s="37"/>
      <c r="X12" s="37"/>
      <c r="Y12" s="37"/>
    </row>
    <row r="13" spans="1:25" ht="13.2" customHeight="1" x14ac:dyDescent="0.25">
      <c r="A13" t="s">
        <v>15</v>
      </c>
      <c r="B13" t="s">
        <v>42</v>
      </c>
      <c r="C13">
        <v>2.5</v>
      </c>
      <c r="K13" s="37"/>
      <c r="L13" s="37"/>
      <c r="M13" s="37"/>
      <c r="N13" s="37"/>
      <c r="O13" s="37"/>
      <c r="P13" s="37"/>
      <c r="Q13" s="37"/>
      <c r="R13" s="37"/>
      <c r="S13" s="37"/>
      <c r="T13" s="37"/>
      <c r="U13" s="37"/>
      <c r="V13" s="37"/>
      <c r="W13" s="37"/>
      <c r="X13" s="37"/>
      <c r="Y13" s="37"/>
    </row>
    <row r="14" spans="1:25" ht="13.2" customHeight="1" x14ac:dyDescent="0.25">
      <c r="A14" t="s">
        <v>15</v>
      </c>
      <c r="B14" t="s">
        <v>43</v>
      </c>
      <c r="C14">
        <v>1.7</v>
      </c>
      <c r="K14" s="37"/>
      <c r="L14" s="37"/>
      <c r="M14" s="37"/>
      <c r="N14" s="37"/>
      <c r="O14" s="37"/>
      <c r="P14" s="37"/>
      <c r="Q14" s="37"/>
      <c r="R14" s="37"/>
      <c r="S14" s="37"/>
      <c r="T14" s="37"/>
      <c r="U14" s="37"/>
      <c r="V14" s="37"/>
      <c r="W14" s="37"/>
      <c r="X14" s="37"/>
      <c r="Y14" s="37"/>
    </row>
    <row r="15" spans="1:25" ht="13.2" customHeight="1" x14ac:dyDescent="0.25">
      <c r="A15" t="s">
        <v>15</v>
      </c>
      <c r="B15" t="s">
        <v>44</v>
      </c>
      <c r="C15">
        <v>0.8</v>
      </c>
      <c r="K15" s="37"/>
      <c r="L15" s="37"/>
      <c r="M15" s="37"/>
      <c r="N15" s="37"/>
      <c r="O15" s="37"/>
      <c r="P15" s="37"/>
      <c r="Q15" s="37"/>
      <c r="R15" s="37"/>
      <c r="S15" s="37"/>
      <c r="T15" s="37"/>
      <c r="U15" s="37"/>
      <c r="V15" s="37"/>
      <c r="W15" s="37"/>
      <c r="X15" s="37"/>
      <c r="Y15" s="37"/>
    </row>
    <row r="16" spans="1:25" ht="13.2" customHeight="1" x14ac:dyDescent="0.25">
      <c r="A16" t="s">
        <v>15</v>
      </c>
      <c r="B16" t="s">
        <v>45</v>
      </c>
      <c r="C16">
        <v>7.5</v>
      </c>
      <c r="K16" s="37"/>
      <c r="L16" s="37"/>
      <c r="M16" s="37"/>
      <c r="N16" s="37"/>
      <c r="O16" s="37"/>
      <c r="P16" s="37"/>
      <c r="Q16" s="37"/>
      <c r="R16" s="37"/>
      <c r="S16" s="37"/>
      <c r="T16" s="37"/>
      <c r="U16" s="37"/>
      <c r="V16" s="37"/>
      <c r="W16" s="37"/>
      <c r="X16" s="37"/>
      <c r="Y16" s="37"/>
    </row>
    <row r="17" spans="1:25" ht="13.2" customHeight="1" x14ac:dyDescent="0.25">
      <c r="A17" t="s">
        <v>15</v>
      </c>
      <c r="B17" t="s">
        <v>46</v>
      </c>
      <c r="C17">
        <v>4.9000000000000004</v>
      </c>
      <c r="K17" s="37"/>
      <c r="L17" s="37"/>
      <c r="M17" s="37"/>
      <c r="N17" s="37"/>
      <c r="O17" s="37"/>
      <c r="P17" s="37"/>
      <c r="Q17" s="37"/>
      <c r="R17" s="37"/>
      <c r="S17" s="37"/>
      <c r="T17" s="37"/>
      <c r="U17" s="37"/>
      <c r="V17" s="37"/>
      <c r="W17" s="37"/>
      <c r="X17" s="37"/>
      <c r="Y17" s="37"/>
    </row>
    <row r="18" spans="1:25" ht="13.2" customHeight="1" x14ac:dyDescent="0.25">
      <c r="A18" t="s">
        <v>15</v>
      </c>
      <c r="B18" t="s">
        <v>47</v>
      </c>
      <c r="C18">
        <v>8.8000000000000007</v>
      </c>
      <c r="K18" s="37"/>
      <c r="L18" s="37"/>
      <c r="M18" s="37"/>
      <c r="N18" s="37"/>
      <c r="O18" s="37"/>
      <c r="P18" s="37"/>
      <c r="Q18" s="37"/>
      <c r="R18" s="37"/>
      <c r="S18" s="37"/>
      <c r="T18" s="37"/>
      <c r="U18" s="37"/>
      <c r="V18" s="37"/>
      <c r="W18" s="37"/>
      <c r="X18" s="37"/>
      <c r="Y18" s="37"/>
    </row>
    <row r="19" spans="1:25" ht="13.2" customHeight="1" x14ac:dyDescent="0.25">
      <c r="K19" s="37"/>
      <c r="L19" s="37"/>
      <c r="M19" s="37"/>
      <c r="N19" s="37"/>
      <c r="O19" s="37"/>
      <c r="P19" s="37"/>
      <c r="Q19" s="37"/>
      <c r="R19" s="37"/>
      <c r="S19" s="37"/>
      <c r="T19" s="37"/>
      <c r="U19" s="37"/>
      <c r="V19" s="37"/>
      <c r="W19" s="37"/>
      <c r="X19" s="37"/>
      <c r="Y19" s="37"/>
    </row>
    <row r="20" spans="1:25" ht="13.2" customHeight="1" x14ac:dyDescent="0.25">
      <c r="K20" s="37"/>
      <c r="L20" s="37"/>
      <c r="M20" s="37"/>
      <c r="N20" s="37"/>
      <c r="O20" s="37"/>
      <c r="P20" s="37"/>
      <c r="Q20" s="37"/>
      <c r="R20" s="37"/>
      <c r="S20" s="37"/>
      <c r="T20" s="37"/>
      <c r="U20" s="37"/>
      <c r="V20" s="37"/>
      <c r="W20" s="37"/>
      <c r="X20" s="37"/>
      <c r="Y20" s="37"/>
    </row>
    <row r="21" spans="1:25" ht="13.2" customHeight="1" x14ac:dyDescent="0.25">
      <c r="K21" s="37"/>
      <c r="L21" s="37"/>
      <c r="M21" s="37"/>
      <c r="N21" s="37"/>
      <c r="O21" s="37"/>
      <c r="P21" s="37"/>
      <c r="Q21" s="37"/>
      <c r="R21" s="37"/>
      <c r="S21" s="37"/>
      <c r="T21" s="37"/>
      <c r="U21" s="37"/>
      <c r="V21" s="37"/>
      <c r="W21" s="37"/>
      <c r="X21" s="37"/>
      <c r="Y21" s="37"/>
    </row>
    <row r="22" spans="1:25" ht="13.2" customHeight="1" x14ac:dyDescent="0.25">
      <c r="K22" s="2"/>
      <c r="L22" s="2"/>
      <c r="M22" s="2"/>
      <c r="N22" s="2"/>
      <c r="O22" s="2"/>
      <c r="P22" s="2"/>
      <c r="Q22" s="2"/>
      <c r="R22" s="2"/>
      <c r="S22" s="2"/>
      <c r="T22" s="2"/>
      <c r="U22" s="2"/>
      <c r="V22" s="2"/>
      <c r="W22" s="2"/>
      <c r="X22" s="2"/>
      <c r="Y22" s="2"/>
    </row>
    <row r="23" spans="1:25" ht="13.2" customHeight="1" x14ac:dyDescent="0.25">
      <c r="K23" s="2"/>
      <c r="L23" s="2"/>
      <c r="M23" s="2"/>
      <c r="N23" s="2"/>
      <c r="O23" s="2"/>
      <c r="P23" s="2"/>
      <c r="Q23" s="2"/>
      <c r="R23" s="2"/>
      <c r="S23" s="2"/>
      <c r="T23" s="2"/>
      <c r="U23" s="2"/>
      <c r="V23" s="2"/>
      <c r="W23" s="2"/>
      <c r="X23" s="2"/>
      <c r="Y23" s="2"/>
    </row>
    <row r="24" spans="1:25" ht="13.2" customHeight="1" x14ac:dyDescent="0.25">
      <c r="K24" s="2"/>
      <c r="L24" s="2"/>
      <c r="M24" s="2"/>
      <c r="N24" s="2"/>
      <c r="O24" s="2"/>
      <c r="P24" s="2"/>
      <c r="Q24" s="2"/>
      <c r="R24" s="2"/>
      <c r="S24" s="2"/>
      <c r="T24" s="2"/>
      <c r="U24" s="2"/>
      <c r="V24" s="2"/>
      <c r="W24" s="2"/>
      <c r="X24" s="2"/>
      <c r="Y24" s="2"/>
    </row>
    <row r="25" spans="1:25" ht="13.2" customHeight="1" x14ac:dyDescent="0.25">
      <c r="K25" s="2"/>
      <c r="L25" s="2"/>
      <c r="M25" s="2"/>
      <c r="N25" s="2"/>
      <c r="O25" s="2"/>
      <c r="P25" s="2"/>
      <c r="Q25" s="2"/>
      <c r="R25" s="2"/>
      <c r="S25" s="2"/>
      <c r="T25" s="2"/>
      <c r="U25" s="2"/>
      <c r="V25" s="2"/>
      <c r="W25" s="2"/>
      <c r="X25" s="2"/>
      <c r="Y25" s="2"/>
    </row>
    <row r="26" spans="1:25" ht="13.2" customHeight="1" x14ac:dyDescent="0.25">
      <c r="K26" s="2"/>
      <c r="L26" s="2"/>
      <c r="M26" s="2"/>
      <c r="N26" s="2"/>
      <c r="O26" s="2"/>
      <c r="P26" s="2"/>
      <c r="Q26" s="2"/>
      <c r="R26" s="2"/>
      <c r="S26" s="2"/>
      <c r="T26" s="2"/>
      <c r="U26" s="2"/>
      <c r="V26" s="2"/>
      <c r="W26" s="2"/>
      <c r="X26" s="2"/>
      <c r="Y26" s="2"/>
    </row>
    <row r="27" spans="1:25" ht="13.2" customHeight="1" x14ac:dyDescent="0.25">
      <c r="K27" s="2"/>
      <c r="L27" s="2"/>
      <c r="M27" s="2"/>
      <c r="N27" s="2"/>
      <c r="O27" s="2"/>
      <c r="P27" s="2"/>
      <c r="Q27" s="2"/>
      <c r="R27" s="2"/>
      <c r="S27" s="2"/>
      <c r="T27" s="2"/>
      <c r="U27" s="2"/>
      <c r="V27" s="2"/>
      <c r="W27" s="2"/>
      <c r="X27" s="2"/>
      <c r="Y27" s="2"/>
    </row>
    <row r="28" spans="1:25" ht="13.2" customHeight="1" x14ac:dyDescent="0.25">
      <c r="K28" s="2"/>
      <c r="L28" s="2"/>
      <c r="M28" s="2"/>
      <c r="N28" s="2"/>
      <c r="O28" s="2"/>
      <c r="P28" s="2"/>
      <c r="Q28" s="2"/>
      <c r="R28" s="2"/>
      <c r="S28" s="2"/>
      <c r="T28" s="2"/>
      <c r="U28" s="2"/>
      <c r="V28" s="2"/>
      <c r="W28" s="2"/>
      <c r="X28" s="2"/>
      <c r="Y28" s="2"/>
    </row>
    <row r="29" spans="1:25" ht="13.2" customHeight="1" x14ac:dyDescent="0.25">
      <c r="K29" s="2"/>
      <c r="L29" s="2"/>
      <c r="M29" s="2"/>
      <c r="N29" s="2"/>
      <c r="O29" s="2"/>
      <c r="P29" s="2"/>
      <c r="Q29" s="2"/>
      <c r="R29" s="2"/>
      <c r="S29" s="2"/>
      <c r="T29" s="2"/>
      <c r="U29" s="2"/>
      <c r="V29" s="2"/>
      <c r="W29" s="2"/>
      <c r="X29" s="2"/>
      <c r="Y29" s="2"/>
    </row>
    <row r="30" spans="1:25" ht="13.2" customHeight="1" x14ac:dyDescent="0.25">
      <c r="K30" s="2"/>
      <c r="L30" s="2"/>
      <c r="M30" s="2"/>
      <c r="N30" s="2"/>
      <c r="O30" s="2"/>
      <c r="P30" s="2"/>
      <c r="Q30" s="2"/>
      <c r="R30" s="2"/>
      <c r="S30" s="2"/>
      <c r="T30" s="2"/>
      <c r="U30" s="2"/>
      <c r="V30" s="2"/>
      <c r="W30" s="2"/>
      <c r="X30" s="2"/>
      <c r="Y30" s="2"/>
    </row>
    <row r="31" spans="1:25" ht="13.2" customHeight="1" x14ac:dyDescent="0.25">
      <c r="K31" s="2"/>
      <c r="L31" s="2"/>
      <c r="M31" s="2"/>
      <c r="N31" s="2"/>
      <c r="O31" s="2"/>
      <c r="P31" s="2"/>
      <c r="Q31" s="2"/>
      <c r="R31" s="2"/>
      <c r="S31" s="2"/>
      <c r="T31" s="2"/>
      <c r="U31" s="2"/>
      <c r="V31" s="2"/>
      <c r="W31" s="2"/>
      <c r="X31" s="2"/>
      <c r="Y31" s="2"/>
    </row>
    <row r="32" spans="1:25" ht="13.2" customHeight="1" x14ac:dyDescent="0.25">
      <c r="K32" s="2"/>
      <c r="L32" s="2"/>
      <c r="M32" s="2"/>
      <c r="N32" s="2"/>
      <c r="O32" s="2"/>
      <c r="P32" s="2"/>
      <c r="Q32" s="2"/>
      <c r="R32" s="2"/>
      <c r="S32" s="2"/>
      <c r="T32" s="2"/>
      <c r="U32" s="2"/>
      <c r="V32" s="2"/>
      <c r="W32" s="2"/>
      <c r="X32" s="2"/>
      <c r="Y32" s="2"/>
    </row>
    <row r="33" spans="11:25" ht="13.2" customHeight="1" x14ac:dyDescent="0.25">
      <c r="K33" s="2"/>
      <c r="L33" s="2"/>
      <c r="M33" s="2"/>
      <c r="N33" s="2"/>
      <c r="O33" s="2"/>
      <c r="P33" s="2"/>
      <c r="Q33" s="2"/>
      <c r="R33" s="2"/>
      <c r="S33" s="2"/>
      <c r="T33" s="2"/>
      <c r="U33" s="2"/>
      <c r="V33" s="2"/>
      <c r="W33" s="2"/>
      <c r="X33" s="2"/>
      <c r="Y33" s="2"/>
    </row>
  </sheetData>
  <mergeCells count="3">
    <mergeCell ref="K1:Y1"/>
    <mergeCell ref="A1:I1"/>
    <mergeCell ref="K2:Y21"/>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A9A19-482B-4A93-ABDE-72ED46B4390F}">
  <dimension ref="A1:Y27"/>
  <sheetViews>
    <sheetView workbookViewId="0">
      <selection activeCell="K19" sqref="K19"/>
    </sheetView>
  </sheetViews>
  <sheetFormatPr defaultRowHeight="13.2" x14ac:dyDescent="0.25"/>
  <cols>
    <col min="1" max="1" width="20.77734375" bestFit="1" customWidth="1"/>
    <col min="2" max="2" width="7.109375" bestFit="1" customWidth="1"/>
    <col min="3" max="3" width="6.88671875" bestFit="1" customWidth="1"/>
    <col min="4" max="4" width="7.6640625" bestFit="1" customWidth="1"/>
    <col min="5" max="5" width="6.6640625" bestFit="1" customWidth="1"/>
    <col min="6" max="6" width="6.44140625" bestFit="1" customWidth="1"/>
    <col min="7" max="7" width="6" bestFit="1" customWidth="1"/>
    <col min="8" max="8" width="10" bestFit="1" customWidth="1"/>
    <col min="9" max="9" width="6.6640625" bestFit="1" customWidth="1"/>
  </cols>
  <sheetData>
    <row r="1" spans="1:25" ht="24.6" x14ac:dyDescent="0.55000000000000004">
      <c r="A1" s="36" t="s">
        <v>50</v>
      </c>
      <c r="B1" s="36"/>
      <c r="C1" s="36"/>
      <c r="D1" s="36"/>
      <c r="E1" s="36"/>
      <c r="F1" s="36"/>
      <c r="G1" s="36"/>
      <c r="H1" s="36"/>
      <c r="I1" s="36"/>
      <c r="K1" s="38" t="s">
        <v>1</v>
      </c>
      <c r="L1" s="39"/>
      <c r="M1" s="39"/>
      <c r="N1" s="39"/>
      <c r="O1" s="39"/>
      <c r="P1" s="39"/>
      <c r="Q1" s="39"/>
      <c r="R1" s="39"/>
      <c r="S1" s="39"/>
      <c r="T1" s="39"/>
      <c r="U1" s="39"/>
      <c r="V1" s="39"/>
      <c r="W1" s="39"/>
      <c r="X1" s="39"/>
      <c r="Y1" s="39"/>
    </row>
    <row r="2" spans="1:25" ht="13.2" customHeight="1" x14ac:dyDescent="0.25">
      <c r="A2" t="s">
        <v>14</v>
      </c>
      <c r="B2" t="s">
        <v>20</v>
      </c>
      <c r="C2" t="s">
        <v>2</v>
      </c>
      <c r="D2" s="3" t="s">
        <v>3</v>
      </c>
      <c r="E2" s="1" t="s">
        <v>4</v>
      </c>
      <c r="F2" s="1" t="s">
        <v>5</v>
      </c>
      <c r="G2" s="1" t="s">
        <v>6</v>
      </c>
      <c r="H2" s="1" t="s">
        <v>7</v>
      </c>
      <c r="I2" s="1" t="s">
        <v>8</v>
      </c>
      <c r="K2" s="37" t="s">
        <v>52</v>
      </c>
      <c r="L2" s="37"/>
      <c r="M2" s="37"/>
      <c r="N2" s="37"/>
      <c r="O2" s="37"/>
      <c r="P2" s="37"/>
      <c r="Q2" s="37"/>
      <c r="R2" s="37"/>
      <c r="S2" s="37"/>
      <c r="T2" s="37"/>
      <c r="U2" s="37"/>
      <c r="V2" s="37"/>
      <c r="W2" s="37"/>
      <c r="X2" s="37"/>
      <c r="Y2" s="37"/>
    </row>
    <row r="3" spans="1:25" ht="13.2" customHeight="1" x14ac:dyDescent="0.25">
      <c r="A3" t="s">
        <v>15</v>
      </c>
      <c r="B3" t="s">
        <v>32</v>
      </c>
      <c r="C3">
        <v>0.8</v>
      </c>
      <c r="K3" s="37"/>
      <c r="L3" s="37"/>
      <c r="M3" s="37"/>
      <c r="N3" s="37"/>
      <c r="O3" s="37"/>
      <c r="P3" s="37"/>
      <c r="Q3" s="37"/>
      <c r="R3" s="37"/>
      <c r="S3" s="37"/>
      <c r="T3" s="37"/>
      <c r="U3" s="37"/>
      <c r="V3" s="37"/>
      <c r="W3" s="37"/>
      <c r="X3" s="37"/>
      <c r="Y3" s="37"/>
    </row>
    <row r="4" spans="1:25" ht="13.2" customHeight="1" x14ac:dyDescent="0.25">
      <c r="A4" t="s">
        <v>15</v>
      </c>
      <c r="B4" t="s">
        <v>33</v>
      </c>
      <c r="C4">
        <v>1.9</v>
      </c>
      <c r="G4">
        <f t="shared" ref="G4:G18" si="0">ABS(C3-C4)</f>
        <v>1.0999999999999999</v>
      </c>
      <c r="K4" s="37"/>
      <c r="L4" s="37"/>
      <c r="M4" s="37"/>
      <c r="N4" s="37"/>
      <c r="O4" s="37"/>
      <c r="P4" s="37"/>
      <c r="Q4" s="37"/>
      <c r="R4" s="37"/>
      <c r="S4" s="37"/>
      <c r="T4" s="37"/>
      <c r="U4" s="37"/>
      <c r="V4" s="37"/>
      <c r="W4" s="37"/>
      <c r="X4" s="37"/>
      <c r="Y4" s="37"/>
    </row>
    <row r="5" spans="1:25" ht="13.2" customHeight="1" x14ac:dyDescent="0.25">
      <c r="A5" t="s">
        <v>15</v>
      </c>
      <c r="B5" t="s">
        <v>34</v>
      </c>
      <c r="C5">
        <v>0.6</v>
      </c>
      <c r="G5">
        <f t="shared" si="0"/>
        <v>1.2999999999999998</v>
      </c>
      <c r="K5" s="37"/>
      <c r="L5" s="37"/>
      <c r="M5" s="37"/>
      <c r="N5" s="37"/>
      <c r="O5" s="37"/>
      <c r="P5" s="37"/>
      <c r="Q5" s="37"/>
      <c r="R5" s="37"/>
      <c r="S5" s="37"/>
      <c r="T5" s="37"/>
      <c r="U5" s="37"/>
      <c r="V5" s="37"/>
      <c r="W5" s="37"/>
      <c r="X5" s="37"/>
      <c r="Y5" s="37"/>
    </row>
    <row r="6" spans="1:25" ht="13.2" customHeight="1" x14ac:dyDescent="0.25">
      <c r="A6" t="s">
        <v>15</v>
      </c>
      <c r="B6" t="s">
        <v>35</v>
      </c>
      <c r="C6">
        <v>1.1000000000000001</v>
      </c>
      <c r="G6">
        <f t="shared" si="0"/>
        <v>0.50000000000000011</v>
      </c>
      <c r="K6" s="37"/>
      <c r="L6" s="37"/>
      <c r="M6" s="37"/>
      <c r="N6" s="37"/>
      <c r="O6" s="37"/>
      <c r="P6" s="37"/>
      <c r="Q6" s="37"/>
      <c r="R6" s="37"/>
      <c r="S6" s="37"/>
      <c r="T6" s="37"/>
      <c r="U6" s="37"/>
      <c r="V6" s="37"/>
      <c r="W6" s="37"/>
      <c r="X6" s="37"/>
      <c r="Y6" s="37"/>
    </row>
    <row r="7" spans="1:25" ht="13.2" customHeight="1" x14ac:dyDescent="0.25">
      <c r="A7" t="s">
        <v>15</v>
      </c>
      <c r="B7" t="s">
        <v>36</v>
      </c>
      <c r="C7">
        <v>3.2</v>
      </c>
      <c r="G7">
        <f t="shared" si="0"/>
        <v>2.1</v>
      </c>
      <c r="K7" s="37"/>
      <c r="L7" s="37"/>
      <c r="M7" s="37"/>
      <c r="N7" s="37"/>
      <c r="O7" s="37"/>
      <c r="P7" s="37"/>
      <c r="Q7" s="37"/>
      <c r="R7" s="37"/>
      <c r="S7" s="37"/>
      <c r="T7" s="37"/>
      <c r="U7" s="37"/>
      <c r="V7" s="37"/>
      <c r="W7" s="37"/>
      <c r="X7" s="37"/>
      <c r="Y7" s="37"/>
    </row>
    <row r="8" spans="1:25" ht="13.2" customHeight="1" x14ac:dyDescent="0.25">
      <c r="A8" t="s">
        <v>15</v>
      </c>
      <c r="B8" t="s">
        <v>37</v>
      </c>
      <c r="C8">
        <v>0.7</v>
      </c>
      <c r="G8">
        <f t="shared" si="0"/>
        <v>2.5</v>
      </c>
      <c r="K8" s="37"/>
      <c r="L8" s="37"/>
      <c r="M8" s="37"/>
      <c r="N8" s="37"/>
      <c r="O8" s="37"/>
      <c r="P8" s="37"/>
      <c r="Q8" s="37"/>
      <c r="R8" s="37"/>
      <c r="S8" s="37"/>
      <c r="T8" s="37"/>
      <c r="U8" s="37"/>
      <c r="V8" s="37"/>
      <c r="W8" s="37"/>
      <c r="X8" s="37"/>
      <c r="Y8" s="37"/>
    </row>
    <row r="9" spans="1:25" ht="13.2" customHeight="1" x14ac:dyDescent="0.25">
      <c r="A9" t="s">
        <v>15</v>
      </c>
      <c r="B9" t="s">
        <v>38</v>
      </c>
      <c r="C9">
        <v>0.5</v>
      </c>
      <c r="G9">
        <f t="shared" si="0"/>
        <v>0.19999999999999996</v>
      </c>
      <c r="K9" s="37"/>
      <c r="L9" s="37"/>
      <c r="M9" s="37"/>
      <c r="N9" s="37"/>
      <c r="O9" s="37"/>
      <c r="P9" s="37"/>
      <c r="Q9" s="37"/>
      <c r="R9" s="37"/>
      <c r="S9" s="37"/>
      <c r="T9" s="37"/>
      <c r="U9" s="37"/>
      <c r="V9" s="37"/>
      <c r="W9" s="37"/>
      <c r="X9" s="37"/>
      <c r="Y9" s="37"/>
    </row>
    <row r="10" spans="1:25" ht="13.2" customHeight="1" x14ac:dyDescent="0.25">
      <c r="A10" t="s">
        <v>15</v>
      </c>
      <c r="B10" t="s">
        <v>39</v>
      </c>
      <c r="C10">
        <v>0.9</v>
      </c>
      <c r="G10">
        <f t="shared" si="0"/>
        <v>0.4</v>
      </c>
      <c r="K10" s="37"/>
      <c r="L10" s="37"/>
      <c r="M10" s="37"/>
      <c r="N10" s="37"/>
      <c r="O10" s="37"/>
      <c r="P10" s="37"/>
      <c r="Q10" s="37"/>
      <c r="R10" s="37"/>
      <c r="S10" s="37"/>
      <c r="T10" s="37"/>
      <c r="U10" s="37"/>
      <c r="V10" s="37"/>
      <c r="W10" s="37"/>
      <c r="X10" s="37"/>
      <c r="Y10" s="37"/>
    </row>
    <row r="11" spans="1:25" ht="13.2" customHeight="1" x14ac:dyDescent="0.25">
      <c r="A11" t="s">
        <v>15</v>
      </c>
      <c r="B11" t="s">
        <v>40</v>
      </c>
      <c r="C11">
        <v>2.2000000000000002</v>
      </c>
      <c r="G11">
        <f t="shared" si="0"/>
        <v>1.3000000000000003</v>
      </c>
      <c r="K11" s="37"/>
      <c r="L11" s="37"/>
      <c r="M11" s="37"/>
      <c r="N11" s="37"/>
      <c r="O11" s="37"/>
      <c r="P11" s="37"/>
      <c r="Q11" s="37"/>
      <c r="R11" s="37"/>
      <c r="S11" s="37"/>
      <c r="T11" s="37"/>
      <c r="U11" s="37"/>
      <c r="V11" s="37"/>
      <c r="W11" s="37"/>
      <c r="X11" s="37"/>
      <c r="Y11" s="37"/>
    </row>
    <row r="12" spans="1:25" ht="13.2" customHeight="1" x14ac:dyDescent="0.25">
      <c r="A12" t="s">
        <v>15</v>
      </c>
      <c r="B12" t="s">
        <v>41</v>
      </c>
      <c r="C12">
        <v>5</v>
      </c>
      <c r="G12">
        <f t="shared" si="0"/>
        <v>2.8</v>
      </c>
      <c r="K12" s="37"/>
      <c r="L12" s="37"/>
      <c r="M12" s="37"/>
      <c r="N12" s="37"/>
      <c r="O12" s="37"/>
      <c r="P12" s="37"/>
      <c r="Q12" s="37"/>
      <c r="R12" s="37"/>
      <c r="S12" s="37"/>
      <c r="T12" s="37"/>
      <c r="U12" s="37"/>
      <c r="V12" s="37"/>
      <c r="W12" s="37"/>
      <c r="X12" s="37"/>
      <c r="Y12" s="37"/>
    </row>
    <row r="13" spans="1:25" ht="13.2" customHeight="1" x14ac:dyDescent="0.25">
      <c r="A13" t="s">
        <v>15</v>
      </c>
      <c r="B13" t="s">
        <v>42</v>
      </c>
      <c r="C13">
        <v>2.5</v>
      </c>
      <c r="G13">
        <f t="shared" si="0"/>
        <v>2.5</v>
      </c>
      <c r="K13" s="37"/>
      <c r="L13" s="37"/>
      <c r="M13" s="37"/>
      <c r="N13" s="37"/>
      <c r="O13" s="37"/>
      <c r="P13" s="37"/>
      <c r="Q13" s="37"/>
      <c r="R13" s="37"/>
      <c r="S13" s="37"/>
      <c r="T13" s="37"/>
      <c r="U13" s="37"/>
      <c r="V13" s="37"/>
      <c r="W13" s="37"/>
      <c r="X13" s="37"/>
      <c r="Y13" s="37"/>
    </row>
    <row r="14" spans="1:25" ht="13.2" customHeight="1" x14ac:dyDescent="0.25">
      <c r="A14" t="s">
        <v>15</v>
      </c>
      <c r="B14" t="s">
        <v>43</v>
      </c>
      <c r="C14">
        <v>1.7</v>
      </c>
      <c r="G14">
        <f t="shared" si="0"/>
        <v>0.8</v>
      </c>
      <c r="K14" s="37"/>
      <c r="L14" s="37"/>
      <c r="M14" s="37"/>
      <c r="N14" s="37"/>
      <c r="O14" s="37"/>
      <c r="P14" s="37"/>
      <c r="Q14" s="37"/>
      <c r="R14" s="37"/>
      <c r="S14" s="37"/>
      <c r="T14" s="37"/>
      <c r="U14" s="37"/>
      <c r="V14" s="37"/>
      <c r="W14" s="37"/>
      <c r="X14" s="37"/>
      <c r="Y14" s="37"/>
    </row>
    <row r="15" spans="1:25" ht="13.2" customHeight="1" x14ac:dyDescent="0.25">
      <c r="A15" t="s">
        <v>15</v>
      </c>
      <c r="B15" t="s">
        <v>44</v>
      </c>
      <c r="C15">
        <v>0.8</v>
      </c>
      <c r="G15">
        <f t="shared" si="0"/>
        <v>0.89999999999999991</v>
      </c>
      <c r="K15" s="37"/>
      <c r="L15" s="37"/>
      <c r="M15" s="37"/>
      <c r="N15" s="37"/>
      <c r="O15" s="37"/>
      <c r="P15" s="37"/>
      <c r="Q15" s="37"/>
      <c r="R15" s="37"/>
      <c r="S15" s="37"/>
      <c r="T15" s="37"/>
      <c r="U15" s="37"/>
      <c r="V15" s="37"/>
      <c r="W15" s="37"/>
      <c r="X15" s="37"/>
      <c r="Y15" s="37"/>
    </row>
    <row r="16" spans="1:25" ht="13.2" customHeight="1" x14ac:dyDescent="0.25">
      <c r="A16" t="s">
        <v>15</v>
      </c>
      <c r="B16" t="s">
        <v>45</v>
      </c>
      <c r="C16">
        <v>7.5</v>
      </c>
      <c r="G16">
        <f t="shared" si="0"/>
        <v>6.7</v>
      </c>
      <c r="K16" s="37"/>
      <c r="L16" s="37"/>
      <c r="M16" s="37"/>
      <c r="N16" s="37"/>
      <c r="O16" s="37"/>
      <c r="P16" s="37"/>
      <c r="Q16" s="37"/>
      <c r="R16" s="37"/>
      <c r="S16" s="37"/>
      <c r="T16" s="37"/>
      <c r="U16" s="37"/>
      <c r="V16" s="37"/>
      <c r="W16" s="37"/>
      <c r="X16" s="37"/>
      <c r="Y16" s="37"/>
    </row>
    <row r="17" spans="1:25" ht="13.2" customHeight="1" x14ac:dyDescent="0.25">
      <c r="A17" t="s">
        <v>15</v>
      </c>
      <c r="B17" t="s">
        <v>46</v>
      </c>
      <c r="C17">
        <v>4.9000000000000004</v>
      </c>
      <c r="G17">
        <f t="shared" si="0"/>
        <v>2.5999999999999996</v>
      </c>
      <c r="K17" s="37"/>
      <c r="L17" s="37"/>
      <c r="M17" s="37"/>
      <c r="N17" s="37"/>
      <c r="O17" s="37"/>
      <c r="P17" s="37"/>
      <c r="Q17" s="37"/>
      <c r="R17" s="37"/>
      <c r="S17" s="37"/>
      <c r="T17" s="37"/>
      <c r="U17" s="37"/>
      <c r="V17" s="37"/>
      <c r="W17" s="37"/>
      <c r="X17" s="37"/>
      <c r="Y17" s="37"/>
    </row>
    <row r="18" spans="1:25" ht="13.2" customHeight="1" x14ac:dyDescent="0.25">
      <c r="A18" t="s">
        <v>15</v>
      </c>
      <c r="B18" t="s">
        <v>47</v>
      </c>
      <c r="C18">
        <v>8.8000000000000007</v>
      </c>
      <c r="G18">
        <f t="shared" si="0"/>
        <v>3.9000000000000004</v>
      </c>
      <c r="K18" s="37"/>
      <c r="L18" s="37"/>
      <c r="M18" s="37"/>
      <c r="N18" s="37"/>
      <c r="O18" s="37"/>
      <c r="P18" s="37"/>
      <c r="Q18" s="37"/>
      <c r="R18" s="37"/>
      <c r="S18" s="37"/>
      <c r="T18" s="37"/>
      <c r="U18" s="37"/>
      <c r="V18" s="37"/>
      <c r="W18" s="37"/>
      <c r="X18" s="37"/>
      <c r="Y18" s="37"/>
    </row>
    <row r="19" spans="1:25" ht="13.2" customHeight="1" x14ac:dyDescent="0.25">
      <c r="K19" s="2"/>
      <c r="L19" s="2"/>
      <c r="M19" s="2"/>
      <c r="N19" s="2"/>
      <c r="O19" s="2"/>
      <c r="P19" s="2"/>
      <c r="Q19" s="2"/>
      <c r="R19" s="2"/>
      <c r="S19" s="2"/>
      <c r="T19" s="2"/>
      <c r="U19" s="2"/>
      <c r="V19" s="2"/>
      <c r="W19" s="2"/>
      <c r="X19" s="2"/>
      <c r="Y19" s="2"/>
    </row>
    <row r="20" spans="1:25" ht="13.2" customHeight="1" x14ac:dyDescent="0.25">
      <c r="K20" s="2"/>
      <c r="L20" s="2"/>
      <c r="M20" s="2"/>
      <c r="N20" s="2"/>
      <c r="O20" s="2"/>
      <c r="P20" s="2"/>
      <c r="Q20" s="2"/>
      <c r="R20" s="2"/>
      <c r="S20" s="2"/>
      <c r="T20" s="2"/>
      <c r="U20" s="2"/>
      <c r="V20" s="2"/>
      <c r="W20" s="2"/>
      <c r="X20" s="2"/>
      <c r="Y20" s="2"/>
    </row>
    <row r="21" spans="1:25" ht="13.2" customHeight="1" x14ac:dyDescent="0.25">
      <c r="K21" s="2"/>
      <c r="L21" s="2"/>
      <c r="M21" s="2"/>
      <c r="N21" s="2"/>
      <c r="O21" s="2"/>
      <c r="P21" s="2"/>
      <c r="Q21" s="2"/>
      <c r="R21" s="2"/>
      <c r="S21" s="2"/>
      <c r="T21" s="2"/>
      <c r="U21" s="2"/>
      <c r="V21" s="2"/>
      <c r="W21" s="2"/>
      <c r="X21" s="2"/>
      <c r="Y21" s="2"/>
    </row>
    <row r="22" spans="1:25" ht="13.2" customHeight="1" x14ac:dyDescent="0.25">
      <c r="K22" s="2"/>
      <c r="L22" s="2"/>
      <c r="M22" s="2"/>
      <c r="N22" s="2"/>
      <c r="O22" s="2"/>
      <c r="P22" s="2"/>
      <c r="Q22" s="2"/>
      <c r="R22" s="2"/>
      <c r="S22" s="2"/>
      <c r="T22" s="2"/>
      <c r="U22" s="2"/>
      <c r="V22" s="2"/>
      <c r="W22" s="2"/>
      <c r="X22" s="2"/>
      <c r="Y22" s="2"/>
    </row>
    <row r="23" spans="1:25" ht="13.2" customHeight="1" x14ac:dyDescent="0.25">
      <c r="K23" s="2"/>
      <c r="L23" s="2"/>
      <c r="M23" s="2"/>
      <c r="N23" s="2"/>
      <c r="O23" s="2"/>
      <c r="P23" s="2"/>
      <c r="Q23" s="2"/>
      <c r="R23" s="2"/>
      <c r="S23" s="2"/>
      <c r="T23" s="2"/>
      <c r="U23" s="2"/>
      <c r="V23" s="2"/>
      <c r="W23" s="2"/>
      <c r="X23" s="2"/>
      <c r="Y23" s="2"/>
    </row>
    <row r="24" spans="1:25" ht="13.2" customHeight="1" x14ac:dyDescent="0.25">
      <c r="K24" s="2"/>
      <c r="L24" s="2"/>
      <c r="M24" s="2"/>
      <c r="N24" s="2"/>
      <c r="O24" s="2"/>
      <c r="P24" s="2"/>
      <c r="Q24" s="2"/>
      <c r="R24" s="2"/>
      <c r="S24" s="2"/>
      <c r="T24" s="2"/>
      <c r="U24" s="2"/>
      <c r="V24" s="2"/>
      <c r="W24" s="2"/>
      <c r="X24" s="2"/>
      <c r="Y24" s="2"/>
    </row>
    <row r="25" spans="1:25" ht="13.2" customHeight="1" x14ac:dyDescent="0.25">
      <c r="K25" s="2"/>
      <c r="L25" s="2"/>
      <c r="M25" s="2"/>
      <c r="N25" s="2"/>
      <c r="O25" s="2"/>
      <c r="P25" s="2"/>
      <c r="Q25" s="2"/>
      <c r="R25" s="2"/>
      <c r="S25" s="2"/>
      <c r="T25" s="2"/>
      <c r="U25" s="2"/>
      <c r="V25" s="2"/>
      <c r="W25" s="2"/>
      <c r="X25" s="2"/>
      <c r="Y25" s="2"/>
    </row>
    <row r="26" spans="1:25" ht="13.2" customHeight="1" x14ac:dyDescent="0.25">
      <c r="K26" s="2"/>
      <c r="L26" s="2"/>
      <c r="M26" s="2"/>
      <c r="N26" s="2"/>
      <c r="O26" s="2"/>
      <c r="P26" s="2"/>
      <c r="Q26" s="2"/>
      <c r="R26" s="2"/>
      <c r="S26" s="2"/>
      <c r="T26" s="2"/>
      <c r="U26" s="2"/>
      <c r="V26" s="2"/>
      <c r="W26" s="2"/>
      <c r="X26" s="2"/>
      <c r="Y26" s="2"/>
    </row>
    <row r="27" spans="1:25" ht="13.2" customHeight="1" x14ac:dyDescent="0.25">
      <c r="K27" s="2"/>
      <c r="L27" s="2"/>
      <c r="M27" s="2"/>
      <c r="N27" s="2"/>
      <c r="O27" s="2"/>
      <c r="P27" s="2"/>
      <c r="Q27" s="2"/>
      <c r="R27" s="2"/>
      <c r="S27" s="2"/>
      <c r="T27" s="2"/>
      <c r="U27" s="2"/>
      <c r="V27" s="2"/>
      <c r="W27" s="2"/>
      <c r="X27" s="2"/>
      <c r="Y27" s="2"/>
    </row>
  </sheetData>
  <mergeCells count="3">
    <mergeCell ref="K1:Y1"/>
    <mergeCell ref="A1:I1"/>
    <mergeCell ref="K2:Y18"/>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58AEE-7AB0-4164-8DE0-69D5823D48C2}">
  <dimension ref="A1:Y27"/>
  <sheetViews>
    <sheetView workbookViewId="0">
      <selection activeCell="K19" sqref="K19"/>
    </sheetView>
  </sheetViews>
  <sheetFormatPr defaultRowHeight="13.2" x14ac:dyDescent="0.25"/>
  <cols>
    <col min="1" max="1" width="20.77734375" bestFit="1" customWidth="1"/>
    <col min="2" max="2" width="7.109375" bestFit="1" customWidth="1"/>
    <col min="3" max="3" width="6.88671875" bestFit="1" customWidth="1"/>
    <col min="4" max="4" width="7.6640625" bestFit="1" customWidth="1"/>
    <col min="5" max="5" width="6.6640625" bestFit="1" customWidth="1"/>
    <col min="6" max="6" width="6.44140625" bestFit="1" customWidth="1"/>
    <col min="7" max="7" width="6" bestFit="1" customWidth="1"/>
    <col min="8" max="8" width="10" bestFit="1" customWidth="1"/>
    <col min="9" max="9" width="6.6640625" bestFit="1" customWidth="1"/>
  </cols>
  <sheetData>
    <row r="1" spans="1:25" ht="24.6" x14ac:dyDescent="0.55000000000000004">
      <c r="A1" s="36" t="s">
        <v>10</v>
      </c>
      <c r="B1" s="36"/>
      <c r="C1" s="36"/>
      <c r="D1" s="36"/>
      <c r="E1" s="36"/>
      <c r="F1" s="36"/>
      <c r="G1" s="36"/>
      <c r="H1" s="36"/>
      <c r="I1" s="36"/>
      <c r="K1" s="38" t="s">
        <v>1</v>
      </c>
      <c r="L1" s="39"/>
      <c r="M1" s="39"/>
      <c r="N1" s="39"/>
      <c r="O1" s="39"/>
      <c r="P1" s="39"/>
      <c r="Q1" s="39"/>
      <c r="R1" s="39"/>
      <c r="S1" s="39"/>
      <c r="T1" s="39"/>
      <c r="U1" s="39"/>
      <c r="V1" s="39"/>
      <c r="W1" s="39"/>
      <c r="X1" s="39"/>
      <c r="Y1" s="39"/>
    </row>
    <row r="2" spans="1:25" ht="13.2" customHeight="1" x14ac:dyDescent="0.25">
      <c r="A2" t="s">
        <v>14</v>
      </c>
      <c r="B2" t="s">
        <v>20</v>
      </c>
      <c r="C2" t="s">
        <v>2</v>
      </c>
      <c r="D2" s="3" t="s">
        <v>3</v>
      </c>
      <c r="E2" s="1" t="s">
        <v>4</v>
      </c>
      <c r="F2" s="1" t="s">
        <v>5</v>
      </c>
      <c r="G2" s="1" t="s">
        <v>6</v>
      </c>
      <c r="H2" s="1" t="s">
        <v>7</v>
      </c>
      <c r="I2" s="1" t="s">
        <v>8</v>
      </c>
      <c r="K2" s="37" t="s">
        <v>51</v>
      </c>
      <c r="L2" s="37"/>
      <c r="M2" s="37"/>
      <c r="N2" s="37"/>
      <c r="O2" s="37"/>
      <c r="P2" s="37"/>
      <c r="Q2" s="37"/>
      <c r="R2" s="37"/>
      <c r="S2" s="37"/>
      <c r="T2" s="37"/>
      <c r="U2" s="37"/>
      <c r="V2" s="37"/>
      <c r="W2" s="37"/>
      <c r="X2" s="37"/>
      <c r="Y2" s="37"/>
    </row>
    <row r="3" spans="1:25" ht="13.2" customHeight="1" x14ac:dyDescent="0.25">
      <c r="A3" t="s">
        <v>15</v>
      </c>
      <c r="B3" t="s">
        <v>32</v>
      </c>
      <c r="C3">
        <v>0.8</v>
      </c>
      <c r="H3">
        <f>ROUND(AVERAGE($G$4:G18),2)</f>
        <v>1.97</v>
      </c>
      <c r="K3" s="37"/>
      <c r="L3" s="37"/>
      <c r="M3" s="37"/>
      <c r="N3" s="37"/>
      <c r="O3" s="37"/>
      <c r="P3" s="37"/>
      <c r="Q3" s="37"/>
      <c r="R3" s="37"/>
      <c r="S3" s="37"/>
      <c r="T3" s="37"/>
      <c r="U3" s="37"/>
      <c r="V3" s="37"/>
      <c r="W3" s="37"/>
      <c r="X3" s="37"/>
      <c r="Y3" s="37"/>
    </row>
    <row r="4" spans="1:25" ht="13.2" customHeight="1" x14ac:dyDescent="0.25">
      <c r="A4" t="s">
        <v>15</v>
      </c>
      <c r="B4" t="s">
        <v>33</v>
      </c>
      <c r="C4">
        <v>1.9</v>
      </c>
      <c r="G4">
        <f t="shared" ref="G4:G18" si="0">ABS(C3-C4)</f>
        <v>1.0999999999999999</v>
      </c>
      <c r="H4">
        <f ca="1">ROUND(AVERAGE($H$4:H19),2)</f>
        <v>1.97</v>
      </c>
      <c r="K4" s="37"/>
      <c r="L4" s="37"/>
      <c r="M4" s="37"/>
      <c r="N4" s="37"/>
      <c r="O4" s="37"/>
      <c r="P4" s="37"/>
      <c r="Q4" s="37"/>
      <c r="R4" s="37"/>
      <c r="S4" s="37"/>
      <c r="T4" s="37"/>
      <c r="U4" s="37"/>
      <c r="V4" s="37"/>
      <c r="W4" s="37"/>
      <c r="X4" s="37"/>
      <c r="Y4" s="37"/>
    </row>
    <row r="5" spans="1:25" ht="13.2" customHeight="1" x14ac:dyDescent="0.25">
      <c r="A5" t="s">
        <v>15</v>
      </c>
      <c r="B5" t="s">
        <v>34</v>
      </c>
      <c r="C5">
        <v>0.6</v>
      </c>
      <c r="G5">
        <f t="shared" si="0"/>
        <v>1.2999999999999998</v>
      </c>
      <c r="H5">
        <f ca="1">ROUND(AVERAGE($H$4:H20),2)</f>
        <v>1.97</v>
      </c>
      <c r="K5" s="37"/>
      <c r="L5" s="37"/>
      <c r="M5" s="37"/>
      <c r="N5" s="37"/>
      <c r="O5" s="37"/>
      <c r="P5" s="37"/>
      <c r="Q5" s="37"/>
      <c r="R5" s="37"/>
      <c r="S5" s="37"/>
      <c r="T5" s="37"/>
      <c r="U5" s="37"/>
      <c r="V5" s="37"/>
      <c r="W5" s="37"/>
      <c r="X5" s="37"/>
      <c r="Y5" s="37"/>
    </row>
    <row r="6" spans="1:25" ht="13.2" customHeight="1" x14ac:dyDescent="0.25">
      <c r="A6" t="s">
        <v>15</v>
      </c>
      <c r="B6" t="s">
        <v>35</v>
      </c>
      <c r="C6">
        <v>1.1000000000000001</v>
      </c>
      <c r="G6">
        <f t="shared" si="0"/>
        <v>0.50000000000000011</v>
      </c>
      <c r="H6">
        <f ca="1">ROUND(AVERAGE($H$4:H21),2)</f>
        <v>1.97</v>
      </c>
      <c r="K6" s="37"/>
      <c r="L6" s="37"/>
      <c r="M6" s="37"/>
      <c r="N6" s="37"/>
      <c r="O6" s="37"/>
      <c r="P6" s="37"/>
      <c r="Q6" s="37"/>
      <c r="R6" s="37"/>
      <c r="S6" s="37"/>
      <c r="T6" s="37"/>
      <c r="U6" s="37"/>
      <c r="V6" s="37"/>
      <c r="W6" s="37"/>
      <c r="X6" s="37"/>
      <c r="Y6" s="37"/>
    </row>
    <row r="7" spans="1:25" ht="13.2" customHeight="1" x14ac:dyDescent="0.25">
      <c r="A7" t="s">
        <v>15</v>
      </c>
      <c r="B7" t="s">
        <v>36</v>
      </c>
      <c r="C7">
        <v>3.2</v>
      </c>
      <c r="G7">
        <f t="shared" si="0"/>
        <v>2.1</v>
      </c>
      <c r="H7">
        <f ca="1">ROUND(AVERAGE($H$4:H22),2)</f>
        <v>1.97</v>
      </c>
      <c r="K7" s="37"/>
      <c r="L7" s="37"/>
      <c r="M7" s="37"/>
      <c r="N7" s="37"/>
      <c r="O7" s="37"/>
      <c r="P7" s="37"/>
      <c r="Q7" s="37"/>
      <c r="R7" s="37"/>
      <c r="S7" s="37"/>
      <c r="T7" s="37"/>
      <c r="U7" s="37"/>
      <c r="V7" s="37"/>
      <c r="W7" s="37"/>
      <c r="X7" s="37"/>
      <c r="Y7" s="37"/>
    </row>
    <row r="8" spans="1:25" ht="13.2" customHeight="1" x14ac:dyDescent="0.25">
      <c r="A8" t="s">
        <v>15</v>
      </c>
      <c r="B8" t="s">
        <v>37</v>
      </c>
      <c r="C8">
        <v>0.7</v>
      </c>
      <c r="G8">
        <f t="shared" si="0"/>
        <v>2.5</v>
      </c>
      <c r="H8">
        <f ca="1">ROUND(AVERAGE($H$4:H23),2)</f>
        <v>1.97</v>
      </c>
      <c r="K8" s="37"/>
      <c r="L8" s="37"/>
      <c r="M8" s="37"/>
      <c r="N8" s="37"/>
      <c r="O8" s="37"/>
      <c r="P8" s="37"/>
      <c r="Q8" s="37"/>
      <c r="R8" s="37"/>
      <c r="S8" s="37"/>
      <c r="T8" s="37"/>
      <c r="U8" s="37"/>
      <c r="V8" s="37"/>
      <c r="W8" s="37"/>
      <c r="X8" s="37"/>
      <c r="Y8" s="37"/>
    </row>
    <row r="9" spans="1:25" ht="13.2" customHeight="1" x14ac:dyDescent="0.25">
      <c r="A9" t="s">
        <v>15</v>
      </c>
      <c r="B9" t="s">
        <v>38</v>
      </c>
      <c r="C9">
        <v>0.5</v>
      </c>
      <c r="G9">
        <f t="shared" si="0"/>
        <v>0.19999999999999996</v>
      </c>
      <c r="H9">
        <f ca="1">ROUND(AVERAGE($H$4:H24),2)</f>
        <v>1.97</v>
      </c>
      <c r="K9" s="37"/>
      <c r="L9" s="37"/>
      <c r="M9" s="37"/>
      <c r="N9" s="37"/>
      <c r="O9" s="37"/>
      <c r="P9" s="37"/>
      <c r="Q9" s="37"/>
      <c r="R9" s="37"/>
      <c r="S9" s="37"/>
      <c r="T9" s="37"/>
      <c r="U9" s="37"/>
      <c r="V9" s="37"/>
      <c r="W9" s="37"/>
      <c r="X9" s="37"/>
      <c r="Y9" s="37"/>
    </row>
    <row r="10" spans="1:25" ht="13.2" customHeight="1" x14ac:dyDescent="0.25">
      <c r="A10" t="s">
        <v>15</v>
      </c>
      <c r="B10" t="s">
        <v>39</v>
      </c>
      <c r="C10">
        <v>0.9</v>
      </c>
      <c r="G10">
        <f t="shared" si="0"/>
        <v>0.4</v>
      </c>
      <c r="H10">
        <f ca="1">ROUND(AVERAGE($H$4:H25),2)</f>
        <v>1.97</v>
      </c>
      <c r="K10" s="37"/>
      <c r="L10" s="37"/>
      <c r="M10" s="37"/>
      <c r="N10" s="37"/>
      <c r="O10" s="37"/>
      <c r="P10" s="37"/>
      <c r="Q10" s="37"/>
      <c r="R10" s="37"/>
      <c r="S10" s="37"/>
      <c r="T10" s="37"/>
      <c r="U10" s="37"/>
      <c r="V10" s="37"/>
      <c r="W10" s="37"/>
      <c r="X10" s="37"/>
      <c r="Y10" s="37"/>
    </row>
    <row r="11" spans="1:25" ht="13.2" customHeight="1" x14ac:dyDescent="0.25">
      <c r="A11" t="s">
        <v>15</v>
      </c>
      <c r="B11" t="s">
        <v>40</v>
      </c>
      <c r="C11">
        <v>2.2000000000000002</v>
      </c>
      <c r="G11">
        <f t="shared" si="0"/>
        <v>1.3000000000000003</v>
      </c>
      <c r="H11">
        <f ca="1">ROUND(AVERAGE($H$4:H26),2)</f>
        <v>1.97</v>
      </c>
      <c r="K11" s="37"/>
      <c r="L11" s="37"/>
      <c r="M11" s="37"/>
      <c r="N11" s="37"/>
      <c r="O11" s="37"/>
      <c r="P11" s="37"/>
      <c r="Q11" s="37"/>
      <c r="R11" s="37"/>
      <c r="S11" s="37"/>
      <c r="T11" s="37"/>
      <c r="U11" s="37"/>
      <c r="V11" s="37"/>
      <c r="W11" s="37"/>
      <c r="X11" s="37"/>
      <c r="Y11" s="37"/>
    </row>
    <row r="12" spans="1:25" ht="13.2" customHeight="1" x14ac:dyDescent="0.25">
      <c r="A12" t="s">
        <v>15</v>
      </c>
      <c r="B12" t="s">
        <v>41</v>
      </c>
      <c r="C12">
        <v>5</v>
      </c>
      <c r="G12">
        <f t="shared" si="0"/>
        <v>2.8</v>
      </c>
      <c r="H12">
        <f ca="1">ROUND(AVERAGE($H$4:H27),2)</f>
        <v>1.97</v>
      </c>
      <c r="K12" s="37"/>
      <c r="L12" s="37"/>
      <c r="M12" s="37"/>
      <c r="N12" s="37"/>
      <c r="O12" s="37"/>
      <c r="P12" s="37"/>
      <c r="Q12" s="37"/>
      <c r="R12" s="37"/>
      <c r="S12" s="37"/>
      <c r="T12" s="37"/>
      <c r="U12" s="37"/>
      <c r="V12" s="37"/>
      <c r="W12" s="37"/>
      <c r="X12" s="37"/>
      <c r="Y12" s="37"/>
    </row>
    <row r="13" spans="1:25" ht="13.2" customHeight="1" x14ac:dyDescent="0.25">
      <c r="A13" t="s">
        <v>15</v>
      </c>
      <c r="B13" t="s">
        <v>42</v>
      </c>
      <c r="C13">
        <v>2.5</v>
      </c>
      <c r="G13">
        <f t="shared" si="0"/>
        <v>2.5</v>
      </c>
      <c r="H13">
        <f ca="1">ROUND(AVERAGE($H$4:H28),2)</f>
        <v>1.97</v>
      </c>
      <c r="K13" s="37"/>
      <c r="L13" s="37"/>
      <c r="M13" s="37"/>
      <c r="N13" s="37"/>
      <c r="O13" s="37"/>
      <c r="P13" s="37"/>
      <c r="Q13" s="37"/>
      <c r="R13" s="37"/>
      <c r="S13" s="37"/>
      <c r="T13" s="37"/>
      <c r="U13" s="37"/>
      <c r="V13" s="37"/>
      <c r="W13" s="37"/>
      <c r="X13" s="37"/>
      <c r="Y13" s="37"/>
    </row>
    <row r="14" spans="1:25" ht="13.2" customHeight="1" x14ac:dyDescent="0.25">
      <c r="A14" t="s">
        <v>15</v>
      </c>
      <c r="B14" t="s">
        <v>43</v>
      </c>
      <c r="C14">
        <v>1.7</v>
      </c>
      <c r="G14">
        <f t="shared" si="0"/>
        <v>0.8</v>
      </c>
      <c r="H14">
        <f ca="1">ROUND(AVERAGE($H$4:H29),2)</f>
        <v>1.97</v>
      </c>
      <c r="K14" s="37"/>
      <c r="L14" s="37"/>
      <c r="M14" s="37"/>
      <c r="N14" s="37"/>
      <c r="O14" s="37"/>
      <c r="P14" s="37"/>
      <c r="Q14" s="37"/>
      <c r="R14" s="37"/>
      <c r="S14" s="37"/>
      <c r="T14" s="37"/>
      <c r="U14" s="37"/>
      <c r="V14" s="37"/>
      <c r="W14" s="37"/>
      <c r="X14" s="37"/>
      <c r="Y14" s="37"/>
    </row>
    <row r="15" spans="1:25" ht="13.2" customHeight="1" x14ac:dyDescent="0.25">
      <c r="A15" t="s">
        <v>15</v>
      </c>
      <c r="B15" t="s">
        <v>44</v>
      </c>
      <c r="C15">
        <v>0.8</v>
      </c>
      <c r="G15">
        <f t="shared" si="0"/>
        <v>0.89999999999999991</v>
      </c>
      <c r="H15">
        <f ca="1">ROUND(AVERAGE($H$4:H30),2)</f>
        <v>1.97</v>
      </c>
      <c r="K15" s="37"/>
      <c r="L15" s="37"/>
      <c r="M15" s="37"/>
      <c r="N15" s="37"/>
      <c r="O15" s="37"/>
      <c r="P15" s="37"/>
      <c r="Q15" s="37"/>
      <c r="R15" s="37"/>
      <c r="S15" s="37"/>
      <c r="T15" s="37"/>
      <c r="U15" s="37"/>
      <c r="V15" s="37"/>
      <c r="W15" s="37"/>
      <c r="X15" s="37"/>
      <c r="Y15" s="37"/>
    </row>
    <row r="16" spans="1:25" ht="13.2" customHeight="1" x14ac:dyDescent="0.25">
      <c r="A16" t="s">
        <v>15</v>
      </c>
      <c r="B16" t="s">
        <v>45</v>
      </c>
      <c r="C16">
        <v>7.5</v>
      </c>
      <c r="G16">
        <f t="shared" si="0"/>
        <v>6.7</v>
      </c>
      <c r="H16">
        <f ca="1">ROUND(AVERAGE($H$4:H31),2)</f>
        <v>1.97</v>
      </c>
      <c r="K16" s="37"/>
      <c r="L16" s="37"/>
      <c r="M16" s="37"/>
      <c r="N16" s="37"/>
      <c r="O16" s="37"/>
      <c r="P16" s="37"/>
      <c r="Q16" s="37"/>
      <c r="R16" s="37"/>
      <c r="S16" s="37"/>
      <c r="T16" s="37"/>
      <c r="U16" s="37"/>
      <c r="V16" s="37"/>
      <c r="W16" s="37"/>
      <c r="X16" s="37"/>
      <c r="Y16" s="37"/>
    </row>
    <row r="17" spans="1:25" ht="13.2" customHeight="1" x14ac:dyDescent="0.25">
      <c r="A17" t="s">
        <v>15</v>
      </c>
      <c r="B17" t="s">
        <v>46</v>
      </c>
      <c r="C17">
        <v>4.9000000000000004</v>
      </c>
      <c r="G17">
        <f t="shared" si="0"/>
        <v>2.5999999999999996</v>
      </c>
      <c r="H17">
        <f ca="1">ROUND(AVERAGE($H$4:H32),2)</f>
        <v>1.97</v>
      </c>
      <c r="K17" s="37"/>
      <c r="L17" s="37"/>
      <c r="M17" s="37"/>
      <c r="N17" s="37"/>
      <c r="O17" s="37"/>
      <c r="P17" s="37"/>
      <c r="Q17" s="37"/>
      <c r="R17" s="37"/>
      <c r="S17" s="37"/>
      <c r="T17" s="37"/>
      <c r="U17" s="37"/>
      <c r="V17" s="37"/>
      <c r="W17" s="37"/>
      <c r="X17" s="37"/>
      <c r="Y17" s="37"/>
    </row>
    <row r="18" spans="1:25" ht="13.2" customHeight="1" x14ac:dyDescent="0.25">
      <c r="A18" t="s">
        <v>15</v>
      </c>
      <c r="B18" t="s">
        <v>47</v>
      </c>
      <c r="C18">
        <v>8.8000000000000007</v>
      </c>
      <c r="G18">
        <f t="shared" si="0"/>
        <v>3.9000000000000004</v>
      </c>
      <c r="H18">
        <f ca="1">ROUND(AVERAGE($H$4:H33),2)</f>
        <v>1.97</v>
      </c>
      <c r="K18" s="37"/>
      <c r="L18" s="37"/>
      <c r="M18" s="37"/>
      <c r="N18" s="37"/>
      <c r="O18" s="37"/>
      <c r="P18" s="37"/>
      <c r="Q18" s="37"/>
      <c r="R18" s="37"/>
      <c r="S18" s="37"/>
      <c r="T18" s="37"/>
      <c r="U18" s="37"/>
      <c r="V18" s="37"/>
      <c r="W18" s="37"/>
      <c r="X18" s="37"/>
      <c r="Y18" s="37"/>
    </row>
    <row r="19" spans="1:25" ht="13.2" customHeight="1" x14ac:dyDescent="0.25">
      <c r="K19" s="2"/>
      <c r="L19" s="2"/>
      <c r="M19" s="2"/>
      <c r="N19" s="2"/>
      <c r="O19" s="2"/>
      <c r="P19" s="2"/>
      <c r="Q19" s="2"/>
      <c r="R19" s="2"/>
      <c r="S19" s="2"/>
      <c r="T19" s="2"/>
      <c r="U19" s="2"/>
      <c r="V19" s="2"/>
      <c r="W19" s="2"/>
      <c r="X19" s="2"/>
      <c r="Y19" s="2"/>
    </row>
    <row r="20" spans="1:25" ht="13.2" customHeight="1" x14ac:dyDescent="0.25">
      <c r="K20" s="2"/>
      <c r="L20" s="2"/>
      <c r="M20" s="2"/>
      <c r="N20" s="2"/>
      <c r="O20" s="2"/>
      <c r="P20" s="2"/>
      <c r="Q20" s="2"/>
      <c r="R20" s="2"/>
      <c r="S20" s="2"/>
      <c r="T20" s="2"/>
      <c r="U20" s="2"/>
      <c r="V20" s="2"/>
      <c r="W20" s="2"/>
      <c r="X20" s="2"/>
      <c r="Y20" s="2"/>
    </row>
    <row r="21" spans="1:25" ht="13.2" customHeight="1" x14ac:dyDescent="0.25">
      <c r="K21" s="2"/>
      <c r="L21" s="2"/>
      <c r="M21" s="2"/>
      <c r="N21" s="2"/>
      <c r="O21" s="2"/>
      <c r="P21" s="2"/>
      <c r="Q21" s="2"/>
      <c r="R21" s="2"/>
      <c r="S21" s="2"/>
      <c r="T21" s="2"/>
      <c r="U21" s="2"/>
      <c r="V21" s="2"/>
      <c r="W21" s="2"/>
      <c r="X21" s="2"/>
      <c r="Y21" s="2"/>
    </row>
    <row r="22" spans="1:25" ht="13.2" customHeight="1" x14ac:dyDescent="0.25">
      <c r="K22" s="2"/>
      <c r="L22" s="2"/>
      <c r="M22" s="2"/>
      <c r="N22" s="2"/>
      <c r="O22" s="2"/>
      <c r="P22" s="2"/>
      <c r="Q22" s="2"/>
      <c r="R22" s="2"/>
      <c r="S22" s="2"/>
      <c r="T22" s="2"/>
      <c r="U22" s="2"/>
      <c r="V22" s="2"/>
      <c r="W22" s="2"/>
      <c r="X22" s="2"/>
      <c r="Y22" s="2"/>
    </row>
    <row r="23" spans="1:25" ht="13.2" customHeight="1" x14ac:dyDescent="0.25">
      <c r="K23" s="2"/>
      <c r="L23" s="2"/>
      <c r="M23" s="2"/>
      <c r="N23" s="2"/>
      <c r="O23" s="2"/>
      <c r="P23" s="2"/>
      <c r="Q23" s="2"/>
      <c r="R23" s="2"/>
      <c r="S23" s="2"/>
      <c r="T23" s="2"/>
      <c r="U23" s="2"/>
      <c r="V23" s="2"/>
      <c r="W23" s="2"/>
      <c r="X23" s="2"/>
      <c r="Y23" s="2"/>
    </row>
    <row r="24" spans="1:25" ht="13.2" customHeight="1" x14ac:dyDescent="0.25">
      <c r="K24" s="2"/>
      <c r="L24" s="2"/>
      <c r="M24" s="2"/>
      <c r="N24" s="2"/>
      <c r="O24" s="2"/>
      <c r="P24" s="2"/>
      <c r="Q24" s="2"/>
      <c r="R24" s="2"/>
      <c r="S24" s="2"/>
      <c r="T24" s="2"/>
      <c r="U24" s="2"/>
      <c r="V24" s="2"/>
      <c r="W24" s="2"/>
      <c r="X24" s="2"/>
      <c r="Y24" s="2"/>
    </row>
    <row r="25" spans="1:25" ht="13.2" customHeight="1" x14ac:dyDescent="0.25">
      <c r="K25" s="2"/>
      <c r="L25" s="2"/>
      <c r="M25" s="2"/>
      <c r="N25" s="2"/>
      <c r="O25" s="2"/>
      <c r="P25" s="2"/>
      <c r="Q25" s="2"/>
      <c r="R25" s="2"/>
      <c r="S25" s="2"/>
      <c r="T25" s="2"/>
      <c r="U25" s="2"/>
      <c r="V25" s="2"/>
      <c r="W25" s="2"/>
      <c r="X25" s="2"/>
      <c r="Y25" s="2"/>
    </row>
    <row r="26" spans="1:25" ht="13.2" customHeight="1" x14ac:dyDescent="0.25">
      <c r="K26" s="2"/>
      <c r="L26" s="2"/>
      <c r="M26" s="2"/>
      <c r="N26" s="2"/>
      <c r="O26" s="2"/>
      <c r="P26" s="2"/>
      <c r="Q26" s="2"/>
      <c r="R26" s="2"/>
      <c r="S26" s="2"/>
      <c r="T26" s="2"/>
      <c r="U26" s="2"/>
      <c r="V26" s="2"/>
      <c r="W26" s="2"/>
      <c r="X26" s="2"/>
      <c r="Y26" s="2"/>
    </row>
    <row r="27" spans="1:25" ht="13.2" customHeight="1" x14ac:dyDescent="0.25">
      <c r="K27" s="2"/>
      <c r="L27" s="2"/>
      <c r="M27" s="2"/>
      <c r="N27" s="2"/>
      <c r="O27" s="2"/>
      <c r="P27" s="2"/>
      <c r="Q27" s="2"/>
      <c r="R27" s="2"/>
      <c r="S27" s="2"/>
      <c r="T27" s="2"/>
      <c r="U27" s="2"/>
      <c r="V27" s="2"/>
      <c r="W27" s="2"/>
      <c r="X27" s="2"/>
      <c r="Y27" s="2"/>
    </row>
  </sheetData>
  <mergeCells count="3">
    <mergeCell ref="K1:Y1"/>
    <mergeCell ref="A1:I1"/>
    <mergeCell ref="K2:Y18"/>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0FC4B-8E77-477D-9AE7-BC176E5F9643}">
  <dimension ref="A1:Y42"/>
  <sheetViews>
    <sheetView workbookViewId="0">
      <selection activeCell="K43" sqref="K43"/>
    </sheetView>
  </sheetViews>
  <sheetFormatPr defaultRowHeight="13.2" x14ac:dyDescent="0.25"/>
  <cols>
    <col min="1" max="1" width="20.77734375" bestFit="1" customWidth="1"/>
    <col min="2" max="2" width="7.109375" bestFit="1" customWidth="1"/>
    <col min="3" max="3" width="6.88671875" bestFit="1" customWidth="1"/>
    <col min="4" max="4" width="7.6640625" bestFit="1" customWidth="1"/>
    <col min="5" max="5" width="6.6640625" bestFit="1" customWidth="1"/>
    <col min="6" max="6" width="6.44140625" bestFit="1" customWidth="1"/>
    <col min="7" max="7" width="6" bestFit="1" customWidth="1"/>
    <col min="8" max="8" width="10" bestFit="1" customWidth="1"/>
    <col min="9" max="9" width="6.6640625" bestFit="1" customWidth="1"/>
  </cols>
  <sheetData>
    <row r="1" spans="1:25" ht="24.6" x14ac:dyDescent="0.55000000000000004">
      <c r="A1" s="36" t="s">
        <v>11</v>
      </c>
      <c r="B1" s="36"/>
      <c r="C1" s="36"/>
      <c r="D1" s="36"/>
      <c r="E1" s="36"/>
      <c r="F1" s="36"/>
      <c r="G1" s="36"/>
      <c r="H1" s="36"/>
      <c r="I1" s="36"/>
      <c r="K1" s="38" t="s">
        <v>1</v>
      </c>
      <c r="L1" s="39"/>
      <c r="M1" s="39"/>
      <c r="N1" s="39"/>
      <c r="O1" s="39"/>
      <c r="P1" s="39"/>
      <c r="Q1" s="39"/>
      <c r="R1" s="39"/>
      <c r="S1" s="39"/>
      <c r="T1" s="39"/>
      <c r="U1" s="39"/>
      <c r="V1" s="39"/>
      <c r="W1" s="39"/>
      <c r="X1" s="39"/>
      <c r="Y1" s="39"/>
    </row>
    <row r="2" spans="1:25" ht="13.2" customHeight="1" x14ac:dyDescent="0.25">
      <c r="A2" t="s">
        <v>14</v>
      </c>
      <c r="B2" t="s">
        <v>20</v>
      </c>
      <c r="C2" t="s">
        <v>2</v>
      </c>
      <c r="D2" s="3" t="s">
        <v>3</v>
      </c>
      <c r="E2" s="1" t="s">
        <v>4</v>
      </c>
      <c r="F2" s="1" t="s">
        <v>5</v>
      </c>
      <c r="G2" s="1" t="s">
        <v>6</v>
      </c>
      <c r="H2" s="1" t="s">
        <v>7</v>
      </c>
      <c r="I2" s="1" t="s">
        <v>8</v>
      </c>
      <c r="K2" s="37" t="s">
        <v>53</v>
      </c>
      <c r="L2" s="37"/>
      <c r="M2" s="37"/>
      <c r="N2" s="37"/>
      <c r="O2" s="37"/>
      <c r="P2" s="37"/>
      <c r="Q2" s="37"/>
      <c r="R2" s="37"/>
      <c r="S2" s="37"/>
      <c r="T2" s="37"/>
      <c r="U2" s="37"/>
      <c r="V2" s="37"/>
      <c r="W2" s="37"/>
      <c r="X2" s="37"/>
      <c r="Y2" s="37"/>
    </row>
    <row r="3" spans="1:25" ht="13.2" customHeight="1" x14ac:dyDescent="0.25">
      <c r="A3" t="s">
        <v>15</v>
      </c>
      <c r="B3" t="s">
        <v>32</v>
      </c>
      <c r="C3">
        <v>0.8</v>
      </c>
      <c r="D3">
        <f>ROUND(AVERAGE($C$3:C18),2)</f>
        <v>2.69</v>
      </c>
      <c r="H3">
        <f>ROUND(AVERAGE($G$4:G18),2)</f>
        <v>1.97</v>
      </c>
      <c r="K3" s="37"/>
      <c r="L3" s="37"/>
      <c r="M3" s="37"/>
      <c r="N3" s="37"/>
      <c r="O3" s="37"/>
      <c r="P3" s="37"/>
      <c r="Q3" s="37"/>
      <c r="R3" s="37"/>
      <c r="S3" s="37"/>
      <c r="T3" s="37"/>
      <c r="U3" s="37"/>
      <c r="V3" s="37"/>
      <c r="W3" s="37"/>
      <c r="X3" s="37"/>
      <c r="Y3" s="37"/>
    </row>
    <row r="4" spans="1:25" ht="13.2" customHeight="1" x14ac:dyDescent="0.25">
      <c r="A4" t="s">
        <v>15</v>
      </c>
      <c r="B4" t="s">
        <v>33</v>
      </c>
      <c r="C4">
        <v>1.9</v>
      </c>
      <c r="D4">
        <f ca="1">ROUND(AVERAGE($D$3:D19),2)</f>
        <v>2.69</v>
      </c>
      <c r="G4">
        <f t="shared" ref="G4:G18" si="0">ABS(C3-C4)</f>
        <v>1.0999999999999999</v>
      </c>
      <c r="H4">
        <f ca="1">ROUND(AVERAGE($H$4:H19),2)</f>
        <v>1.97</v>
      </c>
      <c r="K4" s="37"/>
      <c r="L4" s="37"/>
      <c r="M4" s="37"/>
      <c r="N4" s="37"/>
      <c r="O4" s="37"/>
      <c r="P4" s="37"/>
      <c r="Q4" s="37"/>
      <c r="R4" s="37"/>
      <c r="S4" s="37"/>
      <c r="T4" s="37"/>
      <c r="U4" s="37"/>
      <c r="V4" s="37"/>
      <c r="W4" s="37"/>
      <c r="X4" s="37"/>
      <c r="Y4" s="37"/>
    </row>
    <row r="5" spans="1:25" ht="13.2" customHeight="1" x14ac:dyDescent="0.25">
      <c r="A5" t="s">
        <v>15</v>
      </c>
      <c r="B5" t="s">
        <v>34</v>
      </c>
      <c r="C5">
        <v>0.6</v>
      </c>
      <c r="D5">
        <f ca="1">ROUND(AVERAGE($D$3:D20),2)</f>
        <v>2.69</v>
      </c>
      <c r="G5">
        <f t="shared" si="0"/>
        <v>1.2999999999999998</v>
      </c>
      <c r="H5">
        <f ca="1">ROUND(AVERAGE($H$4:H20),2)</f>
        <v>1.97</v>
      </c>
      <c r="K5" s="37"/>
      <c r="L5" s="37"/>
      <c r="M5" s="37"/>
      <c r="N5" s="37"/>
      <c r="O5" s="37"/>
      <c r="P5" s="37"/>
      <c r="Q5" s="37"/>
      <c r="R5" s="37"/>
      <c r="S5" s="37"/>
      <c r="T5" s="37"/>
      <c r="U5" s="37"/>
      <c r="V5" s="37"/>
      <c r="W5" s="37"/>
      <c r="X5" s="37"/>
      <c r="Y5" s="37"/>
    </row>
    <row r="6" spans="1:25" ht="13.2" customHeight="1" x14ac:dyDescent="0.25">
      <c r="A6" t="s">
        <v>15</v>
      </c>
      <c r="B6" t="s">
        <v>35</v>
      </c>
      <c r="C6">
        <v>1.1000000000000001</v>
      </c>
      <c r="D6">
        <f ca="1">ROUND(AVERAGE($D$3:D21),2)</f>
        <v>2.69</v>
      </c>
      <c r="G6">
        <f t="shared" si="0"/>
        <v>0.50000000000000011</v>
      </c>
      <c r="H6">
        <f ca="1">ROUND(AVERAGE($H$4:H21),2)</f>
        <v>1.97</v>
      </c>
      <c r="K6" s="37"/>
      <c r="L6" s="37"/>
      <c r="M6" s="37"/>
      <c r="N6" s="37"/>
      <c r="O6" s="37"/>
      <c r="P6" s="37"/>
      <c r="Q6" s="37"/>
      <c r="R6" s="37"/>
      <c r="S6" s="37"/>
      <c r="T6" s="37"/>
      <c r="U6" s="37"/>
      <c r="V6" s="37"/>
      <c r="W6" s="37"/>
      <c r="X6" s="37"/>
      <c r="Y6" s="37"/>
    </row>
    <row r="7" spans="1:25" ht="13.2" customHeight="1" x14ac:dyDescent="0.25">
      <c r="A7" t="s">
        <v>15</v>
      </c>
      <c r="B7" t="s">
        <v>36</v>
      </c>
      <c r="C7">
        <v>3.2</v>
      </c>
      <c r="D7">
        <f ca="1">ROUND(AVERAGE($D$3:D22),2)</f>
        <v>2.69</v>
      </c>
      <c r="G7">
        <f t="shared" si="0"/>
        <v>2.1</v>
      </c>
      <c r="H7">
        <f ca="1">ROUND(AVERAGE($H$4:H22),2)</f>
        <v>1.97</v>
      </c>
      <c r="K7" s="37"/>
      <c r="L7" s="37"/>
      <c r="M7" s="37"/>
      <c r="N7" s="37"/>
      <c r="O7" s="37"/>
      <c r="P7" s="37"/>
      <c r="Q7" s="37"/>
      <c r="R7" s="37"/>
      <c r="S7" s="37"/>
      <c r="T7" s="37"/>
      <c r="U7" s="37"/>
      <c r="V7" s="37"/>
      <c r="W7" s="37"/>
      <c r="X7" s="37"/>
      <c r="Y7" s="37"/>
    </row>
    <row r="8" spans="1:25" ht="13.2" customHeight="1" x14ac:dyDescent="0.25">
      <c r="A8" t="s">
        <v>15</v>
      </c>
      <c r="B8" t="s">
        <v>37</v>
      </c>
      <c r="C8">
        <v>0.7</v>
      </c>
      <c r="D8">
        <f ca="1">ROUND(AVERAGE($D$3:D23),2)</f>
        <v>2.69</v>
      </c>
      <c r="G8">
        <f t="shared" si="0"/>
        <v>2.5</v>
      </c>
      <c r="H8">
        <f ca="1">ROUND(AVERAGE($H$4:H23),2)</f>
        <v>1.97</v>
      </c>
      <c r="K8" s="37"/>
      <c r="L8" s="37"/>
      <c r="M8" s="37"/>
      <c r="N8" s="37"/>
      <c r="O8" s="37"/>
      <c r="P8" s="37"/>
      <c r="Q8" s="37"/>
      <c r="R8" s="37"/>
      <c r="S8" s="37"/>
      <c r="T8" s="37"/>
      <c r="U8" s="37"/>
      <c r="V8" s="37"/>
      <c r="W8" s="37"/>
      <c r="X8" s="37"/>
      <c r="Y8" s="37"/>
    </row>
    <row r="9" spans="1:25" ht="13.2" customHeight="1" x14ac:dyDescent="0.25">
      <c r="A9" t="s">
        <v>15</v>
      </c>
      <c r="B9" t="s">
        <v>38</v>
      </c>
      <c r="C9">
        <v>0.5</v>
      </c>
      <c r="D9">
        <f ca="1">ROUND(AVERAGE($D$3:D24),2)</f>
        <v>2.69</v>
      </c>
      <c r="G9">
        <f t="shared" si="0"/>
        <v>0.19999999999999996</v>
      </c>
      <c r="H9">
        <f ca="1">ROUND(AVERAGE($H$4:H24),2)</f>
        <v>1.97</v>
      </c>
      <c r="K9" s="37"/>
      <c r="L9" s="37"/>
      <c r="M9" s="37"/>
      <c r="N9" s="37"/>
      <c r="O9" s="37"/>
      <c r="P9" s="37"/>
      <c r="Q9" s="37"/>
      <c r="R9" s="37"/>
      <c r="S9" s="37"/>
      <c r="T9" s="37"/>
      <c r="U9" s="37"/>
      <c r="V9" s="37"/>
      <c r="W9" s="37"/>
      <c r="X9" s="37"/>
      <c r="Y9" s="37"/>
    </row>
    <row r="10" spans="1:25" ht="13.2" customHeight="1" x14ac:dyDescent="0.25">
      <c r="A10" t="s">
        <v>15</v>
      </c>
      <c r="B10" t="s">
        <v>39</v>
      </c>
      <c r="C10">
        <v>0.9</v>
      </c>
      <c r="D10">
        <f ca="1">ROUND(AVERAGE($D$3:D25),2)</f>
        <v>2.69</v>
      </c>
      <c r="G10">
        <f t="shared" si="0"/>
        <v>0.4</v>
      </c>
      <c r="H10">
        <f ca="1">ROUND(AVERAGE($H$4:H25),2)</f>
        <v>1.97</v>
      </c>
      <c r="K10" s="37"/>
      <c r="L10" s="37"/>
      <c r="M10" s="37"/>
      <c r="N10" s="37"/>
      <c r="O10" s="37"/>
      <c r="P10" s="37"/>
      <c r="Q10" s="37"/>
      <c r="R10" s="37"/>
      <c r="S10" s="37"/>
      <c r="T10" s="37"/>
      <c r="U10" s="37"/>
      <c r="V10" s="37"/>
      <c r="W10" s="37"/>
      <c r="X10" s="37"/>
      <c r="Y10" s="37"/>
    </row>
    <row r="11" spans="1:25" ht="13.2" customHeight="1" x14ac:dyDescent="0.25">
      <c r="A11" t="s">
        <v>15</v>
      </c>
      <c r="B11" t="s">
        <v>40</v>
      </c>
      <c r="C11">
        <v>2.2000000000000002</v>
      </c>
      <c r="D11">
        <f ca="1">ROUND(AVERAGE($D$3:D26),2)</f>
        <v>2.69</v>
      </c>
      <c r="G11">
        <f t="shared" si="0"/>
        <v>1.3000000000000003</v>
      </c>
      <c r="H11">
        <f ca="1">ROUND(AVERAGE($H$4:H26),2)</f>
        <v>1.97</v>
      </c>
      <c r="K11" s="37"/>
      <c r="L11" s="37"/>
      <c r="M11" s="37"/>
      <c r="N11" s="37"/>
      <c r="O11" s="37"/>
      <c r="P11" s="37"/>
      <c r="Q11" s="37"/>
      <c r="R11" s="37"/>
      <c r="S11" s="37"/>
      <c r="T11" s="37"/>
      <c r="U11" s="37"/>
      <c r="V11" s="37"/>
      <c r="W11" s="37"/>
      <c r="X11" s="37"/>
      <c r="Y11" s="37"/>
    </row>
    <row r="12" spans="1:25" ht="13.2" customHeight="1" x14ac:dyDescent="0.25">
      <c r="A12" t="s">
        <v>15</v>
      </c>
      <c r="B12" t="s">
        <v>41</v>
      </c>
      <c r="C12">
        <v>5</v>
      </c>
      <c r="D12">
        <f ca="1">ROUND(AVERAGE($D$3:D27),2)</f>
        <v>2.69</v>
      </c>
      <c r="G12">
        <f t="shared" si="0"/>
        <v>2.8</v>
      </c>
      <c r="H12">
        <f ca="1">ROUND(AVERAGE($H$4:H27),2)</f>
        <v>1.97</v>
      </c>
      <c r="K12" s="37"/>
      <c r="L12" s="37"/>
      <c r="M12" s="37"/>
      <c r="N12" s="37"/>
      <c r="O12" s="37"/>
      <c r="P12" s="37"/>
      <c r="Q12" s="37"/>
      <c r="R12" s="37"/>
      <c r="S12" s="37"/>
      <c r="T12" s="37"/>
      <c r="U12" s="37"/>
      <c r="V12" s="37"/>
      <c r="W12" s="37"/>
      <c r="X12" s="37"/>
      <c r="Y12" s="37"/>
    </row>
    <row r="13" spans="1:25" ht="13.2" customHeight="1" x14ac:dyDescent="0.25">
      <c r="A13" t="s">
        <v>15</v>
      </c>
      <c r="B13" t="s">
        <v>42</v>
      </c>
      <c r="C13">
        <v>2.5</v>
      </c>
      <c r="D13">
        <f ca="1">ROUND(AVERAGE($D$3:D28),2)</f>
        <v>2.69</v>
      </c>
      <c r="G13">
        <f t="shared" si="0"/>
        <v>2.5</v>
      </c>
      <c r="H13">
        <f ca="1">ROUND(AVERAGE($H$4:H28),2)</f>
        <v>1.97</v>
      </c>
      <c r="K13" s="37"/>
      <c r="L13" s="37"/>
      <c r="M13" s="37"/>
      <c r="N13" s="37"/>
      <c r="O13" s="37"/>
      <c r="P13" s="37"/>
      <c r="Q13" s="37"/>
      <c r="R13" s="37"/>
      <c r="S13" s="37"/>
      <c r="T13" s="37"/>
      <c r="U13" s="37"/>
      <c r="V13" s="37"/>
      <c r="W13" s="37"/>
      <c r="X13" s="37"/>
      <c r="Y13" s="37"/>
    </row>
    <row r="14" spans="1:25" ht="13.2" customHeight="1" x14ac:dyDescent="0.25">
      <c r="A14" t="s">
        <v>15</v>
      </c>
      <c r="B14" t="s">
        <v>43</v>
      </c>
      <c r="C14">
        <v>1.7</v>
      </c>
      <c r="D14">
        <f ca="1">ROUND(AVERAGE($D$3:D29),2)</f>
        <v>2.69</v>
      </c>
      <c r="G14">
        <f t="shared" si="0"/>
        <v>0.8</v>
      </c>
      <c r="H14">
        <f ca="1">ROUND(AVERAGE($H$4:H29),2)</f>
        <v>1.97</v>
      </c>
      <c r="K14" s="37"/>
      <c r="L14" s="37"/>
      <c r="M14" s="37"/>
      <c r="N14" s="37"/>
      <c r="O14" s="37"/>
      <c r="P14" s="37"/>
      <c r="Q14" s="37"/>
      <c r="R14" s="37"/>
      <c r="S14" s="37"/>
      <c r="T14" s="37"/>
      <c r="U14" s="37"/>
      <c r="V14" s="37"/>
      <c r="W14" s="37"/>
      <c r="X14" s="37"/>
      <c r="Y14" s="37"/>
    </row>
    <row r="15" spans="1:25" ht="13.2" customHeight="1" x14ac:dyDescent="0.25">
      <c r="A15" t="s">
        <v>15</v>
      </c>
      <c r="B15" t="s">
        <v>44</v>
      </c>
      <c r="C15">
        <v>0.8</v>
      </c>
      <c r="D15">
        <f ca="1">ROUND(AVERAGE($D$3:D30),2)</f>
        <v>2.69</v>
      </c>
      <c r="G15">
        <f t="shared" si="0"/>
        <v>0.89999999999999991</v>
      </c>
      <c r="H15">
        <f ca="1">ROUND(AVERAGE($H$4:H30),2)</f>
        <v>1.97</v>
      </c>
      <c r="K15" s="37"/>
      <c r="L15" s="37"/>
      <c r="M15" s="37"/>
      <c r="N15" s="37"/>
      <c r="O15" s="37"/>
      <c r="P15" s="37"/>
      <c r="Q15" s="37"/>
      <c r="R15" s="37"/>
      <c r="S15" s="37"/>
      <c r="T15" s="37"/>
      <c r="U15" s="37"/>
      <c r="V15" s="37"/>
      <c r="W15" s="37"/>
      <c r="X15" s="37"/>
      <c r="Y15" s="37"/>
    </row>
    <row r="16" spans="1:25" ht="13.2" customHeight="1" x14ac:dyDescent="0.25">
      <c r="A16" t="s">
        <v>15</v>
      </c>
      <c r="B16" t="s">
        <v>45</v>
      </c>
      <c r="C16">
        <v>7.5</v>
      </c>
      <c r="D16">
        <f ca="1">ROUND(AVERAGE($D$3:D31),2)</f>
        <v>2.69</v>
      </c>
      <c r="G16">
        <f t="shared" si="0"/>
        <v>6.7</v>
      </c>
      <c r="H16">
        <f ca="1">ROUND(AVERAGE($H$4:H31),2)</f>
        <v>1.97</v>
      </c>
      <c r="K16" s="37"/>
      <c r="L16" s="37"/>
      <c r="M16" s="37"/>
      <c r="N16" s="37"/>
      <c r="O16" s="37"/>
      <c r="P16" s="37"/>
      <c r="Q16" s="37"/>
      <c r="R16" s="37"/>
      <c r="S16" s="37"/>
      <c r="T16" s="37"/>
      <c r="U16" s="37"/>
      <c r="V16" s="37"/>
      <c r="W16" s="37"/>
      <c r="X16" s="37"/>
      <c r="Y16" s="37"/>
    </row>
    <row r="17" spans="1:25" ht="13.2" customHeight="1" x14ac:dyDescent="0.25">
      <c r="A17" t="s">
        <v>15</v>
      </c>
      <c r="B17" t="s">
        <v>46</v>
      </c>
      <c r="C17">
        <v>4.9000000000000004</v>
      </c>
      <c r="D17">
        <f ca="1">ROUND(AVERAGE($D$3:D32),2)</f>
        <v>2.69</v>
      </c>
      <c r="G17">
        <f t="shared" si="0"/>
        <v>2.5999999999999996</v>
      </c>
      <c r="H17">
        <f ca="1">ROUND(AVERAGE($H$4:H32),2)</f>
        <v>1.97</v>
      </c>
      <c r="K17" s="37"/>
      <c r="L17" s="37"/>
      <c r="M17" s="37"/>
      <c r="N17" s="37"/>
      <c r="O17" s="37"/>
      <c r="P17" s="37"/>
      <c r="Q17" s="37"/>
      <c r="R17" s="37"/>
      <c r="S17" s="37"/>
      <c r="T17" s="37"/>
      <c r="U17" s="37"/>
      <c r="V17" s="37"/>
      <c r="W17" s="37"/>
      <c r="X17" s="37"/>
      <c r="Y17" s="37"/>
    </row>
    <row r="18" spans="1:25" ht="13.2" customHeight="1" x14ac:dyDescent="0.25">
      <c r="A18" t="s">
        <v>15</v>
      </c>
      <c r="B18" t="s">
        <v>47</v>
      </c>
      <c r="C18">
        <v>8.8000000000000007</v>
      </c>
      <c r="D18">
        <f ca="1">ROUND(AVERAGE($D$3:D33),2)</f>
        <v>2.69</v>
      </c>
      <c r="G18">
        <f t="shared" si="0"/>
        <v>3.9000000000000004</v>
      </c>
      <c r="H18">
        <f ca="1">ROUND(AVERAGE($H$4:H33),2)</f>
        <v>1.97</v>
      </c>
      <c r="K18" s="37"/>
      <c r="L18" s="37"/>
      <c r="M18" s="37"/>
      <c r="N18" s="37"/>
      <c r="O18" s="37"/>
      <c r="P18" s="37"/>
      <c r="Q18" s="37"/>
      <c r="R18" s="37"/>
      <c r="S18" s="37"/>
      <c r="T18" s="37"/>
      <c r="U18" s="37"/>
      <c r="V18" s="37"/>
      <c r="W18" s="37"/>
      <c r="X18" s="37"/>
      <c r="Y18" s="37"/>
    </row>
    <row r="19" spans="1:25" ht="13.2" customHeight="1" x14ac:dyDescent="0.25">
      <c r="K19" s="37"/>
      <c r="L19" s="37"/>
      <c r="M19" s="37"/>
      <c r="N19" s="37"/>
      <c r="O19" s="37"/>
      <c r="P19" s="37"/>
      <c r="Q19" s="37"/>
      <c r="R19" s="37"/>
      <c r="S19" s="37"/>
      <c r="T19" s="37"/>
      <c r="U19" s="37"/>
      <c r="V19" s="37"/>
      <c r="W19" s="37"/>
      <c r="X19" s="37"/>
      <c r="Y19" s="37"/>
    </row>
    <row r="20" spans="1:25" ht="13.2" customHeight="1" x14ac:dyDescent="0.25">
      <c r="K20" s="37"/>
      <c r="L20" s="37"/>
      <c r="M20" s="37"/>
      <c r="N20" s="37"/>
      <c r="O20" s="37"/>
      <c r="P20" s="37"/>
      <c r="Q20" s="37"/>
      <c r="R20" s="37"/>
      <c r="S20" s="37"/>
      <c r="T20" s="37"/>
      <c r="U20" s="37"/>
      <c r="V20" s="37"/>
      <c r="W20" s="37"/>
      <c r="X20" s="37"/>
      <c r="Y20" s="37"/>
    </row>
    <row r="21" spans="1:25" ht="13.2" customHeight="1" x14ac:dyDescent="0.25">
      <c r="K21" s="37"/>
      <c r="L21" s="37"/>
      <c r="M21" s="37"/>
      <c r="N21" s="37"/>
      <c r="O21" s="37"/>
      <c r="P21" s="37"/>
      <c r="Q21" s="37"/>
      <c r="R21" s="37"/>
      <c r="S21" s="37"/>
      <c r="T21" s="37"/>
      <c r="U21" s="37"/>
      <c r="V21" s="37"/>
      <c r="W21" s="37"/>
      <c r="X21" s="37"/>
      <c r="Y21" s="37"/>
    </row>
    <row r="22" spans="1:25" ht="13.2" customHeight="1" x14ac:dyDescent="0.25">
      <c r="K22" s="37"/>
      <c r="L22" s="37"/>
      <c r="M22" s="37"/>
      <c r="N22" s="37"/>
      <c r="O22" s="37"/>
      <c r="P22" s="37"/>
      <c r="Q22" s="37"/>
      <c r="R22" s="37"/>
      <c r="S22" s="37"/>
      <c r="T22" s="37"/>
      <c r="U22" s="37"/>
      <c r="V22" s="37"/>
      <c r="W22" s="37"/>
      <c r="X22" s="37"/>
      <c r="Y22" s="37"/>
    </row>
    <row r="23" spans="1:25" ht="13.2" customHeight="1" x14ac:dyDescent="0.25">
      <c r="K23" s="37"/>
      <c r="L23" s="37"/>
      <c r="M23" s="37"/>
      <c r="N23" s="37"/>
      <c r="O23" s="37"/>
      <c r="P23" s="37"/>
      <c r="Q23" s="37"/>
      <c r="R23" s="37"/>
      <c r="S23" s="37"/>
      <c r="T23" s="37"/>
      <c r="U23" s="37"/>
      <c r="V23" s="37"/>
      <c r="W23" s="37"/>
      <c r="X23" s="37"/>
      <c r="Y23" s="37"/>
    </row>
    <row r="24" spans="1:25" ht="13.2" customHeight="1" x14ac:dyDescent="0.25">
      <c r="K24" s="37"/>
      <c r="L24" s="37"/>
      <c r="M24" s="37"/>
      <c r="N24" s="37"/>
      <c r="O24" s="37"/>
      <c r="P24" s="37"/>
      <c r="Q24" s="37"/>
      <c r="R24" s="37"/>
      <c r="S24" s="37"/>
      <c r="T24" s="37"/>
      <c r="U24" s="37"/>
      <c r="V24" s="37"/>
      <c r="W24" s="37"/>
      <c r="X24" s="37"/>
      <c r="Y24" s="37"/>
    </row>
    <row r="25" spans="1:25" ht="13.2" customHeight="1" x14ac:dyDescent="0.25">
      <c r="K25" s="37"/>
      <c r="L25" s="37"/>
      <c r="M25" s="37"/>
      <c r="N25" s="37"/>
      <c r="O25" s="37"/>
      <c r="P25" s="37"/>
      <c r="Q25" s="37"/>
      <c r="R25" s="37"/>
      <c r="S25" s="37"/>
      <c r="T25" s="37"/>
      <c r="U25" s="37"/>
      <c r="V25" s="37"/>
      <c r="W25" s="37"/>
      <c r="X25" s="37"/>
      <c r="Y25" s="37"/>
    </row>
    <row r="26" spans="1:25" ht="13.2" customHeight="1" x14ac:dyDescent="0.25">
      <c r="K26" s="37"/>
      <c r="L26" s="37"/>
      <c r="M26" s="37"/>
      <c r="N26" s="37"/>
      <c r="O26" s="37"/>
      <c r="P26" s="37"/>
      <c r="Q26" s="37"/>
      <c r="R26" s="37"/>
      <c r="S26" s="37"/>
      <c r="T26" s="37"/>
      <c r="U26" s="37"/>
      <c r="V26" s="37"/>
      <c r="W26" s="37"/>
      <c r="X26" s="37"/>
      <c r="Y26" s="37"/>
    </row>
    <row r="27" spans="1:25" ht="13.2" customHeight="1" x14ac:dyDescent="0.25">
      <c r="K27" s="37"/>
      <c r="L27" s="37"/>
      <c r="M27" s="37"/>
      <c r="N27" s="37"/>
      <c r="O27" s="37"/>
      <c r="P27" s="37"/>
      <c r="Q27" s="37"/>
      <c r="R27" s="37"/>
      <c r="S27" s="37"/>
      <c r="T27" s="37"/>
      <c r="U27" s="37"/>
      <c r="V27" s="37"/>
      <c r="W27" s="37"/>
      <c r="X27" s="37"/>
      <c r="Y27" s="37"/>
    </row>
    <row r="28" spans="1:25" ht="13.2" customHeight="1" x14ac:dyDescent="0.25">
      <c r="K28" s="37"/>
      <c r="L28" s="37"/>
      <c r="M28" s="37"/>
      <c r="N28" s="37"/>
      <c r="O28" s="37"/>
      <c r="P28" s="37"/>
      <c r="Q28" s="37"/>
      <c r="R28" s="37"/>
      <c r="S28" s="37"/>
      <c r="T28" s="37"/>
      <c r="U28" s="37"/>
      <c r="V28" s="37"/>
      <c r="W28" s="37"/>
      <c r="X28" s="37"/>
      <c r="Y28" s="37"/>
    </row>
    <row r="29" spans="1:25" ht="13.2" customHeight="1" x14ac:dyDescent="0.25">
      <c r="K29" s="37"/>
      <c r="L29" s="37"/>
      <c r="M29" s="37"/>
      <c r="N29" s="37"/>
      <c r="O29" s="37"/>
      <c r="P29" s="37"/>
      <c r="Q29" s="37"/>
      <c r="R29" s="37"/>
      <c r="S29" s="37"/>
      <c r="T29" s="37"/>
      <c r="U29" s="37"/>
      <c r="V29" s="37"/>
      <c r="W29" s="37"/>
      <c r="X29" s="37"/>
      <c r="Y29" s="37"/>
    </row>
    <row r="30" spans="1:25" ht="13.2" customHeight="1" x14ac:dyDescent="0.25">
      <c r="K30" s="37"/>
      <c r="L30" s="37"/>
      <c r="M30" s="37"/>
      <c r="N30" s="37"/>
      <c r="O30" s="37"/>
      <c r="P30" s="37"/>
      <c r="Q30" s="37"/>
      <c r="R30" s="37"/>
      <c r="S30" s="37"/>
      <c r="T30" s="37"/>
      <c r="U30" s="37"/>
      <c r="V30" s="37"/>
      <c r="W30" s="37"/>
      <c r="X30" s="37"/>
      <c r="Y30" s="37"/>
    </row>
    <row r="31" spans="1:25" ht="13.2" customHeight="1" x14ac:dyDescent="0.25">
      <c r="K31" s="37"/>
      <c r="L31" s="37"/>
      <c r="M31" s="37"/>
      <c r="N31" s="37"/>
      <c r="O31" s="37"/>
      <c r="P31" s="37"/>
      <c r="Q31" s="37"/>
      <c r="R31" s="37"/>
      <c r="S31" s="37"/>
      <c r="T31" s="37"/>
      <c r="U31" s="37"/>
      <c r="V31" s="37"/>
      <c r="W31" s="37"/>
      <c r="X31" s="37"/>
      <c r="Y31" s="37"/>
    </row>
    <row r="32" spans="1:25" ht="13.2" customHeight="1" x14ac:dyDescent="0.25">
      <c r="K32" s="37"/>
      <c r="L32" s="37"/>
      <c r="M32" s="37"/>
      <c r="N32" s="37"/>
      <c r="O32" s="37"/>
      <c r="P32" s="37"/>
      <c r="Q32" s="37"/>
      <c r="R32" s="37"/>
      <c r="S32" s="37"/>
      <c r="T32" s="37"/>
      <c r="U32" s="37"/>
      <c r="V32" s="37"/>
      <c r="W32" s="37"/>
      <c r="X32" s="37"/>
      <c r="Y32" s="37"/>
    </row>
    <row r="33" spans="11:25" ht="13.2" customHeight="1" x14ac:dyDescent="0.25">
      <c r="K33" s="37"/>
      <c r="L33" s="37"/>
      <c r="M33" s="37"/>
      <c r="N33" s="37"/>
      <c r="O33" s="37"/>
      <c r="P33" s="37"/>
      <c r="Q33" s="37"/>
      <c r="R33" s="37"/>
      <c r="S33" s="37"/>
      <c r="T33" s="37"/>
      <c r="U33" s="37"/>
      <c r="V33" s="37"/>
      <c r="W33" s="37"/>
      <c r="X33" s="37"/>
      <c r="Y33" s="37"/>
    </row>
    <row r="34" spans="11:25" ht="13.2" customHeight="1" x14ac:dyDescent="0.25">
      <c r="K34" s="37"/>
      <c r="L34" s="37"/>
      <c r="M34" s="37"/>
      <c r="N34" s="37"/>
      <c r="O34" s="37"/>
      <c r="P34" s="37"/>
      <c r="Q34" s="37"/>
      <c r="R34" s="37"/>
      <c r="S34" s="37"/>
      <c r="T34" s="37"/>
      <c r="U34" s="37"/>
      <c r="V34" s="37"/>
      <c r="W34" s="37"/>
      <c r="X34" s="37"/>
      <c r="Y34" s="37"/>
    </row>
    <row r="35" spans="11:25" ht="13.2" customHeight="1" x14ac:dyDescent="0.25">
      <c r="K35" s="37"/>
      <c r="L35" s="37"/>
      <c r="M35" s="37"/>
      <c r="N35" s="37"/>
      <c r="O35" s="37"/>
      <c r="P35" s="37"/>
      <c r="Q35" s="37"/>
      <c r="R35" s="37"/>
      <c r="S35" s="37"/>
      <c r="T35" s="37"/>
      <c r="U35" s="37"/>
      <c r="V35" s="37"/>
      <c r="W35" s="37"/>
      <c r="X35" s="37"/>
      <c r="Y35" s="37"/>
    </row>
    <row r="36" spans="11:25" ht="13.2" customHeight="1" x14ac:dyDescent="0.25">
      <c r="K36" s="37"/>
      <c r="L36" s="37"/>
      <c r="M36" s="37"/>
      <c r="N36" s="37"/>
      <c r="O36" s="37"/>
      <c r="P36" s="37"/>
      <c r="Q36" s="37"/>
      <c r="R36" s="37"/>
      <c r="S36" s="37"/>
      <c r="T36" s="37"/>
      <c r="U36" s="37"/>
      <c r="V36" s="37"/>
      <c r="W36" s="37"/>
      <c r="X36" s="37"/>
      <c r="Y36" s="37"/>
    </row>
    <row r="37" spans="11:25" ht="13.2" customHeight="1" x14ac:dyDescent="0.25">
      <c r="K37" s="37"/>
      <c r="L37" s="37"/>
      <c r="M37" s="37"/>
      <c r="N37" s="37"/>
      <c r="O37" s="37"/>
      <c r="P37" s="37"/>
      <c r="Q37" s="37"/>
      <c r="R37" s="37"/>
      <c r="S37" s="37"/>
      <c r="T37" s="37"/>
      <c r="U37" s="37"/>
      <c r="V37" s="37"/>
      <c r="W37" s="37"/>
      <c r="X37" s="37"/>
      <c r="Y37" s="37"/>
    </row>
    <row r="38" spans="11:25" ht="13.2" customHeight="1" x14ac:dyDescent="0.25">
      <c r="K38" s="37"/>
      <c r="L38" s="37"/>
      <c r="M38" s="37"/>
      <c r="N38" s="37"/>
      <c r="O38" s="37"/>
      <c r="P38" s="37"/>
      <c r="Q38" s="37"/>
      <c r="R38" s="37"/>
      <c r="S38" s="37"/>
      <c r="T38" s="37"/>
      <c r="U38" s="37"/>
      <c r="V38" s="37"/>
      <c r="W38" s="37"/>
      <c r="X38" s="37"/>
      <c r="Y38" s="37"/>
    </row>
    <row r="39" spans="11:25" ht="13.2" customHeight="1" x14ac:dyDescent="0.25">
      <c r="K39" s="37"/>
      <c r="L39" s="37"/>
      <c r="M39" s="37"/>
      <c r="N39" s="37"/>
      <c r="O39" s="37"/>
      <c r="P39" s="37"/>
      <c r="Q39" s="37"/>
      <c r="R39" s="37"/>
      <c r="S39" s="37"/>
      <c r="T39" s="37"/>
      <c r="U39" s="37"/>
      <c r="V39" s="37"/>
      <c r="W39" s="37"/>
      <c r="X39" s="37"/>
      <c r="Y39" s="37"/>
    </row>
    <row r="40" spans="11:25" ht="13.2" customHeight="1" x14ac:dyDescent="0.25">
      <c r="K40" s="37"/>
      <c r="L40" s="37"/>
      <c r="M40" s="37"/>
      <c r="N40" s="37"/>
      <c r="O40" s="37"/>
      <c r="P40" s="37"/>
      <c r="Q40" s="37"/>
      <c r="R40" s="37"/>
      <c r="S40" s="37"/>
      <c r="T40" s="37"/>
      <c r="U40" s="37"/>
      <c r="V40" s="37"/>
      <c r="W40" s="37"/>
      <c r="X40" s="37"/>
      <c r="Y40" s="37"/>
    </row>
    <row r="41" spans="11:25" ht="13.2" customHeight="1" x14ac:dyDescent="0.25">
      <c r="K41" s="37"/>
      <c r="L41" s="37"/>
      <c r="M41" s="37"/>
      <c r="N41" s="37"/>
      <c r="O41" s="37"/>
      <c r="P41" s="37"/>
      <c r="Q41" s="37"/>
      <c r="R41" s="37"/>
      <c r="S41" s="37"/>
      <c r="T41" s="37"/>
      <c r="U41" s="37"/>
      <c r="V41" s="37"/>
      <c r="W41" s="37"/>
      <c r="X41" s="37"/>
      <c r="Y41" s="37"/>
    </row>
    <row r="42" spans="11:25" x14ac:dyDescent="0.25">
      <c r="K42" s="37"/>
      <c r="L42" s="37"/>
      <c r="M42" s="37"/>
      <c r="N42" s="37"/>
      <c r="O42" s="37"/>
      <c r="P42" s="37"/>
      <c r="Q42" s="37"/>
      <c r="R42" s="37"/>
      <c r="S42" s="37"/>
      <c r="T42" s="37"/>
      <c r="U42" s="37"/>
      <c r="V42" s="37"/>
      <c r="W42" s="37"/>
      <c r="X42" s="37"/>
      <c r="Y42" s="37"/>
    </row>
  </sheetData>
  <mergeCells count="3">
    <mergeCell ref="K1:Y1"/>
    <mergeCell ref="K2:Y42"/>
    <mergeCell ref="A1:I1"/>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0D300-B8B5-4A3B-95F6-8D49257BFBA4}">
  <dimension ref="A1:Y51"/>
  <sheetViews>
    <sheetView workbookViewId="0">
      <selection activeCell="K29" sqref="K29"/>
    </sheetView>
  </sheetViews>
  <sheetFormatPr defaultRowHeight="13.2" x14ac:dyDescent="0.25"/>
  <cols>
    <col min="1" max="1" width="20.77734375" bestFit="1" customWidth="1"/>
    <col min="2" max="2" width="7.109375" bestFit="1" customWidth="1"/>
    <col min="4" max="5" width="7.6640625" bestFit="1" customWidth="1"/>
    <col min="6" max="6" width="6.6640625" bestFit="1" customWidth="1"/>
    <col min="7" max="7" width="6.44140625" bestFit="1" customWidth="1"/>
    <col min="8" max="8" width="7" bestFit="1" customWidth="1"/>
    <col min="9" max="9" width="7" customWidth="1"/>
  </cols>
  <sheetData>
    <row r="1" spans="1:25" ht="24.6" x14ac:dyDescent="0.55000000000000004">
      <c r="A1" s="36" t="s">
        <v>12</v>
      </c>
      <c r="B1" s="36"/>
      <c r="C1" s="36"/>
      <c r="D1" s="36"/>
      <c r="E1" s="36"/>
      <c r="F1" s="36"/>
      <c r="G1" s="36"/>
      <c r="H1" s="36"/>
      <c r="I1" s="36"/>
      <c r="K1" s="36" t="s">
        <v>1</v>
      </c>
      <c r="L1" s="36"/>
      <c r="M1" s="36"/>
      <c r="N1" s="36"/>
      <c r="O1" s="36"/>
      <c r="P1" s="36"/>
      <c r="Q1" s="36"/>
      <c r="R1" s="36"/>
      <c r="S1" s="36"/>
      <c r="T1" s="36"/>
      <c r="U1" s="36"/>
      <c r="V1" s="36"/>
      <c r="W1" s="36"/>
      <c r="X1" s="36"/>
      <c r="Y1" s="36"/>
    </row>
    <row r="2" spans="1:25" ht="13.2" customHeight="1" x14ac:dyDescent="0.25">
      <c r="A2" t="s">
        <v>14</v>
      </c>
      <c r="B2" t="s">
        <v>20</v>
      </c>
      <c r="C2" t="s">
        <v>2</v>
      </c>
      <c r="D2" s="3" t="s">
        <v>3</v>
      </c>
      <c r="E2" s="1" t="s">
        <v>4</v>
      </c>
      <c r="F2" s="1" t="s">
        <v>5</v>
      </c>
      <c r="G2" s="1" t="s">
        <v>6</v>
      </c>
      <c r="H2" s="1" t="s">
        <v>7</v>
      </c>
      <c r="I2" s="1" t="s">
        <v>8</v>
      </c>
      <c r="K2" s="37" t="s">
        <v>54</v>
      </c>
      <c r="L2" s="37"/>
      <c r="M2" s="37"/>
      <c r="N2" s="37"/>
      <c r="O2" s="37"/>
      <c r="P2" s="37"/>
      <c r="Q2" s="37"/>
      <c r="R2" s="37"/>
      <c r="S2" s="37"/>
      <c r="T2" s="37"/>
      <c r="U2" s="37"/>
      <c r="V2" s="37"/>
      <c r="W2" s="37"/>
      <c r="X2" s="37"/>
      <c r="Y2" s="37"/>
    </row>
    <row r="3" spans="1:25" ht="13.2" customHeight="1" x14ac:dyDescent="0.25">
      <c r="A3" t="s">
        <v>15</v>
      </c>
      <c r="B3" t="s">
        <v>32</v>
      </c>
      <c r="C3">
        <v>0.8</v>
      </c>
      <c r="D3">
        <f>ROUND(AVERAGE($C$3:C18),2)</f>
        <v>2.69</v>
      </c>
      <c r="E3">
        <f t="shared" ref="E3:E18" si="0">ROUND(D3+(2.66*H3),2)</f>
        <v>7.93</v>
      </c>
      <c r="F3">
        <f t="shared" ref="F3:F18" si="1">ROUND(MAX(0,D3-(2.66*H3)),2)</f>
        <v>0</v>
      </c>
      <c r="H3">
        <f>ROUND(AVERAGE($G$4:G18),2)</f>
        <v>1.97</v>
      </c>
      <c r="I3">
        <f t="shared" ref="I3:I18" si="2">ROUND(3.268*H3,2)</f>
        <v>6.44</v>
      </c>
      <c r="K3" s="37"/>
      <c r="L3" s="37"/>
      <c r="M3" s="37"/>
      <c r="N3" s="37"/>
      <c r="O3" s="37"/>
      <c r="P3" s="37"/>
      <c r="Q3" s="37"/>
      <c r="R3" s="37"/>
      <c r="S3" s="37"/>
      <c r="T3" s="37"/>
      <c r="U3" s="37"/>
      <c r="V3" s="37"/>
      <c r="W3" s="37"/>
      <c r="X3" s="37"/>
      <c r="Y3" s="37"/>
    </row>
    <row r="4" spans="1:25" ht="13.2" customHeight="1" x14ac:dyDescent="0.25">
      <c r="A4" t="s">
        <v>15</v>
      </c>
      <c r="B4" t="s">
        <v>33</v>
      </c>
      <c r="C4">
        <v>1.9</v>
      </c>
      <c r="D4">
        <f ca="1">ROUND(AVERAGE($D$3:D19),2)</f>
        <v>2.69</v>
      </c>
      <c r="E4">
        <f t="shared" ca="1" si="0"/>
        <v>7.93</v>
      </c>
      <c r="F4">
        <f t="shared" ca="1" si="1"/>
        <v>0</v>
      </c>
      <c r="G4">
        <f t="shared" ref="G4:G18" si="3">ABS(C3-C4)</f>
        <v>1.0999999999999999</v>
      </c>
      <c r="H4">
        <f ca="1">ROUND(AVERAGE($H$4:H19),2)</f>
        <v>1.97</v>
      </c>
      <c r="I4">
        <f t="shared" ca="1" si="2"/>
        <v>6.44</v>
      </c>
      <c r="K4" s="37"/>
      <c r="L4" s="37"/>
      <c r="M4" s="37"/>
      <c r="N4" s="37"/>
      <c r="O4" s="37"/>
      <c r="P4" s="37"/>
      <c r="Q4" s="37"/>
      <c r="R4" s="37"/>
      <c r="S4" s="37"/>
      <c r="T4" s="37"/>
      <c r="U4" s="37"/>
      <c r="V4" s="37"/>
      <c r="W4" s="37"/>
      <c r="X4" s="37"/>
      <c r="Y4" s="37"/>
    </row>
    <row r="5" spans="1:25" ht="13.2" customHeight="1" x14ac:dyDescent="0.25">
      <c r="A5" t="s">
        <v>15</v>
      </c>
      <c r="B5" t="s">
        <v>34</v>
      </c>
      <c r="C5">
        <v>0.6</v>
      </c>
      <c r="D5">
        <f ca="1">ROUND(AVERAGE($D$3:D20),2)</f>
        <v>2.69</v>
      </c>
      <c r="E5">
        <f t="shared" ca="1" si="0"/>
        <v>7.93</v>
      </c>
      <c r="F5">
        <f t="shared" ca="1" si="1"/>
        <v>0</v>
      </c>
      <c r="G5">
        <f t="shared" si="3"/>
        <v>1.2999999999999998</v>
      </c>
      <c r="H5">
        <f ca="1">ROUND(AVERAGE($H$4:H20),2)</f>
        <v>1.97</v>
      </c>
      <c r="I5">
        <f t="shared" ca="1" si="2"/>
        <v>6.44</v>
      </c>
      <c r="K5" s="37"/>
      <c r="L5" s="37"/>
      <c r="M5" s="37"/>
      <c r="N5" s="37"/>
      <c r="O5" s="37"/>
      <c r="P5" s="37"/>
      <c r="Q5" s="37"/>
      <c r="R5" s="37"/>
      <c r="S5" s="37"/>
      <c r="T5" s="37"/>
      <c r="U5" s="37"/>
      <c r="V5" s="37"/>
      <c r="W5" s="37"/>
      <c r="X5" s="37"/>
      <c r="Y5" s="37"/>
    </row>
    <row r="6" spans="1:25" ht="13.2" customHeight="1" x14ac:dyDescent="0.25">
      <c r="A6" t="s">
        <v>15</v>
      </c>
      <c r="B6" t="s">
        <v>35</v>
      </c>
      <c r="C6">
        <v>1.1000000000000001</v>
      </c>
      <c r="D6">
        <f ca="1">ROUND(AVERAGE($D$3:D21),2)</f>
        <v>2.69</v>
      </c>
      <c r="E6">
        <f t="shared" ca="1" si="0"/>
        <v>7.93</v>
      </c>
      <c r="F6">
        <f t="shared" ca="1" si="1"/>
        <v>0</v>
      </c>
      <c r="G6">
        <f t="shared" si="3"/>
        <v>0.50000000000000011</v>
      </c>
      <c r="H6">
        <f ca="1">ROUND(AVERAGE($H$4:H21),2)</f>
        <v>1.97</v>
      </c>
      <c r="I6">
        <f t="shared" ca="1" si="2"/>
        <v>6.44</v>
      </c>
      <c r="K6" s="37"/>
      <c r="L6" s="37"/>
      <c r="M6" s="37"/>
      <c r="N6" s="37"/>
      <c r="O6" s="37"/>
      <c r="P6" s="37"/>
      <c r="Q6" s="37"/>
      <c r="R6" s="37"/>
      <c r="S6" s="37"/>
      <c r="T6" s="37"/>
      <c r="U6" s="37"/>
      <c r="V6" s="37"/>
      <c r="W6" s="37"/>
      <c r="X6" s="37"/>
      <c r="Y6" s="37"/>
    </row>
    <row r="7" spans="1:25" ht="13.2" customHeight="1" x14ac:dyDescent="0.25">
      <c r="A7" t="s">
        <v>15</v>
      </c>
      <c r="B7" t="s">
        <v>36</v>
      </c>
      <c r="C7">
        <v>3.2</v>
      </c>
      <c r="D7">
        <f ca="1">ROUND(AVERAGE($D$3:D22),2)</f>
        <v>2.69</v>
      </c>
      <c r="E7">
        <f t="shared" ca="1" si="0"/>
        <v>7.93</v>
      </c>
      <c r="F7">
        <f t="shared" ca="1" si="1"/>
        <v>0</v>
      </c>
      <c r="G7">
        <f t="shared" si="3"/>
        <v>2.1</v>
      </c>
      <c r="H7">
        <f ca="1">ROUND(AVERAGE($H$4:H22),2)</f>
        <v>1.97</v>
      </c>
      <c r="I7">
        <f t="shared" ca="1" si="2"/>
        <v>6.44</v>
      </c>
      <c r="K7" s="37"/>
      <c r="L7" s="37"/>
      <c r="M7" s="37"/>
      <c r="N7" s="37"/>
      <c r="O7" s="37"/>
      <c r="P7" s="37"/>
      <c r="Q7" s="37"/>
      <c r="R7" s="37"/>
      <c r="S7" s="37"/>
      <c r="T7" s="37"/>
      <c r="U7" s="37"/>
      <c r="V7" s="37"/>
      <c r="W7" s="37"/>
      <c r="X7" s="37"/>
      <c r="Y7" s="37"/>
    </row>
    <row r="8" spans="1:25" ht="13.2" customHeight="1" x14ac:dyDescent="0.25">
      <c r="A8" t="s">
        <v>15</v>
      </c>
      <c r="B8" t="s">
        <v>37</v>
      </c>
      <c r="C8">
        <v>0.7</v>
      </c>
      <c r="D8">
        <f ca="1">ROUND(AVERAGE($D$3:D23),2)</f>
        <v>2.69</v>
      </c>
      <c r="E8">
        <f t="shared" ca="1" si="0"/>
        <v>7.93</v>
      </c>
      <c r="F8">
        <f t="shared" ca="1" si="1"/>
        <v>0</v>
      </c>
      <c r="G8">
        <f t="shared" si="3"/>
        <v>2.5</v>
      </c>
      <c r="H8">
        <f ca="1">ROUND(AVERAGE($H$4:H23),2)</f>
        <v>1.97</v>
      </c>
      <c r="I8">
        <f t="shared" ca="1" si="2"/>
        <v>6.44</v>
      </c>
      <c r="K8" s="37"/>
      <c r="L8" s="37"/>
      <c r="M8" s="37"/>
      <c r="N8" s="37"/>
      <c r="O8" s="37"/>
      <c r="P8" s="37"/>
      <c r="Q8" s="37"/>
      <c r="R8" s="37"/>
      <c r="S8" s="37"/>
      <c r="T8" s="37"/>
      <c r="U8" s="37"/>
      <c r="V8" s="37"/>
      <c r="W8" s="37"/>
      <c r="X8" s="37"/>
      <c r="Y8" s="37"/>
    </row>
    <row r="9" spans="1:25" ht="13.2" customHeight="1" x14ac:dyDescent="0.25">
      <c r="A9" t="s">
        <v>15</v>
      </c>
      <c r="B9" t="s">
        <v>38</v>
      </c>
      <c r="C9">
        <v>0.5</v>
      </c>
      <c r="D9">
        <f ca="1">ROUND(AVERAGE($D$3:D24),2)</f>
        <v>2.69</v>
      </c>
      <c r="E9">
        <f t="shared" ca="1" si="0"/>
        <v>7.93</v>
      </c>
      <c r="F9">
        <f t="shared" ca="1" si="1"/>
        <v>0</v>
      </c>
      <c r="G9">
        <f t="shared" si="3"/>
        <v>0.19999999999999996</v>
      </c>
      <c r="H9">
        <f ca="1">ROUND(AVERAGE($H$4:H24),2)</f>
        <v>1.97</v>
      </c>
      <c r="I9">
        <f t="shared" ca="1" si="2"/>
        <v>6.44</v>
      </c>
      <c r="K9" s="37"/>
      <c r="L9" s="37"/>
      <c r="M9" s="37"/>
      <c r="N9" s="37"/>
      <c r="O9" s="37"/>
      <c r="P9" s="37"/>
      <c r="Q9" s="37"/>
      <c r="R9" s="37"/>
      <c r="S9" s="37"/>
      <c r="T9" s="37"/>
      <c r="U9" s="37"/>
      <c r="V9" s="37"/>
      <c r="W9" s="37"/>
      <c r="X9" s="37"/>
      <c r="Y9" s="37"/>
    </row>
    <row r="10" spans="1:25" ht="13.2" customHeight="1" x14ac:dyDescent="0.25">
      <c r="A10" t="s">
        <v>15</v>
      </c>
      <c r="B10" t="s">
        <v>39</v>
      </c>
      <c r="C10">
        <v>0.9</v>
      </c>
      <c r="D10">
        <f ca="1">ROUND(AVERAGE($D$3:D25),2)</f>
        <v>2.69</v>
      </c>
      <c r="E10">
        <f t="shared" ca="1" si="0"/>
        <v>7.93</v>
      </c>
      <c r="F10">
        <f t="shared" ca="1" si="1"/>
        <v>0</v>
      </c>
      <c r="G10">
        <f t="shared" si="3"/>
        <v>0.4</v>
      </c>
      <c r="H10">
        <f ca="1">ROUND(AVERAGE($H$4:H25),2)</f>
        <v>1.97</v>
      </c>
      <c r="I10">
        <f t="shared" ca="1" si="2"/>
        <v>6.44</v>
      </c>
      <c r="K10" s="37"/>
      <c r="L10" s="37"/>
      <c r="M10" s="37"/>
      <c r="N10" s="37"/>
      <c r="O10" s="37"/>
      <c r="P10" s="37"/>
      <c r="Q10" s="37"/>
      <c r="R10" s="37"/>
      <c r="S10" s="37"/>
      <c r="T10" s="37"/>
      <c r="U10" s="37"/>
      <c r="V10" s="37"/>
      <c r="W10" s="37"/>
      <c r="X10" s="37"/>
      <c r="Y10" s="37"/>
    </row>
    <row r="11" spans="1:25" ht="13.2" customHeight="1" x14ac:dyDescent="0.25">
      <c r="A11" t="s">
        <v>15</v>
      </c>
      <c r="B11" t="s">
        <v>40</v>
      </c>
      <c r="C11">
        <v>2.2000000000000002</v>
      </c>
      <c r="D11">
        <f ca="1">ROUND(AVERAGE($D$3:D26),2)</f>
        <v>2.69</v>
      </c>
      <c r="E11">
        <f t="shared" ca="1" si="0"/>
        <v>7.93</v>
      </c>
      <c r="F11">
        <f t="shared" ca="1" si="1"/>
        <v>0</v>
      </c>
      <c r="G11">
        <f t="shared" si="3"/>
        <v>1.3000000000000003</v>
      </c>
      <c r="H11">
        <f ca="1">ROUND(AVERAGE($H$4:H26),2)</f>
        <v>1.97</v>
      </c>
      <c r="I11">
        <f t="shared" ca="1" si="2"/>
        <v>6.44</v>
      </c>
      <c r="K11" s="37"/>
      <c r="L11" s="37"/>
      <c r="M11" s="37"/>
      <c r="N11" s="37"/>
      <c r="O11" s="37"/>
      <c r="P11" s="37"/>
      <c r="Q11" s="37"/>
      <c r="R11" s="37"/>
      <c r="S11" s="37"/>
      <c r="T11" s="37"/>
      <c r="U11" s="37"/>
      <c r="V11" s="37"/>
      <c r="W11" s="37"/>
      <c r="X11" s="37"/>
      <c r="Y11" s="37"/>
    </row>
    <row r="12" spans="1:25" ht="13.2" customHeight="1" x14ac:dyDescent="0.25">
      <c r="A12" t="s">
        <v>15</v>
      </c>
      <c r="B12" t="s">
        <v>41</v>
      </c>
      <c r="C12">
        <v>5</v>
      </c>
      <c r="D12">
        <f ca="1">ROUND(AVERAGE($D$3:D27),2)</f>
        <v>2.69</v>
      </c>
      <c r="E12">
        <f t="shared" ca="1" si="0"/>
        <v>7.93</v>
      </c>
      <c r="F12">
        <f t="shared" ca="1" si="1"/>
        <v>0</v>
      </c>
      <c r="G12">
        <f t="shared" si="3"/>
        <v>2.8</v>
      </c>
      <c r="H12">
        <f ca="1">ROUND(AVERAGE($H$4:H27),2)</f>
        <v>1.97</v>
      </c>
      <c r="I12">
        <f t="shared" ca="1" si="2"/>
        <v>6.44</v>
      </c>
      <c r="K12" s="37"/>
      <c r="L12" s="37"/>
      <c r="M12" s="37"/>
      <c r="N12" s="37"/>
      <c r="O12" s="37"/>
      <c r="P12" s="37"/>
      <c r="Q12" s="37"/>
      <c r="R12" s="37"/>
      <c r="S12" s="37"/>
      <c r="T12" s="37"/>
      <c r="U12" s="37"/>
      <c r="V12" s="37"/>
      <c r="W12" s="37"/>
      <c r="X12" s="37"/>
      <c r="Y12" s="37"/>
    </row>
    <row r="13" spans="1:25" ht="13.2" customHeight="1" x14ac:dyDescent="0.25">
      <c r="A13" t="s">
        <v>15</v>
      </c>
      <c r="B13" t="s">
        <v>42</v>
      </c>
      <c r="C13">
        <v>2.5</v>
      </c>
      <c r="D13">
        <f ca="1">ROUND(AVERAGE($D$3:D28),2)</f>
        <v>2.69</v>
      </c>
      <c r="E13">
        <f t="shared" ca="1" si="0"/>
        <v>7.93</v>
      </c>
      <c r="F13">
        <f t="shared" ca="1" si="1"/>
        <v>0</v>
      </c>
      <c r="G13">
        <f t="shared" si="3"/>
        <v>2.5</v>
      </c>
      <c r="H13">
        <f ca="1">ROUND(AVERAGE($H$4:H28),2)</f>
        <v>1.97</v>
      </c>
      <c r="I13">
        <f t="shared" ca="1" si="2"/>
        <v>6.44</v>
      </c>
      <c r="K13" s="37"/>
      <c r="L13" s="37"/>
      <c r="M13" s="37"/>
      <c r="N13" s="37"/>
      <c r="O13" s="37"/>
      <c r="P13" s="37"/>
      <c r="Q13" s="37"/>
      <c r="R13" s="37"/>
      <c r="S13" s="37"/>
      <c r="T13" s="37"/>
      <c r="U13" s="37"/>
      <c r="V13" s="37"/>
      <c r="W13" s="37"/>
      <c r="X13" s="37"/>
      <c r="Y13" s="37"/>
    </row>
    <row r="14" spans="1:25" ht="13.2" customHeight="1" x14ac:dyDescent="0.25">
      <c r="A14" t="s">
        <v>15</v>
      </c>
      <c r="B14" t="s">
        <v>43</v>
      </c>
      <c r="C14">
        <v>1.7</v>
      </c>
      <c r="D14">
        <f ca="1">ROUND(AVERAGE($D$3:D29),2)</f>
        <v>2.69</v>
      </c>
      <c r="E14">
        <f t="shared" ca="1" si="0"/>
        <v>7.93</v>
      </c>
      <c r="F14">
        <f t="shared" ca="1" si="1"/>
        <v>0</v>
      </c>
      <c r="G14">
        <f t="shared" si="3"/>
        <v>0.8</v>
      </c>
      <c r="H14">
        <f ca="1">ROUND(AVERAGE($H$4:H29),2)</f>
        <v>1.97</v>
      </c>
      <c r="I14">
        <f t="shared" ca="1" si="2"/>
        <v>6.44</v>
      </c>
      <c r="K14" s="37"/>
      <c r="L14" s="37"/>
      <c r="M14" s="37"/>
      <c r="N14" s="37"/>
      <c r="O14" s="37"/>
      <c r="P14" s="37"/>
      <c r="Q14" s="37"/>
      <c r="R14" s="37"/>
      <c r="S14" s="37"/>
      <c r="T14" s="37"/>
      <c r="U14" s="37"/>
      <c r="V14" s="37"/>
      <c r="W14" s="37"/>
      <c r="X14" s="37"/>
      <c r="Y14" s="37"/>
    </row>
    <row r="15" spans="1:25" ht="13.2" customHeight="1" x14ac:dyDescent="0.25">
      <c r="A15" t="s">
        <v>15</v>
      </c>
      <c r="B15" t="s">
        <v>44</v>
      </c>
      <c r="C15">
        <v>0.8</v>
      </c>
      <c r="D15">
        <f ca="1">ROUND(AVERAGE($D$3:D30),2)</f>
        <v>2.69</v>
      </c>
      <c r="E15">
        <f t="shared" ca="1" si="0"/>
        <v>7.93</v>
      </c>
      <c r="F15">
        <f t="shared" ca="1" si="1"/>
        <v>0</v>
      </c>
      <c r="G15">
        <f t="shared" si="3"/>
        <v>0.89999999999999991</v>
      </c>
      <c r="H15">
        <f ca="1">ROUND(AVERAGE($H$4:H30),2)</f>
        <v>1.97</v>
      </c>
      <c r="I15">
        <f t="shared" ca="1" si="2"/>
        <v>6.44</v>
      </c>
      <c r="K15" s="37"/>
      <c r="L15" s="37"/>
      <c r="M15" s="37"/>
      <c r="N15" s="37"/>
      <c r="O15" s="37"/>
      <c r="P15" s="37"/>
      <c r="Q15" s="37"/>
      <c r="R15" s="37"/>
      <c r="S15" s="37"/>
      <c r="T15" s="37"/>
      <c r="U15" s="37"/>
      <c r="V15" s="37"/>
      <c r="W15" s="37"/>
      <c r="X15" s="37"/>
      <c r="Y15" s="37"/>
    </row>
    <row r="16" spans="1:25" ht="13.2" customHeight="1" x14ac:dyDescent="0.25">
      <c r="A16" t="s">
        <v>15</v>
      </c>
      <c r="B16" t="s">
        <v>45</v>
      </c>
      <c r="C16">
        <v>7.5</v>
      </c>
      <c r="D16">
        <f ca="1">ROUND(AVERAGE($D$3:D31),2)</f>
        <v>2.69</v>
      </c>
      <c r="E16">
        <f t="shared" ca="1" si="0"/>
        <v>7.93</v>
      </c>
      <c r="F16">
        <f t="shared" ca="1" si="1"/>
        <v>0</v>
      </c>
      <c r="G16">
        <f t="shared" si="3"/>
        <v>6.7</v>
      </c>
      <c r="H16">
        <f ca="1">ROUND(AVERAGE($H$4:H31),2)</f>
        <v>1.97</v>
      </c>
      <c r="I16">
        <f t="shared" ca="1" si="2"/>
        <v>6.44</v>
      </c>
      <c r="K16" s="37"/>
      <c r="L16" s="37"/>
      <c r="M16" s="37"/>
      <c r="N16" s="37"/>
      <c r="O16" s="37"/>
      <c r="P16" s="37"/>
      <c r="Q16" s="37"/>
      <c r="R16" s="37"/>
      <c r="S16" s="37"/>
      <c r="T16" s="37"/>
      <c r="U16" s="37"/>
      <c r="V16" s="37"/>
      <c r="W16" s="37"/>
      <c r="X16" s="37"/>
      <c r="Y16" s="37"/>
    </row>
    <row r="17" spans="1:25" ht="13.2" customHeight="1" x14ac:dyDescent="0.25">
      <c r="A17" t="s">
        <v>15</v>
      </c>
      <c r="B17" t="s">
        <v>46</v>
      </c>
      <c r="C17">
        <v>4.9000000000000004</v>
      </c>
      <c r="D17">
        <f ca="1">ROUND(AVERAGE($D$3:D32),2)</f>
        <v>2.69</v>
      </c>
      <c r="E17">
        <f t="shared" ca="1" si="0"/>
        <v>7.93</v>
      </c>
      <c r="F17">
        <f t="shared" ca="1" si="1"/>
        <v>0</v>
      </c>
      <c r="G17">
        <f t="shared" si="3"/>
        <v>2.5999999999999996</v>
      </c>
      <c r="H17">
        <f ca="1">ROUND(AVERAGE($H$4:H32),2)</f>
        <v>1.97</v>
      </c>
      <c r="I17">
        <f t="shared" ca="1" si="2"/>
        <v>6.44</v>
      </c>
      <c r="K17" s="37"/>
      <c r="L17" s="37"/>
      <c r="M17" s="37"/>
      <c r="N17" s="37"/>
      <c r="O17" s="37"/>
      <c r="P17" s="37"/>
      <c r="Q17" s="37"/>
      <c r="R17" s="37"/>
      <c r="S17" s="37"/>
      <c r="T17" s="37"/>
      <c r="U17" s="37"/>
      <c r="V17" s="37"/>
      <c r="W17" s="37"/>
      <c r="X17" s="37"/>
      <c r="Y17" s="37"/>
    </row>
    <row r="18" spans="1:25" ht="13.2" customHeight="1" x14ac:dyDescent="0.25">
      <c r="A18" t="s">
        <v>15</v>
      </c>
      <c r="B18" t="s">
        <v>47</v>
      </c>
      <c r="C18">
        <v>8.8000000000000007</v>
      </c>
      <c r="D18">
        <f ca="1">ROUND(AVERAGE($D$3:D33),2)</f>
        <v>2.69</v>
      </c>
      <c r="E18">
        <f t="shared" ca="1" si="0"/>
        <v>7.93</v>
      </c>
      <c r="F18">
        <f t="shared" ca="1" si="1"/>
        <v>0</v>
      </c>
      <c r="G18">
        <f t="shared" si="3"/>
        <v>3.9000000000000004</v>
      </c>
      <c r="H18">
        <f ca="1">ROUND(AVERAGE($H$4:H33),2)</f>
        <v>1.97</v>
      </c>
      <c r="I18">
        <f t="shared" ca="1" si="2"/>
        <v>6.44</v>
      </c>
      <c r="K18" s="37"/>
      <c r="L18" s="37"/>
      <c r="M18" s="37"/>
      <c r="N18" s="37"/>
      <c r="O18" s="37"/>
      <c r="P18" s="37"/>
      <c r="Q18" s="37"/>
      <c r="R18" s="37"/>
      <c r="S18" s="37"/>
      <c r="T18" s="37"/>
      <c r="U18" s="37"/>
      <c r="V18" s="37"/>
      <c r="W18" s="37"/>
      <c r="X18" s="37"/>
      <c r="Y18" s="37"/>
    </row>
    <row r="19" spans="1:25" ht="13.2" customHeight="1" x14ac:dyDescent="0.25">
      <c r="K19" s="37"/>
      <c r="L19" s="37"/>
      <c r="M19" s="37"/>
      <c r="N19" s="37"/>
      <c r="O19" s="37"/>
      <c r="P19" s="37"/>
      <c r="Q19" s="37"/>
      <c r="R19" s="37"/>
      <c r="S19" s="37"/>
      <c r="T19" s="37"/>
      <c r="U19" s="37"/>
      <c r="V19" s="37"/>
      <c r="W19" s="37"/>
      <c r="X19" s="37"/>
      <c r="Y19" s="37"/>
    </row>
    <row r="20" spans="1:25" ht="13.2" customHeight="1" x14ac:dyDescent="0.25">
      <c r="K20" s="37"/>
      <c r="L20" s="37"/>
      <c r="M20" s="37"/>
      <c r="N20" s="37"/>
      <c r="O20" s="37"/>
      <c r="P20" s="37"/>
      <c r="Q20" s="37"/>
      <c r="R20" s="37"/>
      <c r="S20" s="37"/>
      <c r="T20" s="37"/>
      <c r="U20" s="37"/>
      <c r="V20" s="37"/>
      <c r="W20" s="37"/>
      <c r="X20" s="37"/>
      <c r="Y20" s="37"/>
    </row>
    <row r="21" spans="1:25" ht="13.2" customHeight="1" x14ac:dyDescent="0.25">
      <c r="K21" s="37"/>
      <c r="L21" s="37"/>
      <c r="M21" s="37"/>
      <c r="N21" s="37"/>
      <c r="O21" s="37"/>
      <c r="P21" s="37"/>
      <c r="Q21" s="37"/>
      <c r="R21" s="37"/>
      <c r="S21" s="37"/>
      <c r="T21" s="37"/>
      <c r="U21" s="37"/>
      <c r="V21" s="37"/>
      <c r="W21" s="37"/>
      <c r="X21" s="37"/>
      <c r="Y21" s="37"/>
    </row>
    <row r="22" spans="1:25" ht="13.2" customHeight="1" x14ac:dyDescent="0.25">
      <c r="K22" s="37"/>
      <c r="L22" s="37"/>
      <c r="M22" s="37"/>
      <c r="N22" s="37"/>
      <c r="O22" s="37"/>
      <c r="P22" s="37"/>
      <c r="Q22" s="37"/>
      <c r="R22" s="37"/>
      <c r="S22" s="37"/>
      <c r="T22" s="37"/>
      <c r="U22" s="37"/>
      <c r="V22" s="37"/>
      <c r="W22" s="37"/>
      <c r="X22" s="37"/>
      <c r="Y22" s="37"/>
    </row>
    <row r="23" spans="1:25" ht="13.2" customHeight="1" x14ac:dyDescent="0.25">
      <c r="K23" s="37"/>
      <c r="L23" s="37"/>
      <c r="M23" s="37"/>
      <c r="N23" s="37"/>
      <c r="O23" s="37"/>
      <c r="P23" s="37"/>
      <c r="Q23" s="37"/>
      <c r="R23" s="37"/>
      <c r="S23" s="37"/>
      <c r="T23" s="37"/>
      <c r="U23" s="37"/>
      <c r="V23" s="37"/>
      <c r="W23" s="37"/>
      <c r="X23" s="37"/>
      <c r="Y23" s="37"/>
    </row>
    <row r="24" spans="1:25" ht="13.2" customHeight="1" x14ac:dyDescent="0.25">
      <c r="K24" s="37"/>
      <c r="L24" s="37"/>
      <c r="M24" s="37"/>
      <c r="N24" s="37"/>
      <c r="O24" s="37"/>
      <c r="P24" s="37"/>
      <c r="Q24" s="37"/>
      <c r="R24" s="37"/>
      <c r="S24" s="37"/>
      <c r="T24" s="37"/>
      <c r="U24" s="37"/>
      <c r="V24" s="37"/>
      <c r="W24" s="37"/>
      <c r="X24" s="37"/>
      <c r="Y24" s="37"/>
    </row>
    <row r="25" spans="1:25" ht="13.2" customHeight="1" x14ac:dyDescent="0.25">
      <c r="K25" s="37"/>
      <c r="L25" s="37"/>
      <c r="M25" s="37"/>
      <c r="N25" s="37"/>
      <c r="O25" s="37"/>
      <c r="P25" s="37"/>
      <c r="Q25" s="37"/>
      <c r="R25" s="37"/>
      <c r="S25" s="37"/>
      <c r="T25" s="37"/>
      <c r="U25" s="37"/>
      <c r="V25" s="37"/>
      <c r="W25" s="37"/>
      <c r="X25" s="37"/>
      <c r="Y25" s="37"/>
    </row>
    <row r="26" spans="1:25" ht="13.2" customHeight="1" x14ac:dyDescent="0.25">
      <c r="K26" s="37"/>
      <c r="L26" s="37"/>
      <c r="M26" s="37"/>
      <c r="N26" s="37"/>
      <c r="O26" s="37"/>
      <c r="P26" s="37"/>
      <c r="Q26" s="37"/>
      <c r="R26" s="37"/>
      <c r="S26" s="37"/>
      <c r="T26" s="37"/>
      <c r="U26" s="37"/>
      <c r="V26" s="37"/>
      <c r="W26" s="37"/>
      <c r="X26" s="37"/>
      <c r="Y26" s="37"/>
    </row>
    <row r="27" spans="1:25" ht="13.2" customHeight="1" x14ac:dyDescent="0.25">
      <c r="K27" s="37"/>
      <c r="L27" s="37"/>
      <c r="M27" s="37"/>
      <c r="N27" s="37"/>
      <c r="O27" s="37"/>
      <c r="P27" s="37"/>
      <c r="Q27" s="37"/>
      <c r="R27" s="37"/>
      <c r="S27" s="37"/>
      <c r="T27" s="37"/>
      <c r="U27" s="37"/>
      <c r="V27" s="37"/>
      <c r="W27" s="37"/>
      <c r="X27" s="37"/>
      <c r="Y27" s="37"/>
    </row>
    <row r="28" spans="1:25" ht="13.2" customHeight="1" x14ac:dyDescent="0.25">
      <c r="K28" s="37"/>
      <c r="L28" s="37"/>
      <c r="M28" s="37"/>
      <c r="N28" s="37"/>
      <c r="O28" s="37"/>
      <c r="P28" s="37"/>
      <c r="Q28" s="37"/>
      <c r="R28" s="37"/>
      <c r="S28" s="37"/>
      <c r="T28" s="37"/>
      <c r="U28" s="37"/>
      <c r="V28" s="37"/>
      <c r="W28" s="37"/>
      <c r="X28" s="37"/>
      <c r="Y28" s="37"/>
    </row>
    <row r="30" spans="1:25" x14ac:dyDescent="0.25">
      <c r="K30" s="40" t="s">
        <v>18</v>
      </c>
      <c r="L30" s="40"/>
      <c r="M30" s="40"/>
      <c r="N30" s="40"/>
      <c r="O30" s="40"/>
      <c r="P30" s="40"/>
      <c r="Q30" s="40"/>
      <c r="R30" s="40"/>
      <c r="S30" s="40"/>
      <c r="T30" s="40"/>
      <c r="U30" s="40"/>
      <c r="V30" s="40"/>
      <c r="W30" s="40"/>
      <c r="X30" s="40"/>
      <c r="Y30" s="40"/>
    </row>
    <row r="31" spans="1:25" x14ac:dyDescent="0.25">
      <c r="K31" s="40"/>
      <c r="L31" s="40"/>
      <c r="M31" s="40"/>
      <c r="N31" s="40"/>
      <c r="O31" s="40"/>
      <c r="P31" s="40"/>
      <c r="Q31" s="40"/>
      <c r="R31" s="40"/>
      <c r="S31" s="40"/>
      <c r="T31" s="40"/>
      <c r="U31" s="40"/>
      <c r="V31" s="40"/>
      <c r="W31" s="40"/>
      <c r="X31" s="40"/>
      <c r="Y31" s="40"/>
    </row>
    <row r="32" spans="1:25" x14ac:dyDescent="0.25">
      <c r="K32" s="40"/>
      <c r="L32" s="40"/>
      <c r="M32" s="40"/>
      <c r="N32" s="40"/>
      <c r="O32" s="40"/>
      <c r="P32" s="40"/>
      <c r="Q32" s="40"/>
      <c r="R32" s="40"/>
      <c r="S32" s="40"/>
      <c r="T32" s="40"/>
      <c r="U32" s="40"/>
      <c r="V32" s="40"/>
      <c r="W32" s="40"/>
      <c r="X32" s="40"/>
      <c r="Y32" s="40"/>
    </row>
    <row r="33" spans="11:25" x14ac:dyDescent="0.25">
      <c r="K33" s="40"/>
      <c r="L33" s="40"/>
      <c r="M33" s="40"/>
      <c r="N33" s="40"/>
      <c r="O33" s="40"/>
      <c r="P33" s="40"/>
      <c r="Q33" s="40"/>
      <c r="R33" s="40"/>
      <c r="S33" s="40"/>
      <c r="T33" s="40"/>
      <c r="U33" s="40"/>
      <c r="V33" s="40"/>
      <c r="W33" s="40"/>
      <c r="X33" s="40"/>
      <c r="Y33" s="40"/>
    </row>
    <row r="34" spans="11:25" x14ac:dyDescent="0.25">
      <c r="K34" s="40"/>
      <c r="L34" s="40"/>
      <c r="M34" s="40"/>
      <c r="N34" s="40"/>
      <c r="O34" s="40"/>
      <c r="P34" s="40"/>
      <c r="Q34" s="40"/>
      <c r="R34" s="40"/>
      <c r="S34" s="40"/>
      <c r="T34" s="40"/>
      <c r="U34" s="40"/>
      <c r="V34" s="40"/>
      <c r="W34" s="40"/>
      <c r="X34" s="40"/>
      <c r="Y34" s="40"/>
    </row>
    <row r="35" spans="11:25" x14ac:dyDescent="0.25">
      <c r="K35" s="40"/>
      <c r="L35" s="40"/>
      <c r="M35" s="40"/>
      <c r="N35" s="40"/>
      <c r="O35" s="40"/>
      <c r="P35" s="40"/>
      <c r="Q35" s="40"/>
      <c r="R35" s="40"/>
      <c r="S35" s="40"/>
      <c r="T35" s="40"/>
      <c r="U35" s="40"/>
      <c r="V35" s="40"/>
      <c r="W35" s="40"/>
      <c r="X35" s="40"/>
      <c r="Y35" s="40"/>
    </row>
    <row r="36" spans="11:25" x14ac:dyDescent="0.25">
      <c r="K36" s="40"/>
      <c r="L36" s="40"/>
      <c r="M36" s="40"/>
      <c r="N36" s="40"/>
      <c r="O36" s="40"/>
      <c r="P36" s="40"/>
      <c r="Q36" s="40"/>
      <c r="R36" s="40"/>
      <c r="S36" s="40"/>
      <c r="T36" s="40"/>
      <c r="U36" s="40"/>
      <c r="V36" s="40"/>
      <c r="W36" s="40"/>
      <c r="X36" s="40"/>
      <c r="Y36" s="40"/>
    </row>
    <row r="37" spans="11:25" x14ac:dyDescent="0.25">
      <c r="K37" s="40"/>
      <c r="L37" s="40"/>
      <c r="M37" s="40"/>
      <c r="N37" s="40"/>
      <c r="O37" s="40"/>
      <c r="P37" s="40"/>
      <c r="Q37" s="40"/>
      <c r="R37" s="40"/>
      <c r="S37" s="40"/>
      <c r="T37" s="40"/>
      <c r="U37" s="40"/>
      <c r="V37" s="40"/>
      <c r="W37" s="40"/>
      <c r="X37" s="40"/>
      <c r="Y37" s="40"/>
    </row>
    <row r="38" spans="11:25" x14ac:dyDescent="0.25">
      <c r="K38" s="40"/>
      <c r="L38" s="40"/>
      <c r="M38" s="40"/>
      <c r="N38" s="40"/>
      <c r="O38" s="40"/>
      <c r="P38" s="40"/>
      <c r="Q38" s="40"/>
      <c r="R38" s="40"/>
      <c r="S38" s="40"/>
      <c r="T38" s="40"/>
      <c r="U38" s="40"/>
      <c r="V38" s="40"/>
      <c r="W38" s="40"/>
      <c r="X38" s="40"/>
      <c r="Y38" s="40"/>
    </row>
    <row r="39" spans="11:25" x14ac:dyDescent="0.25">
      <c r="K39" s="40"/>
      <c r="L39" s="40"/>
      <c r="M39" s="40"/>
      <c r="N39" s="40"/>
      <c r="O39" s="40"/>
      <c r="P39" s="40"/>
      <c r="Q39" s="40"/>
      <c r="R39" s="40"/>
      <c r="S39" s="40"/>
      <c r="T39" s="40"/>
      <c r="U39" s="40"/>
      <c r="V39" s="40"/>
      <c r="W39" s="40"/>
      <c r="X39" s="40"/>
      <c r="Y39" s="40"/>
    </row>
    <row r="40" spans="11:25" x14ac:dyDescent="0.25">
      <c r="K40" s="40"/>
      <c r="L40" s="40"/>
      <c r="M40" s="40"/>
      <c r="N40" s="40"/>
      <c r="O40" s="40"/>
      <c r="P40" s="40"/>
      <c r="Q40" s="40"/>
      <c r="R40" s="40"/>
      <c r="S40" s="40"/>
      <c r="T40" s="40"/>
      <c r="U40" s="40"/>
      <c r="V40" s="40"/>
      <c r="W40" s="40"/>
      <c r="X40" s="40"/>
      <c r="Y40" s="40"/>
    </row>
    <row r="41" spans="11:25" x14ac:dyDescent="0.25">
      <c r="K41" s="40"/>
      <c r="L41" s="40"/>
      <c r="M41" s="40"/>
      <c r="N41" s="40"/>
      <c r="O41" s="40"/>
      <c r="P41" s="40"/>
      <c r="Q41" s="40"/>
      <c r="R41" s="40"/>
      <c r="S41" s="40"/>
      <c r="T41" s="40"/>
      <c r="U41" s="40"/>
      <c r="V41" s="40"/>
      <c r="W41" s="40"/>
      <c r="X41" s="40"/>
      <c r="Y41" s="40"/>
    </row>
    <row r="42" spans="11:25" x14ac:dyDescent="0.25">
      <c r="K42" s="40" t="s">
        <v>19</v>
      </c>
      <c r="L42" s="41"/>
      <c r="M42" s="41"/>
      <c r="N42" s="41"/>
      <c r="O42" s="41"/>
      <c r="P42" s="41"/>
      <c r="Q42" s="41"/>
      <c r="R42" s="41"/>
      <c r="S42" s="41"/>
      <c r="T42" s="41"/>
      <c r="U42" s="41"/>
      <c r="V42" s="41"/>
      <c r="W42" s="41"/>
      <c r="X42" s="41"/>
      <c r="Y42" s="41"/>
    </row>
    <row r="43" spans="11:25" x14ac:dyDescent="0.25">
      <c r="K43" s="41"/>
      <c r="L43" s="41"/>
      <c r="M43" s="41"/>
      <c r="N43" s="41"/>
      <c r="O43" s="41"/>
      <c r="P43" s="41"/>
      <c r="Q43" s="41"/>
      <c r="R43" s="41"/>
      <c r="S43" s="41"/>
      <c r="T43" s="41"/>
      <c r="U43" s="41"/>
      <c r="V43" s="41"/>
      <c r="W43" s="41"/>
      <c r="X43" s="41"/>
      <c r="Y43" s="41"/>
    </row>
    <row r="44" spans="11:25" x14ac:dyDescent="0.25">
      <c r="K44" s="41"/>
      <c r="L44" s="41"/>
      <c r="M44" s="41"/>
      <c r="N44" s="41"/>
      <c r="O44" s="41"/>
      <c r="P44" s="41"/>
      <c r="Q44" s="41"/>
      <c r="R44" s="41"/>
      <c r="S44" s="41"/>
      <c r="T44" s="41"/>
      <c r="U44" s="41"/>
      <c r="V44" s="41"/>
      <c r="W44" s="41"/>
      <c r="X44" s="41"/>
      <c r="Y44" s="41"/>
    </row>
    <row r="45" spans="11:25" x14ac:dyDescent="0.25">
      <c r="K45" s="41"/>
      <c r="L45" s="41"/>
      <c r="M45" s="41"/>
      <c r="N45" s="41"/>
      <c r="O45" s="41"/>
      <c r="P45" s="41"/>
      <c r="Q45" s="41"/>
      <c r="R45" s="41"/>
      <c r="S45" s="41"/>
      <c r="T45" s="41"/>
      <c r="U45" s="41"/>
      <c r="V45" s="41"/>
      <c r="W45" s="41"/>
      <c r="X45" s="41"/>
      <c r="Y45" s="41"/>
    </row>
    <row r="46" spans="11:25" x14ac:dyDescent="0.25">
      <c r="K46" s="41"/>
      <c r="L46" s="41"/>
      <c r="M46" s="41"/>
      <c r="N46" s="41"/>
      <c r="O46" s="41"/>
      <c r="P46" s="41"/>
      <c r="Q46" s="41"/>
      <c r="R46" s="41"/>
      <c r="S46" s="41"/>
      <c r="T46" s="41"/>
      <c r="U46" s="41"/>
      <c r="V46" s="41"/>
      <c r="W46" s="41"/>
      <c r="X46" s="41"/>
      <c r="Y46" s="41"/>
    </row>
    <row r="47" spans="11:25" x14ac:dyDescent="0.25">
      <c r="K47" s="41"/>
      <c r="L47" s="41"/>
      <c r="M47" s="41"/>
      <c r="N47" s="41"/>
      <c r="O47" s="41"/>
      <c r="P47" s="41"/>
      <c r="Q47" s="41"/>
      <c r="R47" s="41"/>
      <c r="S47" s="41"/>
      <c r="T47" s="41"/>
      <c r="U47" s="41"/>
      <c r="V47" s="41"/>
      <c r="W47" s="41"/>
      <c r="X47" s="41"/>
      <c r="Y47" s="41"/>
    </row>
    <row r="48" spans="11:25" x14ac:dyDescent="0.25">
      <c r="K48" s="41"/>
      <c r="L48" s="41"/>
      <c r="M48" s="41"/>
      <c r="N48" s="41"/>
      <c r="O48" s="41"/>
      <c r="P48" s="41"/>
      <c r="Q48" s="41"/>
      <c r="R48" s="41"/>
      <c r="S48" s="41"/>
      <c r="T48" s="41"/>
      <c r="U48" s="41"/>
      <c r="V48" s="41"/>
      <c r="W48" s="41"/>
      <c r="X48" s="41"/>
      <c r="Y48" s="41"/>
    </row>
    <row r="49" spans="11:25" x14ac:dyDescent="0.25">
      <c r="K49" s="41"/>
      <c r="L49" s="41"/>
      <c r="M49" s="41"/>
      <c r="N49" s="41"/>
      <c r="O49" s="41"/>
      <c r="P49" s="41"/>
      <c r="Q49" s="41"/>
      <c r="R49" s="41"/>
      <c r="S49" s="41"/>
      <c r="T49" s="41"/>
      <c r="U49" s="41"/>
      <c r="V49" s="41"/>
      <c r="W49" s="41"/>
      <c r="X49" s="41"/>
      <c r="Y49" s="41"/>
    </row>
    <row r="50" spans="11:25" x14ac:dyDescent="0.25">
      <c r="K50" s="41"/>
      <c r="L50" s="41"/>
      <c r="M50" s="41"/>
      <c r="N50" s="41"/>
      <c r="O50" s="41"/>
      <c r="P50" s="41"/>
      <c r="Q50" s="41"/>
      <c r="R50" s="41"/>
      <c r="S50" s="41"/>
      <c r="T50" s="41"/>
      <c r="U50" s="41"/>
      <c r="V50" s="41"/>
      <c r="W50" s="41"/>
      <c r="X50" s="41"/>
      <c r="Y50" s="41"/>
    </row>
    <row r="51" spans="11:25" x14ac:dyDescent="0.25">
      <c r="K51" s="41"/>
      <c r="L51" s="41"/>
      <c r="M51" s="41"/>
      <c r="N51" s="41"/>
      <c r="O51" s="41"/>
      <c r="P51" s="41"/>
      <c r="Q51" s="41"/>
      <c r="R51" s="41"/>
      <c r="S51" s="41"/>
      <c r="T51" s="41"/>
      <c r="U51" s="41"/>
      <c r="V51" s="41"/>
      <c r="W51" s="41"/>
      <c r="X51" s="41"/>
      <c r="Y51" s="41"/>
    </row>
  </sheetData>
  <mergeCells count="5">
    <mergeCell ref="K30:Y41"/>
    <mergeCell ref="K42:Y51"/>
    <mergeCell ref="K1:Y1"/>
    <mergeCell ref="K2:Y28"/>
    <mergeCell ref="A1:I1"/>
  </mergeCell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ECE64-EBD3-40E4-97D9-F868E2E05BAB}">
  <dimension ref="A1:Y18"/>
  <sheetViews>
    <sheetView topLeftCell="C1" workbookViewId="0">
      <selection activeCell="K15" sqref="K15"/>
    </sheetView>
  </sheetViews>
  <sheetFormatPr defaultRowHeight="13.2" x14ac:dyDescent="0.25"/>
  <cols>
    <col min="1" max="1" width="20.77734375" bestFit="1" customWidth="1"/>
    <col min="2" max="2" width="7.109375" bestFit="1" customWidth="1"/>
    <col min="4" max="5" width="7.6640625" bestFit="1" customWidth="1"/>
    <col min="6" max="6" width="6.6640625" bestFit="1" customWidth="1"/>
    <col min="7" max="7" width="6.44140625" bestFit="1" customWidth="1"/>
    <col min="8" max="8" width="7" bestFit="1" customWidth="1"/>
    <col min="9" max="9" width="10" bestFit="1" customWidth="1"/>
  </cols>
  <sheetData>
    <row r="1" spans="1:25" ht="24.6" x14ac:dyDescent="0.55000000000000004">
      <c r="A1" s="36" t="s">
        <v>16</v>
      </c>
      <c r="B1" s="36"/>
      <c r="C1" s="36"/>
      <c r="D1" s="36"/>
      <c r="E1" s="36"/>
      <c r="F1" s="36"/>
      <c r="G1" s="36"/>
      <c r="H1" s="36"/>
      <c r="I1" s="36"/>
      <c r="K1" s="36" t="s">
        <v>13</v>
      </c>
      <c r="L1" s="36"/>
      <c r="M1" s="36"/>
      <c r="N1" s="36"/>
      <c r="O1" s="36"/>
      <c r="P1" s="36"/>
      <c r="Q1" s="36"/>
      <c r="R1" s="36"/>
      <c r="S1" s="36"/>
      <c r="T1" s="36"/>
      <c r="U1" s="36"/>
      <c r="V1" s="36"/>
      <c r="W1" s="36"/>
      <c r="X1" s="36"/>
      <c r="Y1" s="36"/>
    </row>
    <row r="2" spans="1:25" ht="13.2" customHeight="1" x14ac:dyDescent="0.25">
      <c r="A2" t="s">
        <v>14</v>
      </c>
      <c r="B2" t="s">
        <v>20</v>
      </c>
      <c r="C2" t="s">
        <v>2</v>
      </c>
      <c r="D2" s="3" t="s">
        <v>3</v>
      </c>
      <c r="E2" s="1" t="s">
        <v>4</v>
      </c>
      <c r="F2" s="1" t="s">
        <v>5</v>
      </c>
      <c r="G2" s="1" t="s">
        <v>6</v>
      </c>
      <c r="H2" s="1" t="s">
        <v>7</v>
      </c>
      <c r="I2" s="1" t="s">
        <v>8</v>
      </c>
      <c r="K2" s="37" t="s">
        <v>55</v>
      </c>
      <c r="L2" s="37"/>
      <c r="M2" s="37"/>
      <c r="N2" s="37"/>
      <c r="O2" s="37"/>
      <c r="P2" s="37"/>
      <c r="Q2" s="37"/>
      <c r="R2" s="37"/>
      <c r="S2" s="37"/>
      <c r="T2" s="37"/>
      <c r="U2" s="37"/>
      <c r="V2" s="37"/>
      <c r="W2" s="37"/>
      <c r="X2" s="37"/>
      <c r="Y2" s="37"/>
    </row>
    <row r="3" spans="1:25" ht="13.2" customHeight="1" x14ac:dyDescent="0.25">
      <c r="A3" t="s">
        <v>15</v>
      </c>
      <c r="B3" t="s">
        <v>32</v>
      </c>
      <c r="C3">
        <v>0.8</v>
      </c>
      <c r="D3">
        <f>ROUND(AVERAGE($C$3:C18),2)</f>
        <v>2.69</v>
      </c>
      <c r="E3">
        <f t="shared" ref="E3:E18" si="0">ROUND(D3+(2.66*H3),2)</f>
        <v>7.93</v>
      </c>
      <c r="F3">
        <f t="shared" ref="F3:F18" si="1">ROUND(MAX(0,D3-(2.66*H3)),2)</f>
        <v>0</v>
      </c>
      <c r="H3">
        <f>ROUND(AVERAGE($G$4:G18),2)</f>
        <v>1.97</v>
      </c>
      <c r="I3">
        <f t="shared" ref="I3:I18" si="2">ROUND(3.268*H3,2)</f>
        <v>6.44</v>
      </c>
      <c r="K3" s="37"/>
      <c r="L3" s="37"/>
      <c r="M3" s="37"/>
      <c r="N3" s="37"/>
      <c r="O3" s="37"/>
      <c r="P3" s="37"/>
      <c r="Q3" s="37"/>
      <c r="R3" s="37"/>
      <c r="S3" s="37"/>
      <c r="T3" s="37"/>
      <c r="U3" s="37"/>
      <c r="V3" s="37"/>
      <c r="W3" s="37"/>
      <c r="X3" s="37"/>
      <c r="Y3" s="37"/>
    </row>
    <row r="4" spans="1:25" ht="13.2" customHeight="1" x14ac:dyDescent="0.25">
      <c r="A4" t="s">
        <v>15</v>
      </c>
      <c r="B4" t="s">
        <v>33</v>
      </c>
      <c r="C4">
        <v>1.9</v>
      </c>
      <c r="D4">
        <f ca="1">ROUND(AVERAGE($D$3:D19),2)</f>
        <v>2.69</v>
      </c>
      <c r="E4">
        <f t="shared" ca="1" si="0"/>
        <v>7.93</v>
      </c>
      <c r="F4">
        <f t="shared" ca="1" si="1"/>
        <v>0</v>
      </c>
      <c r="G4">
        <f t="shared" ref="G4:G18" si="3">ABS(C3-C4)</f>
        <v>1.0999999999999999</v>
      </c>
      <c r="H4">
        <f ca="1">ROUND(AVERAGE($H$4:H19),2)</f>
        <v>1.97</v>
      </c>
      <c r="I4">
        <f t="shared" ca="1" si="2"/>
        <v>6.44</v>
      </c>
      <c r="K4" s="37"/>
      <c r="L4" s="37"/>
      <c r="M4" s="37"/>
      <c r="N4" s="37"/>
      <c r="O4" s="37"/>
      <c r="P4" s="37"/>
      <c r="Q4" s="37"/>
      <c r="R4" s="37"/>
      <c r="S4" s="37"/>
      <c r="T4" s="37"/>
      <c r="U4" s="37"/>
      <c r="V4" s="37"/>
      <c r="W4" s="37"/>
      <c r="X4" s="37"/>
      <c r="Y4" s="37"/>
    </row>
    <row r="5" spans="1:25" ht="13.2" customHeight="1" x14ac:dyDescent="0.25">
      <c r="A5" t="s">
        <v>15</v>
      </c>
      <c r="B5" t="s">
        <v>34</v>
      </c>
      <c r="C5">
        <v>0.6</v>
      </c>
      <c r="D5">
        <f ca="1">ROUND(AVERAGE($D$3:D20),2)</f>
        <v>2.69</v>
      </c>
      <c r="E5">
        <f t="shared" ca="1" si="0"/>
        <v>7.93</v>
      </c>
      <c r="F5">
        <f t="shared" ca="1" si="1"/>
        <v>0</v>
      </c>
      <c r="G5">
        <f t="shared" si="3"/>
        <v>1.2999999999999998</v>
      </c>
      <c r="H5">
        <f ca="1">ROUND(AVERAGE($H$4:H20),2)</f>
        <v>1.97</v>
      </c>
      <c r="I5">
        <f t="shared" ca="1" si="2"/>
        <v>6.44</v>
      </c>
      <c r="K5" s="37"/>
      <c r="L5" s="37"/>
      <c r="M5" s="37"/>
      <c r="N5" s="37"/>
      <c r="O5" s="37"/>
      <c r="P5" s="37"/>
      <c r="Q5" s="37"/>
      <c r="R5" s="37"/>
      <c r="S5" s="37"/>
      <c r="T5" s="37"/>
      <c r="U5" s="37"/>
      <c r="V5" s="37"/>
      <c r="W5" s="37"/>
      <c r="X5" s="37"/>
      <c r="Y5" s="37"/>
    </row>
    <row r="6" spans="1:25" ht="13.2" customHeight="1" x14ac:dyDescent="0.25">
      <c r="A6" t="s">
        <v>15</v>
      </c>
      <c r="B6" t="s">
        <v>35</v>
      </c>
      <c r="C6">
        <v>1.1000000000000001</v>
      </c>
      <c r="D6">
        <f ca="1">ROUND(AVERAGE($D$3:D21),2)</f>
        <v>2.69</v>
      </c>
      <c r="E6">
        <f t="shared" ca="1" si="0"/>
        <v>7.93</v>
      </c>
      <c r="F6">
        <f t="shared" ca="1" si="1"/>
        <v>0</v>
      </c>
      <c r="G6">
        <f t="shared" si="3"/>
        <v>0.50000000000000011</v>
      </c>
      <c r="H6">
        <f ca="1">ROUND(AVERAGE($H$4:H21),2)</f>
        <v>1.97</v>
      </c>
      <c r="I6">
        <f t="shared" ca="1" si="2"/>
        <v>6.44</v>
      </c>
      <c r="K6" s="37"/>
      <c r="L6" s="37"/>
      <c r="M6" s="37"/>
      <c r="N6" s="37"/>
      <c r="O6" s="37"/>
      <c r="P6" s="37"/>
      <c r="Q6" s="37"/>
      <c r="R6" s="37"/>
      <c r="S6" s="37"/>
      <c r="T6" s="37"/>
      <c r="U6" s="37"/>
      <c r="V6" s="37"/>
      <c r="W6" s="37"/>
      <c r="X6" s="37"/>
      <c r="Y6" s="37"/>
    </row>
    <row r="7" spans="1:25" ht="13.2" customHeight="1" x14ac:dyDescent="0.25">
      <c r="A7" t="s">
        <v>15</v>
      </c>
      <c r="B7" t="s">
        <v>36</v>
      </c>
      <c r="C7">
        <v>3.2</v>
      </c>
      <c r="D7">
        <f ca="1">ROUND(AVERAGE($D$3:D22),2)</f>
        <v>2.69</v>
      </c>
      <c r="E7">
        <f t="shared" ca="1" si="0"/>
        <v>7.93</v>
      </c>
      <c r="F7">
        <f t="shared" ca="1" si="1"/>
        <v>0</v>
      </c>
      <c r="G7">
        <f t="shared" si="3"/>
        <v>2.1</v>
      </c>
      <c r="H7">
        <f ca="1">ROUND(AVERAGE($H$4:H22),2)</f>
        <v>1.97</v>
      </c>
      <c r="I7">
        <f t="shared" ca="1" si="2"/>
        <v>6.44</v>
      </c>
      <c r="K7" s="37"/>
      <c r="L7" s="37"/>
      <c r="M7" s="37"/>
      <c r="N7" s="37"/>
      <c r="O7" s="37"/>
      <c r="P7" s="37"/>
      <c r="Q7" s="37"/>
      <c r="R7" s="37"/>
      <c r="S7" s="37"/>
      <c r="T7" s="37"/>
      <c r="U7" s="37"/>
      <c r="V7" s="37"/>
      <c r="W7" s="37"/>
      <c r="X7" s="37"/>
      <c r="Y7" s="37"/>
    </row>
    <row r="8" spans="1:25" ht="13.2" customHeight="1" x14ac:dyDescent="0.25">
      <c r="A8" t="s">
        <v>15</v>
      </c>
      <c r="B8" t="s">
        <v>37</v>
      </c>
      <c r="C8">
        <v>0.7</v>
      </c>
      <c r="D8">
        <f ca="1">ROUND(AVERAGE($D$3:D23),2)</f>
        <v>2.69</v>
      </c>
      <c r="E8">
        <f t="shared" ca="1" si="0"/>
        <v>7.93</v>
      </c>
      <c r="F8">
        <f t="shared" ca="1" si="1"/>
        <v>0</v>
      </c>
      <c r="G8">
        <f t="shared" si="3"/>
        <v>2.5</v>
      </c>
      <c r="H8">
        <f ca="1">ROUND(AVERAGE($H$4:H23),2)</f>
        <v>1.97</v>
      </c>
      <c r="I8">
        <f t="shared" ca="1" si="2"/>
        <v>6.44</v>
      </c>
      <c r="K8" s="37"/>
      <c r="L8" s="37"/>
      <c r="M8" s="37"/>
      <c r="N8" s="37"/>
      <c r="O8" s="37"/>
      <c r="P8" s="37"/>
      <c r="Q8" s="37"/>
      <c r="R8" s="37"/>
      <c r="S8" s="37"/>
      <c r="T8" s="37"/>
      <c r="U8" s="37"/>
      <c r="V8" s="37"/>
      <c r="W8" s="37"/>
      <c r="X8" s="37"/>
      <c r="Y8" s="37"/>
    </row>
    <row r="9" spans="1:25" ht="13.2" customHeight="1" x14ac:dyDescent="0.25">
      <c r="A9" t="s">
        <v>15</v>
      </c>
      <c r="B9" t="s">
        <v>38</v>
      </c>
      <c r="C9">
        <v>0.5</v>
      </c>
      <c r="D9">
        <f ca="1">ROUND(AVERAGE($D$3:D24),2)</f>
        <v>2.69</v>
      </c>
      <c r="E9">
        <f t="shared" ca="1" si="0"/>
        <v>7.93</v>
      </c>
      <c r="F9">
        <f t="shared" ca="1" si="1"/>
        <v>0</v>
      </c>
      <c r="G9">
        <f t="shared" si="3"/>
        <v>0.19999999999999996</v>
      </c>
      <c r="H9">
        <f ca="1">ROUND(AVERAGE($H$4:H24),2)</f>
        <v>1.97</v>
      </c>
      <c r="I9">
        <f t="shared" ca="1" si="2"/>
        <v>6.44</v>
      </c>
      <c r="K9" s="37"/>
      <c r="L9" s="37"/>
      <c r="M9" s="37"/>
      <c r="N9" s="37"/>
      <c r="O9" s="37"/>
      <c r="P9" s="37"/>
      <c r="Q9" s="37"/>
      <c r="R9" s="37"/>
      <c r="S9" s="37"/>
      <c r="T9" s="37"/>
      <c r="U9" s="37"/>
      <c r="V9" s="37"/>
      <c r="W9" s="37"/>
      <c r="X9" s="37"/>
      <c r="Y9" s="37"/>
    </row>
    <row r="10" spans="1:25" ht="13.2" customHeight="1" x14ac:dyDescent="0.25">
      <c r="A10" t="s">
        <v>15</v>
      </c>
      <c r="B10" t="s">
        <v>39</v>
      </c>
      <c r="C10">
        <v>0.9</v>
      </c>
      <c r="D10">
        <f ca="1">ROUND(AVERAGE($D$3:D25),2)</f>
        <v>2.69</v>
      </c>
      <c r="E10">
        <f t="shared" ca="1" si="0"/>
        <v>7.93</v>
      </c>
      <c r="F10">
        <f t="shared" ca="1" si="1"/>
        <v>0</v>
      </c>
      <c r="G10">
        <f t="shared" si="3"/>
        <v>0.4</v>
      </c>
      <c r="H10">
        <f ca="1">ROUND(AVERAGE($H$4:H25),2)</f>
        <v>1.97</v>
      </c>
      <c r="I10">
        <f t="shared" ca="1" si="2"/>
        <v>6.44</v>
      </c>
      <c r="K10" s="37"/>
      <c r="L10" s="37"/>
      <c r="M10" s="37"/>
      <c r="N10" s="37"/>
      <c r="O10" s="37"/>
      <c r="P10" s="37"/>
      <c r="Q10" s="37"/>
      <c r="R10" s="37"/>
      <c r="S10" s="37"/>
      <c r="T10" s="37"/>
      <c r="U10" s="37"/>
      <c r="V10" s="37"/>
      <c r="W10" s="37"/>
      <c r="X10" s="37"/>
      <c r="Y10" s="37"/>
    </row>
    <row r="11" spans="1:25" ht="13.2" customHeight="1" x14ac:dyDescent="0.25">
      <c r="A11" t="s">
        <v>15</v>
      </c>
      <c r="B11" t="s">
        <v>40</v>
      </c>
      <c r="C11">
        <v>2.2000000000000002</v>
      </c>
      <c r="D11">
        <f ca="1">ROUND(AVERAGE($D$3:D26),2)</f>
        <v>2.69</v>
      </c>
      <c r="E11">
        <f t="shared" ca="1" si="0"/>
        <v>7.93</v>
      </c>
      <c r="F11">
        <f t="shared" ca="1" si="1"/>
        <v>0</v>
      </c>
      <c r="G11">
        <f t="shared" si="3"/>
        <v>1.3000000000000003</v>
      </c>
      <c r="H11">
        <f ca="1">ROUND(AVERAGE($H$4:H26),2)</f>
        <v>1.97</v>
      </c>
      <c r="I11">
        <f t="shared" ca="1" si="2"/>
        <v>6.44</v>
      </c>
      <c r="K11" s="37"/>
      <c r="L11" s="37"/>
      <c r="M11" s="37"/>
      <c r="N11" s="37"/>
      <c r="O11" s="37"/>
      <c r="P11" s="37"/>
      <c r="Q11" s="37"/>
      <c r="R11" s="37"/>
      <c r="S11" s="37"/>
      <c r="T11" s="37"/>
      <c r="U11" s="37"/>
      <c r="V11" s="37"/>
      <c r="W11" s="37"/>
      <c r="X11" s="37"/>
      <c r="Y11" s="37"/>
    </row>
    <row r="12" spans="1:25" ht="13.2" customHeight="1" x14ac:dyDescent="0.25">
      <c r="A12" t="s">
        <v>15</v>
      </c>
      <c r="B12" t="s">
        <v>41</v>
      </c>
      <c r="C12">
        <v>5</v>
      </c>
      <c r="D12">
        <f ca="1">ROUND(AVERAGE($D$3:D27),2)</f>
        <v>2.69</v>
      </c>
      <c r="E12">
        <f t="shared" ca="1" si="0"/>
        <v>7.93</v>
      </c>
      <c r="F12">
        <f t="shared" ca="1" si="1"/>
        <v>0</v>
      </c>
      <c r="G12">
        <f t="shared" si="3"/>
        <v>2.8</v>
      </c>
      <c r="H12">
        <f ca="1">ROUND(AVERAGE($H$4:H27),2)</f>
        <v>1.97</v>
      </c>
      <c r="I12">
        <f t="shared" ca="1" si="2"/>
        <v>6.44</v>
      </c>
      <c r="K12" s="37"/>
      <c r="L12" s="37"/>
      <c r="M12" s="37"/>
      <c r="N12" s="37"/>
      <c r="O12" s="37"/>
      <c r="P12" s="37"/>
      <c r="Q12" s="37"/>
      <c r="R12" s="37"/>
      <c r="S12" s="37"/>
      <c r="T12" s="37"/>
      <c r="U12" s="37"/>
      <c r="V12" s="37"/>
      <c r="W12" s="37"/>
      <c r="X12" s="37"/>
      <c r="Y12" s="37"/>
    </row>
    <row r="13" spans="1:25" ht="13.2" customHeight="1" x14ac:dyDescent="0.25">
      <c r="A13" t="s">
        <v>15</v>
      </c>
      <c r="B13" t="s">
        <v>42</v>
      </c>
      <c r="C13">
        <v>2.5</v>
      </c>
      <c r="D13">
        <f ca="1">ROUND(AVERAGE($D$3:D28),2)</f>
        <v>2.69</v>
      </c>
      <c r="E13">
        <f t="shared" ca="1" si="0"/>
        <v>7.93</v>
      </c>
      <c r="F13">
        <f t="shared" ca="1" si="1"/>
        <v>0</v>
      </c>
      <c r="G13">
        <f t="shared" si="3"/>
        <v>2.5</v>
      </c>
      <c r="H13">
        <f ca="1">ROUND(AVERAGE($H$4:H28),2)</f>
        <v>1.97</v>
      </c>
      <c r="I13">
        <f t="shared" ca="1" si="2"/>
        <v>6.44</v>
      </c>
      <c r="K13" s="37"/>
      <c r="L13" s="37"/>
      <c r="M13" s="37"/>
      <c r="N13" s="37"/>
      <c r="O13" s="37"/>
      <c r="P13" s="37"/>
      <c r="Q13" s="37"/>
      <c r="R13" s="37"/>
      <c r="S13" s="37"/>
      <c r="T13" s="37"/>
      <c r="U13" s="37"/>
      <c r="V13" s="37"/>
      <c r="W13" s="37"/>
      <c r="X13" s="37"/>
      <c r="Y13" s="37"/>
    </row>
    <row r="14" spans="1:25" x14ac:dyDescent="0.25">
      <c r="A14" t="s">
        <v>15</v>
      </c>
      <c r="B14" t="s">
        <v>43</v>
      </c>
      <c r="C14">
        <v>1.7</v>
      </c>
      <c r="D14">
        <f ca="1">ROUND(AVERAGE($D$3:D29),2)</f>
        <v>2.69</v>
      </c>
      <c r="E14">
        <f t="shared" ca="1" si="0"/>
        <v>7.93</v>
      </c>
      <c r="F14">
        <f t="shared" ca="1" si="1"/>
        <v>0</v>
      </c>
      <c r="G14">
        <f t="shared" si="3"/>
        <v>0.8</v>
      </c>
      <c r="H14">
        <f ca="1">ROUND(AVERAGE($H$4:H29),2)</f>
        <v>1.97</v>
      </c>
      <c r="I14">
        <f t="shared" ca="1" si="2"/>
        <v>6.44</v>
      </c>
      <c r="K14" s="37"/>
      <c r="L14" s="37"/>
      <c r="M14" s="37"/>
      <c r="N14" s="37"/>
      <c r="O14" s="37"/>
      <c r="P14" s="37"/>
      <c r="Q14" s="37"/>
      <c r="R14" s="37"/>
      <c r="S14" s="37"/>
      <c r="T14" s="37"/>
      <c r="U14" s="37"/>
      <c r="V14" s="37"/>
      <c r="W14" s="37"/>
      <c r="X14" s="37"/>
      <c r="Y14" s="37"/>
    </row>
    <row r="15" spans="1:25" x14ac:dyDescent="0.25">
      <c r="A15" t="s">
        <v>15</v>
      </c>
      <c r="B15" t="s">
        <v>44</v>
      </c>
      <c r="C15">
        <v>0.8</v>
      </c>
      <c r="D15">
        <f ca="1">ROUND(AVERAGE($D$3:D30),2)</f>
        <v>2.69</v>
      </c>
      <c r="E15">
        <f t="shared" ca="1" si="0"/>
        <v>7.93</v>
      </c>
      <c r="F15">
        <f t="shared" ca="1" si="1"/>
        <v>0</v>
      </c>
      <c r="G15">
        <f t="shared" si="3"/>
        <v>0.89999999999999991</v>
      </c>
      <c r="H15">
        <f ca="1">ROUND(AVERAGE($H$4:H30),2)</f>
        <v>1.97</v>
      </c>
      <c r="I15">
        <f t="shared" ca="1" si="2"/>
        <v>6.44</v>
      </c>
    </row>
    <row r="16" spans="1:25" x14ac:dyDescent="0.25">
      <c r="A16" t="s">
        <v>15</v>
      </c>
      <c r="B16" t="s">
        <v>45</v>
      </c>
      <c r="C16">
        <v>7.5</v>
      </c>
      <c r="D16">
        <f ca="1">ROUND(AVERAGE($D$3:D31),2)</f>
        <v>2.69</v>
      </c>
      <c r="E16">
        <f t="shared" ca="1" si="0"/>
        <v>7.93</v>
      </c>
      <c r="F16">
        <f t="shared" ca="1" si="1"/>
        <v>0</v>
      </c>
      <c r="G16">
        <f t="shared" si="3"/>
        <v>6.7</v>
      </c>
      <c r="H16">
        <f ca="1">ROUND(AVERAGE($H$4:H31),2)</f>
        <v>1.97</v>
      </c>
      <c r="I16">
        <f t="shared" ca="1" si="2"/>
        <v>6.44</v>
      </c>
    </row>
    <row r="17" spans="1:9" x14ac:dyDescent="0.25">
      <c r="A17" t="s">
        <v>15</v>
      </c>
      <c r="B17" t="s">
        <v>46</v>
      </c>
      <c r="C17">
        <v>4.9000000000000004</v>
      </c>
      <c r="D17">
        <f ca="1">ROUND(AVERAGE($D$3:D32),2)</f>
        <v>2.69</v>
      </c>
      <c r="E17">
        <f t="shared" ca="1" si="0"/>
        <v>7.93</v>
      </c>
      <c r="F17">
        <f t="shared" ca="1" si="1"/>
        <v>0</v>
      </c>
      <c r="G17">
        <f t="shared" si="3"/>
        <v>2.5999999999999996</v>
      </c>
      <c r="H17">
        <f ca="1">ROUND(AVERAGE($H$4:H32),2)</f>
        <v>1.97</v>
      </c>
      <c r="I17">
        <f t="shared" ca="1" si="2"/>
        <v>6.44</v>
      </c>
    </row>
    <row r="18" spans="1:9" x14ac:dyDescent="0.25">
      <c r="A18" t="s">
        <v>15</v>
      </c>
      <c r="B18" t="s">
        <v>47</v>
      </c>
      <c r="C18">
        <v>8.8000000000000007</v>
      </c>
      <c r="D18">
        <f ca="1">ROUND(AVERAGE($D$3:D33),2)</f>
        <v>2.69</v>
      </c>
      <c r="E18">
        <f t="shared" ca="1" si="0"/>
        <v>7.93</v>
      </c>
      <c r="F18">
        <f t="shared" ca="1" si="1"/>
        <v>0</v>
      </c>
      <c r="G18">
        <f t="shared" si="3"/>
        <v>3.9000000000000004</v>
      </c>
      <c r="H18">
        <f ca="1">ROUND(AVERAGE($H$4:H33),2)</f>
        <v>1.97</v>
      </c>
      <c r="I18">
        <f t="shared" ca="1" si="2"/>
        <v>6.44</v>
      </c>
    </row>
  </sheetData>
  <mergeCells count="3">
    <mergeCell ref="K1:Y1"/>
    <mergeCell ref="K2:Y14"/>
    <mergeCell ref="A1:I1"/>
  </mergeCells>
  <conditionalFormatting sqref="C3:C18">
    <cfRule type="cellIs" dxfId="1" priority="2" operator="greaterThan">
      <formula>E3</formula>
    </cfRule>
  </conditionalFormatting>
  <conditionalFormatting sqref="G4:G18">
    <cfRule type="cellIs" dxfId="0" priority="1" operator="greaterThan">
      <formula>I3</formula>
    </cfRule>
  </conditionalFormatting>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D1251-D631-46DC-8D15-E6341AD68FAA}">
  <dimension ref="A1:D17"/>
  <sheetViews>
    <sheetView workbookViewId="0">
      <selection sqref="A1:A17"/>
    </sheetView>
  </sheetViews>
  <sheetFormatPr defaultRowHeight="13.2" x14ac:dyDescent="0.25"/>
  <cols>
    <col min="1" max="1" width="20.77734375" bestFit="1" customWidth="1"/>
    <col min="2" max="2" width="7.109375" bestFit="1" customWidth="1"/>
    <col min="3" max="3" width="7.21875" bestFit="1" customWidth="1"/>
    <col min="4" max="4" width="14.6640625" bestFit="1" customWidth="1"/>
    <col min="5" max="5" width="16" bestFit="1" customWidth="1"/>
  </cols>
  <sheetData>
    <row r="1" spans="1:4" x14ac:dyDescent="0.25">
      <c r="A1" t="s">
        <v>14</v>
      </c>
      <c r="B1" t="s">
        <v>20</v>
      </c>
      <c r="C1" t="s">
        <v>2</v>
      </c>
      <c r="D1" t="s">
        <v>31</v>
      </c>
    </row>
    <row r="2" spans="1:4" x14ac:dyDescent="0.25">
      <c r="A2" t="s">
        <v>15</v>
      </c>
      <c r="B2" t="s">
        <v>32</v>
      </c>
      <c r="C2">
        <v>0.8</v>
      </c>
    </row>
    <row r="3" spans="1:4" x14ac:dyDescent="0.25">
      <c r="A3" t="s">
        <v>15</v>
      </c>
      <c r="B3" t="s">
        <v>33</v>
      </c>
      <c r="C3">
        <v>1.9</v>
      </c>
      <c r="D3">
        <v>1.1000000000000001</v>
      </c>
    </row>
    <row r="4" spans="1:4" x14ac:dyDescent="0.25">
      <c r="A4" t="s">
        <v>15</v>
      </c>
      <c r="B4" t="s">
        <v>34</v>
      </c>
      <c r="C4">
        <v>0.6</v>
      </c>
      <c r="D4">
        <v>1.3</v>
      </c>
    </row>
    <row r="5" spans="1:4" x14ac:dyDescent="0.25">
      <c r="A5" t="s">
        <v>15</v>
      </c>
      <c r="B5" t="s">
        <v>35</v>
      </c>
      <c r="C5">
        <v>1.1000000000000001</v>
      </c>
      <c r="D5">
        <v>0.5</v>
      </c>
    </row>
    <row r="6" spans="1:4" x14ac:dyDescent="0.25">
      <c r="A6" t="s">
        <v>15</v>
      </c>
      <c r="B6" t="s">
        <v>36</v>
      </c>
      <c r="C6">
        <v>3.2</v>
      </c>
      <c r="D6">
        <v>2.1</v>
      </c>
    </row>
    <row r="7" spans="1:4" x14ac:dyDescent="0.25">
      <c r="A7" t="s">
        <v>15</v>
      </c>
      <c r="B7" t="s">
        <v>37</v>
      </c>
      <c r="C7">
        <v>0.7</v>
      </c>
      <c r="D7">
        <v>2.5</v>
      </c>
    </row>
    <row r="8" spans="1:4" x14ac:dyDescent="0.25">
      <c r="A8" t="s">
        <v>15</v>
      </c>
      <c r="B8" t="s">
        <v>38</v>
      </c>
      <c r="C8">
        <v>0.5</v>
      </c>
      <c r="D8">
        <v>0.2</v>
      </c>
    </row>
    <row r="9" spans="1:4" x14ac:dyDescent="0.25">
      <c r="A9" t="s">
        <v>15</v>
      </c>
      <c r="B9" t="s">
        <v>39</v>
      </c>
      <c r="C9">
        <v>0.9</v>
      </c>
      <c r="D9">
        <v>0.4</v>
      </c>
    </row>
    <row r="10" spans="1:4" x14ac:dyDescent="0.25">
      <c r="A10" t="s">
        <v>15</v>
      </c>
      <c r="B10" t="s">
        <v>40</v>
      </c>
      <c r="C10">
        <v>2.2000000000000002</v>
      </c>
      <c r="D10">
        <v>1.3</v>
      </c>
    </row>
    <row r="11" spans="1:4" x14ac:dyDescent="0.25">
      <c r="A11" t="s">
        <v>15</v>
      </c>
      <c r="B11" t="s">
        <v>41</v>
      </c>
      <c r="C11">
        <v>5</v>
      </c>
      <c r="D11">
        <v>2.8</v>
      </c>
    </row>
    <row r="12" spans="1:4" x14ac:dyDescent="0.25">
      <c r="A12" t="s">
        <v>15</v>
      </c>
      <c r="B12" t="s">
        <v>42</v>
      </c>
      <c r="C12">
        <v>2.5</v>
      </c>
      <c r="D12">
        <v>2.5</v>
      </c>
    </row>
    <row r="13" spans="1:4" x14ac:dyDescent="0.25">
      <c r="A13" t="s">
        <v>15</v>
      </c>
      <c r="B13" t="s">
        <v>43</v>
      </c>
      <c r="C13">
        <v>1.7</v>
      </c>
      <c r="D13">
        <v>0.8</v>
      </c>
    </row>
    <row r="14" spans="1:4" x14ac:dyDescent="0.25">
      <c r="A14" t="s">
        <v>15</v>
      </c>
      <c r="B14" t="s">
        <v>44</v>
      </c>
      <c r="C14">
        <v>0.8</v>
      </c>
      <c r="D14">
        <v>0.9</v>
      </c>
    </row>
    <row r="15" spans="1:4" x14ac:dyDescent="0.25">
      <c r="A15" t="s">
        <v>15</v>
      </c>
      <c r="B15" t="s">
        <v>45</v>
      </c>
      <c r="C15">
        <v>7.5</v>
      </c>
      <c r="D15">
        <v>6.7</v>
      </c>
    </row>
    <row r="16" spans="1:4" x14ac:dyDescent="0.25">
      <c r="A16" t="s">
        <v>15</v>
      </c>
      <c r="B16" t="s">
        <v>46</v>
      </c>
      <c r="C16">
        <v>4.9000000000000004</v>
      </c>
      <c r="D16">
        <v>2.6</v>
      </c>
    </row>
    <row r="17" spans="1:4" x14ac:dyDescent="0.25">
      <c r="A17" t="s">
        <v>15</v>
      </c>
      <c r="B17" t="s">
        <v>47</v>
      </c>
      <c r="C17">
        <v>8.8000000000000007</v>
      </c>
      <c r="D17">
        <v>3.9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6540285-1890-418B-BA10-8410A213A88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Overview</vt:lpstr>
      <vt:lpstr>Step 1</vt:lpstr>
      <vt:lpstr>Step 2</vt:lpstr>
      <vt:lpstr>Step 3</vt:lpstr>
      <vt:lpstr>Step 4</vt:lpstr>
      <vt:lpstr>Step 5</vt:lpstr>
      <vt:lpstr>Step 6</vt:lpstr>
      <vt:lpstr>Results</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Jim Lehner</cp:lastModifiedBy>
  <dcterms:modified xsi:type="dcterms:W3CDTF">2026-05-07T17:23:01Z</dcterms:modified>
</cp:coreProperties>
</file>