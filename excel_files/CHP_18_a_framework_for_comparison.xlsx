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heme/themeOverride1.xml" ContentType="application/vnd.openxmlformats-officedocument.themeOverrid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2.xml" ContentType="application/vnd.openxmlformats-officedocument.themeOverrid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heme/themeOverride3.xml" ContentType="application/vnd.openxmlformats-officedocument.themeOverrid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heme/themeOverride4.xml" ContentType="application/vnd.openxmlformats-officedocument.themeOverride+xml"/>
  <Override PartName="/xl/drawings/drawing3.xml" ContentType="application/vnd.openxmlformats-officedocument.drawing+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heme/themeOverride5.xml" ContentType="application/vnd.openxmlformats-officedocument.themeOverrid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heme/themeOverride6.xml" ContentType="application/vnd.openxmlformats-officedocument.themeOverrid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heme/themeOverride7.xml" ContentType="application/vnd.openxmlformats-officedocument.themeOverrid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heme/themeOverride8.xml" ContentType="application/vnd.openxmlformats-officedocument.themeOverride+xml"/>
  <Override PartName="/xl/drawings/drawing4.xml" ContentType="application/vnd.openxmlformats-officedocument.drawing+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theme/themeOverride9.xml" ContentType="application/vnd.openxmlformats-officedocument.themeOverrid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theme/themeOverride10.xml" ContentType="application/vnd.openxmlformats-officedocument.themeOverrid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theme/themeOverride11.xml" ContentType="application/vnd.openxmlformats-officedocument.themeOverrid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theme/themeOverride12.xml" ContentType="application/vnd.openxmlformats-officedocument.themeOverride+xml"/>
  <Override PartName="/xl/tables/table7.xml" ContentType="application/vnd.openxmlformats-officedocument.spreadsheetml.table+xml"/>
  <Override PartName="/xl/queryTables/queryTable7.xml" ContentType="application/vnd.openxmlformats-officedocument.spreadsheetml.queryTable+xml"/>
  <Override PartName="/xl/tables/table8.xml" ContentType="application/vnd.openxmlformats-officedocument.spreadsheetml.table+xml"/>
  <Override PartName="/xl/queryTables/queryTable8.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james\OneDrive\Documents\GitHub\the-virus-of-variation\excel_files_2\"/>
    </mc:Choice>
  </mc:AlternateContent>
  <xr:revisionPtr revIDLastSave="0" documentId="13_ncr:1_{D7D3DBB2-7305-4004-8C6B-3C4B0218C6AC}" xr6:coauthVersionLast="47" xr6:coauthVersionMax="47" xr10:uidLastSave="{00000000-0000-0000-0000-000000000000}"/>
  <bookViews>
    <workbookView xWindow="-105" yWindow="-16200" windowWidth="14610" windowHeight="15585" xr2:uid="{00000000-000D-0000-FFFF-FFFF00000000}"/>
  </bookViews>
  <sheets>
    <sheet name="Overview" sheetId="1" r:id="rId1"/>
    <sheet name="Fig 18.5. Dublin Temporal" sheetId="2" r:id="rId2"/>
    <sheet name="Fig 18.6. Vienna Temporal" sheetId="7" r:id="rId3"/>
    <sheet name="Fig 18.7. Physical comparison" sheetId="4" r:id="rId4"/>
    <sheet name="Data" sheetId="5" r:id="rId5"/>
  </sheets>
  <definedNames>
    <definedName name="ExternalData_1" localSheetId="4" hidden="1">Data!$A$1:$G$41</definedName>
    <definedName name="ExternalData_1" localSheetId="1" hidden="1">'Fig 18.5. Dublin Temporal'!$A$1:$D$11</definedName>
    <definedName name="ExternalData_1" localSheetId="2" hidden="1">'Fig 18.6. Vienna Temporal'!$A$1:$D$11</definedName>
    <definedName name="ExternalData_1" localSheetId="3" hidden="1">'Fig 18.7. Physical comparison'!$A$1:$C$58</definedName>
    <definedName name="ExternalData_2" localSheetId="4" hidden="1">Data!$I$1:$N$115</definedName>
    <definedName name="ExternalData_2" localSheetId="1" hidden="1">'Fig 18.5. Dublin Temporal'!$A$13:$D$23</definedName>
    <definedName name="ExternalData_2" localSheetId="2" hidden="1">'Fig 18.6. Vienna Temporal'!$A$13:$D$23</definedName>
    <definedName name="ExternalData_2" localSheetId="3" hidden="1">'Fig 18.7. Physical comparison'!$A$60:$C$117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63" i="4" l="1"/>
  <c r="G64" i="4"/>
  <c r="G65" i="4"/>
  <c r="G66" i="4"/>
  <c r="G67" i="4"/>
  <c r="G68" i="4"/>
  <c r="G69" i="4"/>
  <c r="G70" i="4"/>
  <c r="G71" i="4"/>
  <c r="G72" i="4"/>
  <c r="G73" i="4"/>
  <c r="G74" i="4"/>
  <c r="G75" i="4"/>
  <c r="G76" i="4"/>
  <c r="G77" i="4"/>
  <c r="G78" i="4"/>
  <c r="G79" i="4"/>
  <c r="G80" i="4"/>
  <c r="G81" i="4"/>
  <c r="G82" i="4"/>
  <c r="G83" i="4"/>
  <c r="G84" i="4"/>
  <c r="G85" i="4"/>
  <c r="G86" i="4"/>
  <c r="G87" i="4"/>
  <c r="G88" i="4"/>
  <c r="G89" i="4"/>
  <c r="G90" i="4"/>
  <c r="G91" i="4"/>
  <c r="G92" i="4"/>
  <c r="G93" i="4"/>
  <c r="G94" i="4"/>
  <c r="G95" i="4"/>
  <c r="G96" i="4"/>
  <c r="G97" i="4"/>
  <c r="G98" i="4"/>
  <c r="G99" i="4"/>
  <c r="G100" i="4"/>
  <c r="G101" i="4"/>
  <c r="G102" i="4"/>
  <c r="G103" i="4"/>
  <c r="G104" i="4"/>
  <c r="G105" i="4"/>
  <c r="G106" i="4"/>
  <c r="G107" i="4"/>
  <c r="G108" i="4"/>
  <c r="G109" i="4"/>
  <c r="G110" i="4"/>
  <c r="G111" i="4"/>
  <c r="G112" i="4"/>
  <c r="G113" i="4"/>
  <c r="G114" i="4"/>
  <c r="G115" i="4"/>
  <c r="G116" i="4"/>
  <c r="G117" i="4"/>
  <c r="D61" i="4"/>
  <c r="D62" i="4"/>
  <c r="D63" i="4"/>
  <c r="D64" i="4"/>
  <c r="D65" i="4"/>
  <c r="D66" i="4"/>
  <c r="D67" i="4"/>
  <c r="D68" i="4"/>
  <c r="D69" i="4"/>
  <c r="D70" i="4"/>
  <c r="D71" i="4"/>
  <c r="D72" i="4"/>
  <c r="D73" i="4"/>
  <c r="D74" i="4"/>
  <c r="D75" i="4"/>
  <c r="D76" i="4"/>
  <c r="D77" i="4"/>
  <c r="D78" i="4"/>
  <c r="D79" i="4"/>
  <c r="D80" i="4"/>
  <c r="D81" i="4"/>
  <c r="D82" i="4"/>
  <c r="D83" i="4"/>
  <c r="D84" i="4"/>
  <c r="D85" i="4"/>
  <c r="D86" i="4"/>
  <c r="D87" i="4"/>
  <c r="D88" i="4"/>
  <c r="D89" i="4"/>
  <c r="D90" i="4"/>
  <c r="D91" i="4"/>
  <c r="D92" i="4"/>
  <c r="D93" i="4"/>
  <c r="D94" i="4"/>
  <c r="D95" i="4"/>
  <c r="D96" i="4"/>
  <c r="D97" i="4"/>
  <c r="D98" i="4"/>
  <c r="D99" i="4"/>
  <c r="D100" i="4"/>
  <c r="D101" i="4"/>
  <c r="D102" i="4"/>
  <c r="D103" i="4"/>
  <c r="D104" i="4"/>
  <c r="D105" i="4"/>
  <c r="D106" i="4"/>
  <c r="D107" i="4"/>
  <c r="D108" i="4"/>
  <c r="D109" i="4"/>
  <c r="D110" i="4"/>
  <c r="D111" i="4"/>
  <c r="D112" i="4"/>
  <c r="D113" i="4"/>
  <c r="D114" i="4"/>
  <c r="D115" i="4"/>
  <c r="D116" i="4"/>
  <c r="D117" i="4"/>
  <c r="G62" i="4"/>
  <c r="G3" i="4"/>
  <c r="G4" i="4"/>
  <c r="G5" i="4"/>
  <c r="G6" i="4"/>
  <c r="G7" i="4"/>
  <c r="G8" i="4"/>
  <c r="G9" i="4"/>
  <c r="G10" i="4"/>
  <c r="G11" i="4"/>
  <c r="G12" i="4"/>
  <c r="G13" i="4"/>
  <c r="G14" i="4"/>
  <c r="G15" i="4"/>
  <c r="G16" i="4"/>
  <c r="G17" i="4"/>
  <c r="G18" i="4"/>
  <c r="G19" i="4"/>
  <c r="G20" i="4"/>
  <c r="G21" i="4"/>
  <c r="G22" i="4"/>
  <c r="G23" i="4"/>
  <c r="G24" i="4"/>
  <c r="G25" i="4"/>
  <c r="G26" i="4"/>
  <c r="G27" i="4"/>
  <c r="G28" i="4"/>
  <c r="G29" i="4"/>
  <c r="G30" i="4"/>
  <c r="G31" i="4"/>
  <c r="G32" i="4"/>
  <c r="G33" i="4"/>
  <c r="G34" i="4"/>
  <c r="G35" i="4"/>
  <c r="G36" i="4"/>
  <c r="G37" i="4"/>
  <c r="G38" i="4"/>
  <c r="G39" i="4"/>
  <c r="G40" i="4"/>
  <c r="G41" i="4"/>
  <c r="G42" i="4"/>
  <c r="G43" i="4"/>
  <c r="G44" i="4"/>
  <c r="G45" i="4"/>
  <c r="G46" i="4"/>
  <c r="G47" i="4"/>
  <c r="G48" i="4"/>
  <c r="G49" i="4"/>
  <c r="G50" i="4"/>
  <c r="G51" i="4"/>
  <c r="G52" i="4"/>
  <c r="G53" i="4"/>
  <c r="G54" i="4"/>
  <c r="G55" i="4"/>
  <c r="G56" i="4"/>
  <c r="G57" i="4"/>
  <c r="G58" i="4"/>
  <c r="D2" i="4"/>
  <c r="D3" i="4"/>
  <c r="D4" i="4"/>
  <c r="D5" i="4"/>
  <c r="D6" i="4"/>
  <c r="D7" i="4"/>
  <c r="D8" i="4"/>
  <c r="D9" i="4"/>
  <c r="D10" i="4"/>
  <c r="D11" i="4"/>
  <c r="D12" i="4"/>
  <c r="D13" i="4"/>
  <c r="D14" i="4"/>
  <c r="D15" i="4"/>
  <c r="D16" i="4"/>
  <c r="D17" i="4"/>
  <c r="D18" i="4"/>
  <c r="D19" i="4"/>
  <c r="D20" i="4"/>
  <c r="D21" i="4"/>
  <c r="D22" i="4"/>
  <c r="D23" i="4"/>
  <c r="D24" i="4"/>
  <c r="D25" i="4"/>
  <c r="D26" i="4"/>
  <c r="D27" i="4"/>
  <c r="D28" i="4"/>
  <c r="D29" i="4"/>
  <c r="D30" i="4"/>
  <c r="D31" i="4"/>
  <c r="D32" i="4"/>
  <c r="D33" i="4"/>
  <c r="D34" i="4"/>
  <c r="D35" i="4"/>
  <c r="D36" i="4"/>
  <c r="D37" i="4"/>
  <c r="D38" i="4"/>
  <c r="D39" i="4"/>
  <c r="D40" i="4"/>
  <c r="D41" i="4"/>
  <c r="D42" i="4"/>
  <c r="D43" i="4"/>
  <c r="D44" i="4"/>
  <c r="D45" i="4"/>
  <c r="D46" i="4"/>
  <c r="D47" i="4"/>
  <c r="D48" i="4"/>
  <c r="D49" i="4"/>
  <c r="D50" i="4"/>
  <c r="D51" i="4"/>
  <c r="D52" i="4"/>
  <c r="D53" i="4"/>
  <c r="D54" i="4"/>
  <c r="D55" i="4"/>
  <c r="D56" i="4"/>
  <c r="D57" i="4"/>
  <c r="D58" i="4"/>
  <c r="E14" i="7"/>
  <c r="E15" i="7"/>
  <c r="E16" i="7"/>
  <c r="E17" i="7"/>
  <c r="E18" i="7"/>
  <c r="E19" i="7"/>
  <c r="E20" i="7"/>
  <c r="E21" i="7"/>
  <c r="E22" i="7"/>
  <c r="E23" i="7"/>
  <c r="I14" i="7"/>
  <c r="I15" i="7"/>
  <c r="I16" i="7"/>
  <c r="J16" i="7" s="1"/>
  <c r="I17" i="7"/>
  <c r="I18" i="7"/>
  <c r="I19" i="7"/>
  <c r="I20" i="7"/>
  <c r="I21" i="7"/>
  <c r="I22" i="7"/>
  <c r="I23" i="7"/>
  <c r="J14" i="7"/>
  <c r="J15" i="7"/>
  <c r="J17" i="7"/>
  <c r="J19" i="7"/>
  <c r="E2" i="7"/>
  <c r="E3" i="7"/>
  <c r="E4" i="7"/>
  <c r="E5" i="7"/>
  <c r="E6" i="7"/>
  <c r="E7" i="7"/>
  <c r="E8" i="7"/>
  <c r="E9" i="7"/>
  <c r="E10" i="7"/>
  <c r="E11" i="7"/>
  <c r="H3" i="7"/>
  <c r="H4" i="7"/>
  <c r="H5" i="7"/>
  <c r="H6" i="7"/>
  <c r="H7" i="7"/>
  <c r="H8" i="7"/>
  <c r="H9" i="7"/>
  <c r="H10" i="7"/>
  <c r="H11" i="7"/>
  <c r="I2" i="7"/>
  <c r="I3" i="7"/>
  <c r="I4" i="7"/>
  <c r="I5" i="7"/>
  <c r="I6" i="7"/>
  <c r="I7" i="7"/>
  <c r="H23" i="7"/>
  <c r="H22" i="7"/>
  <c r="H21" i="7"/>
  <c r="H20" i="7"/>
  <c r="H19" i="7"/>
  <c r="H18" i="7"/>
  <c r="H17" i="7"/>
  <c r="H16" i="7"/>
  <c r="H15" i="7"/>
  <c r="H16" i="2"/>
  <c r="H17" i="2"/>
  <c r="H18" i="2"/>
  <c r="H19" i="2"/>
  <c r="H20" i="2"/>
  <c r="H21" i="2"/>
  <c r="H22" i="2"/>
  <c r="H23" i="2"/>
  <c r="E14" i="2"/>
  <c r="E15" i="2"/>
  <c r="E16" i="2"/>
  <c r="E17" i="2"/>
  <c r="E18" i="2"/>
  <c r="E19" i="2"/>
  <c r="E20" i="2"/>
  <c r="E21" i="2"/>
  <c r="E22" i="2"/>
  <c r="E23" i="2"/>
  <c r="H15" i="2"/>
  <c r="H3" i="2"/>
  <c r="H4" i="2"/>
  <c r="H5" i="2"/>
  <c r="H6" i="2"/>
  <c r="H7" i="2"/>
  <c r="H8" i="2"/>
  <c r="H9" i="2"/>
  <c r="H10" i="2"/>
  <c r="H11" i="2"/>
  <c r="E2" i="2"/>
  <c r="E3" i="2"/>
  <c r="E4" i="2"/>
  <c r="E5" i="2"/>
  <c r="E6" i="2"/>
  <c r="E7" i="2"/>
  <c r="E8" i="2"/>
  <c r="E9" i="2"/>
  <c r="E10" i="2"/>
  <c r="E11" i="2"/>
  <c r="H103" i="4" l="1"/>
  <c r="H62" i="4"/>
  <c r="I62" i="4" s="1"/>
  <c r="H63" i="4"/>
  <c r="I63" i="4" s="1"/>
  <c r="H64" i="4"/>
  <c r="I64" i="4" s="1"/>
  <c r="H65" i="4"/>
  <c r="I65" i="4" s="1"/>
  <c r="H66" i="4"/>
  <c r="H67" i="4"/>
  <c r="H68" i="4"/>
  <c r="H69" i="4"/>
  <c r="H70" i="4"/>
  <c r="H71" i="4"/>
  <c r="H72" i="4"/>
  <c r="H73" i="4"/>
  <c r="H74" i="4"/>
  <c r="H75" i="4"/>
  <c r="H76" i="4"/>
  <c r="H77" i="4"/>
  <c r="F77" i="4" s="1"/>
  <c r="H78" i="4"/>
  <c r="F78" i="4" s="1"/>
  <c r="H79" i="4"/>
  <c r="F79" i="4" s="1"/>
  <c r="H80" i="4"/>
  <c r="F80" i="4" s="1"/>
  <c r="H81" i="4"/>
  <c r="F81" i="4" s="1"/>
  <c r="H82" i="4"/>
  <c r="F82" i="4" s="1"/>
  <c r="H83" i="4"/>
  <c r="F83" i="4" s="1"/>
  <c r="H84" i="4"/>
  <c r="F84" i="4" s="1"/>
  <c r="H85" i="4"/>
  <c r="F85" i="4" s="1"/>
  <c r="H86" i="4"/>
  <c r="F86" i="4" s="1"/>
  <c r="H87" i="4"/>
  <c r="F87" i="4" s="1"/>
  <c r="H88" i="4"/>
  <c r="F88" i="4" s="1"/>
  <c r="H89" i="4"/>
  <c r="F89" i="4" s="1"/>
  <c r="H90" i="4"/>
  <c r="F90" i="4" s="1"/>
  <c r="H91" i="4"/>
  <c r="F91" i="4" s="1"/>
  <c r="H92" i="4"/>
  <c r="F92" i="4" s="1"/>
  <c r="H93" i="4"/>
  <c r="F93" i="4" s="1"/>
  <c r="H94" i="4"/>
  <c r="H95" i="4"/>
  <c r="H96" i="4"/>
  <c r="H97" i="4"/>
  <c r="H98" i="4"/>
  <c r="H99" i="4"/>
  <c r="H100" i="4"/>
  <c r="H101" i="4"/>
  <c r="H102" i="4"/>
  <c r="H104" i="4"/>
  <c r="H61" i="4"/>
  <c r="H105" i="4"/>
  <c r="H106" i="4"/>
  <c r="H107" i="4"/>
  <c r="H108" i="4"/>
  <c r="H109" i="4"/>
  <c r="H110" i="4"/>
  <c r="H111" i="4"/>
  <c r="H112" i="4"/>
  <c r="H113" i="4"/>
  <c r="H114" i="4"/>
  <c r="H115" i="4"/>
  <c r="H116" i="4"/>
  <c r="H117" i="4"/>
  <c r="H3" i="4"/>
  <c r="H8" i="4"/>
  <c r="H11" i="4"/>
  <c r="H15" i="4"/>
  <c r="H18" i="4"/>
  <c r="H21" i="4"/>
  <c r="H24" i="4"/>
  <c r="H28" i="4"/>
  <c r="H32" i="4"/>
  <c r="H35" i="4"/>
  <c r="H38" i="4"/>
  <c r="H41" i="4"/>
  <c r="H43" i="4"/>
  <c r="H46" i="4"/>
  <c r="H54" i="4"/>
  <c r="H58" i="4"/>
  <c r="H29" i="4"/>
  <c r="H52" i="4"/>
  <c r="H56" i="4"/>
  <c r="H2" i="4"/>
  <c r="H4" i="4"/>
  <c r="H5" i="4"/>
  <c r="H6" i="4"/>
  <c r="H7" i="4"/>
  <c r="H9" i="4"/>
  <c r="H10" i="4"/>
  <c r="H12" i="4"/>
  <c r="H13" i="4"/>
  <c r="H14" i="4"/>
  <c r="H16" i="4"/>
  <c r="H17" i="4"/>
  <c r="H19" i="4"/>
  <c r="H20" i="4"/>
  <c r="H22" i="4"/>
  <c r="H23" i="4"/>
  <c r="H25" i="4"/>
  <c r="H26" i="4"/>
  <c r="H27" i="4"/>
  <c r="H30" i="4"/>
  <c r="H31" i="4"/>
  <c r="H33" i="4"/>
  <c r="H34" i="4"/>
  <c r="H37" i="4"/>
  <c r="H39" i="4"/>
  <c r="H40" i="4"/>
  <c r="H42" i="4"/>
  <c r="H44" i="4"/>
  <c r="H45" i="4"/>
  <c r="H47" i="4"/>
  <c r="H48" i="4"/>
  <c r="H49" i="4"/>
  <c r="H51" i="4"/>
  <c r="H53" i="4"/>
  <c r="H55" i="4"/>
  <c r="H57" i="4"/>
  <c r="H36" i="4"/>
  <c r="H50" i="4"/>
  <c r="E66" i="4"/>
  <c r="E67" i="4"/>
  <c r="E68" i="4"/>
  <c r="E69" i="4"/>
  <c r="E70" i="4"/>
  <c r="E71" i="4"/>
  <c r="E72" i="4"/>
  <c r="E73" i="4"/>
  <c r="E74" i="4"/>
  <c r="E75" i="4"/>
  <c r="E76" i="4"/>
  <c r="F117" i="4"/>
  <c r="F66" i="4"/>
  <c r="I66" i="4"/>
  <c r="F67" i="4"/>
  <c r="I67" i="4"/>
  <c r="F68" i="4"/>
  <c r="I68" i="4"/>
  <c r="F69" i="4"/>
  <c r="I69" i="4"/>
  <c r="F70" i="4"/>
  <c r="I70" i="4"/>
  <c r="F71" i="4"/>
  <c r="I71" i="4"/>
  <c r="F72" i="4"/>
  <c r="I72" i="4"/>
  <c r="F73" i="4"/>
  <c r="I73" i="4"/>
  <c r="F74" i="4"/>
  <c r="I74" i="4"/>
  <c r="F75" i="4"/>
  <c r="I75" i="4"/>
  <c r="F76" i="4"/>
  <c r="I76" i="4"/>
  <c r="E62" i="4"/>
  <c r="F62" i="4"/>
  <c r="E63" i="4"/>
  <c r="F63" i="4"/>
  <c r="E64" i="4"/>
  <c r="F64" i="4"/>
  <c r="E65" i="4"/>
  <c r="F65" i="4"/>
  <c r="I77" i="4"/>
  <c r="E77" i="4"/>
  <c r="I78" i="4"/>
  <c r="E78" i="4"/>
  <c r="I79" i="4"/>
  <c r="E79" i="4"/>
  <c r="E80" i="4"/>
  <c r="I80" i="4"/>
  <c r="I81" i="4"/>
  <c r="E81" i="4"/>
  <c r="I82" i="4"/>
  <c r="E82" i="4"/>
  <c r="I83" i="4"/>
  <c r="E83" i="4"/>
  <c r="E84" i="4"/>
  <c r="I84" i="4"/>
  <c r="E85" i="4"/>
  <c r="I85" i="4"/>
  <c r="E86" i="4"/>
  <c r="I86" i="4"/>
  <c r="E87" i="4"/>
  <c r="I87" i="4"/>
  <c r="E88" i="4"/>
  <c r="I88" i="4"/>
  <c r="I89" i="4"/>
  <c r="E89" i="4"/>
  <c r="E90" i="4"/>
  <c r="I90" i="4"/>
  <c r="E91" i="4"/>
  <c r="I91" i="4"/>
  <c r="I92" i="4"/>
  <c r="E92" i="4"/>
  <c r="I93" i="4"/>
  <c r="E93" i="4"/>
  <c r="I94" i="4"/>
  <c r="F23" i="7"/>
  <c r="F14" i="7"/>
  <c r="G14" i="7"/>
  <c r="F15" i="7"/>
  <c r="G15" i="7"/>
  <c r="F16" i="7"/>
  <c r="G16" i="7"/>
  <c r="F17" i="7"/>
  <c r="G17" i="7"/>
  <c r="J18" i="7"/>
  <c r="G18" i="7"/>
  <c r="F18" i="7"/>
  <c r="F19" i="7"/>
  <c r="G19" i="7"/>
  <c r="J20" i="7"/>
  <c r="F20" i="7"/>
  <c r="G20" i="7"/>
  <c r="J21" i="7"/>
  <c r="F21" i="7"/>
  <c r="G21" i="7"/>
  <c r="J22" i="7"/>
  <c r="F22" i="7"/>
  <c r="G22" i="7"/>
  <c r="G23" i="7"/>
  <c r="J23" i="7"/>
  <c r="I8" i="7"/>
  <c r="I9" i="7"/>
  <c r="I10" i="7"/>
  <c r="I11" i="7"/>
  <c r="J2" i="7"/>
  <c r="F2" i="7"/>
  <c r="G2" i="7"/>
  <c r="J3" i="7"/>
  <c r="G3" i="7"/>
  <c r="F3" i="7"/>
  <c r="J4" i="7"/>
  <c r="G4" i="7"/>
  <c r="F4" i="7"/>
  <c r="F5" i="7"/>
  <c r="G5" i="7"/>
  <c r="J5" i="7"/>
  <c r="F6" i="7"/>
  <c r="J6" i="7"/>
  <c r="G6" i="7"/>
  <c r="G7" i="7"/>
  <c r="J7" i="7"/>
  <c r="F7" i="7"/>
  <c r="I17" i="2"/>
  <c r="I16" i="2"/>
  <c r="I23" i="2"/>
  <c r="I19" i="2"/>
  <c r="I21" i="2"/>
  <c r="I18" i="2"/>
  <c r="I15" i="2"/>
  <c r="I22" i="2"/>
  <c r="I14" i="2"/>
  <c r="I20" i="2"/>
  <c r="I2" i="2"/>
  <c r="I8" i="2"/>
  <c r="F8" i="2" s="1"/>
  <c r="I3" i="2"/>
  <c r="F3" i="2" s="1"/>
  <c r="I9" i="2"/>
  <c r="F9" i="2" s="1"/>
  <c r="I5" i="2"/>
  <c r="F5" i="2" s="1"/>
  <c r="I4" i="2"/>
  <c r="F4" i="2" s="1"/>
  <c r="I11" i="2"/>
  <c r="F11" i="2" s="1"/>
  <c r="I6" i="2"/>
  <c r="F6" i="2" s="1"/>
  <c r="I7" i="2"/>
  <c r="F7" i="2" s="1"/>
  <c r="I10" i="2"/>
  <c r="F10" i="2" s="1"/>
  <c r="G2" i="2"/>
  <c r="F2" i="2"/>
  <c r="J2" i="2"/>
  <c r="G3" i="2"/>
  <c r="J3" i="2"/>
  <c r="G4" i="2"/>
  <c r="J4" i="2"/>
  <c r="J5" i="2"/>
  <c r="G5" i="2"/>
  <c r="G6" i="2"/>
  <c r="J6" i="2"/>
  <c r="J7" i="2"/>
  <c r="G7" i="2"/>
  <c r="G8" i="2"/>
  <c r="J8" i="2"/>
  <c r="G9" i="2"/>
  <c r="J9" i="2"/>
  <c r="G10" i="2"/>
  <c r="J10" i="2"/>
  <c r="J11" i="2"/>
  <c r="G11" i="2"/>
  <c r="E3" i="4" l="1"/>
  <c r="F3" i="4"/>
  <c r="I3" i="4"/>
  <c r="I8" i="4"/>
  <c r="E8" i="4"/>
  <c r="F8" i="4"/>
  <c r="I11" i="4"/>
  <c r="E11" i="4"/>
  <c r="F11" i="4"/>
  <c r="I15" i="4"/>
  <c r="E15" i="4"/>
  <c r="F15" i="4"/>
  <c r="I18" i="4"/>
  <c r="E18" i="4"/>
  <c r="F18" i="4"/>
  <c r="E21" i="4"/>
  <c r="F21" i="4"/>
  <c r="I21" i="4"/>
  <c r="I24" i="4"/>
  <c r="F24" i="4"/>
  <c r="E24" i="4"/>
  <c r="I28" i="4"/>
  <c r="E28" i="4"/>
  <c r="F28" i="4"/>
  <c r="F32" i="4"/>
  <c r="I32" i="4"/>
  <c r="E32" i="4"/>
  <c r="I35" i="4"/>
  <c r="E35" i="4"/>
  <c r="F35" i="4"/>
  <c r="I38" i="4"/>
  <c r="E38" i="4"/>
  <c r="F38" i="4"/>
  <c r="I41" i="4"/>
  <c r="F41" i="4"/>
  <c r="E41" i="4"/>
  <c r="I43" i="4"/>
  <c r="F43" i="4"/>
  <c r="E43" i="4"/>
  <c r="I46" i="4"/>
  <c r="E46" i="4"/>
  <c r="F46" i="4"/>
  <c r="I54" i="4"/>
  <c r="E54" i="4"/>
  <c r="F54" i="4"/>
  <c r="I58" i="4"/>
  <c r="F58" i="4"/>
  <c r="E58" i="4"/>
  <c r="F29" i="4"/>
  <c r="I29" i="4"/>
  <c r="E29" i="4"/>
  <c r="I52" i="4"/>
  <c r="E52" i="4"/>
  <c r="F52" i="4"/>
  <c r="E56" i="4"/>
  <c r="F56" i="4"/>
  <c r="I56" i="4"/>
  <c r="E2" i="4"/>
  <c r="I2" i="4"/>
  <c r="F2" i="4"/>
  <c r="I4" i="4"/>
  <c r="F4" i="4"/>
  <c r="E4" i="4"/>
  <c r="E5" i="4"/>
  <c r="I5" i="4"/>
  <c r="F5" i="4"/>
  <c r="I6" i="4"/>
  <c r="E6" i="4"/>
  <c r="F6" i="4"/>
  <c r="I7" i="4"/>
  <c r="E7" i="4"/>
  <c r="F7" i="4"/>
  <c r="I9" i="4"/>
  <c r="E9" i="4"/>
  <c r="F9" i="4"/>
  <c r="F10" i="4"/>
  <c r="I10" i="4"/>
  <c r="E10" i="4"/>
  <c r="I12" i="4"/>
  <c r="E12" i="4"/>
  <c r="F12" i="4"/>
  <c r="F13" i="4"/>
  <c r="I13" i="4"/>
  <c r="E13" i="4"/>
  <c r="I14" i="4"/>
  <c r="E14" i="4"/>
  <c r="F14" i="4"/>
  <c r="I16" i="4"/>
  <c r="E16" i="4"/>
  <c r="F16" i="4"/>
  <c r="I17" i="4"/>
  <c r="F17" i="4"/>
  <c r="E17" i="4"/>
  <c r="I19" i="4"/>
  <c r="E19" i="4"/>
  <c r="F19" i="4"/>
  <c r="E20" i="4"/>
  <c r="I20" i="4"/>
  <c r="F20" i="4"/>
  <c r="I22" i="4"/>
  <c r="F22" i="4"/>
  <c r="E22" i="4"/>
  <c r="E23" i="4"/>
  <c r="I23" i="4"/>
  <c r="F23" i="4"/>
  <c r="I25" i="4"/>
  <c r="F25" i="4"/>
  <c r="E25" i="4"/>
  <c r="I26" i="4"/>
  <c r="E26" i="4"/>
  <c r="F26" i="4"/>
  <c r="E27" i="4"/>
  <c r="F27" i="4"/>
  <c r="I27" i="4"/>
  <c r="E30" i="4"/>
  <c r="I30" i="4"/>
  <c r="F30" i="4"/>
  <c r="I31" i="4"/>
  <c r="F31" i="4"/>
  <c r="E31" i="4"/>
  <c r="E33" i="4"/>
  <c r="F33" i="4"/>
  <c r="I33" i="4"/>
  <c r="I34" i="4"/>
  <c r="E34" i="4"/>
  <c r="F34" i="4"/>
  <c r="E37" i="4"/>
  <c r="I37" i="4"/>
  <c r="F37" i="4"/>
  <c r="E39" i="4"/>
  <c r="I39" i="4"/>
  <c r="F39" i="4"/>
  <c r="E40" i="4"/>
  <c r="I40" i="4"/>
  <c r="F40" i="4"/>
  <c r="F42" i="4"/>
  <c r="I42" i="4"/>
  <c r="E42" i="4"/>
  <c r="E44" i="4"/>
  <c r="F44" i="4"/>
  <c r="I44" i="4"/>
  <c r="E45" i="4"/>
  <c r="I45" i="4"/>
  <c r="F45" i="4"/>
  <c r="E47" i="4"/>
  <c r="I47" i="4"/>
  <c r="F47" i="4"/>
  <c r="E48" i="4"/>
  <c r="F48" i="4"/>
  <c r="I48" i="4"/>
  <c r="I49" i="4"/>
  <c r="E49" i="4"/>
  <c r="F49" i="4"/>
  <c r="E51" i="4"/>
  <c r="I51" i="4"/>
  <c r="F51" i="4"/>
  <c r="I53" i="4"/>
  <c r="E53" i="4"/>
  <c r="F53" i="4"/>
  <c r="E55" i="4"/>
  <c r="I55" i="4"/>
  <c r="F55" i="4"/>
  <c r="I57" i="4"/>
  <c r="E57" i="4"/>
  <c r="F57" i="4"/>
  <c r="E36" i="4"/>
  <c r="F36" i="4"/>
  <c r="I36" i="4"/>
  <c r="I50" i="4"/>
  <c r="E50" i="4"/>
  <c r="F50" i="4"/>
  <c r="F103" i="4"/>
  <c r="I103" i="4"/>
  <c r="E103" i="4"/>
  <c r="F94" i="4"/>
  <c r="E94" i="4"/>
  <c r="F95" i="4"/>
  <c r="I95" i="4"/>
  <c r="E95" i="4"/>
  <c r="F96" i="4"/>
  <c r="I96" i="4"/>
  <c r="E96" i="4"/>
  <c r="F97" i="4"/>
  <c r="I97" i="4"/>
  <c r="E97" i="4"/>
  <c r="F98" i="4"/>
  <c r="I98" i="4"/>
  <c r="E98" i="4"/>
  <c r="F99" i="4"/>
  <c r="E99" i="4"/>
  <c r="I99" i="4"/>
  <c r="F100" i="4"/>
  <c r="I100" i="4"/>
  <c r="E100" i="4"/>
  <c r="F101" i="4"/>
  <c r="I101" i="4"/>
  <c r="E101" i="4"/>
  <c r="F102" i="4"/>
  <c r="I102" i="4"/>
  <c r="E102" i="4"/>
  <c r="F104" i="4"/>
  <c r="I104" i="4"/>
  <c r="E104" i="4"/>
  <c r="I61" i="4"/>
  <c r="F61" i="4"/>
  <c r="E61" i="4"/>
  <c r="F105" i="4"/>
  <c r="I105" i="4"/>
  <c r="E105" i="4"/>
  <c r="F106" i="4"/>
  <c r="I106" i="4"/>
  <c r="E106" i="4"/>
  <c r="F107" i="4"/>
  <c r="I107" i="4"/>
  <c r="E107" i="4"/>
  <c r="F108" i="4"/>
  <c r="I108" i="4"/>
  <c r="E108" i="4"/>
  <c r="F109" i="4"/>
  <c r="I109" i="4"/>
  <c r="E109" i="4"/>
  <c r="F110" i="4"/>
  <c r="I110" i="4"/>
  <c r="E110" i="4"/>
  <c r="F111" i="4"/>
  <c r="I111" i="4"/>
  <c r="E111" i="4"/>
  <c r="F112" i="4"/>
  <c r="I112" i="4"/>
  <c r="E112" i="4"/>
  <c r="F113" i="4"/>
  <c r="I113" i="4"/>
  <c r="E113" i="4"/>
  <c r="F114" i="4"/>
  <c r="I114" i="4"/>
  <c r="E114" i="4"/>
  <c r="F115" i="4"/>
  <c r="I115" i="4"/>
  <c r="E115" i="4"/>
  <c r="F116" i="4"/>
  <c r="I116" i="4"/>
  <c r="E116" i="4"/>
  <c r="I117" i="4"/>
  <c r="E117" i="4"/>
  <c r="F8" i="7"/>
  <c r="G8" i="7"/>
  <c r="J8" i="7"/>
  <c r="G9" i="7"/>
  <c r="F9" i="7"/>
  <c r="J9" i="7"/>
  <c r="G10" i="7"/>
  <c r="F10" i="7"/>
  <c r="J10" i="7"/>
  <c r="F11" i="7"/>
  <c r="G11" i="7"/>
  <c r="J11" i="7"/>
  <c r="G14" i="2"/>
  <c r="J14" i="2"/>
  <c r="F14" i="2"/>
  <c r="G17" i="2"/>
  <c r="F17" i="2"/>
  <c r="J17" i="2"/>
  <c r="F19" i="2"/>
  <c r="G19" i="2"/>
  <c r="J19" i="2"/>
  <c r="G21" i="2"/>
  <c r="F21" i="2"/>
  <c r="J21" i="2"/>
  <c r="J23" i="2"/>
  <c r="G23" i="2"/>
  <c r="F23" i="2"/>
  <c r="G15" i="2"/>
  <c r="J15" i="2"/>
  <c r="F15" i="2"/>
  <c r="G16" i="2"/>
  <c r="F16" i="2"/>
  <c r="J16" i="2"/>
  <c r="G18" i="2"/>
  <c r="F18" i="2"/>
  <c r="J18" i="2"/>
  <c r="G20" i="2"/>
  <c r="F20" i="2"/>
  <c r="J20" i="2"/>
  <c r="G22" i="2"/>
  <c r="F22" i="2"/>
  <c r="J22"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F4B1656-1582-44A0-B07E-CACE7A03456B}" keepAlive="1" name="Query - physical-comparison-death-to-birth-rates" description="Connection to the 'physical-comparison-death-to-birth-rates' query in the workbook." type="5" refreshedVersion="8" background="1" saveData="1">
    <dbPr connection="Provider=Microsoft.Mashup.OleDb.1;Data Source=$Workbook$;Location=physical-comparison-death-to-birth-rates;Extended Properties=&quot;&quot;" command="SELECT * FROM [physical-comparison-death-to-birth-rates]"/>
  </connection>
  <connection id="2" xr16:uid="{A61BC68A-2B08-4696-A47B-5960DCBBBE9B}" keepAlive="1" name="Query - physical-comparison-death-to-birth-rates (2)" description="Connection to the 'physical-comparison-death-to-birth-rates (2)' query in the workbook." type="5" refreshedVersion="8" background="1" saveData="1">
    <dbPr connection="Provider=Microsoft.Mashup.OleDb.1;Data Source=$Workbook$;Location=&quot;physical-comparison-death-to-birth-rates (2)&quot;;Extended Properties=&quot;&quot;" command="SELECT * FROM [physical-comparison-death-to-birth-rates (2)]"/>
  </connection>
  <connection id="3" xr16:uid="{7B4B846D-F3CF-499A-B185-917E4C049A32}" keepAlive="1" name="Query - Query1" description="Connection to the 'Query1' query in the workbook." type="5" refreshedVersion="8" background="1" saveData="1">
    <dbPr connection="Provider=Microsoft.Mashup.OleDb.1;Data Source=$Workbook$;Location=Query1;Extended Properties=&quot;&quot;" command="SELECT * FROM [Query1]"/>
  </connection>
  <connection id="4" xr16:uid="{B34A8F0F-DAB8-43B0-87B6-DF422C3CC8BD}" keepAlive="1" name="Query - temporal-comparison-death-to-birth-rates" description="Connection to the 'temporal-comparison-death-to-birth-rates' query in the workbook." type="5" refreshedVersion="8" background="1" saveData="1">
    <dbPr connection="Provider=Microsoft.Mashup.OleDb.1;Data Source=$Workbook$;Location=temporal-comparison-death-to-birth-rates;Extended Properties=&quot;&quot;" command="SELECT * FROM [temporal-comparison-death-to-birth-rates]"/>
  </connection>
  <connection id="5" xr16:uid="{FEF4869E-FDE3-490B-AAAD-6B00154085B1}" keepAlive="1" name="Query - temporal-comparison-death-to-birth-rates (2)" description="Connection to the 'temporal-comparison-death-to-birth-rates (2)' query in the workbook." type="5" refreshedVersion="8" background="1" saveData="1">
    <dbPr connection="Provider=Microsoft.Mashup.OleDb.1;Data Source=$Workbook$;Location=&quot;temporal-comparison-death-to-birth-rates (2)&quot;;Extended Properties=&quot;&quot;" command="SELECT * FROM [temporal-comparison-death-to-birth-rates (2)]"/>
  </connection>
  <connection id="6" xr16:uid="{DD50E9FF-65EF-45E6-90DF-CD6A83F05DB2}" keepAlive="1" name="Query - temporal-comparison-death-to-birth-rates (3)" description="Connection to the 'temporal-comparison-death-to-birth-rates (3)' query in the workbook." type="5" refreshedVersion="8" background="1" saveData="1">
    <dbPr connection="Provider=Microsoft.Mashup.OleDb.1;Data Source=$Workbook$;Location=&quot;temporal-comparison-death-to-birth-rates (3)&quot;;Extended Properties=&quot;&quot;" command="SELECT * FROM [temporal-comparison-death-to-birth-rates (3)]"/>
  </connection>
  <connection id="7" xr16:uid="{5F476CDF-2F8E-443F-96E0-5574806AEC1C}" keepAlive="1" name="Query - temporal-comparison-death-to-birth-rates (4)" description="Connection to the 'temporal-comparison-death-to-birth-rates (4)' query in the workbook." type="5" refreshedVersion="8" background="1" saveData="1">
    <dbPr connection="Provider=Microsoft.Mashup.OleDb.1;Data Source=$Workbook$;Location=&quot;temporal-comparison-death-to-birth-rates (4)&quot;;Extended Properties=&quot;&quot;" command="SELECT * FROM [temporal-comparison-death-to-birth-rates (4)]"/>
  </connection>
  <connection id="8" xr16:uid="{82B7CBF1-F51D-4452-B483-DF1E3B181980}" keepAlive="1" name="Query - temporal-comparison-death-to-birth-rates (5)" description="Connection to the 'temporal-comparison-death-to-birth-rates (5)' query in the workbook." type="5" refreshedVersion="8" background="1" saveData="1">
    <dbPr connection="Provider=Microsoft.Mashup.OleDb.1;Data Source=$Workbook$;Location=&quot;temporal-comparison-death-to-birth-rates (5)&quot;;Extended Properties=&quot;&quot;" command="SELECT * FROM [temporal-comparison-death-to-birth-rates (5)]"/>
  </connection>
</connections>
</file>

<file path=xl/sharedStrings.xml><?xml version="1.0" encoding="utf-8"?>
<sst xmlns="http://schemas.openxmlformats.org/spreadsheetml/2006/main" count="781" uniqueCount="91">
  <si>
    <t>Chapter 18. A Framework for Comparison</t>
  </si>
  <si>
    <t>Hospital</t>
  </si>
  <si>
    <t>Stage</t>
  </si>
  <si>
    <t>Year</t>
  </si>
  <si>
    <t>Rate</t>
  </si>
  <si>
    <t>Mean</t>
  </si>
  <si>
    <t>UPL</t>
  </si>
  <si>
    <t>LPL</t>
  </si>
  <si>
    <t>mR</t>
  </si>
  <si>
    <t>Ave. mR</t>
  </si>
  <si>
    <t>URL</t>
  </si>
  <si>
    <t>Dublin Maternity Hospital</t>
  </si>
  <si>
    <t>1784</t>
  </si>
  <si>
    <t>1785</t>
  </si>
  <si>
    <t>1786</t>
  </si>
  <si>
    <t>1787</t>
  </si>
  <si>
    <t>1788</t>
  </si>
  <si>
    <t>1789</t>
  </si>
  <si>
    <t>1790</t>
  </si>
  <si>
    <t>1791</t>
  </si>
  <si>
    <t>1792</t>
  </si>
  <si>
    <t>1793</t>
  </si>
  <si>
    <t>1831</t>
  </si>
  <si>
    <t>1832</t>
  </si>
  <si>
    <t>1833</t>
  </si>
  <si>
    <t>1834</t>
  </si>
  <si>
    <t>1835</t>
  </si>
  <si>
    <t>1836</t>
  </si>
  <si>
    <t>1837</t>
  </si>
  <si>
    <t>1838</t>
  </si>
  <si>
    <t>1839</t>
  </si>
  <si>
    <t>1840</t>
  </si>
  <si>
    <t>Vienna General Hospital</t>
  </si>
  <si>
    <t>1794</t>
  </si>
  <si>
    <t>1795</t>
  </si>
  <si>
    <t>1796</t>
  </si>
  <si>
    <t>1797</t>
  </si>
  <si>
    <t>1798</t>
  </si>
  <si>
    <t>1799</t>
  </si>
  <si>
    <t>1800</t>
  </si>
  <si>
    <t>1801</t>
  </si>
  <si>
    <t>1802</t>
  </si>
  <si>
    <t>1803</t>
  </si>
  <si>
    <t>1804</t>
  </si>
  <si>
    <t>1805</t>
  </si>
  <si>
    <t>1806</t>
  </si>
  <si>
    <t>1807</t>
  </si>
  <si>
    <t>1808</t>
  </si>
  <si>
    <t>1809</t>
  </si>
  <si>
    <t>1810</t>
  </si>
  <si>
    <t>1811</t>
  </si>
  <si>
    <t>1812</t>
  </si>
  <si>
    <t>1813</t>
  </si>
  <si>
    <t>1814</t>
  </si>
  <si>
    <t>1815</t>
  </si>
  <si>
    <t>1816</t>
  </si>
  <si>
    <t>1817</t>
  </si>
  <si>
    <t>1818</t>
  </si>
  <si>
    <t>1819</t>
  </si>
  <si>
    <t>1820</t>
  </si>
  <si>
    <t>1821</t>
  </si>
  <si>
    <t>1822</t>
  </si>
  <si>
    <t>1823</t>
  </si>
  <si>
    <t>1824</t>
  </si>
  <si>
    <t>1825</t>
  </si>
  <si>
    <t>1826</t>
  </si>
  <si>
    <t>1827</t>
  </si>
  <si>
    <t>1828</t>
  </si>
  <si>
    <t>1829</t>
  </si>
  <si>
    <t>1830</t>
  </si>
  <si>
    <t>Link to book:</t>
  </si>
  <si>
    <t>https://www.brokenquality.com/book</t>
  </si>
  <si>
    <t>Link to GitHub:</t>
  </si>
  <si>
    <t>https://github.com/jimlehner/virus-of-variation-book</t>
  </si>
  <si>
    <t>Contact:</t>
  </si>
  <si>
    <t>James.Lehner@gmail.com</t>
  </si>
  <si>
    <t>QualityIsBroken@gmail.com</t>
  </si>
  <si>
    <t>Raw Data GitHub URLs</t>
  </si>
  <si>
    <r>
      <rPr>
        <sz val="12"/>
        <color rgb="FF000000"/>
        <rFont val="Montserrat"/>
      </rPr>
      <t>This file serves as a resource for building some of the figures in Chapter 18 of The Virus of Variation using Microsoft Excel or Google Sheets.
The figures included here are:
Figure 18.4. Temporal comparison XmR charts of Dublin rates
Figure 18.5. Temporal comparison XmR charts of Vienna rates
Figure 18.6. Physical comparison of Dublin and Vienna
Each figure has its own tab. The data used in the figures can be found in the Data tab.
For additional details regarding each of these figures, see Chapter 18 of The Virus of Variation.
(</t>
    </r>
    <r>
      <rPr>
        <b/>
        <sz val="12"/>
        <color rgb="FF000000"/>
        <rFont val="Montserrat"/>
      </rPr>
      <t>BrokenQuality.com/book</t>
    </r>
    <r>
      <rPr>
        <sz val="12"/>
        <color rgb="FF000000"/>
        <rFont val="Montserrat"/>
      </rPr>
      <t xml:space="preserve">).
If you are familiar with Python (or would like to learn), the Python code used to generate the figures, as they appear in The Virus of Variation, can be found at:
</t>
    </r>
    <r>
      <rPr>
        <b/>
        <sz val="12"/>
        <color rgb="FF000000"/>
        <rFont val="Montserrat"/>
      </rPr>
      <t>github.com/jimlehner/the-virus-of-variation</t>
    </r>
    <r>
      <rPr>
        <sz val="12"/>
        <color rgb="FF000000"/>
        <rFont val="Montserrat"/>
      </rPr>
      <t xml:space="preserve">
If you have question or feedback email us at:
</t>
    </r>
    <r>
      <rPr>
        <b/>
        <sz val="12"/>
        <color rgb="FF000000"/>
        <rFont val="Montserrat"/>
      </rPr>
      <t>James.Lehner@gmail.com</t>
    </r>
    <r>
      <rPr>
        <sz val="12"/>
        <color rgb="FF000000"/>
        <rFont val="Montserrat"/>
      </rPr>
      <t xml:space="preserve"> or </t>
    </r>
    <r>
      <rPr>
        <b/>
        <sz val="12"/>
        <color rgb="FF000000"/>
        <rFont val="Montserrat"/>
      </rPr>
      <t>QualityIsBroken@gmail.com</t>
    </r>
    <r>
      <rPr>
        <sz val="12"/>
        <color rgb="FF000000"/>
        <rFont val="Montserrat"/>
      </rPr>
      <t>.</t>
    </r>
  </si>
  <si>
    <t>https://raw.githubusercontent.com/jimlehner/virus-of-variation-book/refs/heads/main/data/temporal-comparison-death-to-birth-rates.csv</t>
  </si>
  <si>
    <t>Fig 18.5, 18.6</t>
  </si>
  <si>
    <t>Fig 18.7</t>
  </si>
  <si>
    <t>Period 1</t>
  </si>
  <si>
    <t>Period 2</t>
  </si>
  <si>
    <t>https://raw.githubusercontent.com/jimlehner/virus-of-variation-book/refs/heads/main/data/physical-comparison-death-to-birth-rates.csv</t>
  </si>
  <si>
    <t>Births</t>
  </si>
  <si>
    <t>Deaths</t>
  </si>
  <si>
    <t>Note</t>
  </si>
  <si>
    <t>No pathological anatomy</t>
  </si>
  <si>
    <t/>
  </si>
  <si>
    <t>Pathological anatomy begins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</si>
</sst>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9" x14ac:knownFonts="1">
    <font>
      <sz val="10"/>
      <color rgb="FF000000"/>
      <name val="Arial"/>
      <scheme val="minor"/>
    </font>
    <font>
      <b/>
      <sz val="16"/>
      <color rgb="FFD72323"/>
      <name val="Montserrat"/>
    </font>
    <font>
      <sz val="10"/>
      <color theme="1"/>
      <name val="Arial"/>
      <family val="2"/>
    </font>
    <font>
      <sz val="10"/>
      <color theme="1"/>
      <name val="Arial"/>
      <family val="2"/>
      <scheme val="minor"/>
    </font>
    <font>
      <u/>
      <sz val="10"/>
      <color theme="10"/>
      <name val="Arial"/>
      <family val="2"/>
      <scheme val="minor"/>
    </font>
    <font>
      <sz val="10"/>
      <color rgb="FF000000"/>
      <name val="Arial"/>
      <family val="2"/>
      <scheme val="minor"/>
    </font>
    <font>
      <b/>
      <sz val="10"/>
      <color rgb="FF000000"/>
      <name val="Arial"/>
      <family val="2"/>
      <scheme val="minor"/>
    </font>
    <font>
      <sz val="12"/>
      <color rgb="FF000000"/>
      <name val="Montserrat"/>
    </font>
    <font>
      <b/>
      <sz val="12"/>
      <color rgb="FF000000"/>
      <name val="Montserrat"/>
    </font>
  </fonts>
  <fills count="2">
    <fill>
      <patternFill patternType="none"/>
    </fill>
    <fill>
      <patternFill patternType="gray125"/>
    </fill>
  </fills>
  <borders count="12">
    <border>
      <left/>
      <right/>
      <top/>
      <bottom/>
      <diagonal/>
    </border>
    <border>
      <left style="thin">
        <color theme="0" tint="-0.14999847407452621"/>
      </left>
      <right/>
      <top style="thin">
        <color theme="0" tint="-0.14999847407452621"/>
      </top>
      <bottom/>
      <diagonal/>
    </border>
    <border>
      <left/>
      <right/>
      <top style="thin">
        <color theme="0" tint="-0.14999847407452621"/>
      </top>
      <bottom/>
      <diagonal/>
    </border>
    <border>
      <left/>
      <right style="thin">
        <color theme="0" tint="-0.14999847407452621"/>
      </right>
      <top style="thin">
        <color theme="0" tint="-0.14999847407452621"/>
      </top>
      <bottom/>
      <diagonal/>
    </border>
    <border>
      <left style="thin">
        <color theme="0" tint="-0.14999847407452621"/>
      </left>
      <right/>
      <top/>
      <bottom/>
      <diagonal/>
    </border>
    <border>
      <left/>
      <right style="thin">
        <color theme="0" tint="-0.14999847407452621"/>
      </right>
      <top/>
      <bottom/>
      <diagonal/>
    </border>
    <border>
      <left style="thin">
        <color theme="0" tint="-0.14999847407452621"/>
      </left>
      <right/>
      <top/>
      <bottom style="thin">
        <color theme="0" tint="-0.14999847407452621"/>
      </bottom>
      <diagonal/>
    </border>
    <border>
      <left/>
      <right/>
      <top/>
      <bottom style="thin">
        <color theme="0" tint="-0.14999847407452621"/>
      </bottom>
      <diagonal/>
    </border>
    <border>
      <left/>
      <right style="thin">
        <color theme="0" tint="-0.14999847407452621"/>
      </right>
      <top/>
      <bottom style="thin">
        <color theme="0" tint="-0.14999847407452621"/>
      </bottom>
      <diagonal/>
    </border>
    <border>
      <left style="thin">
        <color theme="0" tint="-0.14999847407452621"/>
      </left>
      <right/>
      <top style="thin">
        <color theme="0" tint="-0.14999847407452621"/>
      </top>
      <bottom style="thin">
        <color theme="0" tint="-0.14999847407452621"/>
      </bottom>
      <diagonal/>
    </border>
    <border>
      <left/>
      <right/>
      <top style="thin">
        <color theme="0" tint="-0.14999847407452621"/>
      </top>
      <bottom style="thin">
        <color theme="0" tint="-0.14999847407452621"/>
      </bottom>
      <diagonal/>
    </border>
    <border>
      <left/>
      <right style="thin">
        <color theme="0" tint="-0.14999847407452621"/>
      </right>
      <top style="thin">
        <color theme="0" tint="-0.14999847407452621"/>
      </top>
      <bottom style="thin">
        <color theme="0" tint="-0.14999847407452621"/>
      </bottom>
      <diagonal/>
    </border>
  </borders>
  <cellStyleXfs count="3">
    <xf numFmtId="0" fontId="0" fillId="0" borderId="0"/>
    <xf numFmtId="0" fontId="4" fillId="0" borderId="0" applyNumberFormat="0" applyFill="0" applyBorder="0" applyAlignment="0" applyProtection="0"/>
    <xf numFmtId="0" fontId="5" fillId="0" borderId="0"/>
  </cellStyleXfs>
  <cellXfs count="47">
    <xf numFmtId="0" fontId="0" fillId="0" borderId="0" xfId="0"/>
    <xf numFmtId="0" fontId="2" fillId="0" borderId="0" xfId="0" applyFont="1"/>
    <xf numFmtId="49" fontId="2" fillId="0" borderId="0" xfId="0" applyNumberFormat="1" applyFont="1"/>
    <xf numFmtId="0" fontId="3" fillId="0" borderId="0" xfId="0" applyFont="1" applyAlignment="1">
      <alignment horizontal="right"/>
    </xf>
    <xf numFmtId="49" fontId="2" fillId="0" borderId="0" xfId="0" applyNumberFormat="1" applyFont="1" applyAlignment="1">
      <alignment horizontal="right"/>
    </xf>
    <xf numFmtId="0" fontId="5" fillId="0" borderId="0" xfId="0" applyFont="1"/>
    <xf numFmtId="49" fontId="2" fillId="0" borderId="0" xfId="0" applyNumberFormat="1" applyFont="1" applyAlignment="1">
      <alignment horizontal="left"/>
    </xf>
    <xf numFmtId="4" fontId="2" fillId="0" borderId="0" xfId="0" applyNumberFormat="1" applyFont="1" applyAlignment="1">
      <alignment horizontal="left"/>
    </xf>
    <xf numFmtId="3" fontId="2" fillId="0" borderId="0" xfId="0" applyNumberFormat="1" applyFont="1" applyAlignment="1">
      <alignment horizontal="left"/>
    </xf>
    <xf numFmtId="164" fontId="3" fillId="0" borderId="0" xfId="0" applyNumberFormat="1" applyFont="1" applyAlignment="1">
      <alignment horizontal="left"/>
    </xf>
    <xf numFmtId="2" fontId="3" fillId="0" borderId="0" xfId="0" applyNumberFormat="1" applyFont="1" applyAlignment="1">
      <alignment horizontal="left"/>
    </xf>
    <xf numFmtId="0" fontId="5" fillId="0" borderId="0" xfId="0" applyFont="1" applyAlignment="1">
      <alignment horizontal="left"/>
    </xf>
    <xf numFmtId="0" fontId="3" fillId="0" borderId="0" xfId="0" applyFont="1" applyAlignment="1">
      <alignment horizontal="left"/>
    </xf>
    <xf numFmtId="0" fontId="0" fillId="0" borderId="0" xfId="0" applyAlignment="1">
      <alignment horizontal="left"/>
    </xf>
    <xf numFmtId="0" fontId="7" fillId="0" borderId="1" xfId="0" applyFont="1" applyBorder="1" applyAlignment="1">
      <alignment horizontal="center" vertical="center" wrapText="1"/>
    </xf>
    <xf numFmtId="0" fontId="0" fillId="0" borderId="2"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0" xfId="0"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0" fontId="6" fillId="0" borderId="1" xfId="0" applyFont="1" applyBorder="1" applyAlignment="1">
      <alignment horizontal="center" wrapText="1"/>
    </xf>
    <xf numFmtId="0" fontId="6" fillId="0" borderId="2" xfId="0" applyFont="1" applyBorder="1" applyAlignment="1">
      <alignment horizontal="center" wrapText="1"/>
    </xf>
    <xf numFmtId="0" fontId="6" fillId="0" borderId="3" xfId="0" applyFont="1" applyBorder="1" applyAlignment="1">
      <alignment horizontal="center" wrapText="1"/>
    </xf>
    <xf numFmtId="0" fontId="4" fillId="0" borderId="4" xfId="1" applyBorder="1" applyAlignment="1">
      <alignment horizontal="center"/>
    </xf>
    <xf numFmtId="0" fontId="4" fillId="0" borderId="0" xfId="1" applyBorder="1" applyAlignment="1">
      <alignment horizontal="center"/>
    </xf>
    <xf numFmtId="0" fontId="4" fillId="0" borderId="5" xfId="1" applyBorder="1" applyAlignment="1">
      <alignment horizontal="center"/>
    </xf>
    <xf numFmtId="0" fontId="6" fillId="0" borderId="4" xfId="0" applyFont="1" applyBorder="1" applyAlignment="1">
      <alignment horizontal="center"/>
    </xf>
    <xf numFmtId="0" fontId="6" fillId="0" borderId="0" xfId="0" applyFont="1" applyAlignment="1">
      <alignment horizontal="center"/>
    </xf>
    <xf numFmtId="0" fontId="6" fillId="0" borderId="5" xfId="0" applyFont="1" applyBorder="1" applyAlignment="1">
      <alignment horizontal="center"/>
    </xf>
    <xf numFmtId="0" fontId="4" fillId="0" borderId="6" xfId="1" applyBorder="1" applyAlignment="1">
      <alignment horizontal="center"/>
    </xf>
    <xf numFmtId="0" fontId="4" fillId="0" borderId="7" xfId="1" applyBorder="1" applyAlignment="1">
      <alignment horizontal="center"/>
    </xf>
    <xf numFmtId="0" fontId="4" fillId="0" borderId="8" xfId="1" applyBorder="1" applyAlignment="1">
      <alignment horizontal="center"/>
    </xf>
    <xf numFmtId="0" fontId="1" fillId="0" borderId="9" xfId="0" applyFont="1" applyBorder="1" applyAlignment="1">
      <alignment horizontal="center"/>
    </xf>
    <xf numFmtId="0" fontId="0" fillId="0" borderId="10" xfId="0" applyBorder="1"/>
    <xf numFmtId="0" fontId="0" fillId="0" borderId="11" xfId="0" applyBorder="1"/>
    <xf numFmtId="0" fontId="6" fillId="0" borderId="4" xfId="0" applyFont="1" applyBorder="1"/>
    <xf numFmtId="0" fontId="0" fillId="0" borderId="0" xfId="0" applyBorder="1" applyAlignment="1">
      <alignment horizontal="left"/>
    </xf>
    <xf numFmtId="0" fontId="0" fillId="0" borderId="5" xfId="0" applyBorder="1" applyAlignment="1">
      <alignment horizontal="left"/>
    </xf>
    <xf numFmtId="0" fontId="6" fillId="0" borderId="6" xfId="0" applyFont="1" applyBorder="1"/>
    <xf numFmtId="0" fontId="0" fillId="0" borderId="7" xfId="0" applyBorder="1" applyAlignment="1">
      <alignment horizontal="left"/>
    </xf>
    <xf numFmtId="0" fontId="0" fillId="0" borderId="8" xfId="0" applyBorder="1" applyAlignment="1">
      <alignment horizontal="left"/>
    </xf>
    <xf numFmtId="0" fontId="5" fillId="0" borderId="0" xfId="0" applyFont="1" applyBorder="1" applyAlignment="1">
      <alignment horizontal="left"/>
    </xf>
    <xf numFmtId="0" fontId="0" fillId="0" borderId="0" xfId="0" applyNumberFormat="1"/>
    <xf numFmtId="0" fontId="2" fillId="0" borderId="0" xfId="0" applyNumberFormat="1" applyFont="1"/>
  </cellXfs>
  <cellStyles count="3">
    <cellStyle name="Hyperlink" xfId="1" builtinId="8"/>
    <cellStyle name="Normal" xfId="0" builtinId="0"/>
    <cellStyle name="Normal 2" xfId="2" xr:uid="{1D8A0EA2-2F7C-4A34-B506-C334C93EFE55}"/>
  </cellStyles>
  <dxfs count="67">
    <dxf>
      <font>
        <b val="0"/>
        <i val="0"/>
        <strike val="0"/>
        <condense val="0"/>
        <extend val="0"/>
        <outline val="0"/>
        <shadow val="0"/>
        <u val="none"/>
        <vertAlign val="baseline"/>
        <sz val="10"/>
        <color theme="1"/>
        <name val="Arial"/>
        <family val="2"/>
        <scheme val="none"/>
      </font>
      <numFmt numFmtId="0" formatCode="General"/>
    </dxf>
    <dxf>
      <font>
        <b val="0"/>
        <i val="0"/>
        <strike val="0"/>
        <condense val="0"/>
        <extend val="0"/>
        <outline val="0"/>
        <shadow val="0"/>
        <u val="none"/>
        <vertAlign val="baseline"/>
        <sz val="10"/>
        <color theme="1"/>
        <name val="Arial"/>
        <family val="2"/>
        <scheme val="none"/>
      </font>
      <numFmt numFmtId="0" formatCode="General"/>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alignment horizontal="left" vertical="bottom" textRotation="0" wrapText="0"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ill>
        <patternFill>
          <bgColor rgb="FFFFFFFF"/>
        </patternFill>
      </fill>
    </dxf>
    <dxf>
      <fill>
        <patternFill>
          <bgColor rgb="FFE8F3F7"/>
        </patternFill>
      </fill>
    </dxf>
    <dxf>
      <fill>
        <patternFill>
          <bgColor rgb="FF3688A4"/>
        </patternFill>
      </fill>
    </dxf>
    <dxf>
      <border>
        <left style="thin">
          <color rgb="FF8BB4C5"/>
        </left>
        <right style="thin">
          <color rgb="FF8BB4C5"/>
        </right>
        <top style="thin">
          <color rgb="FF8BB4C5"/>
        </top>
        <bottom style="thin">
          <color rgb="FF8BB4C5"/>
        </bottom>
        <vertical style="thin">
          <color rgb="FFC8DDE6"/>
        </vertical>
        <horizontal style="thin">
          <color rgb="FF8BB4C5"/>
        </horizontal>
      </border>
    </dxf>
  </dxfs>
  <tableStyles count="1" defaultTableStyle="TableStyleMedium2" defaultPivotStyle="PivotStyleLight16">
    <tableStyle name="The Virus of Variation" pivot="0" count="4" xr9:uid="{6D863728-71CA-4294-9A63-3FDCDECD3068}">
      <tableStyleElement type="wholeTable" dxfId="66"/>
      <tableStyleElement type="headerRow" dxfId="65"/>
      <tableStyleElement type="firstRowStripe" dxfId="64"/>
      <tableStyleElement type="secondRowStripe" dxfId="63"/>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4.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themeOverride" Target="../theme/themeOverride5.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themeOverride" Target="../theme/themeOverride6.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themeOverride" Target="../theme/themeOverride7.xml"/><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themeOverride" Target="../theme/themeOverride8.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themeOverride" Target="../theme/themeOverride9.xml"/><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3" Type="http://schemas.openxmlformats.org/officeDocument/2006/relationships/themeOverride" Target="../theme/themeOverride10.xml"/><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3" Type="http://schemas.openxmlformats.org/officeDocument/2006/relationships/themeOverride" Target="../theme/themeOverride11.xml"/><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3" Type="http://schemas.openxmlformats.org/officeDocument/2006/relationships/themeOverride" Target="../theme/themeOverride12.xml"/><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Dublin</a:t>
            </a:r>
            <a:r>
              <a:rPr lang="en-US" baseline="0"/>
              <a:t> - 1784 to 1793</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'Fig 18.5. Dublin Temporal'!$D$1</c:f>
              <c:strCache>
                <c:ptCount val="1"/>
                <c:pt idx="0">
                  <c:v>Rate</c:v>
                </c:pt>
              </c:strCache>
            </c:strRef>
          </c:tx>
          <c:spPr>
            <a:ln w="28575" cap="rnd">
              <a:solidFill>
                <a:schemeClr val="accent1"/>
              </a:solidFill>
              <a:round/>
            </a:ln>
            <a:effectLst/>
          </c:spPr>
          <c:marker>
            <c:symbol val="circle"/>
            <c:size val="6"/>
            <c:spPr>
              <a:solidFill>
                <a:schemeClr val="accent1"/>
              </a:solidFill>
              <a:ln w="9525">
                <a:solidFill>
                  <a:schemeClr val="accent1"/>
                </a:solidFill>
              </a:ln>
              <a:effectLst/>
            </c:spPr>
          </c:marker>
          <c:cat>
            <c:strRef>
              <c:f>'Fig 18.5. Dublin Temporal'!$C$2:$C$11</c:f>
              <c:strCache>
                <c:ptCount val="10"/>
                <c:pt idx="0">
                  <c:v>1784</c:v>
                </c:pt>
                <c:pt idx="1">
                  <c:v>1785</c:v>
                </c:pt>
                <c:pt idx="2">
                  <c:v>1786</c:v>
                </c:pt>
                <c:pt idx="3">
                  <c:v>1787</c:v>
                </c:pt>
                <c:pt idx="4">
                  <c:v>1788</c:v>
                </c:pt>
                <c:pt idx="5">
                  <c:v>1789</c:v>
                </c:pt>
                <c:pt idx="6">
                  <c:v>1790</c:v>
                </c:pt>
                <c:pt idx="7">
                  <c:v>1791</c:v>
                </c:pt>
                <c:pt idx="8">
                  <c:v>1792</c:v>
                </c:pt>
                <c:pt idx="9">
                  <c:v>1793</c:v>
                </c:pt>
              </c:strCache>
            </c:strRef>
          </c:cat>
          <c:val>
            <c:numRef>
              <c:f>'Fig 18.5. Dublin Temporal'!$D$2:$D$11</c:f>
              <c:numCache>
                <c:formatCode>General</c:formatCode>
                <c:ptCount val="10"/>
                <c:pt idx="0">
                  <c:v>0.9</c:v>
                </c:pt>
                <c:pt idx="1">
                  <c:v>0.6</c:v>
                </c:pt>
                <c:pt idx="2">
                  <c:v>0.6</c:v>
                </c:pt>
                <c:pt idx="3">
                  <c:v>0.7</c:v>
                </c:pt>
                <c:pt idx="4">
                  <c:v>1.6</c:v>
                </c:pt>
                <c:pt idx="5">
                  <c:v>1.7</c:v>
                </c:pt>
                <c:pt idx="6">
                  <c:v>0.8</c:v>
                </c:pt>
                <c:pt idx="7">
                  <c:v>1.6</c:v>
                </c:pt>
                <c:pt idx="8">
                  <c:v>0.6</c:v>
                </c:pt>
                <c:pt idx="9">
                  <c:v>1.1000000000000001</c:v>
                </c:pt>
              </c:numCache>
            </c:numRef>
          </c:val>
          <c:smooth val="0"/>
          <c:extLst>
            <c:ext xmlns:c16="http://schemas.microsoft.com/office/drawing/2014/chart" uri="{C3380CC4-5D6E-409C-BE32-E72D297353CC}">
              <c16:uniqueId val="{00000000-329B-41D6-8340-43856FD2F6C5}"/>
            </c:ext>
          </c:extLst>
        </c:ser>
        <c:ser>
          <c:idx val="1"/>
          <c:order val="1"/>
          <c:tx>
            <c:strRef>
              <c:f>'Fig 18.5. Dublin Temporal'!$E$1</c:f>
              <c:strCache>
                <c:ptCount val="1"/>
                <c:pt idx="0">
                  <c:v>Mean</c:v>
                </c:pt>
              </c:strCache>
            </c:strRef>
          </c:tx>
          <c:spPr>
            <a:ln w="28575" cap="rnd">
              <a:solidFill>
                <a:schemeClr val="tx1"/>
              </a:solidFill>
              <a:round/>
            </a:ln>
            <a:effectLst/>
          </c:spPr>
          <c:marker>
            <c:symbol val="none"/>
          </c:marker>
          <c:cat>
            <c:strRef>
              <c:f>'Fig 18.5. Dublin Temporal'!$C$2:$C$11</c:f>
              <c:strCache>
                <c:ptCount val="10"/>
                <c:pt idx="0">
                  <c:v>1784</c:v>
                </c:pt>
                <c:pt idx="1">
                  <c:v>1785</c:v>
                </c:pt>
                <c:pt idx="2">
                  <c:v>1786</c:v>
                </c:pt>
                <c:pt idx="3">
                  <c:v>1787</c:v>
                </c:pt>
                <c:pt idx="4">
                  <c:v>1788</c:v>
                </c:pt>
                <c:pt idx="5">
                  <c:v>1789</c:v>
                </c:pt>
                <c:pt idx="6">
                  <c:v>1790</c:v>
                </c:pt>
                <c:pt idx="7">
                  <c:v>1791</c:v>
                </c:pt>
                <c:pt idx="8">
                  <c:v>1792</c:v>
                </c:pt>
                <c:pt idx="9">
                  <c:v>1793</c:v>
                </c:pt>
              </c:strCache>
            </c:strRef>
          </c:cat>
          <c:val>
            <c:numRef>
              <c:f>'Fig 18.5. Dublin Temporal'!$E$2:$E$11</c:f>
              <c:numCache>
                <c:formatCode>General</c:formatCode>
                <c:ptCount val="10"/>
                <c:pt idx="0">
                  <c:v>1.02</c:v>
                </c:pt>
                <c:pt idx="1">
                  <c:v>1.02</c:v>
                </c:pt>
                <c:pt idx="2">
                  <c:v>1.02</c:v>
                </c:pt>
                <c:pt idx="3">
                  <c:v>1.02</c:v>
                </c:pt>
                <c:pt idx="4">
                  <c:v>1.02</c:v>
                </c:pt>
                <c:pt idx="5">
                  <c:v>1.02</c:v>
                </c:pt>
                <c:pt idx="6">
                  <c:v>1.02</c:v>
                </c:pt>
                <c:pt idx="7">
                  <c:v>1.02</c:v>
                </c:pt>
                <c:pt idx="8">
                  <c:v>1.02</c:v>
                </c:pt>
                <c:pt idx="9">
                  <c:v>1.02</c:v>
                </c:pt>
              </c:numCache>
            </c:numRef>
          </c:val>
          <c:smooth val="0"/>
          <c:extLst>
            <c:ext xmlns:c16="http://schemas.microsoft.com/office/drawing/2014/chart" uri="{C3380CC4-5D6E-409C-BE32-E72D297353CC}">
              <c16:uniqueId val="{00000001-329B-41D6-8340-43856FD2F6C5}"/>
            </c:ext>
          </c:extLst>
        </c:ser>
        <c:ser>
          <c:idx val="2"/>
          <c:order val="2"/>
          <c:tx>
            <c:strRef>
              <c:f>'Fig 18.5. Dublin Temporal'!$F$1</c:f>
              <c:strCache>
                <c:ptCount val="1"/>
                <c:pt idx="0">
                  <c:v>UPL</c:v>
                </c:pt>
              </c:strCache>
            </c:strRef>
          </c:tx>
          <c:spPr>
            <a:ln w="28575" cap="rnd">
              <a:solidFill>
                <a:srgbClr val="D72323"/>
              </a:solidFill>
              <a:prstDash val="dash"/>
              <a:round/>
            </a:ln>
            <a:effectLst/>
          </c:spPr>
          <c:marker>
            <c:symbol val="none"/>
          </c:marker>
          <c:cat>
            <c:strRef>
              <c:f>'Fig 18.5. Dublin Temporal'!$C$2:$C$11</c:f>
              <c:strCache>
                <c:ptCount val="10"/>
                <c:pt idx="0">
                  <c:v>1784</c:v>
                </c:pt>
                <c:pt idx="1">
                  <c:v>1785</c:v>
                </c:pt>
                <c:pt idx="2">
                  <c:v>1786</c:v>
                </c:pt>
                <c:pt idx="3">
                  <c:v>1787</c:v>
                </c:pt>
                <c:pt idx="4">
                  <c:v>1788</c:v>
                </c:pt>
                <c:pt idx="5">
                  <c:v>1789</c:v>
                </c:pt>
                <c:pt idx="6">
                  <c:v>1790</c:v>
                </c:pt>
                <c:pt idx="7">
                  <c:v>1791</c:v>
                </c:pt>
                <c:pt idx="8">
                  <c:v>1792</c:v>
                </c:pt>
                <c:pt idx="9">
                  <c:v>1793</c:v>
                </c:pt>
              </c:strCache>
            </c:strRef>
          </c:cat>
          <c:val>
            <c:numRef>
              <c:f>'Fig 18.5. Dublin Temporal'!$F$2:$F$11</c:f>
              <c:numCache>
                <c:formatCode>General</c:formatCode>
                <c:ptCount val="10"/>
                <c:pt idx="0">
                  <c:v>2.38</c:v>
                </c:pt>
                <c:pt idx="1">
                  <c:v>2.38</c:v>
                </c:pt>
                <c:pt idx="2">
                  <c:v>2.38</c:v>
                </c:pt>
                <c:pt idx="3">
                  <c:v>2.38</c:v>
                </c:pt>
                <c:pt idx="4">
                  <c:v>2.38</c:v>
                </c:pt>
                <c:pt idx="5">
                  <c:v>2.38</c:v>
                </c:pt>
                <c:pt idx="6">
                  <c:v>2.38</c:v>
                </c:pt>
                <c:pt idx="7">
                  <c:v>2.38</c:v>
                </c:pt>
                <c:pt idx="8">
                  <c:v>2.38</c:v>
                </c:pt>
                <c:pt idx="9">
                  <c:v>2.38</c:v>
                </c:pt>
              </c:numCache>
            </c:numRef>
          </c:val>
          <c:smooth val="0"/>
          <c:extLst>
            <c:ext xmlns:c16="http://schemas.microsoft.com/office/drawing/2014/chart" uri="{C3380CC4-5D6E-409C-BE32-E72D297353CC}">
              <c16:uniqueId val="{00000002-329B-41D6-8340-43856FD2F6C5}"/>
            </c:ext>
          </c:extLst>
        </c:ser>
        <c:ser>
          <c:idx val="3"/>
          <c:order val="3"/>
          <c:tx>
            <c:strRef>
              <c:f>'Fig 18.5. Dublin Temporal'!$G$1</c:f>
              <c:strCache>
                <c:ptCount val="1"/>
                <c:pt idx="0">
                  <c:v>LPL</c:v>
                </c:pt>
              </c:strCache>
            </c:strRef>
          </c:tx>
          <c:spPr>
            <a:ln w="28575" cap="rnd">
              <a:solidFill>
                <a:srgbClr val="D72323"/>
              </a:solidFill>
              <a:prstDash val="dash"/>
              <a:round/>
            </a:ln>
            <a:effectLst/>
          </c:spPr>
          <c:marker>
            <c:symbol val="none"/>
          </c:marker>
          <c:cat>
            <c:strRef>
              <c:f>'Fig 18.5. Dublin Temporal'!$C$2:$C$11</c:f>
              <c:strCache>
                <c:ptCount val="10"/>
                <c:pt idx="0">
                  <c:v>1784</c:v>
                </c:pt>
                <c:pt idx="1">
                  <c:v>1785</c:v>
                </c:pt>
                <c:pt idx="2">
                  <c:v>1786</c:v>
                </c:pt>
                <c:pt idx="3">
                  <c:v>1787</c:v>
                </c:pt>
                <c:pt idx="4">
                  <c:v>1788</c:v>
                </c:pt>
                <c:pt idx="5">
                  <c:v>1789</c:v>
                </c:pt>
                <c:pt idx="6">
                  <c:v>1790</c:v>
                </c:pt>
                <c:pt idx="7">
                  <c:v>1791</c:v>
                </c:pt>
                <c:pt idx="8">
                  <c:v>1792</c:v>
                </c:pt>
                <c:pt idx="9">
                  <c:v>1793</c:v>
                </c:pt>
              </c:strCache>
            </c:strRef>
          </c:cat>
          <c:val>
            <c:numRef>
              <c:f>'Fig 18.5. Dublin Temporal'!$G$2:$G$11</c:f>
              <c:numCache>
                <c:formatCode>General</c:formatCode>
                <c:ptCount val="10"/>
                <c:pt idx="0">
                  <c:v>0</c:v>
                </c:pt>
                <c:pt idx="1">
                  <c:v>0</c:v>
                </c:pt>
                <c:pt idx="2">
                  <c:v>0</c:v>
                </c:pt>
                <c:pt idx="3">
                  <c:v>0</c:v>
                </c:pt>
                <c:pt idx="4">
                  <c:v>0</c:v>
                </c:pt>
                <c:pt idx="5">
                  <c:v>0</c:v>
                </c:pt>
                <c:pt idx="6">
                  <c:v>0</c:v>
                </c:pt>
                <c:pt idx="7">
                  <c:v>0</c:v>
                </c:pt>
                <c:pt idx="8">
                  <c:v>0</c:v>
                </c:pt>
                <c:pt idx="9">
                  <c:v>0</c:v>
                </c:pt>
              </c:numCache>
            </c:numRef>
          </c:val>
          <c:smooth val="0"/>
          <c:extLst>
            <c:ext xmlns:c16="http://schemas.microsoft.com/office/drawing/2014/chart" uri="{C3380CC4-5D6E-409C-BE32-E72D297353CC}">
              <c16:uniqueId val="{00000003-329B-41D6-8340-43856FD2F6C5}"/>
            </c:ext>
          </c:extLst>
        </c:ser>
        <c:dLbls>
          <c:showLegendKey val="0"/>
          <c:showVal val="0"/>
          <c:showCatName val="0"/>
          <c:showSerName val="0"/>
          <c:showPercent val="0"/>
          <c:showBubbleSize val="0"/>
        </c:dLbls>
        <c:marker val="1"/>
        <c:smooth val="0"/>
        <c:axId val="2024056368"/>
        <c:axId val="2024057808"/>
      </c:lineChart>
      <c:catAx>
        <c:axId val="2024056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4057808"/>
        <c:crosses val="autoZero"/>
        <c:auto val="1"/>
        <c:lblAlgn val="ctr"/>
        <c:lblOffset val="100"/>
        <c:noMultiLvlLbl val="0"/>
      </c:catAx>
      <c:valAx>
        <c:axId val="2024057808"/>
        <c:scaling>
          <c:orientation val="minMax"/>
          <c:max val="3"/>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Death-to-Birth Rate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4056368"/>
        <c:crosses val="autoZero"/>
        <c:crossBetween val="between"/>
      </c:valAx>
      <c:spPr>
        <a:noFill/>
        <a:ln w="25400">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lineChart>
        <c:grouping val="standard"/>
        <c:varyColors val="0"/>
        <c:ser>
          <c:idx val="0"/>
          <c:order val="0"/>
          <c:tx>
            <c:strRef>
              <c:f>'Fig 18.5. Dublin Temporal'!$H$1</c:f>
              <c:strCache>
                <c:ptCount val="1"/>
                <c:pt idx="0">
                  <c:v>mR</c:v>
                </c:pt>
              </c:strCache>
            </c:strRef>
          </c:tx>
          <c:spPr>
            <a:ln w="28575" cap="rnd">
              <a:solidFill>
                <a:schemeClr val="accent1"/>
              </a:solidFill>
              <a:round/>
            </a:ln>
            <a:effectLst/>
          </c:spPr>
          <c:marker>
            <c:symbol val="circle"/>
            <c:size val="6"/>
            <c:spPr>
              <a:solidFill>
                <a:schemeClr val="accent1"/>
              </a:solidFill>
              <a:ln w="9525">
                <a:solidFill>
                  <a:schemeClr val="accent1"/>
                </a:solidFill>
              </a:ln>
              <a:effectLst/>
            </c:spPr>
          </c:marker>
          <c:val>
            <c:numRef>
              <c:f>'Fig 18.5. Dublin Temporal'!$H$2:$H$11</c:f>
              <c:numCache>
                <c:formatCode>General</c:formatCode>
                <c:ptCount val="10"/>
                <c:pt idx="1">
                  <c:v>0.30000000000000004</c:v>
                </c:pt>
                <c:pt idx="2">
                  <c:v>0</c:v>
                </c:pt>
                <c:pt idx="3">
                  <c:v>9.9999999999999978E-2</c:v>
                </c:pt>
                <c:pt idx="4">
                  <c:v>0.90000000000000013</c:v>
                </c:pt>
                <c:pt idx="5">
                  <c:v>9.9999999999999867E-2</c:v>
                </c:pt>
                <c:pt idx="6">
                  <c:v>0.89999999999999991</c:v>
                </c:pt>
                <c:pt idx="7">
                  <c:v>0.8</c:v>
                </c:pt>
                <c:pt idx="8">
                  <c:v>1</c:v>
                </c:pt>
                <c:pt idx="9">
                  <c:v>0.50000000000000011</c:v>
                </c:pt>
              </c:numCache>
            </c:numRef>
          </c:val>
          <c:smooth val="0"/>
          <c:extLst>
            <c:ext xmlns:c16="http://schemas.microsoft.com/office/drawing/2014/chart" uri="{C3380CC4-5D6E-409C-BE32-E72D297353CC}">
              <c16:uniqueId val="{00000000-5D18-47FA-93F7-2AB89D044415}"/>
            </c:ext>
          </c:extLst>
        </c:ser>
        <c:ser>
          <c:idx val="1"/>
          <c:order val="1"/>
          <c:tx>
            <c:strRef>
              <c:f>'Fig 18.5. Dublin Temporal'!$I$1</c:f>
              <c:strCache>
                <c:ptCount val="1"/>
                <c:pt idx="0">
                  <c:v>Ave. mR</c:v>
                </c:pt>
              </c:strCache>
            </c:strRef>
          </c:tx>
          <c:spPr>
            <a:ln w="28575" cap="rnd">
              <a:solidFill>
                <a:schemeClr val="tx1"/>
              </a:solidFill>
              <a:round/>
            </a:ln>
            <a:effectLst/>
          </c:spPr>
          <c:marker>
            <c:symbol val="none"/>
          </c:marker>
          <c:val>
            <c:numRef>
              <c:f>'Fig 18.5. Dublin Temporal'!$I$2:$I$11</c:f>
              <c:numCache>
                <c:formatCode>General</c:formatCode>
                <c:ptCount val="10"/>
                <c:pt idx="0">
                  <c:v>0.51</c:v>
                </c:pt>
                <c:pt idx="1">
                  <c:v>0.51</c:v>
                </c:pt>
                <c:pt idx="2">
                  <c:v>0.51</c:v>
                </c:pt>
                <c:pt idx="3">
                  <c:v>0.51</c:v>
                </c:pt>
                <c:pt idx="4">
                  <c:v>0.51</c:v>
                </c:pt>
                <c:pt idx="5">
                  <c:v>0.51</c:v>
                </c:pt>
                <c:pt idx="6">
                  <c:v>0.51</c:v>
                </c:pt>
                <c:pt idx="7">
                  <c:v>0.51</c:v>
                </c:pt>
                <c:pt idx="8">
                  <c:v>0.51</c:v>
                </c:pt>
                <c:pt idx="9">
                  <c:v>0.51</c:v>
                </c:pt>
              </c:numCache>
            </c:numRef>
          </c:val>
          <c:smooth val="0"/>
          <c:extLst>
            <c:ext xmlns:c16="http://schemas.microsoft.com/office/drawing/2014/chart" uri="{C3380CC4-5D6E-409C-BE32-E72D297353CC}">
              <c16:uniqueId val="{00000001-5D18-47FA-93F7-2AB89D044415}"/>
            </c:ext>
          </c:extLst>
        </c:ser>
        <c:ser>
          <c:idx val="2"/>
          <c:order val="2"/>
          <c:tx>
            <c:strRef>
              <c:f>'Fig 18.5. Dublin Temporal'!$J$1</c:f>
              <c:strCache>
                <c:ptCount val="1"/>
                <c:pt idx="0">
                  <c:v>URL</c:v>
                </c:pt>
              </c:strCache>
            </c:strRef>
          </c:tx>
          <c:spPr>
            <a:ln w="28575" cap="rnd">
              <a:solidFill>
                <a:srgbClr val="D72323"/>
              </a:solidFill>
              <a:prstDash val="dash"/>
              <a:round/>
            </a:ln>
            <a:effectLst/>
          </c:spPr>
          <c:marker>
            <c:symbol val="none"/>
          </c:marker>
          <c:val>
            <c:numRef>
              <c:f>'Fig 18.5. Dublin Temporal'!$J$2:$J$11</c:f>
              <c:numCache>
                <c:formatCode>General</c:formatCode>
                <c:ptCount val="10"/>
                <c:pt idx="0">
                  <c:v>1.67</c:v>
                </c:pt>
                <c:pt idx="1">
                  <c:v>1.67</c:v>
                </c:pt>
                <c:pt idx="2">
                  <c:v>1.67</c:v>
                </c:pt>
                <c:pt idx="3">
                  <c:v>1.67</c:v>
                </c:pt>
                <c:pt idx="4">
                  <c:v>1.67</c:v>
                </c:pt>
                <c:pt idx="5">
                  <c:v>1.67</c:v>
                </c:pt>
                <c:pt idx="6">
                  <c:v>1.67</c:v>
                </c:pt>
                <c:pt idx="7">
                  <c:v>1.67</c:v>
                </c:pt>
                <c:pt idx="8">
                  <c:v>1.67</c:v>
                </c:pt>
                <c:pt idx="9">
                  <c:v>1.67</c:v>
                </c:pt>
              </c:numCache>
            </c:numRef>
          </c:val>
          <c:smooth val="0"/>
          <c:extLst>
            <c:ext xmlns:c16="http://schemas.microsoft.com/office/drawing/2014/chart" uri="{C3380CC4-5D6E-409C-BE32-E72D297353CC}">
              <c16:uniqueId val="{00000002-5D18-47FA-93F7-2AB89D044415}"/>
            </c:ext>
          </c:extLst>
        </c:ser>
        <c:dLbls>
          <c:showLegendKey val="0"/>
          <c:showVal val="0"/>
          <c:showCatName val="0"/>
          <c:showSerName val="0"/>
          <c:showPercent val="0"/>
          <c:showBubbleSize val="0"/>
        </c:dLbls>
        <c:marker val="1"/>
        <c:smooth val="0"/>
        <c:axId val="2024086608"/>
        <c:axId val="2024084208"/>
      </c:lineChart>
      <c:catAx>
        <c:axId val="2024086608"/>
        <c:scaling>
          <c:orientation val="minMax"/>
        </c:scaling>
        <c:delete val="1"/>
        <c:axPos val="b"/>
        <c:majorTickMark val="none"/>
        <c:minorTickMark val="none"/>
        <c:tickLblPos val="nextTo"/>
        <c:crossAx val="2024084208"/>
        <c:crosses val="autoZero"/>
        <c:auto val="1"/>
        <c:lblAlgn val="ctr"/>
        <c:lblOffset val="100"/>
        <c:noMultiLvlLbl val="0"/>
      </c:catAx>
      <c:valAx>
        <c:axId val="202408420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Moving Range (mR)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4086608"/>
        <c:crosses val="autoZero"/>
        <c:crossBetween val="between"/>
      </c:valAx>
      <c:spPr>
        <a:noFill/>
        <a:ln>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Dublin - 1831 to 1840</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'Fig 18.5. Dublin Temporal'!$D$13</c:f>
              <c:strCache>
                <c:ptCount val="1"/>
                <c:pt idx="0">
                  <c:v>Rate</c:v>
                </c:pt>
              </c:strCache>
            </c:strRef>
          </c:tx>
          <c:spPr>
            <a:ln w="28575" cap="rnd">
              <a:solidFill>
                <a:schemeClr val="accent1"/>
              </a:solidFill>
              <a:round/>
            </a:ln>
            <a:effectLst/>
          </c:spPr>
          <c:marker>
            <c:symbol val="circle"/>
            <c:size val="6"/>
            <c:spPr>
              <a:solidFill>
                <a:schemeClr val="accent1"/>
              </a:solidFill>
              <a:ln w="9525">
                <a:solidFill>
                  <a:schemeClr val="accent1"/>
                </a:solidFill>
              </a:ln>
              <a:effectLst/>
            </c:spPr>
          </c:marker>
          <c:cat>
            <c:strRef>
              <c:f>'Fig 18.5. Dublin Temporal'!$C$14:$C$23</c:f>
              <c:strCache>
                <c:ptCount val="10"/>
                <c:pt idx="0">
                  <c:v>1831</c:v>
                </c:pt>
                <c:pt idx="1">
                  <c:v>1832</c:v>
                </c:pt>
                <c:pt idx="2">
                  <c:v>1833</c:v>
                </c:pt>
                <c:pt idx="3">
                  <c:v>1834</c:v>
                </c:pt>
                <c:pt idx="4">
                  <c:v>1835</c:v>
                </c:pt>
                <c:pt idx="5">
                  <c:v>1836</c:v>
                </c:pt>
                <c:pt idx="6">
                  <c:v>1837</c:v>
                </c:pt>
                <c:pt idx="7">
                  <c:v>1838</c:v>
                </c:pt>
                <c:pt idx="8">
                  <c:v>1839</c:v>
                </c:pt>
                <c:pt idx="9">
                  <c:v>1840</c:v>
                </c:pt>
              </c:strCache>
            </c:strRef>
          </c:cat>
          <c:val>
            <c:numRef>
              <c:f>'Fig 18.5. Dublin Temporal'!$D$14:$D$23</c:f>
              <c:numCache>
                <c:formatCode>General</c:formatCode>
                <c:ptCount val="10"/>
                <c:pt idx="0">
                  <c:v>0.6</c:v>
                </c:pt>
                <c:pt idx="1">
                  <c:v>0.5</c:v>
                </c:pt>
                <c:pt idx="2">
                  <c:v>0.6</c:v>
                </c:pt>
                <c:pt idx="3">
                  <c:v>1.7</c:v>
                </c:pt>
                <c:pt idx="4">
                  <c:v>1.8</c:v>
                </c:pt>
                <c:pt idx="5">
                  <c:v>2</c:v>
                </c:pt>
                <c:pt idx="6">
                  <c:v>1.3</c:v>
                </c:pt>
                <c:pt idx="7">
                  <c:v>2.1</c:v>
                </c:pt>
                <c:pt idx="8">
                  <c:v>1.3</c:v>
                </c:pt>
                <c:pt idx="9">
                  <c:v>1.7</c:v>
                </c:pt>
              </c:numCache>
            </c:numRef>
          </c:val>
          <c:smooth val="0"/>
          <c:extLst>
            <c:ext xmlns:c16="http://schemas.microsoft.com/office/drawing/2014/chart" uri="{C3380CC4-5D6E-409C-BE32-E72D297353CC}">
              <c16:uniqueId val="{00000000-329B-41D6-8340-43856FD2F6C5}"/>
            </c:ext>
          </c:extLst>
        </c:ser>
        <c:ser>
          <c:idx val="1"/>
          <c:order val="1"/>
          <c:tx>
            <c:strRef>
              <c:f>'Fig 18.5. Dublin Temporal'!$E$13</c:f>
              <c:strCache>
                <c:ptCount val="1"/>
                <c:pt idx="0">
                  <c:v>Mean</c:v>
                </c:pt>
              </c:strCache>
            </c:strRef>
          </c:tx>
          <c:spPr>
            <a:ln w="28575" cap="rnd">
              <a:solidFill>
                <a:schemeClr val="tx1"/>
              </a:solidFill>
              <a:round/>
            </a:ln>
            <a:effectLst/>
          </c:spPr>
          <c:marker>
            <c:symbol val="none"/>
          </c:marker>
          <c:cat>
            <c:strRef>
              <c:f>'Fig 18.5. Dublin Temporal'!$C$14:$C$23</c:f>
              <c:strCache>
                <c:ptCount val="10"/>
                <c:pt idx="0">
                  <c:v>1831</c:v>
                </c:pt>
                <c:pt idx="1">
                  <c:v>1832</c:v>
                </c:pt>
                <c:pt idx="2">
                  <c:v>1833</c:v>
                </c:pt>
                <c:pt idx="3">
                  <c:v>1834</c:v>
                </c:pt>
                <c:pt idx="4">
                  <c:v>1835</c:v>
                </c:pt>
                <c:pt idx="5">
                  <c:v>1836</c:v>
                </c:pt>
                <c:pt idx="6">
                  <c:v>1837</c:v>
                </c:pt>
                <c:pt idx="7">
                  <c:v>1838</c:v>
                </c:pt>
                <c:pt idx="8">
                  <c:v>1839</c:v>
                </c:pt>
                <c:pt idx="9">
                  <c:v>1840</c:v>
                </c:pt>
              </c:strCache>
            </c:strRef>
          </c:cat>
          <c:val>
            <c:numRef>
              <c:f>'Fig 18.5. Dublin Temporal'!$E$14:$E$23</c:f>
              <c:numCache>
                <c:formatCode>General</c:formatCode>
                <c:ptCount val="10"/>
                <c:pt idx="0">
                  <c:v>1.36</c:v>
                </c:pt>
                <c:pt idx="1">
                  <c:v>1.36</c:v>
                </c:pt>
                <c:pt idx="2">
                  <c:v>1.36</c:v>
                </c:pt>
                <c:pt idx="3">
                  <c:v>1.36</c:v>
                </c:pt>
                <c:pt idx="4">
                  <c:v>1.36</c:v>
                </c:pt>
                <c:pt idx="5">
                  <c:v>1.36</c:v>
                </c:pt>
                <c:pt idx="6">
                  <c:v>1.36</c:v>
                </c:pt>
                <c:pt idx="7">
                  <c:v>1.36</c:v>
                </c:pt>
                <c:pt idx="8">
                  <c:v>1.36</c:v>
                </c:pt>
                <c:pt idx="9">
                  <c:v>1.36</c:v>
                </c:pt>
              </c:numCache>
            </c:numRef>
          </c:val>
          <c:smooth val="0"/>
          <c:extLst>
            <c:ext xmlns:c16="http://schemas.microsoft.com/office/drawing/2014/chart" uri="{C3380CC4-5D6E-409C-BE32-E72D297353CC}">
              <c16:uniqueId val="{00000001-329B-41D6-8340-43856FD2F6C5}"/>
            </c:ext>
          </c:extLst>
        </c:ser>
        <c:ser>
          <c:idx val="2"/>
          <c:order val="2"/>
          <c:tx>
            <c:strRef>
              <c:f>'Fig 18.5. Dublin Temporal'!$F$13</c:f>
              <c:strCache>
                <c:ptCount val="1"/>
                <c:pt idx="0">
                  <c:v>UPL</c:v>
                </c:pt>
              </c:strCache>
            </c:strRef>
          </c:tx>
          <c:spPr>
            <a:ln w="28575" cap="rnd">
              <a:solidFill>
                <a:srgbClr val="D72323"/>
              </a:solidFill>
              <a:prstDash val="dash"/>
              <a:round/>
            </a:ln>
            <a:effectLst/>
          </c:spPr>
          <c:marker>
            <c:symbol val="none"/>
          </c:marker>
          <c:cat>
            <c:strRef>
              <c:f>'Fig 18.5. Dublin Temporal'!$C$14:$C$23</c:f>
              <c:strCache>
                <c:ptCount val="10"/>
                <c:pt idx="0">
                  <c:v>1831</c:v>
                </c:pt>
                <c:pt idx="1">
                  <c:v>1832</c:v>
                </c:pt>
                <c:pt idx="2">
                  <c:v>1833</c:v>
                </c:pt>
                <c:pt idx="3">
                  <c:v>1834</c:v>
                </c:pt>
                <c:pt idx="4">
                  <c:v>1835</c:v>
                </c:pt>
                <c:pt idx="5">
                  <c:v>1836</c:v>
                </c:pt>
                <c:pt idx="6">
                  <c:v>1837</c:v>
                </c:pt>
                <c:pt idx="7">
                  <c:v>1838</c:v>
                </c:pt>
                <c:pt idx="8">
                  <c:v>1839</c:v>
                </c:pt>
                <c:pt idx="9">
                  <c:v>1840</c:v>
                </c:pt>
              </c:strCache>
            </c:strRef>
          </c:cat>
          <c:val>
            <c:numRef>
              <c:f>'Fig 18.5. Dublin Temporal'!$F$14:$F$23</c:f>
              <c:numCache>
                <c:formatCode>General</c:formatCode>
                <c:ptCount val="10"/>
                <c:pt idx="0">
                  <c:v>2.64</c:v>
                </c:pt>
                <c:pt idx="1">
                  <c:v>2.64</c:v>
                </c:pt>
                <c:pt idx="2">
                  <c:v>2.64</c:v>
                </c:pt>
                <c:pt idx="3">
                  <c:v>2.64</c:v>
                </c:pt>
                <c:pt idx="4">
                  <c:v>2.64</c:v>
                </c:pt>
                <c:pt idx="5">
                  <c:v>2.64</c:v>
                </c:pt>
                <c:pt idx="6">
                  <c:v>2.64</c:v>
                </c:pt>
                <c:pt idx="7">
                  <c:v>2.64</c:v>
                </c:pt>
                <c:pt idx="8">
                  <c:v>2.64</c:v>
                </c:pt>
                <c:pt idx="9">
                  <c:v>2.64</c:v>
                </c:pt>
              </c:numCache>
            </c:numRef>
          </c:val>
          <c:smooth val="0"/>
          <c:extLst>
            <c:ext xmlns:c16="http://schemas.microsoft.com/office/drawing/2014/chart" uri="{C3380CC4-5D6E-409C-BE32-E72D297353CC}">
              <c16:uniqueId val="{00000002-329B-41D6-8340-43856FD2F6C5}"/>
            </c:ext>
          </c:extLst>
        </c:ser>
        <c:ser>
          <c:idx val="3"/>
          <c:order val="3"/>
          <c:tx>
            <c:strRef>
              <c:f>'Fig 18.5. Dublin Temporal'!$G$13</c:f>
              <c:strCache>
                <c:ptCount val="1"/>
                <c:pt idx="0">
                  <c:v>LPL</c:v>
                </c:pt>
              </c:strCache>
            </c:strRef>
          </c:tx>
          <c:spPr>
            <a:ln w="28575" cap="rnd">
              <a:solidFill>
                <a:srgbClr val="D72323"/>
              </a:solidFill>
              <a:prstDash val="dash"/>
              <a:round/>
            </a:ln>
            <a:effectLst/>
          </c:spPr>
          <c:marker>
            <c:symbol val="none"/>
          </c:marker>
          <c:cat>
            <c:strRef>
              <c:f>'Fig 18.5. Dublin Temporal'!$C$14:$C$23</c:f>
              <c:strCache>
                <c:ptCount val="10"/>
                <c:pt idx="0">
                  <c:v>1831</c:v>
                </c:pt>
                <c:pt idx="1">
                  <c:v>1832</c:v>
                </c:pt>
                <c:pt idx="2">
                  <c:v>1833</c:v>
                </c:pt>
                <c:pt idx="3">
                  <c:v>1834</c:v>
                </c:pt>
                <c:pt idx="4">
                  <c:v>1835</c:v>
                </c:pt>
                <c:pt idx="5">
                  <c:v>1836</c:v>
                </c:pt>
                <c:pt idx="6">
                  <c:v>1837</c:v>
                </c:pt>
                <c:pt idx="7">
                  <c:v>1838</c:v>
                </c:pt>
                <c:pt idx="8">
                  <c:v>1839</c:v>
                </c:pt>
                <c:pt idx="9">
                  <c:v>1840</c:v>
                </c:pt>
              </c:strCache>
            </c:strRef>
          </c:cat>
          <c:val>
            <c:numRef>
              <c:f>'Fig 18.5. Dublin Temporal'!$G$14:$G$23</c:f>
              <c:numCache>
                <c:formatCode>General</c:formatCode>
                <c:ptCount val="10"/>
                <c:pt idx="0">
                  <c:v>0.08</c:v>
                </c:pt>
                <c:pt idx="1">
                  <c:v>0.08</c:v>
                </c:pt>
                <c:pt idx="2">
                  <c:v>0.08</c:v>
                </c:pt>
                <c:pt idx="3">
                  <c:v>0.08</c:v>
                </c:pt>
                <c:pt idx="4">
                  <c:v>0.08</c:v>
                </c:pt>
                <c:pt idx="5">
                  <c:v>0.08</c:v>
                </c:pt>
                <c:pt idx="6">
                  <c:v>0.08</c:v>
                </c:pt>
                <c:pt idx="7">
                  <c:v>0.08</c:v>
                </c:pt>
                <c:pt idx="8">
                  <c:v>0.08</c:v>
                </c:pt>
                <c:pt idx="9">
                  <c:v>0.08</c:v>
                </c:pt>
              </c:numCache>
            </c:numRef>
          </c:val>
          <c:smooth val="0"/>
          <c:extLst>
            <c:ext xmlns:c16="http://schemas.microsoft.com/office/drawing/2014/chart" uri="{C3380CC4-5D6E-409C-BE32-E72D297353CC}">
              <c16:uniqueId val="{00000003-329B-41D6-8340-43856FD2F6C5}"/>
            </c:ext>
          </c:extLst>
        </c:ser>
        <c:dLbls>
          <c:showLegendKey val="0"/>
          <c:showVal val="0"/>
          <c:showCatName val="0"/>
          <c:showSerName val="0"/>
          <c:showPercent val="0"/>
          <c:showBubbleSize val="0"/>
        </c:dLbls>
        <c:marker val="1"/>
        <c:smooth val="0"/>
        <c:axId val="2024056368"/>
        <c:axId val="2024057808"/>
      </c:lineChart>
      <c:catAx>
        <c:axId val="2024056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4057808"/>
        <c:crosses val="autoZero"/>
        <c:auto val="1"/>
        <c:lblAlgn val="ctr"/>
        <c:lblOffset val="100"/>
        <c:noMultiLvlLbl val="0"/>
      </c:catAx>
      <c:valAx>
        <c:axId val="202405780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4056368"/>
        <c:crosses val="autoZero"/>
        <c:crossBetween val="between"/>
      </c:valAx>
      <c:spPr>
        <a:noFill/>
        <a:ln w="25400">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lineChart>
        <c:grouping val="standard"/>
        <c:varyColors val="0"/>
        <c:ser>
          <c:idx val="0"/>
          <c:order val="0"/>
          <c:tx>
            <c:strRef>
              <c:f>'Fig 18.5. Dublin Temporal'!$H$13</c:f>
              <c:strCache>
                <c:ptCount val="1"/>
                <c:pt idx="0">
                  <c:v>mR</c:v>
                </c:pt>
              </c:strCache>
            </c:strRef>
          </c:tx>
          <c:spPr>
            <a:ln w="28575" cap="rnd">
              <a:solidFill>
                <a:schemeClr val="accent1"/>
              </a:solidFill>
              <a:round/>
            </a:ln>
            <a:effectLst/>
          </c:spPr>
          <c:marker>
            <c:symbol val="circle"/>
            <c:size val="6"/>
            <c:spPr>
              <a:solidFill>
                <a:schemeClr val="accent1"/>
              </a:solidFill>
              <a:ln w="9525">
                <a:solidFill>
                  <a:schemeClr val="accent1"/>
                </a:solidFill>
              </a:ln>
              <a:effectLst/>
            </c:spPr>
          </c:marker>
          <c:val>
            <c:numRef>
              <c:f>'Fig 18.5. Dublin Temporal'!$H$14:$H$23</c:f>
              <c:numCache>
                <c:formatCode>General</c:formatCode>
                <c:ptCount val="10"/>
                <c:pt idx="1">
                  <c:v>9.9999999999999978E-2</c:v>
                </c:pt>
                <c:pt idx="2">
                  <c:v>9.9999999999999978E-2</c:v>
                </c:pt>
                <c:pt idx="3">
                  <c:v>1.1000000000000001</c:v>
                </c:pt>
                <c:pt idx="4">
                  <c:v>0.10000000000000009</c:v>
                </c:pt>
                <c:pt idx="5">
                  <c:v>0.19999999999999996</c:v>
                </c:pt>
                <c:pt idx="6">
                  <c:v>0.7</c:v>
                </c:pt>
                <c:pt idx="7">
                  <c:v>0.8</c:v>
                </c:pt>
                <c:pt idx="8">
                  <c:v>0.8</c:v>
                </c:pt>
                <c:pt idx="9">
                  <c:v>0.39999999999999991</c:v>
                </c:pt>
              </c:numCache>
            </c:numRef>
          </c:val>
          <c:smooth val="0"/>
          <c:extLst>
            <c:ext xmlns:c16="http://schemas.microsoft.com/office/drawing/2014/chart" uri="{C3380CC4-5D6E-409C-BE32-E72D297353CC}">
              <c16:uniqueId val="{00000000-5D18-47FA-93F7-2AB89D044415}"/>
            </c:ext>
          </c:extLst>
        </c:ser>
        <c:ser>
          <c:idx val="1"/>
          <c:order val="1"/>
          <c:tx>
            <c:strRef>
              <c:f>'Fig 18.5. Dublin Temporal'!$I$13</c:f>
              <c:strCache>
                <c:ptCount val="1"/>
                <c:pt idx="0">
                  <c:v>Ave. mR</c:v>
                </c:pt>
              </c:strCache>
            </c:strRef>
          </c:tx>
          <c:spPr>
            <a:ln w="28575" cap="rnd">
              <a:solidFill>
                <a:schemeClr val="tx1"/>
              </a:solidFill>
              <a:round/>
            </a:ln>
            <a:effectLst/>
          </c:spPr>
          <c:marker>
            <c:symbol val="none"/>
          </c:marker>
          <c:val>
            <c:numRef>
              <c:f>'Fig 18.5. Dublin Temporal'!$I$14:$I$23</c:f>
              <c:numCache>
                <c:formatCode>General</c:formatCode>
                <c:ptCount val="10"/>
                <c:pt idx="0">
                  <c:v>0.48</c:v>
                </c:pt>
                <c:pt idx="1">
                  <c:v>0.48</c:v>
                </c:pt>
                <c:pt idx="2">
                  <c:v>0.48</c:v>
                </c:pt>
                <c:pt idx="3">
                  <c:v>0.48</c:v>
                </c:pt>
                <c:pt idx="4">
                  <c:v>0.48</c:v>
                </c:pt>
                <c:pt idx="5">
                  <c:v>0.48</c:v>
                </c:pt>
                <c:pt idx="6">
                  <c:v>0.48</c:v>
                </c:pt>
                <c:pt idx="7">
                  <c:v>0.48</c:v>
                </c:pt>
                <c:pt idx="8">
                  <c:v>0.48</c:v>
                </c:pt>
                <c:pt idx="9">
                  <c:v>0.48</c:v>
                </c:pt>
              </c:numCache>
            </c:numRef>
          </c:val>
          <c:smooth val="0"/>
          <c:extLst>
            <c:ext xmlns:c16="http://schemas.microsoft.com/office/drawing/2014/chart" uri="{C3380CC4-5D6E-409C-BE32-E72D297353CC}">
              <c16:uniqueId val="{00000001-5D18-47FA-93F7-2AB89D044415}"/>
            </c:ext>
          </c:extLst>
        </c:ser>
        <c:ser>
          <c:idx val="2"/>
          <c:order val="2"/>
          <c:tx>
            <c:strRef>
              <c:f>'Fig 18.5. Dublin Temporal'!$J$13</c:f>
              <c:strCache>
                <c:ptCount val="1"/>
                <c:pt idx="0">
                  <c:v>URL</c:v>
                </c:pt>
              </c:strCache>
            </c:strRef>
          </c:tx>
          <c:spPr>
            <a:ln w="28575" cap="rnd">
              <a:solidFill>
                <a:srgbClr val="D72323"/>
              </a:solidFill>
              <a:prstDash val="dash"/>
              <a:round/>
            </a:ln>
            <a:effectLst/>
          </c:spPr>
          <c:marker>
            <c:symbol val="none"/>
          </c:marker>
          <c:val>
            <c:numRef>
              <c:f>'Fig 18.5. Dublin Temporal'!$J$14:$J$23</c:f>
              <c:numCache>
                <c:formatCode>General</c:formatCode>
                <c:ptCount val="10"/>
                <c:pt idx="0">
                  <c:v>1.57</c:v>
                </c:pt>
                <c:pt idx="1">
                  <c:v>1.57</c:v>
                </c:pt>
                <c:pt idx="2">
                  <c:v>1.57</c:v>
                </c:pt>
                <c:pt idx="3">
                  <c:v>1.57</c:v>
                </c:pt>
                <c:pt idx="4">
                  <c:v>1.57</c:v>
                </c:pt>
                <c:pt idx="5">
                  <c:v>1.57</c:v>
                </c:pt>
                <c:pt idx="6">
                  <c:v>1.57</c:v>
                </c:pt>
                <c:pt idx="7">
                  <c:v>1.57</c:v>
                </c:pt>
                <c:pt idx="8">
                  <c:v>1.57</c:v>
                </c:pt>
                <c:pt idx="9">
                  <c:v>1.57</c:v>
                </c:pt>
              </c:numCache>
            </c:numRef>
          </c:val>
          <c:smooth val="0"/>
          <c:extLst>
            <c:ext xmlns:c16="http://schemas.microsoft.com/office/drawing/2014/chart" uri="{C3380CC4-5D6E-409C-BE32-E72D297353CC}">
              <c16:uniqueId val="{00000002-5D18-47FA-93F7-2AB89D044415}"/>
            </c:ext>
          </c:extLst>
        </c:ser>
        <c:dLbls>
          <c:showLegendKey val="0"/>
          <c:showVal val="0"/>
          <c:showCatName val="0"/>
          <c:showSerName val="0"/>
          <c:showPercent val="0"/>
          <c:showBubbleSize val="0"/>
        </c:dLbls>
        <c:marker val="1"/>
        <c:smooth val="0"/>
        <c:axId val="2024086608"/>
        <c:axId val="2024084208"/>
      </c:lineChart>
      <c:catAx>
        <c:axId val="2024086608"/>
        <c:scaling>
          <c:orientation val="minMax"/>
        </c:scaling>
        <c:delete val="1"/>
        <c:axPos val="b"/>
        <c:majorTickMark val="none"/>
        <c:minorTickMark val="none"/>
        <c:tickLblPos val="nextTo"/>
        <c:crossAx val="2024084208"/>
        <c:crosses val="autoZero"/>
        <c:auto val="1"/>
        <c:lblAlgn val="ctr"/>
        <c:lblOffset val="100"/>
        <c:noMultiLvlLbl val="0"/>
      </c:catAx>
      <c:valAx>
        <c:axId val="202408420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4086608"/>
        <c:crosses val="autoZero"/>
        <c:crossBetween val="between"/>
      </c:valAx>
      <c:spPr>
        <a:noFill/>
        <a:ln>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Vienna</a:t>
            </a:r>
            <a:r>
              <a:rPr lang="en-US" baseline="0"/>
              <a:t> - 1784 to 1793</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'Fig 18.6. Vienna Temporal'!$D$1</c:f>
              <c:strCache>
                <c:ptCount val="1"/>
                <c:pt idx="0">
                  <c:v>Rate</c:v>
                </c:pt>
              </c:strCache>
            </c:strRef>
          </c:tx>
          <c:spPr>
            <a:ln w="28575" cap="rnd">
              <a:solidFill>
                <a:schemeClr val="accent1"/>
              </a:solidFill>
              <a:round/>
            </a:ln>
            <a:effectLst/>
          </c:spPr>
          <c:marker>
            <c:symbol val="circle"/>
            <c:size val="6"/>
            <c:spPr>
              <a:solidFill>
                <a:schemeClr val="accent1"/>
              </a:solidFill>
              <a:ln w="9525">
                <a:solidFill>
                  <a:schemeClr val="accent1"/>
                </a:solidFill>
              </a:ln>
              <a:effectLst/>
            </c:spPr>
          </c:marker>
          <c:cat>
            <c:strRef>
              <c:f>'Fig 18.6. Vienna Temporal'!$C$2:$C$11</c:f>
              <c:strCache>
                <c:ptCount val="10"/>
                <c:pt idx="0">
                  <c:v>1784</c:v>
                </c:pt>
                <c:pt idx="1">
                  <c:v>1785</c:v>
                </c:pt>
                <c:pt idx="2">
                  <c:v>1786</c:v>
                </c:pt>
                <c:pt idx="3">
                  <c:v>1787</c:v>
                </c:pt>
                <c:pt idx="4">
                  <c:v>1788</c:v>
                </c:pt>
                <c:pt idx="5">
                  <c:v>1789</c:v>
                </c:pt>
                <c:pt idx="6">
                  <c:v>1790</c:v>
                </c:pt>
                <c:pt idx="7">
                  <c:v>1791</c:v>
                </c:pt>
                <c:pt idx="8">
                  <c:v>1792</c:v>
                </c:pt>
                <c:pt idx="9">
                  <c:v>1793</c:v>
                </c:pt>
              </c:strCache>
            </c:strRef>
          </c:cat>
          <c:val>
            <c:numRef>
              <c:f>'Fig 18.6. Vienna Temporal'!$D$2:$D$11</c:f>
              <c:numCache>
                <c:formatCode>General</c:formatCode>
                <c:ptCount val="10"/>
                <c:pt idx="0">
                  <c:v>2.1</c:v>
                </c:pt>
                <c:pt idx="1">
                  <c:v>1.4</c:v>
                </c:pt>
                <c:pt idx="2">
                  <c:v>0.4</c:v>
                </c:pt>
                <c:pt idx="3">
                  <c:v>0.4</c:v>
                </c:pt>
                <c:pt idx="4">
                  <c:v>0.4</c:v>
                </c:pt>
                <c:pt idx="5">
                  <c:v>0.6</c:v>
                </c:pt>
                <c:pt idx="6">
                  <c:v>0.8</c:v>
                </c:pt>
                <c:pt idx="7">
                  <c:v>0.6</c:v>
                </c:pt>
                <c:pt idx="8">
                  <c:v>0.9</c:v>
                </c:pt>
                <c:pt idx="9">
                  <c:v>2.6</c:v>
                </c:pt>
              </c:numCache>
            </c:numRef>
          </c:val>
          <c:smooth val="0"/>
          <c:extLst>
            <c:ext xmlns:c16="http://schemas.microsoft.com/office/drawing/2014/chart" uri="{C3380CC4-5D6E-409C-BE32-E72D297353CC}">
              <c16:uniqueId val="{00000000-4FE4-4DD5-AA18-2CEC4BF067E9}"/>
            </c:ext>
          </c:extLst>
        </c:ser>
        <c:ser>
          <c:idx val="1"/>
          <c:order val="1"/>
          <c:tx>
            <c:strRef>
              <c:f>'Fig 18.6. Vienna Temporal'!$E$1</c:f>
              <c:strCache>
                <c:ptCount val="1"/>
                <c:pt idx="0">
                  <c:v>Mean</c:v>
                </c:pt>
              </c:strCache>
            </c:strRef>
          </c:tx>
          <c:spPr>
            <a:ln w="28575" cap="rnd">
              <a:solidFill>
                <a:schemeClr val="tx1"/>
              </a:solidFill>
              <a:round/>
            </a:ln>
            <a:effectLst/>
          </c:spPr>
          <c:marker>
            <c:symbol val="none"/>
          </c:marker>
          <c:cat>
            <c:strRef>
              <c:f>'Fig 18.6. Vienna Temporal'!$C$2:$C$11</c:f>
              <c:strCache>
                <c:ptCount val="10"/>
                <c:pt idx="0">
                  <c:v>1784</c:v>
                </c:pt>
                <c:pt idx="1">
                  <c:v>1785</c:v>
                </c:pt>
                <c:pt idx="2">
                  <c:v>1786</c:v>
                </c:pt>
                <c:pt idx="3">
                  <c:v>1787</c:v>
                </c:pt>
                <c:pt idx="4">
                  <c:v>1788</c:v>
                </c:pt>
                <c:pt idx="5">
                  <c:v>1789</c:v>
                </c:pt>
                <c:pt idx="6">
                  <c:v>1790</c:v>
                </c:pt>
                <c:pt idx="7">
                  <c:v>1791</c:v>
                </c:pt>
                <c:pt idx="8">
                  <c:v>1792</c:v>
                </c:pt>
                <c:pt idx="9">
                  <c:v>1793</c:v>
                </c:pt>
              </c:strCache>
            </c:strRef>
          </c:cat>
          <c:val>
            <c:numRef>
              <c:f>'Fig 18.6. Vienna Temporal'!$E$2:$E$11</c:f>
              <c:numCache>
                <c:formatCode>General</c:formatCode>
                <c:ptCount val="10"/>
                <c:pt idx="0">
                  <c:v>1.02</c:v>
                </c:pt>
                <c:pt idx="1">
                  <c:v>1.02</c:v>
                </c:pt>
                <c:pt idx="2">
                  <c:v>1.02</c:v>
                </c:pt>
                <c:pt idx="3">
                  <c:v>1.02</c:v>
                </c:pt>
                <c:pt idx="4">
                  <c:v>1.02</c:v>
                </c:pt>
                <c:pt idx="5">
                  <c:v>1.02</c:v>
                </c:pt>
                <c:pt idx="6">
                  <c:v>1.02</c:v>
                </c:pt>
                <c:pt idx="7">
                  <c:v>1.02</c:v>
                </c:pt>
                <c:pt idx="8">
                  <c:v>1.02</c:v>
                </c:pt>
                <c:pt idx="9">
                  <c:v>1.02</c:v>
                </c:pt>
              </c:numCache>
            </c:numRef>
          </c:val>
          <c:smooth val="0"/>
          <c:extLst>
            <c:ext xmlns:c16="http://schemas.microsoft.com/office/drawing/2014/chart" uri="{C3380CC4-5D6E-409C-BE32-E72D297353CC}">
              <c16:uniqueId val="{00000001-4FE4-4DD5-AA18-2CEC4BF067E9}"/>
            </c:ext>
          </c:extLst>
        </c:ser>
        <c:ser>
          <c:idx val="2"/>
          <c:order val="2"/>
          <c:tx>
            <c:strRef>
              <c:f>'Fig 18.6. Vienna Temporal'!$F$1</c:f>
              <c:strCache>
                <c:ptCount val="1"/>
                <c:pt idx="0">
                  <c:v>UPL</c:v>
                </c:pt>
              </c:strCache>
            </c:strRef>
          </c:tx>
          <c:spPr>
            <a:ln w="28575" cap="rnd">
              <a:solidFill>
                <a:srgbClr val="D72323"/>
              </a:solidFill>
              <a:prstDash val="dash"/>
              <a:round/>
            </a:ln>
            <a:effectLst/>
          </c:spPr>
          <c:marker>
            <c:symbol val="none"/>
          </c:marker>
          <c:cat>
            <c:strRef>
              <c:f>'Fig 18.6. Vienna Temporal'!$C$2:$C$11</c:f>
              <c:strCache>
                <c:ptCount val="10"/>
                <c:pt idx="0">
                  <c:v>1784</c:v>
                </c:pt>
                <c:pt idx="1">
                  <c:v>1785</c:v>
                </c:pt>
                <c:pt idx="2">
                  <c:v>1786</c:v>
                </c:pt>
                <c:pt idx="3">
                  <c:v>1787</c:v>
                </c:pt>
                <c:pt idx="4">
                  <c:v>1788</c:v>
                </c:pt>
                <c:pt idx="5">
                  <c:v>1789</c:v>
                </c:pt>
                <c:pt idx="6">
                  <c:v>1790</c:v>
                </c:pt>
                <c:pt idx="7">
                  <c:v>1791</c:v>
                </c:pt>
                <c:pt idx="8">
                  <c:v>1792</c:v>
                </c:pt>
                <c:pt idx="9">
                  <c:v>1793</c:v>
                </c:pt>
              </c:strCache>
            </c:strRef>
          </c:cat>
          <c:val>
            <c:numRef>
              <c:f>'Fig 18.6. Vienna Temporal'!$F$2:$F$11</c:f>
              <c:numCache>
                <c:formatCode>General</c:formatCode>
                <c:ptCount val="10"/>
                <c:pt idx="0">
                  <c:v>2.2999999999999998</c:v>
                </c:pt>
                <c:pt idx="1">
                  <c:v>2.2999999999999998</c:v>
                </c:pt>
                <c:pt idx="2">
                  <c:v>2.2999999999999998</c:v>
                </c:pt>
                <c:pt idx="3">
                  <c:v>2.2999999999999998</c:v>
                </c:pt>
                <c:pt idx="4">
                  <c:v>2.2999999999999998</c:v>
                </c:pt>
                <c:pt idx="5">
                  <c:v>2.2999999999999998</c:v>
                </c:pt>
                <c:pt idx="6">
                  <c:v>2.2999999999999998</c:v>
                </c:pt>
                <c:pt idx="7">
                  <c:v>2.2999999999999998</c:v>
                </c:pt>
                <c:pt idx="8">
                  <c:v>2.2999999999999998</c:v>
                </c:pt>
                <c:pt idx="9">
                  <c:v>2.2999999999999998</c:v>
                </c:pt>
              </c:numCache>
            </c:numRef>
          </c:val>
          <c:smooth val="0"/>
          <c:extLst>
            <c:ext xmlns:c16="http://schemas.microsoft.com/office/drawing/2014/chart" uri="{C3380CC4-5D6E-409C-BE32-E72D297353CC}">
              <c16:uniqueId val="{00000002-4FE4-4DD5-AA18-2CEC4BF067E9}"/>
            </c:ext>
          </c:extLst>
        </c:ser>
        <c:ser>
          <c:idx val="3"/>
          <c:order val="3"/>
          <c:tx>
            <c:strRef>
              <c:f>'Fig 18.6. Vienna Temporal'!$G$1</c:f>
              <c:strCache>
                <c:ptCount val="1"/>
                <c:pt idx="0">
                  <c:v>LPL</c:v>
                </c:pt>
              </c:strCache>
            </c:strRef>
          </c:tx>
          <c:spPr>
            <a:ln w="28575" cap="rnd">
              <a:solidFill>
                <a:srgbClr val="D72323"/>
              </a:solidFill>
              <a:prstDash val="dash"/>
              <a:round/>
            </a:ln>
            <a:effectLst/>
          </c:spPr>
          <c:marker>
            <c:symbol val="none"/>
          </c:marker>
          <c:cat>
            <c:strRef>
              <c:f>'Fig 18.6. Vienna Temporal'!$C$2:$C$11</c:f>
              <c:strCache>
                <c:ptCount val="10"/>
                <c:pt idx="0">
                  <c:v>1784</c:v>
                </c:pt>
                <c:pt idx="1">
                  <c:v>1785</c:v>
                </c:pt>
                <c:pt idx="2">
                  <c:v>1786</c:v>
                </c:pt>
                <c:pt idx="3">
                  <c:v>1787</c:v>
                </c:pt>
                <c:pt idx="4">
                  <c:v>1788</c:v>
                </c:pt>
                <c:pt idx="5">
                  <c:v>1789</c:v>
                </c:pt>
                <c:pt idx="6">
                  <c:v>1790</c:v>
                </c:pt>
                <c:pt idx="7">
                  <c:v>1791</c:v>
                </c:pt>
                <c:pt idx="8">
                  <c:v>1792</c:v>
                </c:pt>
                <c:pt idx="9">
                  <c:v>1793</c:v>
                </c:pt>
              </c:strCache>
            </c:strRef>
          </c:cat>
          <c:val>
            <c:numRef>
              <c:f>'Fig 18.6. Vienna Temporal'!$G$2:$G$11</c:f>
              <c:numCache>
                <c:formatCode>General</c:formatCode>
                <c:ptCount val="10"/>
                <c:pt idx="0">
                  <c:v>0</c:v>
                </c:pt>
                <c:pt idx="1">
                  <c:v>0</c:v>
                </c:pt>
                <c:pt idx="2">
                  <c:v>0</c:v>
                </c:pt>
                <c:pt idx="3">
                  <c:v>0</c:v>
                </c:pt>
                <c:pt idx="4">
                  <c:v>0</c:v>
                </c:pt>
                <c:pt idx="5">
                  <c:v>0</c:v>
                </c:pt>
                <c:pt idx="6">
                  <c:v>0</c:v>
                </c:pt>
                <c:pt idx="7">
                  <c:v>0</c:v>
                </c:pt>
                <c:pt idx="8">
                  <c:v>0</c:v>
                </c:pt>
                <c:pt idx="9">
                  <c:v>0</c:v>
                </c:pt>
              </c:numCache>
            </c:numRef>
          </c:val>
          <c:smooth val="0"/>
          <c:extLst>
            <c:ext xmlns:c16="http://schemas.microsoft.com/office/drawing/2014/chart" uri="{C3380CC4-5D6E-409C-BE32-E72D297353CC}">
              <c16:uniqueId val="{00000003-4FE4-4DD5-AA18-2CEC4BF067E9}"/>
            </c:ext>
          </c:extLst>
        </c:ser>
        <c:dLbls>
          <c:showLegendKey val="0"/>
          <c:showVal val="0"/>
          <c:showCatName val="0"/>
          <c:showSerName val="0"/>
          <c:showPercent val="0"/>
          <c:showBubbleSize val="0"/>
        </c:dLbls>
        <c:marker val="1"/>
        <c:smooth val="0"/>
        <c:axId val="2024056368"/>
        <c:axId val="2024057808"/>
      </c:lineChart>
      <c:catAx>
        <c:axId val="2024056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4057808"/>
        <c:crosses val="autoZero"/>
        <c:auto val="1"/>
        <c:lblAlgn val="ctr"/>
        <c:lblOffset val="100"/>
        <c:noMultiLvlLbl val="0"/>
      </c:catAx>
      <c:valAx>
        <c:axId val="2024057808"/>
        <c:scaling>
          <c:orientation val="minMax"/>
          <c:max val="16"/>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Death-to-Birth Rate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4056368"/>
        <c:crosses val="autoZero"/>
        <c:crossBetween val="between"/>
      </c:valAx>
      <c:spPr>
        <a:noFill/>
        <a:ln w="25400">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lineChart>
        <c:grouping val="standard"/>
        <c:varyColors val="0"/>
        <c:ser>
          <c:idx val="0"/>
          <c:order val="0"/>
          <c:tx>
            <c:strRef>
              <c:f>'Fig 18.6. Vienna Temporal'!$H$1</c:f>
              <c:strCache>
                <c:ptCount val="1"/>
                <c:pt idx="0">
                  <c:v>mR</c:v>
                </c:pt>
              </c:strCache>
            </c:strRef>
          </c:tx>
          <c:spPr>
            <a:ln w="28575" cap="rnd">
              <a:solidFill>
                <a:schemeClr val="accent1"/>
              </a:solidFill>
              <a:round/>
            </a:ln>
            <a:effectLst/>
          </c:spPr>
          <c:marker>
            <c:symbol val="circle"/>
            <c:size val="6"/>
            <c:spPr>
              <a:solidFill>
                <a:schemeClr val="accent1"/>
              </a:solidFill>
              <a:ln w="9525">
                <a:solidFill>
                  <a:schemeClr val="accent1"/>
                </a:solidFill>
              </a:ln>
              <a:effectLst/>
            </c:spPr>
          </c:marker>
          <c:val>
            <c:numRef>
              <c:f>'Fig 18.6. Vienna Temporal'!$H$2:$H$11</c:f>
              <c:numCache>
                <c:formatCode>General</c:formatCode>
                <c:ptCount val="10"/>
                <c:pt idx="1">
                  <c:v>0.70000000000000018</c:v>
                </c:pt>
                <c:pt idx="2">
                  <c:v>0.99999999999999989</c:v>
                </c:pt>
                <c:pt idx="3">
                  <c:v>0</c:v>
                </c:pt>
                <c:pt idx="4">
                  <c:v>0</c:v>
                </c:pt>
                <c:pt idx="5">
                  <c:v>0.19999999999999996</c:v>
                </c:pt>
                <c:pt idx="6">
                  <c:v>0.20000000000000007</c:v>
                </c:pt>
                <c:pt idx="7">
                  <c:v>0.20000000000000007</c:v>
                </c:pt>
                <c:pt idx="8">
                  <c:v>0.30000000000000004</c:v>
                </c:pt>
                <c:pt idx="9">
                  <c:v>1.7000000000000002</c:v>
                </c:pt>
              </c:numCache>
            </c:numRef>
          </c:val>
          <c:smooth val="0"/>
          <c:extLst>
            <c:ext xmlns:c16="http://schemas.microsoft.com/office/drawing/2014/chart" uri="{C3380CC4-5D6E-409C-BE32-E72D297353CC}">
              <c16:uniqueId val="{00000000-C9E1-49DC-B81E-FA8378008B1D}"/>
            </c:ext>
          </c:extLst>
        </c:ser>
        <c:ser>
          <c:idx val="1"/>
          <c:order val="1"/>
          <c:tx>
            <c:strRef>
              <c:f>'Fig 18.6. Vienna Temporal'!$I$1</c:f>
              <c:strCache>
                <c:ptCount val="1"/>
                <c:pt idx="0">
                  <c:v>Ave. mR</c:v>
                </c:pt>
              </c:strCache>
            </c:strRef>
          </c:tx>
          <c:spPr>
            <a:ln w="28575" cap="rnd">
              <a:solidFill>
                <a:schemeClr val="tx1"/>
              </a:solidFill>
              <a:round/>
            </a:ln>
            <a:effectLst/>
          </c:spPr>
          <c:marker>
            <c:symbol val="none"/>
          </c:marker>
          <c:val>
            <c:numRef>
              <c:f>'Fig 18.6. Vienna Temporal'!$I$2:$I$11</c:f>
              <c:numCache>
                <c:formatCode>General</c:formatCode>
                <c:ptCount val="10"/>
                <c:pt idx="0">
                  <c:v>0.48</c:v>
                </c:pt>
                <c:pt idx="1">
                  <c:v>0.48</c:v>
                </c:pt>
                <c:pt idx="2">
                  <c:v>0.48</c:v>
                </c:pt>
                <c:pt idx="3">
                  <c:v>0.48</c:v>
                </c:pt>
                <c:pt idx="4">
                  <c:v>0.48</c:v>
                </c:pt>
                <c:pt idx="5">
                  <c:v>0.48</c:v>
                </c:pt>
                <c:pt idx="6">
                  <c:v>0.48</c:v>
                </c:pt>
                <c:pt idx="7">
                  <c:v>0.48</c:v>
                </c:pt>
                <c:pt idx="8">
                  <c:v>0.48</c:v>
                </c:pt>
                <c:pt idx="9">
                  <c:v>0.48</c:v>
                </c:pt>
              </c:numCache>
            </c:numRef>
          </c:val>
          <c:smooth val="0"/>
          <c:extLst>
            <c:ext xmlns:c16="http://schemas.microsoft.com/office/drawing/2014/chart" uri="{C3380CC4-5D6E-409C-BE32-E72D297353CC}">
              <c16:uniqueId val="{00000001-C9E1-49DC-B81E-FA8378008B1D}"/>
            </c:ext>
          </c:extLst>
        </c:ser>
        <c:ser>
          <c:idx val="2"/>
          <c:order val="2"/>
          <c:tx>
            <c:strRef>
              <c:f>'Fig 18.6. Vienna Temporal'!$J$1</c:f>
              <c:strCache>
                <c:ptCount val="1"/>
                <c:pt idx="0">
                  <c:v>URL</c:v>
                </c:pt>
              </c:strCache>
            </c:strRef>
          </c:tx>
          <c:spPr>
            <a:ln w="28575" cap="rnd">
              <a:solidFill>
                <a:srgbClr val="D72323"/>
              </a:solidFill>
              <a:prstDash val="dash"/>
              <a:round/>
            </a:ln>
            <a:effectLst/>
          </c:spPr>
          <c:marker>
            <c:symbol val="none"/>
          </c:marker>
          <c:val>
            <c:numRef>
              <c:f>'Fig 18.6. Vienna Temporal'!$J$2:$J$11</c:f>
              <c:numCache>
                <c:formatCode>General</c:formatCode>
                <c:ptCount val="10"/>
                <c:pt idx="0">
                  <c:v>1.57</c:v>
                </c:pt>
                <c:pt idx="1">
                  <c:v>1.57</c:v>
                </c:pt>
                <c:pt idx="2">
                  <c:v>1.57</c:v>
                </c:pt>
                <c:pt idx="3">
                  <c:v>1.57</c:v>
                </c:pt>
                <c:pt idx="4">
                  <c:v>1.57</c:v>
                </c:pt>
                <c:pt idx="5">
                  <c:v>1.57</c:v>
                </c:pt>
                <c:pt idx="6">
                  <c:v>1.57</c:v>
                </c:pt>
                <c:pt idx="7">
                  <c:v>1.57</c:v>
                </c:pt>
                <c:pt idx="8">
                  <c:v>1.57</c:v>
                </c:pt>
                <c:pt idx="9">
                  <c:v>1.57</c:v>
                </c:pt>
              </c:numCache>
            </c:numRef>
          </c:val>
          <c:smooth val="0"/>
          <c:extLst>
            <c:ext xmlns:c16="http://schemas.microsoft.com/office/drawing/2014/chart" uri="{C3380CC4-5D6E-409C-BE32-E72D297353CC}">
              <c16:uniqueId val="{00000002-C9E1-49DC-B81E-FA8378008B1D}"/>
            </c:ext>
          </c:extLst>
        </c:ser>
        <c:dLbls>
          <c:showLegendKey val="0"/>
          <c:showVal val="0"/>
          <c:showCatName val="0"/>
          <c:showSerName val="0"/>
          <c:showPercent val="0"/>
          <c:showBubbleSize val="0"/>
        </c:dLbls>
        <c:marker val="1"/>
        <c:smooth val="0"/>
        <c:axId val="2024086608"/>
        <c:axId val="2024084208"/>
      </c:lineChart>
      <c:catAx>
        <c:axId val="2024086608"/>
        <c:scaling>
          <c:orientation val="minMax"/>
        </c:scaling>
        <c:delete val="1"/>
        <c:axPos val="b"/>
        <c:majorTickMark val="none"/>
        <c:minorTickMark val="none"/>
        <c:tickLblPos val="nextTo"/>
        <c:crossAx val="2024084208"/>
        <c:crosses val="autoZero"/>
        <c:auto val="1"/>
        <c:lblAlgn val="ctr"/>
        <c:lblOffset val="100"/>
        <c:noMultiLvlLbl val="0"/>
      </c:catAx>
      <c:valAx>
        <c:axId val="2024084208"/>
        <c:scaling>
          <c:orientation val="minMax"/>
          <c:max val="10"/>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Moving Range (mR)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4086608"/>
        <c:crosses val="autoZero"/>
        <c:crossBetween val="between"/>
      </c:valAx>
      <c:spPr>
        <a:noFill/>
        <a:ln>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Vienna - 1831 to 1840</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'Fig 18.6. Vienna Temporal'!$D$13</c:f>
              <c:strCache>
                <c:ptCount val="1"/>
                <c:pt idx="0">
                  <c:v>Rate</c:v>
                </c:pt>
              </c:strCache>
            </c:strRef>
          </c:tx>
          <c:spPr>
            <a:ln w="28575" cap="rnd">
              <a:solidFill>
                <a:schemeClr val="accent1"/>
              </a:solidFill>
              <a:round/>
            </a:ln>
            <a:effectLst/>
          </c:spPr>
          <c:marker>
            <c:symbol val="circle"/>
            <c:size val="6"/>
            <c:spPr>
              <a:solidFill>
                <a:schemeClr val="accent1"/>
              </a:solidFill>
              <a:ln w="9525">
                <a:solidFill>
                  <a:schemeClr val="accent1"/>
                </a:solidFill>
              </a:ln>
              <a:effectLst/>
            </c:spPr>
          </c:marker>
          <c:cat>
            <c:strRef>
              <c:f>'Fig 18.6. Vienna Temporal'!$C$14:$C$23</c:f>
              <c:strCache>
                <c:ptCount val="10"/>
                <c:pt idx="0">
                  <c:v>1831</c:v>
                </c:pt>
                <c:pt idx="1">
                  <c:v>1832</c:v>
                </c:pt>
                <c:pt idx="2">
                  <c:v>1833</c:v>
                </c:pt>
                <c:pt idx="3">
                  <c:v>1834</c:v>
                </c:pt>
                <c:pt idx="4">
                  <c:v>1835</c:v>
                </c:pt>
                <c:pt idx="5">
                  <c:v>1836</c:v>
                </c:pt>
                <c:pt idx="6">
                  <c:v>1837</c:v>
                </c:pt>
                <c:pt idx="7">
                  <c:v>1838</c:v>
                </c:pt>
                <c:pt idx="8">
                  <c:v>1839</c:v>
                </c:pt>
                <c:pt idx="9">
                  <c:v>1840</c:v>
                </c:pt>
              </c:strCache>
            </c:strRef>
          </c:cat>
          <c:val>
            <c:numRef>
              <c:f>'Fig 18.6. Vienna Temporal'!$D$14:$D$23</c:f>
              <c:numCache>
                <c:formatCode>General</c:formatCode>
                <c:ptCount val="10"/>
                <c:pt idx="0">
                  <c:v>6.6</c:v>
                </c:pt>
                <c:pt idx="1">
                  <c:v>3.2</c:v>
                </c:pt>
                <c:pt idx="2">
                  <c:v>5.3</c:v>
                </c:pt>
                <c:pt idx="3">
                  <c:v>7.7</c:v>
                </c:pt>
                <c:pt idx="4">
                  <c:v>5.6</c:v>
                </c:pt>
                <c:pt idx="5">
                  <c:v>7.5</c:v>
                </c:pt>
                <c:pt idx="6">
                  <c:v>9.1</c:v>
                </c:pt>
                <c:pt idx="7">
                  <c:v>3</c:v>
                </c:pt>
                <c:pt idx="8">
                  <c:v>5.4</c:v>
                </c:pt>
                <c:pt idx="9">
                  <c:v>9.1999999999999993</c:v>
                </c:pt>
              </c:numCache>
            </c:numRef>
          </c:val>
          <c:smooth val="0"/>
          <c:extLst>
            <c:ext xmlns:c16="http://schemas.microsoft.com/office/drawing/2014/chart" uri="{C3380CC4-5D6E-409C-BE32-E72D297353CC}">
              <c16:uniqueId val="{00000000-9E5B-4A2D-A2D4-EC60D31B54DE}"/>
            </c:ext>
          </c:extLst>
        </c:ser>
        <c:ser>
          <c:idx val="1"/>
          <c:order val="1"/>
          <c:tx>
            <c:strRef>
              <c:f>'Fig 18.6. Vienna Temporal'!$E$13</c:f>
              <c:strCache>
                <c:ptCount val="1"/>
                <c:pt idx="0">
                  <c:v>Mean</c:v>
                </c:pt>
              </c:strCache>
            </c:strRef>
          </c:tx>
          <c:spPr>
            <a:ln w="28575" cap="rnd">
              <a:solidFill>
                <a:schemeClr val="tx1"/>
              </a:solidFill>
              <a:round/>
            </a:ln>
            <a:effectLst/>
          </c:spPr>
          <c:marker>
            <c:symbol val="none"/>
          </c:marker>
          <c:cat>
            <c:strRef>
              <c:f>'Fig 18.6. Vienna Temporal'!$C$14:$C$23</c:f>
              <c:strCache>
                <c:ptCount val="10"/>
                <c:pt idx="0">
                  <c:v>1831</c:v>
                </c:pt>
                <c:pt idx="1">
                  <c:v>1832</c:v>
                </c:pt>
                <c:pt idx="2">
                  <c:v>1833</c:v>
                </c:pt>
                <c:pt idx="3">
                  <c:v>1834</c:v>
                </c:pt>
                <c:pt idx="4">
                  <c:v>1835</c:v>
                </c:pt>
                <c:pt idx="5">
                  <c:v>1836</c:v>
                </c:pt>
                <c:pt idx="6">
                  <c:v>1837</c:v>
                </c:pt>
                <c:pt idx="7">
                  <c:v>1838</c:v>
                </c:pt>
                <c:pt idx="8">
                  <c:v>1839</c:v>
                </c:pt>
                <c:pt idx="9">
                  <c:v>1840</c:v>
                </c:pt>
              </c:strCache>
            </c:strRef>
          </c:cat>
          <c:val>
            <c:numRef>
              <c:f>'Fig 18.6. Vienna Temporal'!$E$14:$E$23</c:f>
              <c:numCache>
                <c:formatCode>General</c:formatCode>
                <c:ptCount val="10"/>
                <c:pt idx="0">
                  <c:v>6.26</c:v>
                </c:pt>
                <c:pt idx="1">
                  <c:v>6.26</c:v>
                </c:pt>
                <c:pt idx="2">
                  <c:v>6.26</c:v>
                </c:pt>
                <c:pt idx="3">
                  <c:v>6.26</c:v>
                </c:pt>
                <c:pt idx="4">
                  <c:v>6.26</c:v>
                </c:pt>
                <c:pt idx="5">
                  <c:v>6.26</c:v>
                </c:pt>
                <c:pt idx="6">
                  <c:v>6.26</c:v>
                </c:pt>
                <c:pt idx="7">
                  <c:v>6.26</c:v>
                </c:pt>
                <c:pt idx="8">
                  <c:v>6.26</c:v>
                </c:pt>
                <c:pt idx="9">
                  <c:v>6.26</c:v>
                </c:pt>
              </c:numCache>
            </c:numRef>
          </c:val>
          <c:smooth val="0"/>
          <c:extLst>
            <c:ext xmlns:c16="http://schemas.microsoft.com/office/drawing/2014/chart" uri="{C3380CC4-5D6E-409C-BE32-E72D297353CC}">
              <c16:uniqueId val="{00000001-9E5B-4A2D-A2D4-EC60D31B54DE}"/>
            </c:ext>
          </c:extLst>
        </c:ser>
        <c:ser>
          <c:idx val="2"/>
          <c:order val="2"/>
          <c:tx>
            <c:strRef>
              <c:f>'Fig 18.6. Vienna Temporal'!$F$13</c:f>
              <c:strCache>
                <c:ptCount val="1"/>
                <c:pt idx="0">
                  <c:v>UPL</c:v>
                </c:pt>
              </c:strCache>
            </c:strRef>
          </c:tx>
          <c:spPr>
            <a:ln w="28575" cap="rnd">
              <a:solidFill>
                <a:srgbClr val="D72323"/>
              </a:solidFill>
              <a:prstDash val="dash"/>
              <a:round/>
            </a:ln>
            <a:effectLst/>
          </c:spPr>
          <c:marker>
            <c:symbol val="none"/>
          </c:marker>
          <c:cat>
            <c:strRef>
              <c:f>'Fig 18.6. Vienna Temporal'!$C$14:$C$23</c:f>
              <c:strCache>
                <c:ptCount val="10"/>
                <c:pt idx="0">
                  <c:v>1831</c:v>
                </c:pt>
                <c:pt idx="1">
                  <c:v>1832</c:v>
                </c:pt>
                <c:pt idx="2">
                  <c:v>1833</c:v>
                </c:pt>
                <c:pt idx="3">
                  <c:v>1834</c:v>
                </c:pt>
                <c:pt idx="4">
                  <c:v>1835</c:v>
                </c:pt>
                <c:pt idx="5">
                  <c:v>1836</c:v>
                </c:pt>
                <c:pt idx="6">
                  <c:v>1837</c:v>
                </c:pt>
                <c:pt idx="7">
                  <c:v>1838</c:v>
                </c:pt>
                <c:pt idx="8">
                  <c:v>1839</c:v>
                </c:pt>
                <c:pt idx="9">
                  <c:v>1840</c:v>
                </c:pt>
              </c:strCache>
            </c:strRef>
          </c:cat>
          <c:val>
            <c:numRef>
              <c:f>'Fig 18.6. Vienna Temporal'!$F$14:$F$23</c:f>
              <c:numCache>
                <c:formatCode>General</c:formatCode>
                <c:ptCount val="10"/>
                <c:pt idx="0">
                  <c:v>13.89</c:v>
                </c:pt>
                <c:pt idx="1">
                  <c:v>13.89</c:v>
                </c:pt>
                <c:pt idx="2">
                  <c:v>13.89</c:v>
                </c:pt>
                <c:pt idx="3">
                  <c:v>13.89</c:v>
                </c:pt>
                <c:pt idx="4">
                  <c:v>13.89</c:v>
                </c:pt>
                <c:pt idx="5">
                  <c:v>13.89</c:v>
                </c:pt>
                <c:pt idx="6">
                  <c:v>13.89</c:v>
                </c:pt>
                <c:pt idx="7">
                  <c:v>13.89</c:v>
                </c:pt>
                <c:pt idx="8">
                  <c:v>13.89</c:v>
                </c:pt>
                <c:pt idx="9">
                  <c:v>13.89</c:v>
                </c:pt>
              </c:numCache>
            </c:numRef>
          </c:val>
          <c:smooth val="0"/>
          <c:extLst>
            <c:ext xmlns:c16="http://schemas.microsoft.com/office/drawing/2014/chart" uri="{C3380CC4-5D6E-409C-BE32-E72D297353CC}">
              <c16:uniqueId val="{00000002-9E5B-4A2D-A2D4-EC60D31B54DE}"/>
            </c:ext>
          </c:extLst>
        </c:ser>
        <c:ser>
          <c:idx val="3"/>
          <c:order val="3"/>
          <c:tx>
            <c:strRef>
              <c:f>'Fig 18.6. Vienna Temporal'!$G$13</c:f>
              <c:strCache>
                <c:ptCount val="1"/>
                <c:pt idx="0">
                  <c:v>LPL</c:v>
                </c:pt>
              </c:strCache>
            </c:strRef>
          </c:tx>
          <c:spPr>
            <a:ln w="28575" cap="rnd">
              <a:solidFill>
                <a:srgbClr val="D72323"/>
              </a:solidFill>
              <a:prstDash val="dash"/>
              <a:round/>
            </a:ln>
            <a:effectLst/>
          </c:spPr>
          <c:marker>
            <c:symbol val="none"/>
          </c:marker>
          <c:cat>
            <c:strRef>
              <c:f>'Fig 18.6. Vienna Temporal'!$C$14:$C$23</c:f>
              <c:strCache>
                <c:ptCount val="10"/>
                <c:pt idx="0">
                  <c:v>1831</c:v>
                </c:pt>
                <c:pt idx="1">
                  <c:v>1832</c:v>
                </c:pt>
                <c:pt idx="2">
                  <c:v>1833</c:v>
                </c:pt>
                <c:pt idx="3">
                  <c:v>1834</c:v>
                </c:pt>
                <c:pt idx="4">
                  <c:v>1835</c:v>
                </c:pt>
                <c:pt idx="5">
                  <c:v>1836</c:v>
                </c:pt>
                <c:pt idx="6">
                  <c:v>1837</c:v>
                </c:pt>
                <c:pt idx="7">
                  <c:v>1838</c:v>
                </c:pt>
                <c:pt idx="8">
                  <c:v>1839</c:v>
                </c:pt>
                <c:pt idx="9">
                  <c:v>1840</c:v>
                </c:pt>
              </c:strCache>
            </c:strRef>
          </c:cat>
          <c:val>
            <c:numRef>
              <c:f>'Fig 18.6. Vienna Temporal'!$G$14:$G$23</c:f>
              <c:numCache>
                <c:formatCode>General</c:formatCode>
                <c:ptCount val="10"/>
                <c:pt idx="0">
                  <c:v>0</c:v>
                </c:pt>
                <c:pt idx="1">
                  <c:v>0</c:v>
                </c:pt>
                <c:pt idx="2">
                  <c:v>0</c:v>
                </c:pt>
                <c:pt idx="3">
                  <c:v>0</c:v>
                </c:pt>
                <c:pt idx="4">
                  <c:v>0</c:v>
                </c:pt>
                <c:pt idx="5">
                  <c:v>0</c:v>
                </c:pt>
                <c:pt idx="6">
                  <c:v>0</c:v>
                </c:pt>
                <c:pt idx="7">
                  <c:v>0</c:v>
                </c:pt>
                <c:pt idx="8">
                  <c:v>0</c:v>
                </c:pt>
                <c:pt idx="9">
                  <c:v>0</c:v>
                </c:pt>
              </c:numCache>
            </c:numRef>
          </c:val>
          <c:smooth val="0"/>
          <c:extLst>
            <c:ext xmlns:c16="http://schemas.microsoft.com/office/drawing/2014/chart" uri="{C3380CC4-5D6E-409C-BE32-E72D297353CC}">
              <c16:uniqueId val="{00000003-9E5B-4A2D-A2D4-EC60D31B54DE}"/>
            </c:ext>
          </c:extLst>
        </c:ser>
        <c:dLbls>
          <c:showLegendKey val="0"/>
          <c:showVal val="0"/>
          <c:showCatName val="0"/>
          <c:showSerName val="0"/>
          <c:showPercent val="0"/>
          <c:showBubbleSize val="0"/>
        </c:dLbls>
        <c:marker val="1"/>
        <c:smooth val="0"/>
        <c:axId val="2024056368"/>
        <c:axId val="2024057808"/>
      </c:lineChart>
      <c:catAx>
        <c:axId val="2024056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4057808"/>
        <c:crosses val="autoZero"/>
        <c:auto val="1"/>
        <c:lblAlgn val="ctr"/>
        <c:lblOffset val="100"/>
        <c:noMultiLvlLbl val="0"/>
      </c:catAx>
      <c:valAx>
        <c:axId val="202405780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4056368"/>
        <c:crosses val="autoZero"/>
        <c:crossBetween val="between"/>
      </c:valAx>
      <c:spPr>
        <a:noFill/>
        <a:ln w="25400">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lineChart>
        <c:grouping val="standard"/>
        <c:varyColors val="0"/>
        <c:ser>
          <c:idx val="0"/>
          <c:order val="0"/>
          <c:tx>
            <c:strRef>
              <c:f>'Fig 18.6. Vienna Temporal'!$H$13</c:f>
              <c:strCache>
                <c:ptCount val="1"/>
                <c:pt idx="0">
                  <c:v>mR</c:v>
                </c:pt>
              </c:strCache>
            </c:strRef>
          </c:tx>
          <c:spPr>
            <a:ln w="28575" cap="rnd">
              <a:solidFill>
                <a:schemeClr val="accent1"/>
              </a:solidFill>
              <a:round/>
            </a:ln>
            <a:effectLst/>
          </c:spPr>
          <c:marker>
            <c:symbol val="circle"/>
            <c:size val="6"/>
            <c:spPr>
              <a:solidFill>
                <a:schemeClr val="accent1"/>
              </a:solidFill>
              <a:ln w="9525">
                <a:solidFill>
                  <a:schemeClr val="accent1"/>
                </a:solidFill>
              </a:ln>
              <a:effectLst/>
            </c:spPr>
          </c:marker>
          <c:val>
            <c:numRef>
              <c:f>'Fig 18.6. Vienna Temporal'!$H$14:$H$23</c:f>
              <c:numCache>
                <c:formatCode>General</c:formatCode>
                <c:ptCount val="10"/>
                <c:pt idx="1">
                  <c:v>3.3999999999999995</c:v>
                </c:pt>
                <c:pt idx="2">
                  <c:v>2.0999999999999996</c:v>
                </c:pt>
                <c:pt idx="3">
                  <c:v>2.4000000000000004</c:v>
                </c:pt>
                <c:pt idx="4">
                  <c:v>2.1000000000000005</c:v>
                </c:pt>
                <c:pt idx="5">
                  <c:v>1.9000000000000004</c:v>
                </c:pt>
                <c:pt idx="6">
                  <c:v>1.5999999999999996</c:v>
                </c:pt>
                <c:pt idx="7">
                  <c:v>6.1</c:v>
                </c:pt>
                <c:pt idx="8">
                  <c:v>2.4000000000000004</c:v>
                </c:pt>
                <c:pt idx="9">
                  <c:v>3.7999999999999989</c:v>
                </c:pt>
              </c:numCache>
            </c:numRef>
          </c:val>
          <c:smooth val="0"/>
          <c:extLst>
            <c:ext xmlns:c16="http://schemas.microsoft.com/office/drawing/2014/chart" uri="{C3380CC4-5D6E-409C-BE32-E72D297353CC}">
              <c16:uniqueId val="{00000000-3EF7-47D6-8C5A-107813071B44}"/>
            </c:ext>
          </c:extLst>
        </c:ser>
        <c:ser>
          <c:idx val="1"/>
          <c:order val="1"/>
          <c:tx>
            <c:strRef>
              <c:f>'Fig 18.6. Vienna Temporal'!$I$13</c:f>
              <c:strCache>
                <c:ptCount val="1"/>
                <c:pt idx="0">
                  <c:v>Ave. mR</c:v>
                </c:pt>
              </c:strCache>
            </c:strRef>
          </c:tx>
          <c:spPr>
            <a:ln w="28575" cap="rnd">
              <a:solidFill>
                <a:schemeClr val="tx1"/>
              </a:solidFill>
              <a:round/>
            </a:ln>
            <a:effectLst/>
          </c:spPr>
          <c:marker>
            <c:symbol val="none"/>
          </c:marker>
          <c:val>
            <c:numRef>
              <c:f>'Fig 18.6. Vienna Temporal'!$I$14:$I$23</c:f>
              <c:numCache>
                <c:formatCode>General</c:formatCode>
                <c:ptCount val="10"/>
                <c:pt idx="0">
                  <c:v>2.87</c:v>
                </c:pt>
                <c:pt idx="1">
                  <c:v>2.87</c:v>
                </c:pt>
                <c:pt idx="2">
                  <c:v>2.87</c:v>
                </c:pt>
                <c:pt idx="3">
                  <c:v>2.87</c:v>
                </c:pt>
                <c:pt idx="4">
                  <c:v>2.87</c:v>
                </c:pt>
                <c:pt idx="5">
                  <c:v>2.87</c:v>
                </c:pt>
                <c:pt idx="6">
                  <c:v>2.87</c:v>
                </c:pt>
                <c:pt idx="7">
                  <c:v>2.87</c:v>
                </c:pt>
                <c:pt idx="8">
                  <c:v>2.87</c:v>
                </c:pt>
                <c:pt idx="9">
                  <c:v>2.87</c:v>
                </c:pt>
              </c:numCache>
            </c:numRef>
          </c:val>
          <c:smooth val="0"/>
          <c:extLst>
            <c:ext xmlns:c16="http://schemas.microsoft.com/office/drawing/2014/chart" uri="{C3380CC4-5D6E-409C-BE32-E72D297353CC}">
              <c16:uniqueId val="{00000001-3EF7-47D6-8C5A-107813071B44}"/>
            </c:ext>
          </c:extLst>
        </c:ser>
        <c:ser>
          <c:idx val="2"/>
          <c:order val="2"/>
          <c:tx>
            <c:strRef>
              <c:f>'Fig 18.6. Vienna Temporal'!$J$13</c:f>
              <c:strCache>
                <c:ptCount val="1"/>
                <c:pt idx="0">
                  <c:v>URL</c:v>
                </c:pt>
              </c:strCache>
            </c:strRef>
          </c:tx>
          <c:spPr>
            <a:ln w="28575" cap="rnd">
              <a:solidFill>
                <a:srgbClr val="D72323"/>
              </a:solidFill>
              <a:prstDash val="dash"/>
              <a:round/>
            </a:ln>
            <a:effectLst/>
          </c:spPr>
          <c:marker>
            <c:symbol val="none"/>
          </c:marker>
          <c:val>
            <c:numRef>
              <c:f>'Fig 18.6. Vienna Temporal'!$J$14:$J$23</c:f>
              <c:numCache>
                <c:formatCode>General</c:formatCode>
                <c:ptCount val="10"/>
                <c:pt idx="0">
                  <c:v>9.3800000000000008</c:v>
                </c:pt>
                <c:pt idx="1">
                  <c:v>9.3800000000000008</c:v>
                </c:pt>
                <c:pt idx="2">
                  <c:v>9.3800000000000008</c:v>
                </c:pt>
                <c:pt idx="3">
                  <c:v>9.3800000000000008</c:v>
                </c:pt>
                <c:pt idx="4">
                  <c:v>9.3800000000000008</c:v>
                </c:pt>
                <c:pt idx="5">
                  <c:v>9.3800000000000008</c:v>
                </c:pt>
                <c:pt idx="6">
                  <c:v>9.3800000000000008</c:v>
                </c:pt>
                <c:pt idx="7">
                  <c:v>9.3800000000000008</c:v>
                </c:pt>
                <c:pt idx="8">
                  <c:v>9.3800000000000008</c:v>
                </c:pt>
                <c:pt idx="9">
                  <c:v>9.3800000000000008</c:v>
                </c:pt>
              </c:numCache>
            </c:numRef>
          </c:val>
          <c:smooth val="0"/>
          <c:extLst>
            <c:ext xmlns:c16="http://schemas.microsoft.com/office/drawing/2014/chart" uri="{C3380CC4-5D6E-409C-BE32-E72D297353CC}">
              <c16:uniqueId val="{00000002-3EF7-47D6-8C5A-107813071B44}"/>
            </c:ext>
          </c:extLst>
        </c:ser>
        <c:dLbls>
          <c:showLegendKey val="0"/>
          <c:showVal val="0"/>
          <c:showCatName val="0"/>
          <c:showSerName val="0"/>
          <c:showPercent val="0"/>
          <c:showBubbleSize val="0"/>
        </c:dLbls>
        <c:marker val="1"/>
        <c:smooth val="0"/>
        <c:axId val="2024086608"/>
        <c:axId val="2024084208"/>
      </c:lineChart>
      <c:catAx>
        <c:axId val="2024086608"/>
        <c:scaling>
          <c:orientation val="minMax"/>
        </c:scaling>
        <c:delete val="1"/>
        <c:axPos val="b"/>
        <c:majorTickMark val="none"/>
        <c:minorTickMark val="none"/>
        <c:tickLblPos val="nextTo"/>
        <c:crossAx val="2024084208"/>
        <c:crosses val="autoZero"/>
        <c:auto val="1"/>
        <c:lblAlgn val="ctr"/>
        <c:lblOffset val="100"/>
        <c:noMultiLvlLbl val="0"/>
      </c:catAx>
      <c:valAx>
        <c:axId val="202408420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4086608"/>
        <c:crosses val="autoZero"/>
        <c:crossBetween val="between"/>
      </c:valAx>
      <c:spPr>
        <a:noFill/>
        <a:ln>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Dublin Maternity Hospital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'Fig 18.7. Physical comparison'!$C$1</c:f>
              <c:strCache>
                <c:ptCount val="1"/>
                <c:pt idx="0">
                  <c:v>Rate</c:v>
                </c:pt>
              </c:strCache>
            </c:strRef>
          </c:tx>
          <c:spPr>
            <a:ln w="28575" cap="rnd">
              <a:solidFill>
                <a:schemeClr val="accent1"/>
              </a:solidFill>
              <a:round/>
            </a:ln>
            <a:effectLst/>
          </c:spPr>
          <c:marker>
            <c:symbol val="circle"/>
            <c:size val="6"/>
            <c:spPr>
              <a:solidFill>
                <a:schemeClr val="accent1"/>
              </a:solidFill>
              <a:ln w="9525">
                <a:solidFill>
                  <a:schemeClr val="accent1"/>
                </a:solidFill>
              </a:ln>
              <a:effectLst/>
            </c:spPr>
          </c:marker>
          <c:cat>
            <c:strRef>
              <c:f>'Fig 18.7. Physical comparison'!$B$2:$B$58</c:f>
              <c:strCache>
                <c:ptCount val="57"/>
                <c:pt idx="0">
                  <c:v>1784</c:v>
                </c:pt>
                <c:pt idx="1">
                  <c:v>1785</c:v>
                </c:pt>
                <c:pt idx="2">
                  <c:v>1786</c:v>
                </c:pt>
                <c:pt idx="3">
                  <c:v>1787</c:v>
                </c:pt>
                <c:pt idx="4">
                  <c:v>1788</c:v>
                </c:pt>
                <c:pt idx="5">
                  <c:v>1789</c:v>
                </c:pt>
                <c:pt idx="6">
                  <c:v>1790</c:v>
                </c:pt>
                <c:pt idx="7">
                  <c:v>1791</c:v>
                </c:pt>
                <c:pt idx="8">
                  <c:v>1792</c:v>
                </c:pt>
                <c:pt idx="9">
                  <c:v>1793</c:v>
                </c:pt>
                <c:pt idx="10">
                  <c:v>1794</c:v>
                </c:pt>
                <c:pt idx="11">
                  <c:v>1795</c:v>
                </c:pt>
                <c:pt idx="12">
                  <c:v>1796</c:v>
                </c:pt>
                <c:pt idx="13">
                  <c:v>1797</c:v>
                </c:pt>
                <c:pt idx="14">
                  <c:v>1798</c:v>
                </c:pt>
                <c:pt idx="15">
                  <c:v>1799</c:v>
                </c:pt>
                <c:pt idx="16">
                  <c:v>1800</c:v>
                </c:pt>
                <c:pt idx="17">
                  <c:v>1801</c:v>
                </c:pt>
                <c:pt idx="18">
                  <c:v>1802</c:v>
                </c:pt>
                <c:pt idx="19">
                  <c:v>1803</c:v>
                </c:pt>
                <c:pt idx="20">
                  <c:v>1804</c:v>
                </c:pt>
                <c:pt idx="21">
                  <c:v>1805</c:v>
                </c:pt>
                <c:pt idx="22">
                  <c:v>1806</c:v>
                </c:pt>
                <c:pt idx="23">
                  <c:v>1807</c:v>
                </c:pt>
                <c:pt idx="24">
                  <c:v>1808</c:v>
                </c:pt>
                <c:pt idx="25">
                  <c:v>1809</c:v>
                </c:pt>
                <c:pt idx="26">
                  <c:v>1810</c:v>
                </c:pt>
                <c:pt idx="27">
                  <c:v>1811</c:v>
                </c:pt>
                <c:pt idx="28">
                  <c:v>1812</c:v>
                </c:pt>
                <c:pt idx="29">
                  <c:v>1813</c:v>
                </c:pt>
                <c:pt idx="30">
                  <c:v>1814</c:v>
                </c:pt>
                <c:pt idx="31">
                  <c:v>1815</c:v>
                </c:pt>
                <c:pt idx="32">
                  <c:v>1816</c:v>
                </c:pt>
                <c:pt idx="33">
                  <c:v>1817</c:v>
                </c:pt>
                <c:pt idx="34">
                  <c:v>1818</c:v>
                </c:pt>
                <c:pt idx="35">
                  <c:v>1819</c:v>
                </c:pt>
                <c:pt idx="36">
                  <c:v>1820</c:v>
                </c:pt>
                <c:pt idx="37">
                  <c:v>1821</c:v>
                </c:pt>
                <c:pt idx="38">
                  <c:v>1822</c:v>
                </c:pt>
                <c:pt idx="39">
                  <c:v>1823</c:v>
                </c:pt>
                <c:pt idx="40">
                  <c:v>1824</c:v>
                </c:pt>
                <c:pt idx="41">
                  <c:v>1825</c:v>
                </c:pt>
                <c:pt idx="42">
                  <c:v>1826</c:v>
                </c:pt>
                <c:pt idx="43">
                  <c:v>1827</c:v>
                </c:pt>
                <c:pt idx="44">
                  <c:v>1828</c:v>
                </c:pt>
                <c:pt idx="45">
                  <c:v>1829</c:v>
                </c:pt>
                <c:pt idx="46">
                  <c:v>1830</c:v>
                </c:pt>
                <c:pt idx="47">
                  <c:v>1831</c:v>
                </c:pt>
                <c:pt idx="48">
                  <c:v>1832</c:v>
                </c:pt>
                <c:pt idx="49">
                  <c:v>1833</c:v>
                </c:pt>
                <c:pt idx="50">
                  <c:v>1834</c:v>
                </c:pt>
                <c:pt idx="51">
                  <c:v>1835</c:v>
                </c:pt>
                <c:pt idx="52">
                  <c:v>1836</c:v>
                </c:pt>
                <c:pt idx="53">
                  <c:v>1837</c:v>
                </c:pt>
                <c:pt idx="54">
                  <c:v>1838</c:v>
                </c:pt>
                <c:pt idx="55">
                  <c:v>1839</c:v>
                </c:pt>
                <c:pt idx="56">
                  <c:v>1840</c:v>
                </c:pt>
              </c:strCache>
            </c:strRef>
          </c:cat>
          <c:val>
            <c:numRef>
              <c:f>'Fig 18.7. Physical comparison'!$C$2:$C$58</c:f>
              <c:numCache>
                <c:formatCode>General</c:formatCode>
                <c:ptCount val="57"/>
                <c:pt idx="0">
                  <c:v>0.9</c:v>
                </c:pt>
                <c:pt idx="1">
                  <c:v>0.6</c:v>
                </c:pt>
                <c:pt idx="2">
                  <c:v>0.6</c:v>
                </c:pt>
                <c:pt idx="3">
                  <c:v>0.7</c:v>
                </c:pt>
                <c:pt idx="4">
                  <c:v>1.6</c:v>
                </c:pt>
                <c:pt idx="5">
                  <c:v>1.7</c:v>
                </c:pt>
                <c:pt idx="6">
                  <c:v>0.8</c:v>
                </c:pt>
                <c:pt idx="7">
                  <c:v>1.6</c:v>
                </c:pt>
                <c:pt idx="8">
                  <c:v>0.6</c:v>
                </c:pt>
                <c:pt idx="9">
                  <c:v>1.1000000000000001</c:v>
                </c:pt>
                <c:pt idx="10">
                  <c:v>1.3</c:v>
                </c:pt>
                <c:pt idx="11">
                  <c:v>0.5</c:v>
                </c:pt>
                <c:pt idx="12">
                  <c:v>0.6</c:v>
                </c:pt>
                <c:pt idx="13">
                  <c:v>0.8</c:v>
                </c:pt>
                <c:pt idx="14">
                  <c:v>0.5</c:v>
                </c:pt>
                <c:pt idx="15">
                  <c:v>0.7</c:v>
                </c:pt>
                <c:pt idx="16">
                  <c:v>1</c:v>
                </c:pt>
                <c:pt idx="17">
                  <c:v>1.7</c:v>
                </c:pt>
                <c:pt idx="18">
                  <c:v>1.3</c:v>
                </c:pt>
                <c:pt idx="19">
                  <c:v>2.2000000000000002</c:v>
                </c:pt>
                <c:pt idx="20">
                  <c:v>0.8</c:v>
                </c:pt>
                <c:pt idx="21">
                  <c:v>0.5</c:v>
                </c:pt>
                <c:pt idx="22">
                  <c:v>1</c:v>
                </c:pt>
                <c:pt idx="23">
                  <c:v>0.5</c:v>
                </c:pt>
                <c:pt idx="24">
                  <c:v>0.5</c:v>
                </c:pt>
                <c:pt idx="25">
                  <c:v>0.7</c:v>
                </c:pt>
                <c:pt idx="26">
                  <c:v>1</c:v>
                </c:pt>
                <c:pt idx="27">
                  <c:v>0.9</c:v>
                </c:pt>
                <c:pt idx="28">
                  <c:v>1.6</c:v>
                </c:pt>
                <c:pt idx="29">
                  <c:v>2.5</c:v>
                </c:pt>
                <c:pt idx="30">
                  <c:v>1</c:v>
                </c:pt>
                <c:pt idx="31">
                  <c:v>0.6</c:v>
                </c:pt>
                <c:pt idx="32">
                  <c:v>0.5</c:v>
                </c:pt>
                <c:pt idx="33">
                  <c:v>0.9</c:v>
                </c:pt>
                <c:pt idx="34">
                  <c:v>1.6</c:v>
                </c:pt>
                <c:pt idx="35">
                  <c:v>2.9</c:v>
                </c:pt>
                <c:pt idx="36">
                  <c:v>2.8</c:v>
                </c:pt>
                <c:pt idx="37">
                  <c:v>0.8</c:v>
                </c:pt>
                <c:pt idx="38">
                  <c:v>0.4</c:v>
                </c:pt>
                <c:pt idx="39">
                  <c:v>2.2999999999999998</c:v>
                </c:pt>
                <c:pt idx="40">
                  <c:v>0.8</c:v>
                </c:pt>
                <c:pt idx="41">
                  <c:v>0.9</c:v>
                </c:pt>
                <c:pt idx="42">
                  <c:v>3.3</c:v>
                </c:pt>
                <c:pt idx="43">
                  <c:v>1.3</c:v>
                </c:pt>
                <c:pt idx="44">
                  <c:v>1.5</c:v>
                </c:pt>
                <c:pt idx="45">
                  <c:v>1.6</c:v>
                </c:pt>
                <c:pt idx="46">
                  <c:v>0.5</c:v>
                </c:pt>
                <c:pt idx="47">
                  <c:v>0.6</c:v>
                </c:pt>
                <c:pt idx="48">
                  <c:v>0.5</c:v>
                </c:pt>
                <c:pt idx="49">
                  <c:v>0.6</c:v>
                </c:pt>
                <c:pt idx="50">
                  <c:v>1.7</c:v>
                </c:pt>
                <c:pt idx="51">
                  <c:v>1.8</c:v>
                </c:pt>
                <c:pt idx="52">
                  <c:v>2</c:v>
                </c:pt>
                <c:pt idx="53">
                  <c:v>1.3</c:v>
                </c:pt>
                <c:pt idx="54">
                  <c:v>2.1</c:v>
                </c:pt>
                <c:pt idx="55">
                  <c:v>1.3</c:v>
                </c:pt>
                <c:pt idx="56">
                  <c:v>1.7</c:v>
                </c:pt>
              </c:numCache>
            </c:numRef>
          </c:val>
          <c:smooth val="0"/>
          <c:extLst>
            <c:ext xmlns:c16="http://schemas.microsoft.com/office/drawing/2014/chart" uri="{C3380CC4-5D6E-409C-BE32-E72D297353CC}">
              <c16:uniqueId val="{00000000-329B-41D6-8340-43856FD2F6C5}"/>
            </c:ext>
          </c:extLst>
        </c:ser>
        <c:ser>
          <c:idx val="1"/>
          <c:order val="1"/>
          <c:tx>
            <c:strRef>
              <c:f>'Fig 18.7. Physical comparison'!$D$1</c:f>
              <c:strCache>
                <c:ptCount val="1"/>
                <c:pt idx="0">
                  <c:v>Mean</c:v>
                </c:pt>
              </c:strCache>
            </c:strRef>
          </c:tx>
          <c:spPr>
            <a:ln w="28575" cap="rnd">
              <a:solidFill>
                <a:schemeClr val="tx1"/>
              </a:solidFill>
              <a:round/>
            </a:ln>
            <a:effectLst/>
          </c:spPr>
          <c:marker>
            <c:symbol val="none"/>
          </c:marker>
          <c:cat>
            <c:strRef>
              <c:f>'Fig 18.7. Physical comparison'!$B$2:$B$58</c:f>
              <c:strCache>
                <c:ptCount val="57"/>
                <c:pt idx="0">
                  <c:v>1784</c:v>
                </c:pt>
                <c:pt idx="1">
                  <c:v>1785</c:v>
                </c:pt>
                <c:pt idx="2">
                  <c:v>1786</c:v>
                </c:pt>
                <c:pt idx="3">
                  <c:v>1787</c:v>
                </c:pt>
                <c:pt idx="4">
                  <c:v>1788</c:v>
                </c:pt>
                <c:pt idx="5">
                  <c:v>1789</c:v>
                </c:pt>
                <c:pt idx="6">
                  <c:v>1790</c:v>
                </c:pt>
                <c:pt idx="7">
                  <c:v>1791</c:v>
                </c:pt>
                <c:pt idx="8">
                  <c:v>1792</c:v>
                </c:pt>
                <c:pt idx="9">
                  <c:v>1793</c:v>
                </c:pt>
                <c:pt idx="10">
                  <c:v>1794</c:v>
                </c:pt>
                <c:pt idx="11">
                  <c:v>1795</c:v>
                </c:pt>
                <c:pt idx="12">
                  <c:v>1796</c:v>
                </c:pt>
                <c:pt idx="13">
                  <c:v>1797</c:v>
                </c:pt>
                <c:pt idx="14">
                  <c:v>1798</c:v>
                </c:pt>
                <c:pt idx="15">
                  <c:v>1799</c:v>
                </c:pt>
                <c:pt idx="16">
                  <c:v>1800</c:v>
                </c:pt>
                <c:pt idx="17">
                  <c:v>1801</c:v>
                </c:pt>
                <c:pt idx="18">
                  <c:v>1802</c:v>
                </c:pt>
                <c:pt idx="19">
                  <c:v>1803</c:v>
                </c:pt>
                <c:pt idx="20">
                  <c:v>1804</c:v>
                </c:pt>
                <c:pt idx="21">
                  <c:v>1805</c:v>
                </c:pt>
                <c:pt idx="22">
                  <c:v>1806</c:v>
                </c:pt>
                <c:pt idx="23">
                  <c:v>1807</c:v>
                </c:pt>
                <c:pt idx="24">
                  <c:v>1808</c:v>
                </c:pt>
                <c:pt idx="25">
                  <c:v>1809</c:v>
                </c:pt>
                <c:pt idx="26">
                  <c:v>1810</c:v>
                </c:pt>
                <c:pt idx="27">
                  <c:v>1811</c:v>
                </c:pt>
                <c:pt idx="28">
                  <c:v>1812</c:v>
                </c:pt>
                <c:pt idx="29">
                  <c:v>1813</c:v>
                </c:pt>
                <c:pt idx="30">
                  <c:v>1814</c:v>
                </c:pt>
                <c:pt idx="31">
                  <c:v>1815</c:v>
                </c:pt>
                <c:pt idx="32">
                  <c:v>1816</c:v>
                </c:pt>
                <c:pt idx="33">
                  <c:v>1817</c:v>
                </c:pt>
                <c:pt idx="34">
                  <c:v>1818</c:v>
                </c:pt>
                <c:pt idx="35">
                  <c:v>1819</c:v>
                </c:pt>
                <c:pt idx="36">
                  <c:v>1820</c:v>
                </c:pt>
                <c:pt idx="37">
                  <c:v>1821</c:v>
                </c:pt>
                <c:pt idx="38">
                  <c:v>1822</c:v>
                </c:pt>
                <c:pt idx="39">
                  <c:v>1823</c:v>
                </c:pt>
                <c:pt idx="40">
                  <c:v>1824</c:v>
                </c:pt>
                <c:pt idx="41">
                  <c:v>1825</c:v>
                </c:pt>
                <c:pt idx="42">
                  <c:v>1826</c:v>
                </c:pt>
                <c:pt idx="43">
                  <c:v>1827</c:v>
                </c:pt>
                <c:pt idx="44">
                  <c:v>1828</c:v>
                </c:pt>
                <c:pt idx="45">
                  <c:v>1829</c:v>
                </c:pt>
                <c:pt idx="46">
                  <c:v>1830</c:v>
                </c:pt>
                <c:pt idx="47">
                  <c:v>1831</c:v>
                </c:pt>
                <c:pt idx="48">
                  <c:v>1832</c:v>
                </c:pt>
                <c:pt idx="49">
                  <c:v>1833</c:v>
                </c:pt>
                <c:pt idx="50">
                  <c:v>1834</c:v>
                </c:pt>
                <c:pt idx="51">
                  <c:v>1835</c:v>
                </c:pt>
                <c:pt idx="52">
                  <c:v>1836</c:v>
                </c:pt>
                <c:pt idx="53">
                  <c:v>1837</c:v>
                </c:pt>
                <c:pt idx="54">
                  <c:v>1838</c:v>
                </c:pt>
                <c:pt idx="55">
                  <c:v>1839</c:v>
                </c:pt>
                <c:pt idx="56">
                  <c:v>1840</c:v>
                </c:pt>
              </c:strCache>
            </c:strRef>
          </c:cat>
          <c:val>
            <c:numRef>
              <c:f>'Fig 18.7. Physical comparison'!$D$2:$D$58</c:f>
              <c:numCache>
                <c:formatCode>General</c:formatCode>
                <c:ptCount val="57"/>
                <c:pt idx="0">
                  <c:v>1.19</c:v>
                </c:pt>
                <c:pt idx="1">
                  <c:v>1.19</c:v>
                </c:pt>
                <c:pt idx="2">
                  <c:v>1.19</c:v>
                </c:pt>
                <c:pt idx="3">
                  <c:v>1.19</c:v>
                </c:pt>
                <c:pt idx="4">
                  <c:v>1.19</c:v>
                </c:pt>
                <c:pt idx="5">
                  <c:v>1.19</c:v>
                </c:pt>
                <c:pt idx="6">
                  <c:v>1.19</c:v>
                </c:pt>
                <c:pt idx="7">
                  <c:v>1.19</c:v>
                </c:pt>
                <c:pt idx="8">
                  <c:v>1.19</c:v>
                </c:pt>
                <c:pt idx="9">
                  <c:v>1.19</c:v>
                </c:pt>
                <c:pt idx="10">
                  <c:v>1.19</c:v>
                </c:pt>
                <c:pt idx="11">
                  <c:v>1.19</c:v>
                </c:pt>
                <c:pt idx="12">
                  <c:v>1.19</c:v>
                </c:pt>
                <c:pt idx="13">
                  <c:v>1.19</c:v>
                </c:pt>
                <c:pt idx="14">
                  <c:v>1.19</c:v>
                </c:pt>
                <c:pt idx="15">
                  <c:v>1.19</c:v>
                </c:pt>
                <c:pt idx="16">
                  <c:v>1.19</c:v>
                </c:pt>
                <c:pt idx="17">
                  <c:v>1.19</c:v>
                </c:pt>
                <c:pt idx="18">
                  <c:v>1.19</c:v>
                </c:pt>
                <c:pt idx="19">
                  <c:v>1.19</c:v>
                </c:pt>
                <c:pt idx="20">
                  <c:v>1.19</c:v>
                </c:pt>
                <c:pt idx="21">
                  <c:v>1.19</c:v>
                </c:pt>
                <c:pt idx="22">
                  <c:v>1.19</c:v>
                </c:pt>
                <c:pt idx="23">
                  <c:v>1.19</c:v>
                </c:pt>
                <c:pt idx="24">
                  <c:v>1.19</c:v>
                </c:pt>
                <c:pt idx="25">
                  <c:v>1.19</c:v>
                </c:pt>
                <c:pt idx="26">
                  <c:v>1.19</c:v>
                </c:pt>
                <c:pt idx="27">
                  <c:v>1.19</c:v>
                </c:pt>
                <c:pt idx="28">
                  <c:v>1.19</c:v>
                </c:pt>
                <c:pt idx="29">
                  <c:v>1.19</c:v>
                </c:pt>
                <c:pt idx="30">
                  <c:v>1.19</c:v>
                </c:pt>
                <c:pt idx="31">
                  <c:v>1.19</c:v>
                </c:pt>
                <c:pt idx="32">
                  <c:v>1.19</c:v>
                </c:pt>
                <c:pt idx="33">
                  <c:v>1.19</c:v>
                </c:pt>
                <c:pt idx="34">
                  <c:v>1.19</c:v>
                </c:pt>
                <c:pt idx="35">
                  <c:v>1.19</c:v>
                </c:pt>
                <c:pt idx="36">
                  <c:v>1.19</c:v>
                </c:pt>
                <c:pt idx="37">
                  <c:v>1.19</c:v>
                </c:pt>
                <c:pt idx="38">
                  <c:v>1.19</c:v>
                </c:pt>
                <c:pt idx="39">
                  <c:v>1.19</c:v>
                </c:pt>
                <c:pt idx="40">
                  <c:v>1.19</c:v>
                </c:pt>
                <c:pt idx="41">
                  <c:v>1.19</c:v>
                </c:pt>
                <c:pt idx="42">
                  <c:v>1.19</c:v>
                </c:pt>
                <c:pt idx="43">
                  <c:v>1.19</c:v>
                </c:pt>
                <c:pt idx="44">
                  <c:v>1.19</c:v>
                </c:pt>
                <c:pt idx="45">
                  <c:v>1.19</c:v>
                </c:pt>
                <c:pt idx="46">
                  <c:v>1.19</c:v>
                </c:pt>
                <c:pt idx="47">
                  <c:v>1.19</c:v>
                </c:pt>
                <c:pt idx="48">
                  <c:v>1.19</c:v>
                </c:pt>
                <c:pt idx="49">
                  <c:v>1.19</c:v>
                </c:pt>
                <c:pt idx="50">
                  <c:v>1.19</c:v>
                </c:pt>
                <c:pt idx="51">
                  <c:v>1.19</c:v>
                </c:pt>
                <c:pt idx="52">
                  <c:v>1.19</c:v>
                </c:pt>
                <c:pt idx="53">
                  <c:v>1.19</c:v>
                </c:pt>
                <c:pt idx="54">
                  <c:v>1.19</c:v>
                </c:pt>
                <c:pt idx="55">
                  <c:v>1.19</c:v>
                </c:pt>
                <c:pt idx="56">
                  <c:v>1.19</c:v>
                </c:pt>
              </c:numCache>
            </c:numRef>
          </c:val>
          <c:smooth val="0"/>
          <c:extLst>
            <c:ext xmlns:c16="http://schemas.microsoft.com/office/drawing/2014/chart" uri="{C3380CC4-5D6E-409C-BE32-E72D297353CC}">
              <c16:uniqueId val="{00000001-329B-41D6-8340-43856FD2F6C5}"/>
            </c:ext>
          </c:extLst>
        </c:ser>
        <c:ser>
          <c:idx val="2"/>
          <c:order val="2"/>
          <c:tx>
            <c:strRef>
              <c:f>'Fig 18.7. Physical comparison'!$E$1</c:f>
              <c:strCache>
                <c:ptCount val="1"/>
                <c:pt idx="0">
                  <c:v>UPL</c:v>
                </c:pt>
              </c:strCache>
            </c:strRef>
          </c:tx>
          <c:spPr>
            <a:ln w="28575" cap="rnd">
              <a:solidFill>
                <a:srgbClr val="D72323"/>
              </a:solidFill>
              <a:prstDash val="dash"/>
              <a:round/>
            </a:ln>
            <a:effectLst/>
          </c:spPr>
          <c:marker>
            <c:symbol val="none"/>
          </c:marker>
          <c:cat>
            <c:strRef>
              <c:f>'Fig 18.7. Physical comparison'!$B$2:$B$58</c:f>
              <c:strCache>
                <c:ptCount val="57"/>
                <c:pt idx="0">
                  <c:v>1784</c:v>
                </c:pt>
                <c:pt idx="1">
                  <c:v>1785</c:v>
                </c:pt>
                <c:pt idx="2">
                  <c:v>1786</c:v>
                </c:pt>
                <c:pt idx="3">
                  <c:v>1787</c:v>
                </c:pt>
                <c:pt idx="4">
                  <c:v>1788</c:v>
                </c:pt>
                <c:pt idx="5">
                  <c:v>1789</c:v>
                </c:pt>
                <c:pt idx="6">
                  <c:v>1790</c:v>
                </c:pt>
                <c:pt idx="7">
                  <c:v>1791</c:v>
                </c:pt>
                <c:pt idx="8">
                  <c:v>1792</c:v>
                </c:pt>
                <c:pt idx="9">
                  <c:v>1793</c:v>
                </c:pt>
                <c:pt idx="10">
                  <c:v>1794</c:v>
                </c:pt>
                <c:pt idx="11">
                  <c:v>1795</c:v>
                </c:pt>
                <c:pt idx="12">
                  <c:v>1796</c:v>
                </c:pt>
                <c:pt idx="13">
                  <c:v>1797</c:v>
                </c:pt>
                <c:pt idx="14">
                  <c:v>1798</c:v>
                </c:pt>
                <c:pt idx="15">
                  <c:v>1799</c:v>
                </c:pt>
                <c:pt idx="16">
                  <c:v>1800</c:v>
                </c:pt>
                <c:pt idx="17">
                  <c:v>1801</c:v>
                </c:pt>
                <c:pt idx="18">
                  <c:v>1802</c:v>
                </c:pt>
                <c:pt idx="19">
                  <c:v>1803</c:v>
                </c:pt>
                <c:pt idx="20">
                  <c:v>1804</c:v>
                </c:pt>
                <c:pt idx="21">
                  <c:v>1805</c:v>
                </c:pt>
                <c:pt idx="22">
                  <c:v>1806</c:v>
                </c:pt>
                <c:pt idx="23">
                  <c:v>1807</c:v>
                </c:pt>
                <c:pt idx="24">
                  <c:v>1808</c:v>
                </c:pt>
                <c:pt idx="25">
                  <c:v>1809</c:v>
                </c:pt>
                <c:pt idx="26">
                  <c:v>1810</c:v>
                </c:pt>
                <c:pt idx="27">
                  <c:v>1811</c:v>
                </c:pt>
                <c:pt idx="28">
                  <c:v>1812</c:v>
                </c:pt>
                <c:pt idx="29">
                  <c:v>1813</c:v>
                </c:pt>
                <c:pt idx="30">
                  <c:v>1814</c:v>
                </c:pt>
                <c:pt idx="31">
                  <c:v>1815</c:v>
                </c:pt>
                <c:pt idx="32">
                  <c:v>1816</c:v>
                </c:pt>
                <c:pt idx="33">
                  <c:v>1817</c:v>
                </c:pt>
                <c:pt idx="34">
                  <c:v>1818</c:v>
                </c:pt>
                <c:pt idx="35">
                  <c:v>1819</c:v>
                </c:pt>
                <c:pt idx="36">
                  <c:v>1820</c:v>
                </c:pt>
                <c:pt idx="37">
                  <c:v>1821</c:v>
                </c:pt>
                <c:pt idx="38">
                  <c:v>1822</c:v>
                </c:pt>
                <c:pt idx="39">
                  <c:v>1823</c:v>
                </c:pt>
                <c:pt idx="40">
                  <c:v>1824</c:v>
                </c:pt>
                <c:pt idx="41">
                  <c:v>1825</c:v>
                </c:pt>
                <c:pt idx="42">
                  <c:v>1826</c:v>
                </c:pt>
                <c:pt idx="43">
                  <c:v>1827</c:v>
                </c:pt>
                <c:pt idx="44">
                  <c:v>1828</c:v>
                </c:pt>
                <c:pt idx="45">
                  <c:v>1829</c:v>
                </c:pt>
                <c:pt idx="46">
                  <c:v>1830</c:v>
                </c:pt>
                <c:pt idx="47">
                  <c:v>1831</c:v>
                </c:pt>
                <c:pt idx="48">
                  <c:v>1832</c:v>
                </c:pt>
                <c:pt idx="49">
                  <c:v>1833</c:v>
                </c:pt>
                <c:pt idx="50">
                  <c:v>1834</c:v>
                </c:pt>
                <c:pt idx="51">
                  <c:v>1835</c:v>
                </c:pt>
                <c:pt idx="52">
                  <c:v>1836</c:v>
                </c:pt>
                <c:pt idx="53">
                  <c:v>1837</c:v>
                </c:pt>
                <c:pt idx="54">
                  <c:v>1838</c:v>
                </c:pt>
                <c:pt idx="55">
                  <c:v>1839</c:v>
                </c:pt>
                <c:pt idx="56">
                  <c:v>1840</c:v>
                </c:pt>
              </c:strCache>
            </c:strRef>
          </c:cat>
          <c:val>
            <c:numRef>
              <c:f>'Fig 18.7. Physical comparison'!$E$2:$E$58</c:f>
              <c:numCache>
                <c:formatCode>General</c:formatCode>
                <c:ptCount val="57"/>
                <c:pt idx="0">
                  <c:v>2.81</c:v>
                </c:pt>
                <c:pt idx="1">
                  <c:v>2.81</c:v>
                </c:pt>
                <c:pt idx="2">
                  <c:v>2.81</c:v>
                </c:pt>
                <c:pt idx="3">
                  <c:v>2.81</c:v>
                </c:pt>
                <c:pt idx="4">
                  <c:v>2.81</c:v>
                </c:pt>
                <c:pt idx="5">
                  <c:v>2.81</c:v>
                </c:pt>
                <c:pt idx="6">
                  <c:v>2.81</c:v>
                </c:pt>
                <c:pt idx="7">
                  <c:v>2.81</c:v>
                </c:pt>
                <c:pt idx="8">
                  <c:v>2.81</c:v>
                </c:pt>
                <c:pt idx="9">
                  <c:v>2.81</c:v>
                </c:pt>
                <c:pt idx="10">
                  <c:v>2.81</c:v>
                </c:pt>
                <c:pt idx="11">
                  <c:v>2.81</c:v>
                </c:pt>
                <c:pt idx="12">
                  <c:v>2.81</c:v>
                </c:pt>
                <c:pt idx="13">
                  <c:v>2.81</c:v>
                </c:pt>
                <c:pt idx="14">
                  <c:v>2.81</c:v>
                </c:pt>
                <c:pt idx="15">
                  <c:v>2.81</c:v>
                </c:pt>
                <c:pt idx="16">
                  <c:v>2.81</c:v>
                </c:pt>
                <c:pt idx="17">
                  <c:v>2.81</c:v>
                </c:pt>
                <c:pt idx="18">
                  <c:v>2.81</c:v>
                </c:pt>
                <c:pt idx="19">
                  <c:v>2.81</c:v>
                </c:pt>
                <c:pt idx="20">
                  <c:v>2.81</c:v>
                </c:pt>
                <c:pt idx="21">
                  <c:v>2.81</c:v>
                </c:pt>
                <c:pt idx="22">
                  <c:v>2.81</c:v>
                </c:pt>
                <c:pt idx="23">
                  <c:v>2.81</c:v>
                </c:pt>
                <c:pt idx="24">
                  <c:v>2.81</c:v>
                </c:pt>
                <c:pt idx="25">
                  <c:v>2.81</c:v>
                </c:pt>
                <c:pt idx="26">
                  <c:v>2.81</c:v>
                </c:pt>
                <c:pt idx="27">
                  <c:v>2.81</c:v>
                </c:pt>
                <c:pt idx="28">
                  <c:v>2.81</c:v>
                </c:pt>
                <c:pt idx="29">
                  <c:v>2.81</c:v>
                </c:pt>
                <c:pt idx="30">
                  <c:v>2.81</c:v>
                </c:pt>
                <c:pt idx="31">
                  <c:v>2.81</c:v>
                </c:pt>
                <c:pt idx="32">
                  <c:v>2.81</c:v>
                </c:pt>
                <c:pt idx="33">
                  <c:v>2.81</c:v>
                </c:pt>
                <c:pt idx="34">
                  <c:v>2.81</c:v>
                </c:pt>
                <c:pt idx="35">
                  <c:v>2.81</c:v>
                </c:pt>
                <c:pt idx="36">
                  <c:v>2.81</c:v>
                </c:pt>
                <c:pt idx="37">
                  <c:v>2.81</c:v>
                </c:pt>
                <c:pt idx="38">
                  <c:v>2.81</c:v>
                </c:pt>
                <c:pt idx="39">
                  <c:v>2.81</c:v>
                </c:pt>
                <c:pt idx="40">
                  <c:v>2.81</c:v>
                </c:pt>
                <c:pt idx="41">
                  <c:v>2.81</c:v>
                </c:pt>
                <c:pt idx="42">
                  <c:v>2.81</c:v>
                </c:pt>
                <c:pt idx="43">
                  <c:v>2.81</c:v>
                </c:pt>
                <c:pt idx="44">
                  <c:v>2.81</c:v>
                </c:pt>
                <c:pt idx="45">
                  <c:v>2.81</c:v>
                </c:pt>
                <c:pt idx="46">
                  <c:v>2.81</c:v>
                </c:pt>
                <c:pt idx="47">
                  <c:v>2.81</c:v>
                </c:pt>
                <c:pt idx="48">
                  <c:v>2.81</c:v>
                </c:pt>
                <c:pt idx="49">
                  <c:v>2.81</c:v>
                </c:pt>
                <c:pt idx="50">
                  <c:v>2.81</c:v>
                </c:pt>
                <c:pt idx="51">
                  <c:v>2.81</c:v>
                </c:pt>
                <c:pt idx="52">
                  <c:v>2.81</c:v>
                </c:pt>
                <c:pt idx="53">
                  <c:v>2.81</c:v>
                </c:pt>
                <c:pt idx="54">
                  <c:v>2.81</c:v>
                </c:pt>
                <c:pt idx="55">
                  <c:v>2.81</c:v>
                </c:pt>
                <c:pt idx="56">
                  <c:v>2.81</c:v>
                </c:pt>
              </c:numCache>
            </c:numRef>
          </c:val>
          <c:smooth val="0"/>
          <c:extLst>
            <c:ext xmlns:c16="http://schemas.microsoft.com/office/drawing/2014/chart" uri="{C3380CC4-5D6E-409C-BE32-E72D297353CC}">
              <c16:uniqueId val="{00000002-329B-41D6-8340-43856FD2F6C5}"/>
            </c:ext>
          </c:extLst>
        </c:ser>
        <c:ser>
          <c:idx val="3"/>
          <c:order val="3"/>
          <c:tx>
            <c:strRef>
              <c:f>'Fig 18.7. Physical comparison'!$F$1</c:f>
              <c:strCache>
                <c:ptCount val="1"/>
                <c:pt idx="0">
                  <c:v>LPL</c:v>
                </c:pt>
              </c:strCache>
            </c:strRef>
          </c:tx>
          <c:spPr>
            <a:ln w="28575" cap="rnd">
              <a:solidFill>
                <a:srgbClr val="D72323"/>
              </a:solidFill>
              <a:prstDash val="dash"/>
              <a:round/>
            </a:ln>
            <a:effectLst/>
          </c:spPr>
          <c:marker>
            <c:symbol val="none"/>
          </c:marker>
          <c:cat>
            <c:strRef>
              <c:f>'Fig 18.7. Physical comparison'!$B$2:$B$58</c:f>
              <c:strCache>
                <c:ptCount val="57"/>
                <c:pt idx="0">
                  <c:v>1784</c:v>
                </c:pt>
                <c:pt idx="1">
                  <c:v>1785</c:v>
                </c:pt>
                <c:pt idx="2">
                  <c:v>1786</c:v>
                </c:pt>
                <c:pt idx="3">
                  <c:v>1787</c:v>
                </c:pt>
                <c:pt idx="4">
                  <c:v>1788</c:v>
                </c:pt>
                <c:pt idx="5">
                  <c:v>1789</c:v>
                </c:pt>
                <c:pt idx="6">
                  <c:v>1790</c:v>
                </c:pt>
                <c:pt idx="7">
                  <c:v>1791</c:v>
                </c:pt>
                <c:pt idx="8">
                  <c:v>1792</c:v>
                </c:pt>
                <c:pt idx="9">
                  <c:v>1793</c:v>
                </c:pt>
                <c:pt idx="10">
                  <c:v>1794</c:v>
                </c:pt>
                <c:pt idx="11">
                  <c:v>1795</c:v>
                </c:pt>
                <c:pt idx="12">
                  <c:v>1796</c:v>
                </c:pt>
                <c:pt idx="13">
                  <c:v>1797</c:v>
                </c:pt>
                <c:pt idx="14">
                  <c:v>1798</c:v>
                </c:pt>
                <c:pt idx="15">
                  <c:v>1799</c:v>
                </c:pt>
                <c:pt idx="16">
                  <c:v>1800</c:v>
                </c:pt>
                <c:pt idx="17">
                  <c:v>1801</c:v>
                </c:pt>
                <c:pt idx="18">
                  <c:v>1802</c:v>
                </c:pt>
                <c:pt idx="19">
                  <c:v>1803</c:v>
                </c:pt>
                <c:pt idx="20">
                  <c:v>1804</c:v>
                </c:pt>
                <c:pt idx="21">
                  <c:v>1805</c:v>
                </c:pt>
                <c:pt idx="22">
                  <c:v>1806</c:v>
                </c:pt>
                <c:pt idx="23">
                  <c:v>1807</c:v>
                </c:pt>
                <c:pt idx="24">
                  <c:v>1808</c:v>
                </c:pt>
                <c:pt idx="25">
                  <c:v>1809</c:v>
                </c:pt>
                <c:pt idx="26">
                  <c:v>1810</c:v>
                </c:pt>
                <c:pt idx="27">
                  <c:v>1811</c:v>
                </c:pt>
                <c:pt idx="28">
                  <c:v>1812</c:v>
                </c:pt>
                <c:pt idx="29">
                  <c:v>1813</c:v>
                </c:pt>
                <c:pt idx="30">
                  <c:v>1814</c:v>
                </c:pt>
                <c:pt idx="31">
                  <c:v>1815</c:v>
                </c:pt>
                <c:pt idx="32">
                  <c:v>1816</c:v>
                </c:pt>
                <c:pt idx="33">
                  <c:v>1817</c:v>
                </c:pt>
                <c:pt idx="34">
                  <c:v>1818</c:v>
                </c:pt>
                <c:pt idx="35">
                  <c:v>1819</c:v>
                </c:pt>
                <c:pt idx="36">
                  <c:v>1820</c:v>
                </c:pt>
                <c:pt idx="37">
                  <c:v>1821</c:v>
                </c:pt>
                <c:pt idx="38">
                  <c:v>1822</c:v>
                </c:pt>
                <c:pt idx="39">
                  <c:v>1823</c:v>
                </c:pt>
                <c:pt idx="40">
                  <c:v>1824</c:v>
                </c:pt>
                <c:pt idx="41">
                  <c:v>1825</c:v>
                </c:pt>
                <c:pt idx="42">
                  <c:v>1826</c:v>
                </c:pt>
                <c:pt idx="43">
                  <c:v>1827</c:v>
                </c:pt>
                <c:pt idx="44">
                  <c:v>1828</c:v>
                </c:pt>
                <c:pt idx="45">
                  <c:v>1829</c:v>
                </c:pt>
                <c:pt idx="46">
                  <c:v>1830</c:v>
                </c:pt>
                <c:pt idx="47">
                  <c:v>1831</c:v>
                </c:pt>
                <c:pt idx="48">
                  <c:v>1832</c:v>
                </c:pt>
                <c:pt idx="49">
                  <c:v>1833</c:v>
                </c:pt>
                <c:pt idx="50">
                  <c:v>1834</c:v>
                </c:pt>
                <c:pt idx="51">
                  <c:v>1835</c:v>
                </c:pt>
                <c:pt idx="52">
                  <c:v>1836</c:v>
                </c:pt>
                <c:pt idx="53">
                  <c:v>1837</c:v>
                </c:pt>
                <c:pt idx="54">
                  <c:v>1838</c:v>
                </c:pt>
                <c:pt idx="55">
                  <c:v>1839</c:v>
                </c:pt>
                <c:pt idx="56">
                  <c:v>1840</c:v>
                </c:pt>
              </c:strCache>
            </c:strRef>
          </c:cat>
          <c:val>
            <c:numRef>
              <c:f>'Fig 18.7. Physical comparison'!$F$2:$F$58</c:f>
              <c:numCache>
                <c:formatCode>General</c:formatCode>
                <c:ptCount val="5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numCache>
            </c:numRef>
          </c:val>
          <c:smooth val="0"/>
          <c:extLst>
            <c:ext xmlns:c16="http://schemas.microsoft.com/office/drawing/2014/chart" uri="{C3380CC4-5D6E-409C-BE32-E72D297353CC}">
              <c16:uniqueId val="{00000003-329B-41D6-8340-43856FD2F6C5}"/>
            </c:ext>
          </c:extLst>
        </c:ser>
        <c:dLbls>
          <c:showLegendKey val="0"/>
          <c:showVal val="0"/>
          <c:showCatName val="0"/>
          <c:showSerName val="0"/>
          <c:showPercent val="0"/>
          <c:showBubbleSize val="0"/>
        </c:dLbls>
        <c:marker val="1"/>
        <c:smooth val="0"/>
        <c:axId val="2024056368"/>
        <c:axId val="2024057808"/>
      </c:lineChart>
      <c:catAx>
        <c:axId val="2024056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4057808"/>
        <c:crosses val="autoZero"/>
        <c:auto val="1"/>
        <c:lblAlgn val="ctr"/>
        <c:lblOffset val="100"/>
        <c:noMultiLvlLbl val="0"/>
      </c:catAx>
      <c:valAx>
        <c:axId val="2024057808"/>
        <c:scaling>
          <c:orientation val="minMax"/>
          <c:max val="10"/>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Death-to-Birth</a:t>
                </a:r>
                <a:r>
                  <a:rPr lang="en-US" baseline="0"/>
                  <a:t> (%)</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4056368"/>
        <c:crosses val="autoZero"/>
        <c:crossBetween val="between"/>
      </c:valAx>
      <c:spPr>
        <a:noFill/>
        <a:ln w="25400">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lineChart>
        <c:grouping val="standard"/>
        <c:varyColors val="0"/>
        <c:ser>
          <c:idx val="0"/>
          <c:order val="0"/>
          <c:tx>
            <c:strRef>
              <c:f>'Fig 18.7. Physical comparison'!$G$1</c:f>
              <c:strCache>
                <c:ptCount val="1"/>
                <c:pt idx="0">
                  <c:v>mR</c:v>
                </c:pt>
              </c:strCache>
            </c:strRef>
          </c:tx>
          <c:spPr>
            <a:ln w="28575" cap="rnd">
              <a:solidFill>
                <a:schemeClr val="accent1"/>
              </a:solidFill>
              <a:round/>
            </a:ln>
            <a:effectLst/>
          </c:spPr>
          <c:marker>
            <c:symbol val="circle"/>
            <c:size val="6"/>
            <c:spPr>
              <a:solidFill>
                <a:schemeClr val="accent1"/>
              </a:solidFill>
              <a:ln w="9525">
                <a:solidFill>
                  <a:schemeClr val="accent1"/>
                </a:solidFill>
              </a:ln>
              <a:effectLst/>
            </c:spPr>
          </c:marker>
          <c:val>
            <c:numRef>
              <c:f>'Fig 18.7. Physical comparison'!$G$2:$G$58</c:f>
              <c:numCache>
                <c:formatCode>General</c:formatCode>
                <c:ptCount val="57"/>
                <c:pt idx="1">
                  <c:v>0.3</c:v>
                </c:pt>
                <c:pt idx="2">
                  <c:v>0</c:v>
                </c:pt>
                <c:pt idx="3">
                  <c:v>0.1</c:v>
                </c:pt>
                <c:pt idx="4">
                  <c:v>0.9</c:v>
                </c:pt>
                <c:pt idx="5">
                  <c:v>0.1</c:v>
                </c:pt>
                <c:pt idx="6">
                  <c:v>0.9</c:v>
                </c:pt>
                <c:pt idx="7">
                  <c:v>0.8</c:v>
                </c:pt>
                <c:pt idx="8">
                  <c:v>1</c:v>
                </c:pt>
                <c:pt idx="9">
                  <c:v>0.5</c:v>
                </c:pt>
                <c:pt idx="10">
                  <c:v>0.2</c:v>
                </c:pt>
                <c:pt idx="11">
                  <c:v>0.8</c:v>
                </c:pt>
                <c:pt idx="12">
                  <c:v>0.1</c:v>
                </c:pt>
                <c:pt idx="13">
                  <c:v>0.2</c:v>
                </c:pt>
                <c:pt idx="14">
                  <c:v>0.3</c:v>
                </c:pt>
                <c:pt idx="15">
                  <c:v>0.2</c:v>
                </c:pt>
                <c:pt idx="16">
                  <c:v>0.3</c:v>
                </c:pt>
                <c:pt idx="17">
                  <c:v>0.7</c:v>
                </c:pt>
                <c:pt idx="18">
                  <c:v>0.4</c:v>
                </c:pt>
                <c:pt idx="19">
                  <c:v>0.9</c:v>
                </c:pt>
                <c:pt idx="20">
                  <c:v>1.4</c:v>
                </c:pt>
                <c:pt idx="21">
                  <c:v>0.3</c:v>
                </c:pt>
                <c:pt idx="22">
                  <c:v>0.5</c:v>
                </c:pt>
                <c:pt idx="23">
                  <c:v>0.5</c:v>
                </c:pt>
                <c:pt idx="24">
                  <c:v>0</c:v>
                </c:pt>
                <c:pt idx="25">
                  <c:v>0.2</c:v>
                </c:pt>
                <c:pt idx="26">
                  <c:v>0.3</c:v>
                </c:pt>
                <c:pt idx="27">
                  <c:v>0.1</c:v>
                </c:pt>
                <c:pt idx="28">
                  <c:v>0.7</c:v>
                </c:pt>
                <c:pt idx="29">
                  <c:v>0.9</c:v>
                </c:pt>
                <c:pt idx="30">
                  <c:v>1.5</c:v>
                </c:pt>
                <c:pt idx="31">
                  <c:v>0.4</c:v>
                </c:pt>
                <c:pt idx="32">
                  <c:v>0.1</c:v>
                </c:pt>
                <c:pt idx="33">
                  <c:v>0.4</c:v>
                </c:pt>
                <c:pt idx="34">
                  <c:v>0.7</c:v>
                </c:pt>
                <c:pt idx="35">
                  <c:v>1.3</c:v>
                </c:pt>
                <c:pt idx="36">
                  <c:v>0.1</c:v>
                </c:pt>
                <c:pt idx="37">
                  <c:v>2</c:v>
                </c:pt>
                <c:pt idx="38">
                  <c:v>0.4</c:v>
                </c:pt>
                <c:pt idx="39">
                  <c:v>1.9</c:v>
                </c:pt>
                <c:pt idx="40">
                  <c:v>1.5</c:v>
                </c:pt>
                <c:pt idx="41">
                  <c:v>0.1</c:v>
                </c:pt>
                <c:pt idx="42">
                  <c:v>2.4</c:v>
                </c:pt>
                <c:pt idx="43">
                  <c:v>2</c:v>
                </c:pt>
                <c:pt idx="44">
                  <c:v>0.2</c:v>
                </c:pt>
                <c:pt idx="45">
                  <c:v>0.1</c:v>
                </c:pt>
                <c:pt idx="46">
                  <c:v>1.1000000000000001</c:v>
                </c:pt>
                <c:pt idx="47">
                  <c:v>0.1</c:v>
                </c:pt>
                <c:pt idx="48">
                  <c:v>0.1</c:v>
                </c:pt>
                <c:pt idx="49">
                  <c:v>0.1</c:v>
                </c:pt>
                <c:pt idx="50">
                  <c:v>1.1000000000000001</c:v>
                </c:pt>
                <c:pt idx="51">
                  <c:v>0.1</c:v>
                </c:pt>
                <c:pt idx="52">
                  <c:v>0.2</c:v>
                </c:pt>
                <c:pt idx="53">
                  <c:v>0.7</c:v>
                </c:pt>
                <c:pt idx="54">
                  <c:v>0.8</c:v>
                </c:pt>
                <c:pt idx="55">
                  <c:v>0.8</c:v>
                </c:pt>
                <c:pt idx="56">
                  <c:v>0.4</c:v>
                </c:pt>
              </c:numCache>
            </c:numRef>
          </c:val>
          <c:smooth val="0"/>
          <c:extLst>
            <c:ext xmlns:c16="http://schemas.microsoft.com/office/drawing/2014/chart" uri="{C3380CC4-5D6E-409C-BE32-E72D297353CC}">
              <c16:uniqueId val="{00000000-5D18-47FA-93F7-2AB89D044415}"/>
            </c:ext>
          </c:extLst>
        </c:ser>
        <c:ser>
          <c:idx val="1"/>
          <c:order val="1"/>
          <c:tx>
            <c:strRef>
              <c:f>'Fig 18.7. Physical comparison'!$H$1</c:f>
              <c:strCache>
                <c:ptCount val="1"/>
                <c:pt idx="0">
                  <c:v>Ave. mR</c:v>
                </c:pt>
              </c:strCache>
            </c:strRef>
          </c:tx>
          <c:spPr>
            <a:ln w="28575" cap="rnd">
              <a:solidFill>
                <a:schemeClr val="tx1"/>
              </a:solidFill>
              <a:round/>
            </a:ln>
            <a:effectLst/>
          </c:spPr>
          <c:marker>
            <c:symbol val="none"/>
          </c:marker>
          <c:val>
            <c:numRef>
              <c:f>'Fig 18.7. Physical comparison'!$H$2:$H$58</c:f>
              <c:numCache>
                <c:formatCode>General</c:formatCode>
                <c:ptCount val="57"/>
                <c:pt idx="0">
                  <c:v>0.61</c:v>
                </c:pt>
                <c:pt idx="1">
                  <c:v>0.61</c:v>
                </c:pt>
                <c:pt idx="2">
                  <c:v>0.61</c:v>
                </c:pt>
                <c:pt idx="3">
                  <c:v>0.61</c:v>
                </c:pt>
                <c:pt idx="4">
                  <c:v>0.61</c:v>
                </c:pt>
                <c:pt idx="5">
                  <c:v>0.61</c:v>
                </c:pt>
                <c:pt idx="6">
                  <c:v>0.61</c:v>
                </c:pt>
                <c:pt idx="7">
                  <c:v>0.61</c:v>
                </c:pt>
                <c:pt idx="8">
                  <c:v>0.61</c:v>
                </c:pt>
                <c:pt idx="9">
                  <c:v>0.61</c:v>
                </c:pt>
                <c:pt idx="10">
                  <c:v>0.61</c:v>
                </c:pt>
                <c:pt idx="11">
                  <c:v>0.61</c:v>
                </c:pt>
                <c:pt idx="12">
                  <c:v>0.61</c:v>
                </c:pt>
                <c:pt idx="13">
                  <c:v>0.61</c:v>
                </c:pt>
                <c:pt idx="14">
                  <c:v>0.61</c:v>
                </c:pt>
                <c:pt idx="15">
                  <c:v>0.61</c:v>
                </c:pt>
                <c:pt idx="16">
                  <c:v>0.61</c:v>
                </c:pt>
                <c:pt idx="17">
                  <c:v>0.61</c:v>
                </c:pt>
                <c:pt idx="18">
                  <c:v>0.61</c:v>
                </c:pt>
                <c:pt idx="19">
                  <c:v>0.61</c:v>
                </c:pt>
                <c:pt idx="20">
                  <c:v>0.61</c:v>
                </c:pt>
                <c:pt idx="21">
                  <c:v>0.61</c:v>
                </c:pt>
                <c:pt idx="22">
                  <c:v>0.61</c:v>
                </c:pt>
                <c:pt idx="23">
                  <c:v>0.61</c:v>
                </c:pt>
                <c:pt idx="24">
                  <c:v>0.61</c:v>
                </c:pt>
                <c:pt idx="25">
                  <c:v>0.61</c:v>
                </c:pt>
                <c:pt idx="26">
                  <c:v>0.61</c:v>
                </c:pt>
                <c:pt idx="27">
                  <c:v>0.61</c:v>
                </c:pt>
                <c:pt idx="28">
                  <c:v>0.61</c:v>
                </c:pt>
                <c:pt idx="29">
                  <c:v>0.61</c:v>
                </c:pt>
                <c:pt idx="30">
                  <c:v>0.61</c:v>
                </c:pt>
                <c:pt idx="31">
                  <c:v>0.61</c:v>
                </c:pt>
                <c:pt idx="32">
                  <c:v>0.61</c:v>
                </c:pt>
                <c:pt idx="33">
                  <c:v>0.61</c:v>
                </c:pt>
                <c:pt idx="34">
                  <c:v>0.61</c:v>
                </c:pt>
                <c:pt idx="35">
                  <c:v>0.61</c:v>
                </c:pt>
                <c:pt idx="36">
                  <c:v>0.61</c:v>
                </c:pt>
                <c:pt idx="37">
                  <c:v>0.61</c:v>
                </c:pt>
                <c:pt idx="38">
                  <c:v>0.61</c:v>
                </c:pt>
                <c:pt idx="39">
                  <c:v>0.61</c:v>
                </c:pt>
                <c:pt idx="40">
                  <c:v>0.61</c:v>
                </c:pt>
                <c:pt idx="41">
                  <c:v>0.61</c:v>
                </c:pt>
                <c:pt idx="42">
                  <c:v>0.61</c:v>
                </c:pt>
                <c:pt idx="43">
                  <c:v>0.61</c:v>
                </c:pt>
                <c:pt idx="44">
                  <c:v>0.61</c:v>
                </c:pt>
                <c:pt idx="45">
                  <c:v>0.61</c:v>
                </c:pt>
                <c:pt idx="46">
                  <c:v>0.61</c:v>
                </c:pt>
                <c:pt idx="47">
                  <c:v>0.61</c:v>
                </c:pt>
                <c:pt idx="48">
                  <c:v>0.61</c:v>
                </c:pt>
                <c:pt idx="49">
                  <c:v>0.61</c:v>
                </c:pt>
                <c:pt idx="50">
                  <c:v>0.61</c:v>
                </c:pt>
                <c:pt idx="51">
                  <c:v>0.61</c:v>
                </c:pt>
                <c:pt idx="52">
                  <c:v>0.61</c:v>
                </c:pt>
                <c:pt idx="53">
                  <c:v>0.61</c:v>
                </c:pt>
                <c:pt idx="54">
                  <c:v>0.61</c:v>
                </c:pt>
                <c:pt idx="55">
                  <c:v>0.61</c:v>
                </c:pt>
                <c:pt idx="56">
                  <c:v>0.61</c:v>
                </c:pt>
              </c:numCache>
            </c:numRef>
          </c:val>
          <c:smooth val="0"/>
          <c:extLst>
            <c:ext xmlns:c16="http://schemas.microsoft.com/office/drawing/2014/chart" uri="{C3380CC4-5D6E-409C-BE32-E72D297353CC}">
              <c16:uniqueId val="{00000001-5D18-47FA-93F7-2AB89D044415}"/>
            </c:ext>
          </c:extLst>
        </c:ser>
        <c:ser>
          <c:idx val="2"/>
          <c:order val="2"/>
          <c:tx>
            <c:strRef>
              <c:f>'Fig 18.7. Physical comparison'!$I$1</c:f>
              <c:strCache>
                <c:ptCount val="1"/>
                <c:pt idx="0">
                  <c:v>URL</c:v>
                </c:pt>
              </c:strCache>
            </c:strRef>
          </c:tx>
          <c:spPr>
            <a:ln w="28575" cap="rnd">
              <a:solidFill>
                <a:srgbClr val="D72323"/>
              </a:solidFill>
              <a:prstDash val="dash"/>
              <a:round/>
            </a:ln>
            <a:effectLst/>
          </c:spPr>
          <c:marker>
            <c:symbol val="none"/>
          </c:marker>
          <c:val>
            <c:numRef>
              <c:f>'Fig 18.7. Physical comparison'!$I$2:$I$58</c:f>
              <c:numCache>
                <c:formatCode>General</c:formatCode>
                <c:ptCount val="57"/>
                <c:pt idx="0">
                  <c:v>1.99</c:v>
                </c:pt>
                <c:pt idx="1">
                  <c:v>1.99</c:v>
                </c:pt>
                <c:pt idx="2">
                  <c:v>1.99</c:v>
                </c:pt>
                <c:pt idx="3">
                  <c:v>1.99</c:v>
                </c:pt>
                <c:pt idx="4">
                  <c:v>1.99</c:v>
                </c:pt>
                <c:pt idx="5">
                  <c:v>1.99</c:v>
                </c:pt>
                <c:pt idx="6">
                  <c:v>1.99</c:v>
                </c:pt>
                <c:pt idx="7">
                  <c:v>1.99</c:v>
                </c:pt>
                <c:pt idx="8">
                  <c:v>1.99</c:v>
                </c:pt>
                <c:pt idx="9">
                  <c:v>1.99</c:v>
                </c:pt>
                <c:pt idx="10">
                  <c:v>1.99</c:v>
                </c:pt>
                <c:pt idx="11">
                  <c:v>1.99</c:v>
                </c:pt>
                <c:pt idx="12">
                  <c:v>1.99</c:v>
                </c:pt>
                <c:pt idx="13">
                  <c:v>1.99</c:v>
                </c:pt>
                <c:pt idx="14">
                  <c:v>1.99</c:v>
                </c:pt>
                <c:pt idx="15">
                  <c:v>1.99</c:v>
                </c:pt>
                <c:pt idx="16">
                  <c:v>1.99</c:v>
                </c:pt>
                <c:pt idx="17">
                  <c:v>1.99</c:v>
                </c:pt>
                <c:pt idx="18">
                  <c:v>1.99</c:v>
                </c:pt>
                <c:pt idx="19">
                  <c:v>1.99</c:v>
                </c:pt>
                <c:pt idx="20">
                  <c:v>1.99</c:v>
                </c:pt>
                <c:pt idx="21">
                  <c:v>1.99</c:v>
                </c:pt>
                <c:pt idx="22">
                  <c:v>1.99</c:v>
                </c:pt>
                <c:pt idx="23">
                  <c:v>1.99</c:v>
                </c:pt>
                <c:pt idx="24">
                  <c:v>1.99</c:v>
                </c:pt>
                <c:pt idx="25">
                  <c:v>1.99</c:v>
                </c:pt>
                <c:pt idx="26">
                  <c:v>1.99</c:v>
                </c:pt>
                <c:pt idx="27">
                  <c:v>1.99</c:v>
                </c:pt>
                <c:pt idx="28">
                  <c:v>1.99</c:v>
                </c:pt>
                <c:pt idx="29">
                  <c:v>1.99</c:v>
                </c:pt>
                <c:pt idx="30">
                  <c:v>1.99</c:v>
                </c:pt>
                <c:pt idx="31">
                  <c:v>1.99</c:v>
                </c:pt>
                <c:pt idx="32">
                  <c:v>1.99</c:v>
                </c:pt>
                <c:pt idx="33">
                  <c:v>1.99</c:v>
                </c:pt>
                <c:pt idx="34">
                  <c:v>1.99</c:v>
                </c:pt>
                <c:pt idx="35">
                  <c:v>1.99</c:v>
                </c:pt>
                <c:pt idx="36">
                  <c:v>1.99</c:v>
                </c:pt>
                <c:pt idx="37">
                  <c:v>1.99</c:v>
                </c:pt>
                <c:pt idx="38">
                  <c:v>1.99</c:v>
                </c:pt>
                <c:pt idx="39">
                  <c:v>1.99</c:v>
                </c:pt>
                <c:pt idx="40">
                  <c:v>1.99</c:v>
                </c:pt>
                <c:pt idx="41">
                  <c:v>1.99</c:v>
                </c:pt>
                <c:pt idx="42">
                  <c:v>1.99</c:v>
                </c:pt>
                <c:pt idx="43">
                  <c:v>1.99</c:v>
                </c:pt>
                <c:pt idx="44">
                  <c:v>1.99</c:v>
                </c:pt>
                <c:pt idx="45">
                  <c:v>1.99</c:v>
                </c:pt>
                <c:pt idx="46">
                  <c:v>1.99</c:v>
                </c:pt>
                <c:pt idx="47">
                  <c:v>1.99</c:v>
                </c:pt>
                <c:pt idx="48">
                  <c:v>1.99</c:v>
                </c:pt>
                <c:pt idx="49">
                  <c:v>1.99</c:v>
                </c:pt>
                <c:pt idx="50">
                  <c:v>1.99</c:v>
                </c:pt>
                <c:pt idx="51">
                  <c:v>1.99</c:v>
                </c:pt>
                <c:pt idx="52">
                  <c:v>1.99</c:v>
                </c:pt>
                <c:pt idx="53">
                  <c:v>1.99</c:v>
                </c:pt>
                <c:pt idx="54">
                  <c:v>1.99</c:v>
                </c:pt>
                <c:pt idx="55">
                  <c:v>1.99</c:v>
                </c:pt>
                <c:pt idx="56">
                  <c:v>1.99</c:v>
                </c:pt>
              </c:numCache>
            </c:numRef>
          </c:val>
          <c:smooth val="0"/>
          <c:extLst>
            <c:ext xmlns:c16="http://schemas.microsoft.com/office/drawing/2014/chart" uri="{C3380CC4-5D6E-409C-BE32-E72D297353CC}">
              <c16:uniqueId val="{00000002-5D18-47FA-93F7-2AB89D044415}"/>
            </c:ext>
          </c:extLst>
        </c:ser>
        <c:dLbls>
          <c:showLegendKey val="0"/>
          <c:showVal val="0"/>
          <c:showCatName val="0"/>
          <c:showSerName val="0"/>
          <c:showPercent val="0"/>
          <c:showBubbleSize val="0"/>
        </c:dLbls>
        <c:marker val="1"/>
        <c:smooth val="0"/>
        <c:axId val="2024086608"/>
        <c:axId val="2024084208"/>
      </c:lineChart>
      <c:catAx>
        <c:axId val="2024086608"/>
        <c:scaling>
          <c:orientation val="minMax"/>
        </c:scaling>
        <c:delete val="1"/>
        <c:axPos val="b"/>
        <c:majorTickMark val="none"/>
        <c:minorTickMark val="none"/>
        <c:tickLblPos val="nextTo"/>
        <c:crossAx val="2024084208"/>
        <c:crosses val="autoZero"/>
        <c:auto val="1"/>
        <c:lblAlgn val="ctr"/>
        <c:lblOffset val="100"/>
        <c:noMultiLvlLbl val="0"/>
      </c:catAx>
      <c:valAx>
        <c:axId val="2024084208"/>
        <c:scaling>
          <c:orientation val="minMax"/>
          <c:max val="8"/>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Moving Range (mR)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4086608"/>
        <c:crosses val="autoZero"/>
        <c:crossBetween val="between"/>
      </c:valAx>
      <c:spPr>
        <a:noFill/>
        <a:ln>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Vienna General Hospital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'Fig 18.7. Physical comparison'!$C$60</c:f>
              <c:strCache>
                <c:ptCount val="1"/>
                <c:pt idx="0">
                  <c:v>Rate</c:v>
                </c:pt>
              </c:strCache>
            </c:strRef>
          </c:tx>
          <c:spPr>
            <a:ln w="28575" cap="rnd">
              <a:solidFill>
                <a:schemeClr val="accent1"/>
              </a:solidFill>
              <a:round/>
            </a:ln>
            <a:effectLst/>
          </c:spPr>
          <c:marker>
            <c:symbol val="circle"/>
            <c:size val="6"/>
            <c:spPr>
              <a:solidFill>
                <a:schemeClr val="accent1"/>
              </a:solidFill>
              <a:ln w="9525">
                <a:solidFill>
                  <a:schemeClr val="accent1"/>
                </a:solidFill>
              </a:ln>
              <a:effectLst/>
            </c:spPr>
          </c:marker>
          <c:cat>
            <c:strRef>
              <c:f>'Fig 18.7. Physical comparison'!$B$61:$B$117</c:f>
              <c:strCache>
                <c:ptCount val="57"/>
                <c:pt idx="0">
                  <c:v>1784</c:v>
                </c:pt>
                <c:pt idx="1">
                  <c:v>1785</c:v>
                </c:pt>
                <c:pt idx="2">
                  <c:v>1786</c:v>
                </c:pt>
                <c:pt idx="3">
                  <c:v>1787</c:v>
                </c:pt>
                <c:pt idx="4">
                  <c:v>1788</c:v>
                </c:pt>
                <c:pt idx="5">
                  <c:v>1789</c:v>
                </c:pt>
                <c:pt idx="6">
                  <c:v>1790</c:v>
                </c:pt>
                <c:pt idx="7">
                  <c:v>1791</c:v>
                </c:pt>
                <c:pt idx="8">
                  <c:v>1792</c:v>
                </c:pt>
                <c:pt idx="9">
                  <c:v>1793</c:v>
                </c:pt>
                <c:pt idx="10">
                  <c:v>1794</c:v>
                </c:pt>
                <c:pt idx="11">
                  <c:v>1795</c:v>
                </c:pt>
                <c:pt idx="12">
                  <c:v>1796</c:v>
                </c:pt>
                <c:pt idx="13">
                  <c:v>1797</c:v>
                </c:pt>
                <c:pt idx="14">
                  <c:v>1798</c:v>
                </c:pt>
                <c:pt idx="15">
                  <c:v>1799</c:v>
                </c:pt>
                <c:pt idx="16">
                  <c:v>1800</c:v>
                </c:pt>
                <c:pt idx="17">
                  <c:v>1801</c:v>
                </c:pt>
                <c:pt idx="18">
                  <c:v>1802</c:v>
                </c:pt>
                <c:pt idx="19">
                  <c:v>1803</c:v>
                </c:pt>
                <c:pt idx="20">
                  <c:v>1804</c:v>
                </c:pt>
                <c:pt idx="21">
                  <c:v>1805</c:v>
                </c:pt>
                <c:pt idx="22">
                  <c:v>1806</c:v>
                </c:pt>
                <c:pt idx="23">
                  <c:v>1807</c:v>
                </c:pt>
                <c:pt idx="24">
                  <c:v>1808</c:v>
                </c:pt>
                <c:pt idx="25">
                  <c:v>1809</c:v>
                </c:pt>
                <c:pt idx="26">
                  <c:v>1810</c:v>
                </c:pt>
                <c:pt idx="27">
                  <c:v>1811</c:v>
                </c:pt>
                <c:pt idx="28">
                  <c:v>1812</c:v>
                </c:pt>
                <c:pt idx="29">
                  <c:v>1813</c:v>
                </c:pt>
                <c:pt idx="30">
                  <c:v>1814</c:v>
                </c:pt>
                <c:pt idx="31">
                  <c:v>1815</c:v>
                </c:pt>
                <c:pt idx="32">
                  <c:v>1816</c:v>
                </c:pt>
                <c:pt idx="33">
                  <c:v>1817</c:v>
                </c:pt>
                <c:pt idx="34">
                  <c:v>1818</c:v>
                </c:pt>
                <c:pt idx="35">
                  <c:v>1819</c:v>
                </c:pt>
                <c:pt idx="36">
                  <c:v>1820</c:v>
                </c:pt>
                <c:pt idx="37">
                  <c:v>1821</c:v>
                </c:pt>
                <c:pt idx="38">
                  <c:v>1822</c:v>
                </c:pt>
                <c:pt idx="39">
                  <c:v>1823</c:v>
                </c:pt>
                <c:pt idx="40">
                  <c:v>1824</c:v>
                </c:pt>
                <c:pt idx="41">
                  <c:v>1825</c:v>
                </c:pt>
                <c:pt idx="42">
                  <c:v>1826</c:v>
                </c:pt>
                <c:pt idx="43">
                  <c:v>1827</c:v>
                </c:pt>
                <c:pt idx="44">
                  <c:v>1828</c:v>
                </c:pt>
                <c:pt idx="45">
                  <c:v>1829</c:v>
                </c:pt>
                <c:pt idx="46">
                  <c:v>1830</c:v>
                </c:pt>
                <c:pt idx="47">
                  <c:v>1831</c:v>
                </c:pt>
                <c:pt idx="48">
                  <c:v>1832</c:v>
                </c:pt>
                <c:pt idx="49">
                  <c:v>1833</c:v>
                </c:pt>
                <c:pt idx="50">
                  <c:v>1834</c:v>
                </c:pt>
                <c:pt idx="51">
                  <c:v>1835</c:v>
                </c:pt>
                <c:pt idx="52">
                  <c:v>1836</c:v>
                </c:pt>
                <c:pt idx="53">
                  <c:v>1837</c:v>
                </c:pt>
                <c:pt idx="54">
                  <c:v>1838</c:v>
                </c:pt>
                <c:pt idx="55">
                  <c:v>1839</c:v>
                </c:pt>
                <c:pt idx="56">
                  <c:v>1840</c:v>
                </c:pt>
              </c:strCache>
            </c:strRef>
          </c:cat>
          <c:val>
            <c:numRef>
              <c:f>'Fig 18.7. Physical comparison'!$C$61:$C$117</c:f>
              <c:numCache>
                <c:formatCode>General</c:formatCode>
                <c:ptCount val="57"/>
                <c:pt idx="0">
                  <c:v>2.1</c:v>
                </c:pt>
                <c:pt idx="1">
                  <c:v>1.4</c:v>
                </c:pt>
                <c:pt idx="2">
                  <c:v>0.4</c:v>
                </c:pt>
                <c:pt idx="3">
                  <c:v>0.4</c:v>
                </c:pt>
                <c:pt idx="4">
                  <c:v>0.4</c:v>
                </c:pt>
                <c:pt idx="5">
                  <c:v>0.6</c:v>
                </c:pt>
                <c:pt idx="6">
                  <c:v>0.8</c:v>
                </c:pt>
                <c:pt idx="7">
                  <c:v>0.6</c:v>
                </c:pt>
                <c:pt idx="8">
                  <c:v>0.9</c:v>
                </c:pt>
                <c:pt idx="9">
                  <c:v>2.6</c:v>
                </c:pt>
                <c:pt idx="10">
                  <c:v>0.4</c:v>
                </c:pt>
                <c:pt idx="11">
                  <c:v>2.1</c:v>
                </c:pt>
                <c:pt idx="12">
                  <c:v>1.2</c:v>
                </c:pt>
                <c:pt idx="13">
                  <c:v>0.2</c:v>
                </c:pt>
                <c:pt idx="14">
                  <c:v>0.2</c:v>
                </c:pt>
                <c:pt idx="15">
                  <c:v>1</c:v>
                </c:pt>
                <c:pt idx="16">
                  <c:v>2</c:v>
                </c:pt>
                <c:pt idx="17">
                  <c:v>0.8</c:v>
                </c:pt>
                <c:pt idx="18">
                  <c:v>0.4</c:v>
                </c:pt>
                <c:pt idx="19">
                  <c:v>0.7</c:v>
                </c:pt>
                <c:pt idx="20">
                  <c:v>0.4</c:v>
                </c:pt>
                <c:pt idx="21">
                  <c:v>0.4</c:v>
                </c:pt>
                <c:pt idx="22">
                  <c:v>0.7</c:v>
                </c:pt>
                <c:pt idx="23">
                  <c:v>0.6</c:v>
                </c:pt>
                <c:pt idx="24">
                  <c:v>0.8</c:v>
                </c:pt>
                <c:pt idx="25">
                  <c:v>1.4</c:v>
                </c:pt>
                <c:pt idx="26">
                  <c:v>0.8</c:v>
                </c:pt>
                <c:pt idx="27">
                  <c:v>1.9</c:v>
                </c:pt>
                <c:pt idx="28">
                  <c:v>0.6</c:v>
                </c:pt>
                <c:pt idx="29">
                  <c:v>1.1000000000000001</c:v>
                </c:pt>
                <c:pt idx="30">
                  <c:v>3.2</c:v>
                </c:pt>
                <c:pt idx="31">
                  <c:v>0.7</c:v>
                </c:pt>
                <c:pt idx="32">
                  <c:v>0.5</c:v>
                </c:pt>
                <c:pt idx="33">
                  <c:v>0.9</c:v>
                </c:pt>
                <c:pt idx="34">
                  <c:v>2.2000000000000002</c:v>
                </c:pt>
                <c:pt idx="35">
                  <c:v>5</c:v>
                </c:pt>
                <c:pt idx="36">
                  <c:v>2.5</c:v>
                </c:pt>
                <c:pt idx="37">
                  <c:v>1.7</c:v>
                </c:pt>
                <c:pt idx="38">
                  <c:v>0.8</c:v>
                </c:pt>
                <c:pt idx="39">
                  <c:v>7.5</c:v>
                </c:pt>
                <c:pt idx="40">
                  <c:v>4.9000000000000004</c:v>
                </c:pt>
                <c:pt idx="41">
                  <c:v>8.8000000000000007</c:v>
                </c:pt>
                <c:pt idx="42">
                  <c:v>8.1</c:v>
                </c:pt>
                <c:pt idx="43">
                  <c:v>2.2000000000000002</c:v>
                </c:pt>
                <c:pt idx="44">
                  <c:v>3.6</c:v>
                </c:pt>
                <c:pt idx="45">
                  <c:v>4.5999999999999996</c:v>
                </c:pt>
                <c:pt idx="46">
                  <c:v>4</c:v>
                </c:pt>
                <c:pt idx="47">
                  <c:v>6.6</c:v>
                </c:pt>
                <c:pt idx="48">
                  <c:v>3.2</c:v>
                </c:pt>
                <c:pt idx="49">
                  <c:v>5.3</c:v>
                </c:pt>
                <c:pt idx="50">
                  <c:v>7.7</c:v>
                </c:pt>
                <c:pt idx="51">
                  <c:v>5.6</c:v>
                </c:pt>
                <c:pt idx="52">
                  <c:v>7.5</c:v>
                </c:pt>
                <c:pt idx="53">
                  <c:v>9.1</c:v>
                </c:pt>
                <c:pt idx="54">
                  <c:v>3</c:v>
                </c:pt>
                <c:pt idx="55">
                  <c:v>5.4</c:v>
                </c:pt>
                <c:pt idx="56">
                  <c:v>9.1999999999999993</c:v>
                </c:pt>
              </c:numCache>
            </c:numRef>
          </c:val>
          <c:smooth val="0"/>
          <c:extLst>
            <c:ext xmlns:c16="http://schemas.microsoft.com/office/drawing/2014/chart" uri="{C3380CC4-5D6E-409C-BE32-E72D297353CC}">
              <c16:uniqueId val="{00000000-329B-41D6-8340-43856FD2F6C5}"/>
            </c:ext>
          </c:extLst>
        </c:ser>
        <c:ser>
          <c:idx val="1"/>
          <c:order val="1"/>
          <c:tx>
            <c:strRef>
              <c:f>'Fig 18.7. Physical comparison'!$D$60</c:f>
              <c:strCache>
                <c:ptCount val="1"/>
                <c:pt idx="0">
                  <c:v>Mean</c:v>
                </c:pt>
              </c:strCache>
            </c:strRef>
          </c:tx>
          <c:spPr>
            <a:ln w="28575" cap="rnd">
              <a:solidFill>
                <a:schemeClr val="tx1"/>
              </a:solidFill>
              <a:round/>
            </a:ln>
            <a:effectLst/>
          </c:spPr>
          <c:marker>
            <c:symbol val="none"/>
          </c:marker>
          <c:cat>
            <c:strRef>
              <c:f>'Fig 18.7. Physical comparison'!$B$61:$B$117</c:f>
              <c:strCache>
                <c:ptCount val="57"/>
                <c:pt idx="0">
                  <c:v>1784</c:v>
                </c:pt>
                <c:pt idx="1">
                  <c:v>1785</c:v>
                </c:pt>
                <c:pt idx="2">
                  <c:v>1786</c:v>
                </c:pt>
                <c:pt idx="3">
                  <c:v>1787</c:v>
                </c:pt>
                <c:pt idx="4">
                  <c:v>1788</c:v>
                </c:pt>
                <c:pt idx="5">
                  <c:v>1789</c:v>
                </c:pt>
                <c:pt idx="6">
                  <c:v>1790</c:v>
                </c:pt>
                <c:pt idx="7">
                  <c:v>1791</c:v>
                </c:pt>
                <c:pt idx="8">
                  <c:v>1792</c:v>
                </c:pt>
                <c:pt idx="9">
                  <c:v>1793</c:v>
                </c:pt>
                <c:pt idx="10">
                  <c:v>1794</c:v>
                </c:pt>
                <c:pt idx="11">
                  <c:v>1795</c:v>
                </c:pt>
                <c:pt idx="12">
                  <c:v>1796</c:v>
                </c:pt>
                <c:pt idx="13">
                  <c:v>1797</c:v>
                </c:pt>
                <c:pt idx="14">
                  <c:v>1798</c:v>
                </c:pt>
                <c:pt idx="15">
                  <c:v>1799</c:v>
                </c:pt>
                <c:pt idx="16">
                  <c:v>1800</c:v>
                </c:pt>
                <c:pt idx="17">
                  <c:v>1801</c:v>
                </c:pt>
                <c:pt idx="18">
                  <c:v>1802</c:v>
                </c:pt>
                <c:pt idx="19">
                  <c:v>1803</c:v>
                </c:pt>
                <c:pt idx="20">
                  <c:v>1804</c:v>
                </c:pt>
                <c:pt idx="21">
                  <c:v>1805</c:v>
                </c:pt>
                <c:pt idx="22">
                  <c:v>1806</c:v>
                </c:pt>
                <c:pt idx="23">
                  <c:v>1807</c:v>
                </c:pt>
                <c:pt idx="24">
                  <c:v>1808</c:v>
                </c:pt>
                <c:pt idx="25">
                  <c:v>1809</c:v>
                </c:pt>
                <c:pt idx="26">
                  <c:v>1810</c:v>
                </c:pt>
                <c:pt idx="27">
                  <c:v>1811</c:v>
                </c:pt>
                <c:pt idx="28">
                  <c:v>1812</c:v>
                </c:pt>
                <c:pt idx="29">
                  <c:v>1813</c:v>
                </c:pt>
                <c:pt idx="30">
                  <c:v>1814</c:v>
                </c:pt>
                <c:pt idx="31">
                  <c:v>1815</c:v>
                </c:pt>
                <c:pt idx="32">
                  <c:v>1816</c:v>
                </c:pt>
                <c:pt idx="33">
                  <c:v>1817</c:v>
                </c:pt>
                <c:pt idx="34">
                  <c:v>1818</c:v>
                </c:pt>
                <c:pt idx="35">
                  <c:v>1819</c:v>
                </c:pt>
                <c:pt idx="36">
                  <c:v>1820</c:v>
                </c:pt>
                <c:pt idx="37">
                  <c:v>1821</c:v>
                </c:pt>
                <c:pt idx="38">
                  <c:v>1822</c:v>
                </c:pt>
                <c:pt idx="39">
                  <c:v>1823</c:v>
                </c:pt>
                <c:pt idx="40">
                  <c:v>1824</c:v>
                </c:pt>
                <c:pt idx="41">
                  <c:v>1825</c:v>
                </c:pt>
                <c:pt idx="42">
                  <c:v>1826</c:v>
                </c:pt>
                <c:pt idx="43">
                  <c:v>1827</c:v>
                </c:pt>
                <c:pt idx="44">
                  <c:v>1828</c:v>
                </c:pt>
                <c:pt idx="45">
                  <c:v>1829</c:v>
                </c:pt>
                <c:pt idx="46">
                  <c:v>1830</c:v>
                </c:pt>
                <c:pt idx="47">
                  <c:v>1831</c:v>
                </c:pt>
                <c:pt idx="48">
                  <c:v>1832</c:v>
                </c:pt>
                <c:pt idx="49">
                  <c:v>1833</c:v>
                </c:pt>
                <c:pt idx="50">
                  <c:v>1834</c:v>
                </c:pt>
                <c:pt idx="51">
                  <c:v>1835</c:v>
                </c:pt>
                <c:pt idx="52">
                  <c:v>1836</c:v>
                </c:pt>
                <c:pt idx="53">
                  <c:v>1837</c:v>
                </c:pt>
                <c:pt idx="54">
                  <c:v>1838</c:v>
                </c:pt>
                <c:pt idx="55">
                  <c:v>1839</c:v>
                </c:pt>
                <c:pt idx="56">
                  <c:v>1840</c:v>
                </c:pt>
              </c:strCache>
            </c:strRef>
          </c:cat>
          <c:val>
            <c:numRef>
              <c:f>'Fig 18.7. Physical comparison'!$D$61:$D$117</c:f>
              <c:numCache>
                <c:formatCode>General</c:formatCode>
                <c:ptCount val="57"/>
                <c:pt idx="0">
                  <c:v>2.66</c:v>
                </c:pt>
                <c:pt idx="1">
                  <c:v>2.66</c:v>
                </c:pt>
                <c:pt idx="2">
                  <c:v>2.66</c:v>
                </c:pt>
                <c:pt idx="3">
                  <c:v>2.66</c:v>
                </c:pt>
                <c:pt idx="4">
                  <c:v>2.66</c:v>
                </c:pt>
                <c:pt idx="5">
                  <c:v>2.66</c:v>
                </c:pt>
                <c:pt idx="6">
                  <c:v>2.66</c:v>
                </c:pt>
                <c:pt idx="7">
                  <c:v>2.66</c:v>
                </c:pt>
                <c:pt idx="8">
                  <c:v>2.66</c:v>
                </c:pt>
                <c:pt idx="9">
                  <c:v>2.66</c:v>
                </c:pt>
                <c:pt idx="10">
                  <c:v>2.66</c:v>
                </c:pt>
                <c:pt idx="11">
                  <c:v>2.66</c:v>
                </c:pt>
                <c:pt idx="12">
                  <c:v>2.66</c:v>
                </c:pt>
                <c:pt idx="13">
                  <c:v>2.66</c:v>
                </c:pt>
                <c:pt idx="14">
                  <c:v>2.66</c:v>
                </c:pt>
                <c:pt idx="15">
                  <c:v>2.66</c:v>
                </c:pt>
                <c:pt idx="16">
                  <c:v>2.66</c:v>
                </c:pt>
                <c:pt idx="17">
                  <c:v>2.66</c:v>
                </c:pt>
                <c:pt idx="18">
                  <c:v>2.66</c:v>
                </c:pt>
                <c:pt idx="19">
                  <c:v>2.66</c:v>
                </c:pt>
                <c:pt idx="20">
                  <c:v>2.66</c:v>
                </c:pt>
                <c:pt idx="21">
                  <c:v>2.66</c:v>
                </c:pt>
                <c:pt idx="22">
                  <c:v>2.66</c:v>
                </c:pt>
                <c:pt idx="23">
                  <c:v>2.66</c:v>
                </c:pt>
                <c:pt idx="24">
                  <c:v>2.66</c:v>
                </c:pt>
                <c:pt idx="25">
                  <c:v>2.66</c:v>
                </c:pt>
                <c:pt idx="26">
                  <c:v>2.66</c:v>
                </c:pt>
                <c:pt idx="27">
                  <c:v>2.66</c:v>
                </c:pt>
                <c:pt idx="28">
                  <c:v>2.66</c:v>
                </c:pt>
                <c:pt idx="29">
                  <c:v>2.66</c:v>
                </c:pt>
                <c:pt idx="30">
                  <c:v>2.66</c:v>
                </c:pt>
                <c:pt idx="31">
                  <c:v>2.66</c:v>
                </c:pt>
                <c:pt idx="32">
                  <c:v>2.66</c:v>
                </c:pt>
                <c:pt idx="33">
                  <c:v>2.66</c:v>
                </c:pt>
                <c:pt idx="34">
                  <c:v>2.66</c:v>
                </c:pt>
                <c:pt idx="35">
                  <c:v>2.66</c:v>
                </c:pt>
                <c:pt idx="36">
                  <c:v>2.66</c:v>
                </c:pt>
                <c:pt idx="37">
                  <c:v>2.66</c:v>
                </c:pt>
                <c:pt idx="38">
                  <c:v>2.66</c:v>
                </c:pt>
                <c:pt idx="39">
                  <c:v>2.66</c:v>
                </c:pt>
                <c:pt idx="40">
                  <c:v>2.66</c:v>
                </c:pt>
                <c:pt idx="41">
                  <c:v>2.66</c:v>
                </c:pt>
                <c:pt idx="42">
                  <c:v>2.66</c:v>
                </c:pt>
                <c:pt idx="43">
                  <c:v>2.66</c:v>
                </c:pt>
                <c:pt idx="44">
                  <c:v>2.66</c:v>
                </c:pt>
                <c:pt idx="45">
                  <c:v>2.66</c:v>
                </c:pt>
                <c:pt idx="46">
                  <c:v>2.66</c:v>
                </c:pt>
                <c:pt idx="47">
                  <c:v>2.66</c:v>
                </c:pt>
                <c:pt idx="48">
                  <c:v>2.66</c:v>
                </c:pt>
                <c:pt idx="49">
                  <c:v>2.66</c:v>
                </c:pt>
                <c:pt idx="50">
                  <c:v>2.66</c:v>
                </c:pt>
                <c:pt idx="51">
                  <c:v>2.66</c:v>
                </c:pt>
                <c:pt idx="52">
                  <c:v>2.66</c:v>
                </c:pt>
                <c:pt idx="53">
                  <c:v>2.66</c:v>
                </c:pt>
                <c:pt idx="54">
                  <c:v>2.66</c:v>
                </c:pt>
                <c:pt idx="55">
                  <c:v>2.66</c:v>
                </c:pt>
                <c:pt idx="56">
                  <c:v>2.66</c:v>
                </c:pt>
              </c:numCache>
            </c:numRef>
          </c:val>
          <c:smooth val="0"/>
          <c:extLst>
            <c:ext xmlns:c16="http://schemas.microsoft.com/office/drawing/2014/chart" uri="{C3380CC4-5D6E-409C-BE32-E72D297353CC}">
              <c16:uniqueId val="{00000001-329B-41D6-8340-43856FD2F6C5}"/>
            </c:ext>
          </c:extLst>
        </c:ser>
        <c:ser>
          <c:idx val="2"/>
          <c:order val="2"/>
          <c:tx>
            <c:strRef>
              <c:f>'Fig 18.7. Physical comparison'!$E$60</c:f>
              <c:strCache>
                <c:ptCount val="1"/>
                <c:pt idx="0">
                  <c:v>UPL</c:v>
                </c:pt>
              </c:strCache>
            </c:strRef>
          </c:tx>
          <c:spPr>
            <a:ln w="28575" cap="rnd">
              <a:solidFill>
                <a:srgbClr val="D72323"/>
              </a:solidFill>
              <a:prstDash val="dash"/>
              <a:round/>
            </a:ln>
            <a:effectLst/>
          </c:spPr>
          <c:marker>
            <c:symbol val="none"/>
          </c:marker>
          <c:cat>
            <c:strRef>
              <c:f>'Fig 18.7. Physical comparison'!$B$61:$B$117</c:f>
              <c:strCache>
                <c:ptCount val="57"/>
                <c:pt idx="0">
                  <c:v>1784</c:v>
                </c:pt>
                <c:pt idx="1">
                  <c:v>1785</c:v>
                </c:pt>
                <c:pt idx="2">
                  <c:v>1786</c:v>
                </c:pt>
                <c:pt idx="3">
                  <c:v>1787</c:v>
                </c:pt>
                <c:pt idx="4">
                  <c:v>1788</c:v>
                </c:pt>
                <c:pt idx="5">
                  <c:v>1789</c:v>
                </c:pt>
                <c:pt idx="6">
                  <c:v>1790</c:v>
                </c:pt>
                <c:pt idx="7">
                  <c:v>1791</c:v>
                </c:pt>
                <c:pt idx="8">
                  <c:v>1792</c:v>
                </c:pt>
                <c:pt idx="9">
                  <c:v>1793</c:v>
                </c:pt>
                <c:pt idx="10">
                  <c:v>1794</c:v>
                </c:pt>
                <c:pt idx="11">
                  <c:v>1795</c:v>
                </c:pt>
                <c:pt idx="12">
                  <c:v>1796</c:v>
                </c:pt>
                <c:pt idx="13">
                  <c:v>1797</c:v>
                </c:pt>
                <c:pt idx="14">
                  <c:v>1798</c:v>
                </c:pt>
                <c:pt idx="15">
                  <c:v>1799</c:v>
                </c:pt>
                <c:pt idx="16">
                  <c:v>1800</c:v>
                </c:pt>
                <c:pt idx="17">
                  <c:v>1801</c:v>
                </c:pt>
                <c:pt idx="18">
                  <c:v>1802</c:v>
                </c:pt>
                <c:pt idx="19">
                  <c:v>1803</c:v>
                </c:pt>
                <c:pt idx="20">
                  <c:v>1804</c:v>
                </c:pt>
                <c:pt idx="21">
                  <c:v>1805</c:v>
                </c:pt>
                <c:pt idx="22">
                  <c:v>1806</c:v>
                </c:pt>
                <c:pt idx="23">
                  <c:v>1807</c:v>
                </c:pt>
                <c:pt idx="24">
                  <c:v>1808</c:v>
                </c:pt>
                <c:pt idx="25">
                  <c:v>1809</c:v>
                </c:pt>
                <c:pt idx="26">
                  <c:v>1810</c:v>
                </c:pt>
                <c:pt idx="27">
                  <c:v>1811</c:v>
                </c:pt>
                <c:pt idx="28">
                  <c:v>1812</c:v>
                </c:pt>
                <c:pt idx="29">
                  <c:v>1813</c:v>
                </c:pt>
                <c:pt idx="30">
                  <c:v>1814</c:v>
                </c:pt>
                <c:pt idx="31">
                  <c:v>1815</c:v>
                </c:pt>
                <c:pt idx="32">
                  <c:v>1816</c:v>
                </c:pt>
                <c:pt idx="33">
                  <c:v>1817</c:v>
                </c:pt>
                <c:pt idx="34">
                  <c:v>1818</c:v>
                </c:pt>
                <c:pt idx="35">
                  <c:v>1819</c:v>
                </c:pt>
                <c:pt idx="36">
                  <c:v>1820</c:v>
                </c:pt>
                <c:pt idx="37">
                  <c:v>1821</c:v>
                </c:pt>
                <c:pt idx="38">
                  <c:v>1822</c:v>
                </c:pt>
                <c:pt idx="39">
                  <c:v>1823</c:v>
                </c:pt>
                <c:pt idx="40">
                  <c:v>1824</c:v>
                </c:pt>
                <c:pt idx="41">
                  <c:v>1825</c:v>
                </c:pt>
                <c:pt idx="42">
                  <c:v>1826</c:v>
                </c:pt>
                <c:pt idx="43">
                  <c:v>1827</c:v>
                </c:pt>
                <c:pt idx="44">
                  <c:v>1828</c:v>
                </c:pt>
                <c:pt idx="45">
                  <c:v>1829</c:v>
                </c:pt>
                <c:pt idx="46">
                  <c:v>1830</c:v>
                </c:pt>
                <c:pt idx="47">
                  <c:v>1831</c:v>
                </c:pt>
                <c:pt idx="48">
                  <c:v>1832</c:v>
                </c:pt>
                <c:pt idx="49">
                  <c:v>1833</c:v>
                </c:pt>
                <c:pt idx="50">
                  <c:v>1834</c:v>
                </c:pt>
                <c:pt idx="51">
                  <c:v>1835</c:v>
                </c:pt>
                <c:pt idx="52">
                  <c:v>1836</c:v>
                </c:pt>
                <c:pt idx="53">
                  <c:v>1837</c:v>
                </c:pt>
                <c:pt idx="54">
                  <c:v>1838</c:v>
                </c:pt>
                <c:pt idx="55">
                  <c:v>1839</c:v>
                </c:pt>
                <c:pt idx="56">
                  <c:v>1840</c:v>
                </c:pt>
              </c:strCache>
            </c:strRef>
          </c:cat>
          <c:val>
            <c:numRef>
              <c:f>'Fig 18.7. Physical comparison'!$E$61:$E$117</c:f>
              <c:numCache>
                <c:formatCode>General</c:formatCode>
                <c:ptCount val="57"/>
                <c:pt idx="0">
                  <c:v>6.62</c:v>
                </c:pt>
                <c:pt idx="1">
                  <c:v>6.62</c:v>
                </c:pt>
                <c:pt idx="2">
                  <c:v>6.62</c:v>
                </c:pt>
                <c:pt idx="3">
                  <c:v>6.62</c:v>
                </c:pt>
                <c:pt idx="4">
                  <c:v>6.62</c:v>
                </c:pt>
                <c:pt idx="5">
                  <c:v>6.62</c:v>
                </c:pt>
                <c:pt idx="6">
                  <c:v>6.62</c:v>
                </c:pt>
                <c:pt idx="7">
                  <c:v>6.62</c:v>
                </c:pt>
                <c:pt idx="8">
                  <c:v>6.62</c:v>
                </c:pt>
                <c:pt idx="9">
                  <c:v>6.62</c:v>
                </c:pt>
                <c:pt idx="10">
                  <c:v>6.62</c:v>
                </c:pt>
                <c:pt idx="11">
                  <c:v>6.62</c:v>
                </c:pt>
                <c:pt idx="12">
                  <c:v>6.62</c:v>
                </c:pt>
                <c:pt idx="13">
                  <c:v>6.62</c:v>
                </c:pt>
                <c:pt idx="14">
                  <c:v>6.62</c:v>
                </c:pt>
                <c:pt idx="15">
                  <c:v>6.62</c:v>
                </c:pt>
                <c:pt idx="16">
                  <c:v>6.62</c:v>
                </c:pt>
                <c:pt idx="17">
                  <c:v>6.62</c:v>
                </c:pt>
                <c:pt idx="18">
                  <c:v>6.62</c:v>
                </c:pt>
                <c:pt idx="19">
                  <c:v>6.62</c:v>
                </c:pt>
                <c:pt idx="20">
                  <c:v>6.62</c:v>
                </c:pt>
                <c:pt idx="21">
                  <c:v>6.62</c:v>
                </c:pt>
                <c:pt idx="22">
                  <c:v>6.62</c:v>
                </c:pt>
                <c:pt idx="23">
                  <c:v>6.62</c:v>
                </c:pt>
                <c:pt idx="24">
                  <c:v>6.62</c:v>
                </c:pt>
                <c:pt idx="25">
                  <c:v>6.62</c:v>
                </c:pt>
                <c:pt idx="26">
                  <c:v>6.62</c:v>
                </c:pt>
                <c:pt idx="27">
                  <c:v>6.62</c:v>
                </c:pt>
                <c:pt idx="28">
                  <c:v>6.62</c:v>
                </c:pt>
                <c:pt idx="29">
                  <c:v>6.62</c:v>
                </c:pt>
                <c:pt idx="30">
                  <c:v>6.62</c:v>
                </c:pt>
                <c:pt idx="31">
                  <c:v>6.62</c:v>
                </c:pt>
                <c:pt idx="32">
                  <c:v>6.62</c:v>
                </c:pt>
                <c:pt idx="33">
                  <c:v>6.62</c:v>
                </c:pt>
                <c:pt idx="34">
                  <c:v>6.62</c:v>
                </c:pt>
                <c:pt idx="35">
                  <c:v>6.62</c:v>
                </c:pt>
                <c:pt idx="36">
                  <c:v>6.62</c:v>
                </c:pt>
                <c:pt idx="37">
                  <c:v>6.62</c:v>
                </c:pt>
                <c:pt idx="38">
                  <c:v>6.62</c:v>
                </c:pt>
                <c:pt idx="39">
                  <c:v>6.62</c:v>
                </c:pt>
                <c:pt idx="40">
                  <c:v>6.62</c:v>
                </c:pt>
                <c:pt idx="41">
                  <c:v>6.62</c:v>
                </c:pt>
                <c:pt idx="42">
                  <c:v>6.62</c:v>
                </c:pt>
                <c:pt idx="43">
                  <c:v>6.62</c:v>
                </c:pt>
                <c:pt idx="44">
                  <c:v>6.62</c:v>
                </c:pt>
                <c:pt idx="45">
                  <c:v>6.62</c:v>
                </c:pt>
                <c:pt idx="46">
                  <c:v>6.62</c:v>
                </c:pt>
                <c:pt idx="47">
                  <c:v>6.62</c:v>
                </c:pt>
                <c:pt idx="48">
                  <c:v>6.62</c:v>
                </c:pt>
                <c:pt idx="49">
                  <c:v>6.62</c:v>
                </c:pt>
                <c:pt idx="50">
                  <c:v>6.62</c:v>
                </c:pt>
                <c:pt idx="51">
                  <c:v>6.62</c:v>
                </c:pt>
                <c:pt idx="52">
                  <c:v>6.62</c:v>
                </c:pt>
                <c:pt idx="53">
                  <c:v>6.62</c:v>
                </c:pt>
                <c:pt idx="54">
                  <c:v>6.62</c:v>
                </c:pt>
                <c:pt idx="55">
                  <c:v>6.62</c:v>
                </c:pt>
                <c:pt idx="56">
                  <c:v>6.62</c:v>
                </c:pt>
              </c:numCache>
            </c:numRef>
          </c:val>
          <c:smooth val="0"/>
          <c:extLst>
            <c:ext xmlns:c16="http://schemas.microsoft.com/office/drawing/2014/chart" uri="{C3380CC4-5D6E-409C-BE32-E72D297353CC}">
              <c16:uniqueId val="{00000002-329B-41D6-8340-43856FD2F6C5}"/>
            </c:ext>
          </c:extLst>
        </c:ser>
        <c:ser>
          <c:idx val="3"/>
          <c:order val="3"/>
          <c:tx>
            <c:strRef>
              <c:f>'Fig 18.7. Physical comparison'!$F$60</c:f>
              <c:strCache>
                <c:ptCount val="1"/>
                <c:pt idx="0">
                  <c:v>LPL</c:v>
                </c:pt>
              </c:strCache>
            </c:strRef>
          </c:tx>
          <c:spPr>
            <a:ln w="28575" cap="rnd">
              <a:solidFill>
                <a:srgbClr val="D72323"/>
              </a:solidFill>
              <a:prstDash val="dash"/>
              <a:round/>
            </a:ln>
            <a:effectLst/>
          </c:spPr>
          <c:marker>
            <c:symbol val="none"/>
          </c:marker>
          <c:cat>
            <c:strRef>
              <c:f>'Fig 18.7. Physical comparison'!$B$61:$B$117</c:f>
              <c:strCache>
                <c:ptCount val="57"/>
                <c:pt idx="0">
                  <c:v>1784</c:v>
                </c:pt>
                <c:pt idx="1">
                  <c:v>1785</c:v>
                </c:pt>
                <c:pt idx="2">
                  <c:v>1786</c:v>
                </c:pt>
                <c:pt idx="3">
                  <c:v>1787</c:v>
                </c:pt>
                <c:pt idx="4">
                  <c:v>1788</c:v>
                </c:pt>
                <c:pt idx="5">
                  <c:v>1789</c:v>
                </c:pt>
                <c:pt idx="6">
                  <c:v>1790</c:v>
                </c:pt>
                <c:pt idx="7">
                  <c:v>1791</c:v>
                </c:pt>
                <c:pt idx="8">
                  <c:v>1792</c:v>
                </c:pt>
                <c:pt idx="9">
                  <c:v>1793</c:v>
                </c:pt>
                <c:pt idx="10">
                  <c:v>1794</c:v>
                </c:pt>
                <c:pt idx="11">
                  <c:v>1795</c:v>
                </c:pt>
                <c:pt idx="12">
                  <c:v>1796</c:v>
                </c:pt>
                <c:pt idx="13">
                  <c:v>1797</c:v>
                </c:pt>
                <c:pt idx="14">
                  <c:v>1798</c:v>
                </c:pt>
                <c:pt idx="15">
                  <c:v>1799</c:v>
                </c:pt>
                <c:pt idx="16">
                  <c:v>1800</c:v>
                </c:pt>
                <c:pt idx="17">
                  <c:v>1801</c:v>
                </c:pt>
                <c:pt idx="18">
                  <c:v>1802</c:v>
                </c:pt>
                <c:pt idx="19">
                  <c:v>1803</c:v>
                </c:pt>
                <c:pt idx="20">
                  <c:v>1804</c:v>
                </c:pt>
                <c:pt idx="21">
                  <c:v>1805</c:v>
                </c:pt>
                <c:pt idx="22">
                  <c:v>1806</c:v>
                </c:pt>
                <c:pt idx="23">
                  <c:v>1807</c:v>
                </c:pt>
                <c:pt idx="24">
                  <c:v>1808</c:v>
                </c:pt>
                <c:pt idx="25">
                  <c:v>1809</c:v>
                </c:pt>
                <c:pt idx="26">
                  <c:v>1810</c:v>
                </c:pt>
                <c:pt idx="27">
                  <c:v>1811</c:v>
                </c:pt>
                <c:pt idx="28">
                  <c:v>1812</c:v>
                </c:pt>
                <c:pt idx="29">
                  <c:v>1813</c:v>
                </c:pt>
                <c:pt idx="30">
                  <c:v>1814</c:v>
                </c:pt>
                <c:pt idx="31">
                  <c:v>1815</c:v>
                </c:pt>
                <c:pt idx="32">
                  <c:v>1816</c:v>
                </c:pt>
                <c:pt idx="33">
                  <c:v>1817</c:v>
                </c:pt>
                <c:pt idx="34">
                  <c:v>1818</c:v>
                </c:pt>
                <c:pt idx="35">
                  <c:v>1819</c:v>
                </c:pt>
                <c:pt idx="36">
                  <c:v>1820</c:v>
                </c:pt>
                <c:pt idx="37">
                  <c:v>1821</c:v>
                </c:pt>
                <c:pt idx="38">
                  <c:v>1822</c:v>
                </c:pt>
                <c:pt idx="39">
                  <c:v>1823</c:v>
                </c:pt>
                <c:pt idx="40">
                  <c:v>1824</c:v>
                </c:pt>
                <c:pt idx="41">
                  <c:v>1825</c:v>
                </c:pt>
                <c:pt idx="42">
                  <c:v>1826</c:v>
                </c:pt>
                <c:pt idx="43">
                  <c:v>1827</c:v>
                </c:pt>
                <c:pt idx="44">
                  <c:v>1828</c:v>
                </c:pt>
                <c:pt idx="45">
                  <c:v>1829</c:v>
                </c:pt>
                <c:pt idx="46">
                  <c:v>1830</c:v>
                </c:pt>
                <c:pt idx="47">
                  <c:v>1831</c:v>
                </c:pt>
                <c:pt idx="48">
                  <c:v>1832</c:v>
                </c:pt>
                <c:pt idx="49">
                  <c:v>1833</c:v>
                </c:pt>
                <c:pt idx="50">
                  <c:v>1834</c:v>
                </c:pt>
                <c:pt idx="51">
                  <c:v>1835</c:v>
                </c:pt>
                <c:pt idx="52">
                  <c:v>1836</c:v>
                </c:pt>
                <c:pt idx="53">
                  <c:v>1837</c:v>
                </c:pt>
                <c:pt idx="54">
                  <c:v>1838</c:v>
                </c:pt>
                <c:pt idx="55">
                  <c:v>1839</c:v>
                </c:pt>
                <c:pt idx="56">
                  <c:v>1840</c:v>
                </c:pt>
              </c:strCache>
            </c:strRef>
          </c:cat>
          <c:val>
            <c:numRef>
              <c:f>'Fig 18.7. Physical comparison'!$F$61:$F$117</c:f>
              <c:numCache>
                <c:formatCode>General</c:formatCode>
                <c:ptCount val="5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numCache>
            </c:numRef>
          </c:val>
          <c:smooth val="0"/>
          <c:extLst>
            <c:ext xmlns:c16="http://schemas.microsoft.com/office/drawing/2014/chart" uri="{C3380CC4-5D6E-409C-BE32-E72D297353CC}">
              <c16:uniqueId val="{00000003-329B-41D6-8340-43856FD2F6C5}"/>
            </c:ext>
          </c:extLst>
        </c:ser>
        <c:dLbls>
          <c:showLegendKey val="0"/>
          <c:showVal val="0"/>
          <c:showCatName val="0"/>
          <c:showSerName val="0"/>
          <c:showPercent val="0"/>
          <c:showBubbleSize val="0"/>
        </c:dLbls>
        <c:marker val="1"/>
        <c:smooth val="0"/>
        <c:axId val="2024056368"/>
        <c:axId val="2024057808"/>
      </c:lineChart>
      <c:catAx>
        <c:axId val="2024056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4057808"/>
        <c:crosses val="autoZero"/>
        <c:auto val="1"/>
        <c:lblAlgn val="ctr"/>
        <c:lblOffset val="100"/>
        <c:noMultiLvlLbl val="0"/>
      </c:catAx>
      <c:valAx>
        <c:axId val="202405780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4056368"/>
        <c:crosses val="autoZero"/>
        <c:crossBetween val="between"/>
      </c:valAx>
      <c:spPr>
        <a:noFill/>
        <a:ln w="25400">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lineChart>
        <c:grouping val="standard"/>
        <c:varyColors val="0"/>
        <c:ser>
          <c:idx val="0"/>
          <c:order val="0"/>
          <c:tx>
            <c:strRef>
              <c:f>'Fig 18.7. Physical comparison'!$G$60</c:f>
              <c:strCache>
                <c:ptCount val="1"/>
                <c:pt idx="0">
                  <c:v>mR</c:v>
                </c:pt>
              </c:strCache>
            </c:strRef>
          </c:tx>
          <c:spPr>
            <a:ln w="28575" cap="rnd">
              <a:solidFill>
                <a:schemeClr val="accent1"/>
              </a:solidFill>
              <a:round/>
            </a:ln>
            <a:effectLst/>
          </c:spPr>
          <c:marker>
            <c:symbol val="circle"/>
            <c:size val="6"/>
            <c:spPr>
              <a:solidFill>
                <a:schemeClr val="accent1"/>
              </a:solidFill>
              <a:ln w="9525">
                <a:solidFill>
                  <a:schemeClr val="accent1"/>
                </a:solidFill>
              </a:ln>
              <a:effectLst/>
            </c:spPr>
          </c:marker>
          <c:val>
            <c:numRef>
              <c:f>'Fig 18.7. Physical comparison'!$G$61:$G$117</c:f>
              <c:numCache>
                <c:formatCode>General</c:formatCode>
                <c:ptCount val="57"/>
                <c:pt idx="1">
                  <c:v>0.7</c:v>
                </c:pt>
                <c:pt idx="2">
                  <c:v>1</c:v>
                </c:pt>
                <c:pt idx="3">
                  <c:v>0</c:v>
                </c:pt>
                <c:pt idx="4">
                  <c:v>0</c:v>
                </c:pt>
                <c:pt idx="5">
                  <c:v>0.2</c:v>
                </c:pt>
                <c:pt idx="6">
                  <c:v>0.2</c:v>
                </c:pt>
                <c:pt idx="7">
                  <c:v>0.2</c:v>
                </c:pt>
                <c:pt idx="8">
                  <c:v>0.3</c:v>
                </c:pt>
                <c:pt idx="9">
                  <c:v>1.7</c:v>
                </c:pt>
                <c:pt idx="10">
                  <c:v>2.2000000000000002</c:v>
                </c:pt>
                <c:pt idx="11">
                  <c:v>1.7</c:v>
                </c:pt>
                <c:pt idx="12">
                  <c:v>0.9</c:v>
                </c:pt>
                <c:pt idx="13">
                  <c:v>1</c:v>
                </c:pt>
                <c:pt idx="14">
                  <c:v>0</c:v>
                </c:pt>
                <c:pt idx="15">
                  <c:v>0.8</c:v>
                </c:pt>
                <c:pt idx="16">
                  <c:v>1</c:v>
                </c:pt>
                <c:pt idx="17">
                  <c:v>1.2</c:v>
                </c:pt>
                <c:pt idx="18">
                  <c:v>0.4</c:v>
                </c:pt>
                <c:pt idx="19">
                  <c:v>0.3</c:v>
                </c:pt>
                <c:pt idx="20">
                  <c:v>0.3</c:v>
                </c:pt>
                <c:pt idx="21">
                  <c:v>0</c:v>
                </c:pt>
                <c:pt idx="22">
                  <c:v>0.3</c:v>
                </c:pt>
                <c:pt idx="23">
                  <c:v>0.1</c:v>
                </c:pt>
                <c:pt idx="24">
                  <c:v>0.2</c:v>
                </c:pt>
                <c:pt idx="25">
                  <c:v>0.6</c:v>
                </c:pt>
                <c:pt idx="26">
                  <c:v>0.6</c:v>
                </c:pt>
                <c:pt idx="27">
                  <c:v>1.1000000000000001</c:v>
                </c:pt>
                <c:pt idx="28">
                  <c:v>1.3</c:v>
                </c:pt>
                <c:pt idx="29">
                  <c:v>0.5</c:v>
                </c:pt>
                <c:pt idx="30">
                  <c:v>2.1</c:v>
                </c:pt>
                <c:pt idx="31">
                  <c:v>2.5</c:v>
                </c:pt>
                <c:pt idx="32">
                  <c:v>0.2</c:v>
                </c:pt>
                <c:pt idx="33">
                  <c:v>0.4</c:v>
                </c:pt>
                <c:pt idx="34">
                  <c:v>1.3</c:v>
                </c:pt>
                <c:pt idx="35">
                  <c:v>2.8</c:v>
                </c:pt>
                <c:pt idx="36">
                  <c:v>2.5</c:v>
                </c:pt>
                <c:pt idx="37">
                  <c:v>0.8</c:v>
                </c:pt>
                <c:pt idx="38">
                  <c:v>0.9</c:v>
                </c:pt>
                <c:pt idx="39">
                  <c:v>6.7</c:v>
                </c:pt>
                <c:pt idx="40">
                  <c:v>2.6</c:v>
                </c:pt>
                <c:pt idx="41">
                  <c:v>3.9</c:v>
                </c:pt>
                <c:pt idx="42">
                  <c:v>0.7</c:v>
                </c:pt>
                <c:pt idx="43">
                  <c:v>5.9</c:v>
                </c:pt>
                <c:pt idx="44">
                  <c:v>1.4</c:v>
                </c:pt>
                <c:pt idx="45">
                  <c:v>1</c:v>
                </c:pt>
                <c:pt idx="46">
                  <c:v>0.6</c:v>
                </c:pt>
                <c:pt idx="47">
                  <c:v>2.6</c:v>
                </c:pt>
                <c:pt idx="48">
                  <c:v>3.4</c:v>
                </c:pt>
                <c:pt idx="49">
                  <c:v>2.1</c:v>
                </c:pt>
                <c:pt idx="50">
                  <c:v>2.4</c:v>
                </c:pt>
                <c:pt idx="51">
                  <c:v>2.1</c:v>
                </c:pt>
                <c:pt idx="52">
                  <c:v>1.9</c:v>
                </c:pt>
                <c:pt idx="53">
                  <c:v>1.6</c:v>
                </c:pt>
                <c:pt idx="54">
                  <c:v>6.1</c:v>
                </c:pt>
                <c:pt idx="55">
                  <c:v>2.4</c:v>
                </c:pt>
                <c:pt idx="56">
                  <c:v>3.8</c:v>
                </c:pt>
              </c:numCache>
            </c:numRef>
          </c:val>
          <c:smooth val="0"/>
          <c:extLst>
            <c:ext xmlns:c16="http://schemas.microsoft.com/office/drawing/2014/chart" uri="{C3380CC4-5D6E-409C-BE32-E72D297353CC}">
              <c16:uniqueId val="{00000000-5D18-47FA-93F7-2AB89D044415}"/>
            </c:ext>
          </c:extLst>
        </c:ser>
        <c:ser>
          <c:idx val="1"/>
          <c:order val="1"/>
          <c:tx>
            <c:strRef>
              <c:f>'Fig 18.7. Physical comparison'!$H$60</c:f>
              <c:strCache>
                <c:ptCount val="1"/>
                <c:pt idx="0">
                  <c:v>Ave. mR</c:v>
                </c:pt>
              </c:strCache>
            </c:strRef>
          </c:tx>
          <c:spPr>
            <a:ln w="28575" cap="rnd">
              <a:solidFill>
                <a:schemeClr val="tx1"/>
              </a:solidFill>
              <a:round/>
            </a:ln>
            <a:effectLst/>
          </c:spPr>
          <c:marker>
            <c:symbol val="none"/>
          </c:marker>
          <c:val>
            <c:numRef>
              <c:f>'Fig 18.7. Physical comparison'!$H$61:$H$117</c:f>
              <c:numCache>
                <c:formatCode>General</c:formatCode>
                <c:ptCount val="57"/>
                <c:pt idx="0">
                  <c:v>1.49</c:v>
                </c:pt>
                <c:pt idx="1">
                  <c:v>1.49</c:v>
                </c:pt>
                <c:pt idx="2">
                  <c:v>1.49</c:v>
                </c:pt>
                <c:pt idx="3">
                  <c:v>1.49</c:v>
                </c:pt>
                <c:pt idx="4">
                  <c:v>1.49</c:v>
                </c:pt>
                <c:pt idx="5">
                  <c:v>1.49</c:v>
                </c:pt>
                <c:pt idx="6">
                  <c:v>1.49</c:v>
                </c:pt>
                <c:pt idx="7">
                  <c:v>1.49</c:v>
                </c:pt>
                <c:pt idx="8">
                  <c:v>1.49</c:v>
                </c:pt>
                <c:pt idx="9">
                  <c:v>1.49</c:v>
                </c:pt>
                <c:pt idx="10">
                  <c:v>1.49</c:v>
                </c:pt>
                <c:pt idx="11">
                  <c:v>1.49</c:v>
                </c:pt>
                <c:pt idx="12">
                  <c:v>1.49</c:v>
                </c:pt>
                <c:pt idx="13">
                  <c:v>1.49</c:v>
                </c:pt>
                <c:pt idx="14">
                  <c:v>1.49</c:v>
                </c:pt>
                <c:pt idx="15">
                  <c:v>1.49</c:v>
                </c:pt>
                <c:pt idx="16">
                  <c:v>1.49</c:v>
                </c:pt>
                <c:pt idx="17">
                  <c:v>1.49</c:v>
                </c:pt>
                <c:pt idx="18">
                  <c:v>1.49</c:v>
                </c:pt>
                <c:pt idx="19">
                  <c:v>1.49</c:v>
                </c:pt>
                <c:pt idx="20">
                  <c:v>1.49</c:v>
                </c:pt>
                <c:pt idx="21">
                  <c:v>1.49</c:v>
                </c:pt>
                <c:pt idx="22">
                  <c:v>1.49</c:v>
                </c:pt>
                <c:pt idx="23">
                  <c:v>1.49</c:v>
                </c:pt>
                <c:pt idx="24">
                  <c:v>1.49</c:v>
                </c:pt>
                <c:pt idx="25">
                  <c:v>1.49</c:v>
                </c:pt>
                <c:pt idx="26">
                  <c:v>1.49</c:v>
                </c:pt>
                <c:pt idx="27">
                  <c:v>1.49</c:v>
                </c:pt>
                <c:pt idx="28">
                  <c:v>1.49</c:v>
                </c:pt>
                <c:pt idx="29">
                  <c:v>1.49</c:v>
                </c:pt>
                <c:pt idx="30">
                  <c:v>1.49</c:v>
                </c:pt>
                <c:pt idx="31">
                  <c:v>1.49</c:v>
                </c:pt>
                <c:pt idx="32">
                  <c:v>1.49</c:v>
                </c:pt>
                <c:pt idx="33">
                  <c:v>1.49</c:v>
                </c:pt>
                <c:pt idx="34">
                  <c:v>1.49</c:v>
                </c:pt>
                <c:pt idx="35">
                  <c:v>1.49</c:v>
                </c:pt>
                <c:pt idx="36">
                  <c:v>1.49</c:v>
                </c:pt>
                <c:pt idx="37">
                  <c:v>1.49</c:v>
                </c:pt>
                <c:pt idx="38">
                  <c:v>1.49</c:v>
                </c:pt>
                <c:pt idx="39">
                  <c:v>1.49</c:v>
                </c:pt>
                <c:pt idx="40">
                  <c:v>1.49</c:v>
                </c:pt>
                <c:pt idx="41">
                  <c:v>1.49</c:v>
                </c:pt>
                <c:pt idx="42">
                  <c:v>1.49</c:v>
                </c:pt>
                <c:pt idx="43">
                  <c:v>1.49</c:v>
                </c:pt>
                <c:pt idx="44">
                  <c:v>1.49</c:v>
                </c:pt>
                <c:pt idx="45">
                  <c:v>1.49</c:v>
                </c:pt>
                <c:pt idx="46">
                  <c:v>1.49</c:v>
                </c:pt>
                <c:pt idx="47">
                  <c:v>1.49</c:v>
                </c:pt>
                <c:pt idx="48">
                  <c:v>1.49</c:v>
                </c:pt>
                <c:pt idx="49">
                  <c:v>1.49</c:v>
                </c:pt>
                <c:pt idx="50">
                  <c:v>1.49</c:v>
                </c:pt>
                <c:pt idx="51">
                  <c:v>1.49</c:v>
                </c:pt>
                <c:pt idx="52">
                  <c:v>1.49</c:v>
                </c:pt>
                <c:pt idx="53">
                  <c:v>1.49</c:v>
                </c:pt>
                <c:pt idx="54">
                  <c:v>1.49</c:v>
                </c:pt>
                <c:pt idx="55">
                  <c:v>1.49</c:v>
                </c:pt>
                <c:pt idx="56">
                  <c:v>1.49</c:v>
                </c:pt>
              </c:numCache>
            </c:numRef>
          </c:val>
          <c:smooth val="0"/>
          <c:extLst>
            <c:ext xmlns:c16="http://schemas.microsoft.com/office/drawing/2014/chart" uri="{C3380CC4-5D6E-409C-BE32-E72D297353CC}">
              <c16:uniqueId val="{00000001-5D18-47FA-93F7-2AB89D044415}"/>
            </c:ext>
          </c:extLst>
        </c:ser>
        <c:ser>
          <c:idx val="2"/>
          <c:order val="2"/>
          <c:tx>
            <c:strRef>
              <c:f>'Fig 18.7. Physical comparison'!$I$60</c:f>
              <c:strCache>
                <c:ptCount val="1"/>
                <c:pt idx="0">
                  <c:v>URL</c:v>
                </c:pt>
              </c:strCache>
            </c:strRef>
          </c:tx>
          <c:spPr>
            <a:ln w="28575" cap="rnd">
              <a:solidFill>
                <a:srgbClr val="D72323"/>
              </a:solidFill>
              <a:prstDash val="dash"/>
              <a:round/>
            </a:ln>
            <a:effectLst/>
          </c:spPr>
          <c:marker>
            <c:symbol val="none"/>
          </c:marker>
          <c:val>
            <c:numRef>
              <c:f>'Fig 18.7. Physical comparison'!$I$61:$I$117</c:f>
              <c:numCache>
                <c:formatCode>General</c:formatCode>
                <c:ptCount val="57"/>
                <c:pt idx="0">
                  <c:v>4.87</c:v>
                </c:pt>
                <c:pt idx="1">
                  <c:v>4.87</c:v>
                </c:pt>
                <c:pt idx="2">
                  <c:v>4.87</c:v>
                </c:pt>
                <c:pt idx="3">
                  <c:v>4.87</c:v>
                </c:pt>
                <c:pt idx="4">
                  <c:v>4.87</c:v>
                </c:pt>
                <c:pt idx="5">
                  <c:v>4.87</c:v>
                </c:pt>
                <c:pt idx="6">
                  <c:v>4.87</c:v>
                </c:pt>
                <c:pt idx="7">
                  <c:v>4.87</c:v>
                </c:pt>
                <c:pt idx="8">
                  <c:v>4.87</c:v>
                </c:pt>
                <c:pt idx="9">
                  <c:v>4.87</c:v>
                </c:pt>
                <c:pt idx="10">
                  <c:v>4.87</c:v>
                </c:pt>
                <c:pt idx="11">
                  <c:v>4.87</c:v>
                </c:pt>
                <c:pt idx="12">
                  <c:v>4.87</c:v>
                </c:pt>
                <c:pt idx="13">
                  <c:v>4.87</c:v>
                </c:pt>
                <c:pt idx="14">
                  <c:v>4.87</c:v>
                </c:pt>
                <c:pt idx="15">
                  <c:v>4.87</c:v>
                </c:pt>
                <c:pt idx="16">
                  <c:v>4.87</c:v>
                </c:pt>
                <c:pt idx="17">
                  <c:v>4.87</c:v>
                </c:pt>
                <c:pt idx="18">
                  <c:v>4.87</c:v>
                </c:pt>
                <c:pt idx="19">
                  <c:v>4.87</c:v>
                </c:pt>
                <c:pt idx="20">
                  <c:v>4.87</c:v>
                </c:pt>
                <c:pt idx="21">
                  <c:v>4.87</c:v>
                </c:pt>
                <c:pt idx="22">
                  <c:v>4.87</c:v>
                </c:pt>
                <c:pt idx="23">
                  <c:v>4.87</c:v>
                </c:pt>
                <c:pt idx="24">
                  <c:v>4.87</c:v>
                </c:pt>
                <c:pt idx="25">
                  <c:v>4.87</c:v>
                </c:pt>
                <c:pt idx="26">
                  <c:v>4.87</c:v>
                </c:pt>
                <c:pt idx="27">
                  <c:v>4.87</c:v>
                </c:pt>
                <c:pt idx="28">
                  <c:v>4.87</c:v>
                </c:pt>
                <c:pt idx="29">
                  <c:v>4.87</c:v>
                </c:pt>
                <c:pt idx="30">
                  <c:v>4.87</c:v>
                </c:pt>
                <c:pt idx="31">
                  <c:v>4.87</c:v>
                </c:pt>
                <c:pt idx="32">
                  <c:v>4.87</c:v>
                </c:pt>
                <c:pt idx="33">
                  <c:v>4.87</c:v>
                </c:pt>
                <c:pt idx="34">
                  <c:v>4.87</c:v>
                </c:pt>
                <c:pt idx="35">
                  <c:v>4.87</c:v>
                </c:pt>
                <c:pt idx="36">
                  <c:v>4.87</c:v>
                </c:pt>
                <c:pt idx="37">
                  <c:v>4.87</c:v>
                </c:pt>
                <c:pt idx="38">
                  <c:v>4.87</c:v>
                </c:pt>
                <c:pt idx="39">
                  <c:v>4.87</c:v>
                </c:pt>
                <c:pt idx="40">
                  <c:v>4.87</c:v>
                </c:pt>
                <c:pt idx="41">
                  <c:v>4.87</c:v>
                </c:pt>
                <c:pt idx="42">
                  <c:v>4.87</c:v>
                </c:pt>
                <c:pt idx="43">
                  <c:v>4.87</c:v>
                </c:pt>
                <c:pt idx="44">
                  <c:v>4.87</c:v>
                </c:pt>
                <c:pt idx="45">
                  <c:v>4.87</c:v>
                </c:pt>
                <c:pt idx="46">
                  <c:v>4.87</c:v>
                </c:pt>
                <c:pt idx="47">
                  <c:v>4.87</c:v>
                </c:pt>
                <c:pt idx="48">
                  <c:v>4.87</c:v>
                </c:pt>
                <c:pt idx="49">
                  <c:v>4.87</c:v>
                </c:pt>
                <c:pt idx="50">
                  <c:v>4.87</c:v>
                </c:pt>
                <c:pt idx="51">
                  <c:v>4.87</c:v>
                </c:pt>
                <c:pt idx="52">
                  <c:v>4.87</c:v>
                </c:pt>
                <c:pt idx="53">
                  <c:v>4.87</c:v>
                </c:pt>
                <c:pt idx="54">
                  <c:v>4.87</c:v>
                </c:pt>
                <c:pt idx="55">
                  <c:v>4.87</c:v>
                </c:pt>
                <c:pt idx="56">
                  <c:v>4.87</c:v>
                </c:pt>
              </c:numCache>
            </c:numRef>
          </c:val>
          <c:smooth val="0"/>
          <c:extLst>
            <c:ext xmlns:c16="http://schemas.microsoft.com/office/drawing/2014/chart" uri="{C3380CC4-5D6E-409C-BE32-E72D297353CC}">
              <c16:uniqueId val="{00000002-5D18-47FA-93F7-2AB89D044415}"/>
            </c:ext>
          </c:extLst>
        </c:ser>
        <c:dLbls>
          <c:showLegendKey val="0"/>
          <c:showVal val="0"/>
          <c:showCatName val="0"/>
          <c:showSerName val="0"/>
          <c:showPercent val="0"/>
          <c:showBubbleSize val="0"/>
        </c:dLbls>
        <c:marker val="1"/>
        <c:smooth val="0"/>
        <c:axId val="2024086608"/>
        <c:axId val="2024084208"/>
      </c:lineChart>
      <c:catAx>
        <c:axId val="2024086608"/>
        <c:scaling>
          <c:orientation val="minMax"/>
        </c:scaling>
        <c:delete val="1"/>
        <c:axPos val="b"/>
        <c:majorTickMark val="none"/>
        <c:minorTickMark val="none"/>
        <c:tickLblPos val="nextTo"/>
        <c:crossAx val="2024084208"/>
        <c:crosses val="autoZero"/>
        <c:auto val="1"/>
        <c:lblAlgn val="ctr"/>
        <c:lblOffset val="100"/>
        <c:noMultiLvlLbl val="0"/>
      </c:catAx>
      <c:valAx>
        <c:axId val="202408420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4086608"/>
        <c:crosses val="autoZero"/>
        <c:crossBetween val="between"/>
      </c:valAx>
      <c:spPr>
        <a:noFill/>
        <a:ln>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8</xdr:col>
      <xdr:colOff>0</xdr:colOff>
      <xdr:row>1</xdr:row>
      <xdr:rowOff>0</xdr:rowOff>
    </xdr:from>
    <xdr:to>
      <xdr:col>11</xdr:col>
      <xdr:colOff>35983</xdr:colOff>
      <xdr:row>21</xdr:row>
      <xdr:rowOff>92710</xdr:rowOff>
    </xdr:to>
    <xdr:pic>
      <xdr:nvPicPr>
        <xdr:cNvPr id="3" name="image1.jpg">
          <a:extLst>
            <a:ext uri="{FF2B5EF4-FFF2-40B4-BE49-F238E27FC236}">
              <a16:creationId xmlns:a16="http://schemas.microsoft.com/office/drawing/2014/main" id="{7058CBB8-5801-4F62-AA1F-766E40EE4126}"/>
            </a:ext>
          </a:extLst>
        </xdr:cNvPr>
        <xdr:cNvPicPr preferRelativeResize="0"/>
      </xdr:nvPicPr>
      <xdr:blipFill>
        <a:blip xmlns:r="http://schemas.openxmlformats.org/officeDocument/2006/relationships" r:embed="rId1" cstate="print"/>
        <a:stretch>
          <a:fillRect/>
        </a:stretch>
      </xdr:blipFill>
      <xdr:spPr>
        <a:xfrm>
          <a:off x="6162675" y="200025"/>
          <a:ext cx="2636308" cy="4093210"/>
        </a:xfrm>
        <a:prstGeom prst="rect">
          <a:avLst/>
        </a:prstGeom>
        <a:noFill/>
      </xdr:spPr>
    </xdr:pic>
    <xdr:clientData/>
  </xdr:twoCellAnchor>
</xdr:wsDr>
</file>

<file path=xl/drawings/drawing2.xml><?xml version="1.0" encoding="utf-8"?>
<xdr:wsDr xmlns:xdr="http://schemas.openxmlformats.org/drawingml/2006/spreadsheetDrawing" xmlns:a="http://schemas.openxmlformats.org/drawingml/2006/main">
  <xdr:twoCellAnchor>
    <xdr:from>
      <xdr:col>11</xdr:col>
      <xdr:colOff>0</xdr:colOff>
      <xdr:row>0</xdr:row>
      <xdr:rowOff>0</xdr:rowOff>
    </xdr:from>
    <xdr:to>
      <xdr:col>17</xdr:col>
      <xdr:colOff>0</xdr:colOff>
      <xdr:row>15</xdr:row>
      <xdr:rowOff>49530</xdr:rowOff>
    </xdr:to>
    <xdr:graphicFrame macro="">
      <xdr:nvGraphicFramePr>
        <xdr:cNvPr id="2" name="Chart 1">
          <a:extLst>
            <a:ext uri="{FF2B5EF4-FFF2-40B4-BE49-F238E27FC236}">
              <a16:creationId xmlns:a16="http://schemas.microsoft.com/office/drawing/2014/main" id="{86F9D32A-7635-553A-7B14-8FE76F0F54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15</xdr:row>
      <xdr:rowOff>28575</xdr:rowOff>
    </xdr:from>
    <xdr:to>
      <xdr:col>17</xdr:col>
      <xdr:colOff>0</xdr:colOff>
      <xdr:row>28</xdr:row>
      <xdr:rowOff>85725</xdr:rowOff>
    </xdr:to>
    <xdr:graphicFrame macro="">
      <xdr:nvGraphicFramePr>
        <xdr:cNvPr id="3" name="Chart 2">
          <a:extLst>
            <a:ext uri="{FF2B5EF4-FFF2-40B4-BE49-F238E27FC236}">
              <a16:creationId xmlns:a16="http://schemas.microsoft.com/office/drawing/2014/main" id="{02E683C4-5563-249B-828D-19C46C0A0E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0</xdr:colOff>
      <xdr:row>0</xdr:row>
      <xdr:rowOff>0</xdr:rowOff>
    </xdr:from>
    <xdr:to>
      <xdr:col>23</xdr:col>
      <xdr:colOff>0</xdr:colOff>
      <xdr:row>15</xdr:row>
      <xdr:rowOff>28576</xdr:rowOff>
    </xdr:to>
    <xdr:graphicFrame macro="">
      <xdr:nvGraphicFramePr>
        <xdr:cNvPr id="4" name="Chart 3">
          <a:extLst>
            <a:ext uri="{FF2B5EF4-FFF2-40B4-BE49-F238E27FC236}">
              <a16:creationId xmlns:a16="http://schemas.microsoft.com/office/drawing/2014/main" id="{9AEC8597-B73C-4230-6794-1B23D3F53D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0</xdr:colOff>
      <xdr:row>15</xdr:row>
      <xdr:rowOff>28575</xdr:rowOff>
    </xdr:from>
    <xdr:to>
      <xdr:col>23</xdr:col>
      <xdr:colOff>0</xdr:colOff>
      <xdr:row>27</xdr:row>
      <xdr:rowOff>97155</xdr:rowOff>
    </xdr:to>
    <xdr:graphicFrame macro="">
      <xdr:nvGraphicFramePr>
        <xdr:cNvPr id="7" name="Chart 6">
          <a:extLst>
            <a:ext uri="{FF2B5EF4-FFF2-40B4-BE49-F238E27FC236}">
              <a16:creationId xmlns:a16="http://schemas.microsoft.com/office/drawing/2014/main" id="{EB684D60-ACFE-BD02-1825-A2433E6598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11</xdr:col>
      <xdr:colOff>0</xdr:colOff>
      <xdr:row>1</xdr:row>
      <xdr:rowOff>0</xdr:rowOff>
    </xdr:from>
    <xdr:to>
      <xdr:col>17</xdr:col>
      <xdr:colOff>0</xdr:colOff>
      <xdr:row>16</xdr:row>
      <xdr:rowOff>0</xdr:rowOff>
    </xdr:to>
    <xdr:graphicFrame macro="">
      <xdr:nvGraphicFramePr>
        <xdr:cNvPr id="2" name="Chart 1">
          <a:extLst>
            <a:ext uri="{FF2B5EF4-FFF2-40B4-BE49-F238E27FC236}">
              <a16:creationId xmlns:a16="http://schemas.microsoft.com/office/drawing/2014/main" id="{A7D36DE9-144F-4264-AB8B-C5C854AB2F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16</xdr:row>
      <xdr:rowOff>1</xdr:rowOff>
    </xdr:from>
    <xdr:to>
      <xdr:col>17</xdr:col>
      <xdr:colOff>0</xdr:colOff>
      <xdr:row>28</xdr:row>
      <xdr:rowOff>2</xdr:rowOff>
    </xdr:to>
    <xdr:graphicFrame macro="">
      <xdr:nvGraphicFramePr>
        <xdr:cNvPr id="3" name="Chart 2">
          <a:extLst>
            <a:ext uri="{FF2B5EF4-FFF2-40B4-BE49-F238E27FC236}">
              <a16:creationId xmlns:a16="http://schemas.microsoft.com/office/drawing/2014/main" id="{63B4A087-32E9-449A-A560-E2897D130E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0</xdr:colOff>
      <xdr:row>1</xdr:row>
      <xdr:rowOff>0</xdr:rowOff>
    </xdr:from>
    <xdr:to>
      <xdr:col>23</xdr:col>
      <xdr:colOff>0</xdr:colOff>
      <xdr:row>16</xdr:row>
      <xdr:rowOff>0</xdr:rowOff>
    </xdr:to>
    <xdr:graphicFrame macro="">
      <xdr:nvGraphicFramePr>
        <xdr:cNvPr id="4" name="Chart 3">
          <a:extLst>
            <a:ext uri="{FF2B5EF4-FFF2-40B4-BE49-F238E27FC236}">
              <a16:creationId xmlns:a16="http://schemas.microsoft.com/office/drawing/2014/main" id="{959586A5-CCBE-45E6-BACB-ACAFFC76E0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0</xdr:colOff>
      <xdr:row>16</xdr:row>
      <xdr:rowOff>0</xdr:rowOff>
    </xdr:from>
    <xdr:to>
      <xdr:col>23</xdr:col>
      <xdr:colOff>0</xdr:colOff>
      <xdr:row>28</xdr:row>
      <xdr:rowOff>1</xdr:rowOff>
    </xdr:to>
    <xdr:graphicFrame macro="">
      <xdr:nvGraphicFramePr>
        <xdr:cNvPr id="5" name="Chart 4">
          <a:extLst>
            <a:ext uri="{FF2B5EF4-FFF2-40B4-BE49-F238E27FC236}">
              <a16:creationId xmlns:a16="http://schemas.microsoft.com/office/drawing/2014/main" id="{0A33A1F6-FC0E-448E-AEB9-94760AEB03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10</xdr:col>
      <xdr:colOff>0</xdr:colOff>
      <xdr:row>2</xdr:row>
      <xdr:rowOff>0</xdr:rowOff>
    </xdr:from>
    <xdr:to>
      <xdr:col>17</xdr:col>
      <xdr:colOff>0</xdr:colOff>
      <xdr:row>17</xdr:row>
      <xdr:rowOff>0</xdr:rowOff>
    </xdr:to>
    <xdr:graphicFrame macro="">
      <xdr:nvGraphicFramePr>
        <xdr:cNvPr id="4" name="Chart 3">
          <a:extLst>
            <a:ext uri="{FF2B5EF4-FFF2-40B4-BE49-F238E27FC236}">
              <a16:creationId xmlns:a16="http://schemas.microsoft.com/office/drawing/2014/main" id="{F6AE656D-CAA4-D520-B17D-961A51653D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866774</xdr:colOff>
      <xdr:row>17</xdr:row>
      <xdr:rowOff>0</xdr:rowOff>
    </xdr:from>
    <xdr:to>
      <xdr:col>16</xdr:col>
      <xdr:colOff>866774</xdr:colOff>
      <xdr:row>31</xdr:row>
      <xdr:rowOff>0</xdr:rowOff>
    </xdr:to>
    <xdr:graphicFrame macro="">
      <xdr:nvGraphicFramePr>
        <xdr:cNvPr id="5" name="Chart 4">
          <a:extLst>
            <a:ext uri="{FF2B5EF4-FFF2-40B4-BE49-F238E27FC236}">
              <a16:creationId xmlns:a16="http://schemas.microsoft.com/office/drawing/2014/main" id="{235DC875-DD93-752D-BDFE-67C2DF2400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0</xdr:colOff>
      <xdr:row>2</xdr:row>
      <xdr:rowOff>1905</xdr:rowOff>
    </xdr:from>
    <xdr:to>
      <xdr:col>23</xdr:col>
      <xdr:colOff>861059</xdr:colOff>
      <xdr:row>17</xdr:row>
      <xdr:rowOff>0</xdr:rowOff>
    </xdr:to>
    <xdr:graphicFrame macro="">
      <xdr:nvGraphicFramePr>
        <xdr:cNvPr id="6" name="Chart 5">
          <a:extLst>
            <a:ext uri="{FF2B5EF4-FFF2-40B4-BE49-F238E27FC236}">
              <a16:creationId xmlns:a16="http://schemas.microsoft.com/office/drawing/2014/main" id="{63FAEBE2-5967-BD36-5343-F0550C697B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0</xdr:colOff>
      <xdr:row>17</xdr:row>
      <xdr:rowOff>0</xdr:rowOff>
    </xdr:from>
    <xdr:to>
      <xdr:col>23</xdr:col>
      <xdr:colOff>861059</xdr:colOff>
      <xdr:row>31</xdr:row>
      <xdr:rowOff>0</xdr:rowOff>
    </xdr:to>
    <xdr:graphicFrame macro="">
      <xdr:nvGraphicFramePr>
        <xdr:cNvPr id="7" name="Chart 6">
          <a:extLst>
            <a:ext uri="{FF2B5EF4-FFF2-40B4-BE49-F238E27FC236}">
              <a16:creationId xmlns:a16="http://schemas.microsoft.com/office/drawing/2014/main" id="{CF6E8834-9FD3-B472-4616-0996EE8A83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4" xr16:uid="{89392B54-AC2E-4B50-93A0-0B161D4651F0}" autoFormatId="16" applyNumberFormats="0" applyBorderFormats="0" applyFontFormats="0" applyPatternFormats="0" applyAlignmentFormats="0" applyWidthHeightFormats="0">
  <queryTableRefresh nextId="11" unboundColumnsRight="6">
    <queryTableFields count="10">
      <queryTableField id="1" name="Hospital" tableColumnId="1"/>
      <queryTableField id="2" name="Stage" tableColumnId="2"/>
      <queryTableField id="3" name="Year" tableColumnId="3"/>
      <queryTableField id="4" name="Rate" tableColumnId="4"/>
      <queryTableField id="5" dataBound="0" tableColumnId="5"/>
      <queryTableField id="6" dataBound="0" tableColumnId="6"/>
      <queryTableField id="7" dataBound="0" tableColumnId="7"/>
      <queryTableField id="8" dataBound="0" tableColumnId="8"/>
      <queryTableField id="9" dataBound="0" tableColumnId="9"/>
      <queryTableField id="10" dataBound="0" tableColumnId="10"/>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5" xr16:uid="{9826709A-50EC-4352-9462-37E627F0CC36}" autoFormatId="16" applyNumberFormats="0" applyBorderFormats="0" applyFontFormats="0" applyPatternFormats="0" applyAlignmentFormats="0" applyWidthHeightFormats="0">
  <queryTableRefresh nextId="11" unboundColumnsRight="6">
    <queryTableFields count="10">
      <queryTableField id="1" name="Hospital" tableColumnId="1"/>
      <queryTableField id="2" name="Stage" tableColumnId="2"/>
      <queryTableField id="3" name="Year" tableColumnId="3"/>
      <queryTableField id="4" name="Rate" tableColumnId="4"/>
      <queryTableField id="5" dataBound="0" tableColumnId="5"/>
      <queryTableField id="6" dataBound="0" tableColumnId="6"/>
      <queryTableField id="7" dataBound="0" tableColumnId="7"/>
      <queryTableField id="8" dataBound="0" tableColumnId="8"/>
      <queryTableField id="9" dataBound="0" tableColumnId="9"/>
      <queryTableField id="10" dataBound="0" tableColumnId="10"/>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7" xr16:uid="{E5EBAEBF-E14D-4672-B40E-34040B82093D}" autoFormatId="16" applyNumberFormats="0" applyBorderFormats="0" applyFontFormats="0" applyPatternFormats="0" applyAlignmentFormats="0" applyWidthHeightFormats="0">
  <queryTableRefresh nextId="11" unboundColumnsRight="6">
    <queryTableFields count="10">
      <queryTableField id="1" name="Hospital" tableColumnId="1"/>
      <queryTableField id="2" name="Stage" tableColumnId="2"/>
      <queryTableField id="3" name="Year" tableColumnId="3"/>
      <queryTableField id="4" name="Rate" tableColumnId="4"/>
      <queryTableField id="5" dataBound="0" tableColumnId="5"/>
      <queryTableField id="6" dataBound="0" tableColumnId="6"/>
      <queryTableField id="7" dataBound="0" tableColumnId="7"/>
      <queryTableField id="8" dataBound="0" tableColumnId="8"/>
      <queryTableField id="9" dataBound="0" tableColumnId="9"/>
      <queryTableField id="10" dataBound="0" tableColumnId="10"/>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2" connectionId="6" xr16:uid="{2ACA403E-8735-40BE-85CC-A75CF1639430}" autoFormatId="16" applyNumberFormats="0" applyBorderFormats="0" applyFontFormats="0" applyPatternFormats="0" applyAlignmentFormats="0" applyWidthHeightFormats="0">
  <queryTableRefresh nextId="11" unboundColumnsRight="6">
    <queryTableFields count="10">
      <queryTableField id="1" name="Hospital" tableColumnId="1"/>
      <queryTableField id="2" name="Stage" tableColumnId="2"/>
      <queryTableField id="3" name="Year" tableColumnId="3"/>
      <queryTableField id="4" name="Rate" tableColumnId="4"/>
      <queryTableField id="5" dataBound="0" tableColumnId="5"/>
      <queryTableField id="6" dataBound="0" tableColumnId="6"/>
      <queryTableField id="7" dataBound="0" tableColumnId="7"/>
      <queryTableField id="8" dataBound="0" tableColumnId="8"/>
      <queryTableField id="9" dataBound="0" tableColumnId="9"/>
      <queryTableField id="10" dataBound="0" tableColumnId="10"/>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1" xr16:uid="{776ACD03-BAAC-4BC7-93E9-FB7F08F0BAE9}" autoFormatId="16" applyNumberFormats="0" applyBorderFormats="0" applyFontFormats="0" applyPatternFormats="0" applyAlignmentFormats="0" applyWidthHeightFormats="0">
  <queryTableRefresh nextId="10" unboundColumnsRight="6">
    <queryTableFields count="9">
      <queryTableField id="1" name="Hospital" tableColumnId="1"/>
      <queryTableField id="2" name="Year" tableColumnId="2"/>
      <queryTableField id="3" name="Rate" tableColumnId="3"/>
      <queryTableField id="4" dataBound="0" tableColumnId="4"/>
      <queryTableField id="5" dataBound="0" tableColumnId="5"/>
      <queryTableField id="6" dataBound="0" tableColumnId="6"/>
      <queryTableField id="7" dataBound="0" tableColumnId="7"/>
      <queryTableField id="8" dataBound="0" tableColumnId="8"/>
      <queryTableField id="9" dataBound="0" tableColumnId="9"/>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2" connectionId="2" xr16:uid="{3007BA3A-029C-49EE-B0FF-1EE56A47E9A5}" autoFormatId="16" applyNumberFormats="0" applyBorderFormats="0" applyFontFormats="0" applyPatternFormats="0" applyAlignmentFormats="0" applyWidthHeightFormats="0">
  <queryTableRefresh nextId="10" unboundColumnsRight="6">
    <queryTableFields count="9">
      <queryTableField id="1" name="Hospital" tableColumnId="1"/>
      <queryTableField id="2" name="Year" tableColumnId="2"/>
      <queryTableField id="3" name="Rate" tableColumnId="3"/>
      <queryTableField id="4" dataBound="0" tableColumnId="4"/>
      <queryTableField id="5" dataBound="0" tableColumnId="5"/>
      <queryTableField id="6" dataBound="0" tableColumnId="6"/>
      <queryTableField id="7" dataBound="0" tableColumnId="7"/>
      <queryTableField id="8" dataBound="0" tableColumnId="8"/>
      <queryTableField id="9" dataBound="0" tableColumnId="9"/>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1" connectionId="8" xr16:uid="{D30520D4-8090-4F92-B0D5-C3F1AA97D430}" autoFormatId="16" applyNumberFormats="0" applyBorderFormats="0" applyFontFormats="0" applyPatternFormats="0" applyAlignmentFormats="0" applyWidthHeightFormats="0">
  <queryTableRefresh nextId="8">
    <queryTableFields count="7">
      <queryTableField id="1" name="Hospital" tableColumnId="1"/>
      <queryTableField id="2" name="Stage" tableColumnId="2"/>
      <queryTableField id="3" name="Year" tableColumnId="3"/>
      <queryTableField id="4" name="Births" tableColumnId="4"/>
      <queryTableField id="5" name="Deaths" tableColumnId="5"/>
      <queryTableField id="6" name="Rate" tableColumnId="6"/>
      <queryTableField id="7" name="Note" tableColumnId="7"/>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ExternalData_2" connectionId="3" xr16:uid="{5BB9B492-4F07-4F4B-B3BB-C2E8762F54FA}" autoFormatId="16" applyNumberFormats="0" applyBorderFormats="0" applyFontFormats="0" applyPatternFormats="0" applyAlignmentFormats="0" applyWidthHeightFormats="0">
  <queryTableRefresh nextId="7">
    <queryTableFields count="6">
      <queryTableField id="1" name="Hospital" tableColumnId="1"/>
      <queryTableField id="2" name="Year" tableColumnId="2"/>
      <queryTableField id="3" name="Births" tableColumnId="3"/>
      <queryTableField id="4" name="Deaths" tableColumnId="4"/>
      <queryTableField id="5" name="Rate" tableColumnId="5"/>
      <queryTableField id="6" name="Note" tableColumnId="6"/>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6FA7A08-B8E7-4D09-82A4-E0161EE55F27}" name="temporal_comparison_death_to_birth_rates" displayName="temporal_comparison_death_to_birth_rates" ref="A1:J11" tableType="queryTable" totalsRowShown="0">
  <autoFilter ref="A1:J11" xr:uid="{A6FA7A08-B8E7-4D09-82A4-E0161EE55F27}"/>
  <tableColumns count="10">
    <tableColumn id="1" xr3:uid="{49D6B70B-319F-4815-9E52-6C6ED22BD155}" uniqueName="1" name="Hospital" queryTableFieldId="1" dataDxfId="62"/>
    <tableColumn id="2" xr3:uid="{D82BD723-EC81-4DCB-942D-536DD124C1FB}" uniqueName="2" name="Stage" queryTableFieldId="2" dataDxfId="61"/>
    <tableColumn id="3" xr3:uid="{7A089624-587B-4068-B43A-D78A9346A60E}" uniqueName="3" name="Year" queryTableFieldId="3" dataDxfId="60"/>
    <tableColumn id="4" xr3:uid="{05D33536-3679-4964-A9ED-1F34567BF8B8}" uniqueName="4" name="Rate" queryTableFieldId="4"/>
    <tableColumn id="5" xr3:uid="{6D83738C-E89D-4738-8F94-04100C1E5E7E}" uniqueName="5" name="Mean" queryTableFieldId="5" dataDxfId="59">
      <calculatedColumnFormula>ROUND(AVERAGE($D$2:$D$11),2)</calculatedColumnFormula>
    </tableColumn>
    <tableColumn id="6" xr3:uid="{1088B0A2-05CB-4C67-B6B4-31ED461FBC3F}" uniqueName="6" name="UPL" queryTableFieldId="6" dataDxfId="58">
      <calculatedColumnFormula>ROUND(E2+(2.66*I2),2)</calculatedColumnFormula>
    </tableColumn>
    <tableColumn id="7" xr3:uid="{B2291A5E-7536-4509-BF34-5CAAD4C07450}" uniqueName="7" name="LPL" queryTableFieldId="7" dataDxfId="57">
      <calculatedColumnFormula>ROUND(MAX(0,E2-(2.66*I2)),2)</calculatedColumnFormula>
    </tableColumn>
    <tableColumn id="8" xr3:uid="{6C4BB225-04C6-4596-957E-55C102A16411}" uniqueName="8" name="mR" queryTableFieldId="8" dataDxfId="56">
      <calculatedColumnFormula>ABS(D1-D2)</calculatedColumnFormula>
    </tableColumn>
    <tableColumn id="9" xr3:uid="{23134353-43AF-469B-8400-522481D01DC0}" uniqueName="9" name="Ave. mR" queryTableFieldId="9" dataDxfId="55">
      <calculatedColumnFormula>ROUND(AVERAGE($H$3:$H$11),2)</calculatedColumnFormula>
    </tableColumn>
    <tableColumn id="10" xr3:uid="{5597BBA6-1723-420F-93C7-CD3CCC600F7B}" uniqueName="10" name="URL" queryTableFieldId="10" dataDxfId="54">
      <calculatedColumnFormula>ROUND(3.268*I2,2)</calculatedColumnFormula>
    </tableColumn>
  </tableColumns>
  <tableStyleInfo name="The Virus of Variation"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741AF34-D9A2-4C2E-B32E-B3916C27C9B1}" name="temporal_comparison_death_to_birth_rates__2" displayName="temporal_comparison_death_to_birth_rates__2" ref="A13:J23" tableType="queryTable" totalsRowShown="0">
  <autoFilter ref="A13:J23" xr:uid="{D741AF34-D9A2-4C2E-B32E-B3916C27C9B1}"/>
  <tableColumns count="10">
    <tableColumn id="1" xr3:uid="{909CF8EB-7E3F-4EFD-BCF8-7F29848EDAD4}" uniqueName="1" name="Hospital" queryTableFieldId="1" dataDxfId="53"/>
    <tableColumn id="2" xr3:uid="{FBBE075A-6B23-4AA4-89C4-C6E8CF475503}" uniqueName="2" name="Stage" queryTableFieldId="2" dataDxfId="52"/>
    <tableColumn id="3" xr3:uid="{79B1C11B-57F0-4598-A333-67A2D8DC029F}" uniqueName="3" name="Year" queryTableFieldId="3" dataDxfId="51"/>
    <tableColumn id="4" xr3:uid="{BD74E440-E9FE-40CE-BC31-9C4ACC40B17C}" uniqueName="4" name="Rate" queryTableFieldId="4"/>
    <tableColumn id="5" xr3:uid="{86F357E5-E2B1-4FF7-A5A2-0DBF4749D695}" uniqueName="5" name="Mean" queryTableFieldId="5" dataDxfId="50">
      <calculatedColumnFormula>ROUND(AVERAGE($D$14:$D$23),2)</calculatedColumnFormula>
    </tableColumn>
    <tableColumn id="6" xr3:uid="{AD9FE519-50A3-4816-B57C-06877DF10675}" uniqueName="6" name="UPL" queryTableFieldId="6" dataDxfId="49">
      <calculatedColumnFormula>ROUND(E14+(2.66*I14),2)</calculatedColumnFormula>
    </tableColumn>
    <tableColumn id="7" xr3:uid="{FB3D0C87-A684-40C6-8A06-36D0E654E3B3}" uniqueName="7" name="LPL" queryTableFieldId="7" dataDxfId="48">
      <calculatedColumnFormula>ROUND(MAX(0,E14-(2.66*I14)),2)</calculatedColumnFormula>
    </tableColumn>
    <tableColumn id="8" xr3:uid="{A96588EB-725A-4B6C-ABE9-BEED11705569}" uniqueName="8" name="mR" queryTableFieldId="8" dataDxfId="47"/>
    <tableColumn id="9" xr3:uid="{4F9B2521-1703-429B-B480-FF65C9A85AA8}" uniqueName="9" name="Ave. mR" queryTableFieldId="9" dataDxfId="46">
      <calculatedColumnFormula>ROUND(AVERAGE($H$15:H23),2)</calculatedColumnFormula>
    </tableColumn>
    <tableColumn id="10" xr3:uid="{82BDC1C3-1739-4B46-A4BF-D84113C8D962}" uniqueName="10" name="URL" queryTableFieldId="10" dataDxfId="45">
      <calculatedColumnFormula>ROUND(3.268*I14,2)</calculatedColumnFormula>
    </tableColumn>
  </tableColumns>
  <tableStyleInfo name="The Virus of Variation"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B1581FB-33D8-4BB6-92E0-731C6ABD7F46}" name="temporal_comparison_death_to_birth_rates5" displayName="temporal_comparison_death_to_birth_rates5" ref="A1:J11" tableType="queryTable" totalsRowShown="0">
  <autoFilter ref="A1:J11" xr:uid="{A6FA7A08-B8E7-4D09-82A4-E0161EE55F27}"/>
  <tableColumns count="10">
    <tableColumn id="1" xr3:uid="{7B6DBF7F-B557-4E13-A725-14AA579BCD87}" uniqueName="1" name="Hospital" queryTableFieldId="1" dataDxfId="44"/>
    <tableColumn id="2" xr3:uid="{BEECB87A-AF9F-411F-B822-8B5793DD9877}" uniqueName="2" name="Stage" queryTableFieldId="2" dataDxfId="43"/>
    <tableColumn id="3" xr3:uid="{BB39AC52-C170-46DE-879D-1ECAD8461B23}" uniqueName="3" name="Year" queryTableFieldId="3" dataDxfId="42"/>
    <tableColumn id="4" xr3:uid="{FAF7ED18-E213-41C7-B731-CFD6C9F71B1A}" uniqueName="4" name="Rate" queryTableFieldId="4"/>
    <tableColumn id="5" xr3:uid="{4AF88835-3DD6-4010-8F26-64F79C44F7D5}" uniqueName="5" name="Mean" queryTableFieldId="5" dataDxfId="41">
      <calculatedColumnFormula>ROUND(AVERAGE($D$2:$D$11),2)</calculatedColumnFormula>
    </tableColumn>
    <tableColumn id="6" xr3:uid="{33A7E38E-6ADC-46D0-8C6D-6C49B2072259}" uniqueName="6" name="UPL" queryTableFieldId="6" dataDxfId="40">
      <calculatedColumnFormula>ROUND(E2+(2.66*I2),2)</calculatedColumnFormula>
    </tableColumn>
    <tableColumn id="7" xr3:uid="{FE35F082-A0F5-4A4F-8876-F710EA11CEC0}" uniqueName="7" name="LPL" queryTableFieldId="7" dataDxfId="39">
      <calculatedColumnFormula>ROUND(MAX(0,E2-(2.66*I2)),2)</calculatedColumnFormula>
    </tableColumn>
    <tableColumn id="8" xr3:uid="{C6CFBAA7-B2C7-403E-96F7-E68AD1C10070}" uniqueName="8" name="mR" queryTableFieldId="8" dataDxfId="38">
      <calculatedColumnFormula>ABS(D1-D2)</calculatedColumnFormula>
    </tableColumn>
    <tableColumn id="9" xr3:uid="{471659E9-8DA6-4F5A-9667-036EF0046FD3}" uniqueName="9" name="Ave. mR" queryTableFieldId="9" dataDxfId="37">
      <calculatedColumnFormula>ROUND(AVERAGE($H$3:$H$11),2)</calculatedColumnFormula>
    </tableColumn>
    <tableColumn id="10" xr3:uid="{189E36BF-7A5C-4B78-AA50-6A6F73F760DC}" uniqueName="10" name="URL" queryTableFieldId="10" dataDxfId="36">
      <calculatedColumnFormula>ROUND(3.268*I2,2)</calculatedColumnFormula>
    </tableColumn>
  </tableColumns>
  <tableStyleInfo name="The Virus of Variation"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3DDB13E-658E-4385-9A01-C30A1AEED37B}" name="temporal_comparison_death_to_birth_rates__26" displayName="temporal_comparison_death_to_birth_rates__26" ref="A13:J23" tableType="queryTable" totalsRowShown="0">
  <autoFilter ref="A13:J23" xr:uid="{D741AF34-D9A2-4C2E-B32E-B3916C27C9B1}"/>
  <tableColumns count="10">
    <tableColumn id="1" xr3:uid="{DF1A83D8-A7BB-47BF-BE66-AD2A9CFB1598}" uniqueName="1" name="Hospital" queryTableFieldId="1" dataDxfId="35"/>
    <tableColumn id="2" xr3:uid="{63F52A49-4552-46CE-8348-263B35CA46D5}" uniqueName="2" name="Stage" queryTableFieldId="2" dataDxfId="34"/>
    <tableColumn id="3" xr3:uid="{870AA220-D49C-4DAF-92A5-1E1B88A6E757}" uniqueName="3" name="Year" queryTableFieldId="3" dataDxfId="33"/>
    <tableColumn id="4" xr3:uid="{09CC96B8-8871-410C-B301-02E0FA8B72D5}" uniqueName="4" name="Rate" queryTableFieldId="4"/>
    <tableColumn id="5" xr3:uid="{0034A2EA-C637-4D68-AB9B-17D00D914912}" uniqueName="5" name="Mean" queryTableFieldId="5" dataDxfId="32">
      <calculatedColumnFormula>ROUND(AVERAGE($D$14:$D$23),2)</calculatedColumnFormula>
    </tableColumn>
    <tableColumn id="6" xr3:uid="{630C65AB-0F8D-4170-B280-D92C0DB23FBA}" uniqueName="6" name="UPL" queryTableFieldId="6" dataDxfId="31">
      <calculatedColumnFormula>ROUND(E14+(2.66*I14),2)</calculatedColumnFormula>
    </tableColumn>
    <tableColumn id="7" xr3:uid="{65C8B050-E756-41F4-AAA5-B0E9B3976532}" uniqueName="7" name="LPL" queryTableFieldId="7" dataDxfId="30">
      <calculatedColumnFormula>ROUND(MAX(0,E14-(2.66*I14)),2)</calculatedColumnFormula>
    </tableColumn>
    <tableColumn id="8" xr3:uid="{25F60BF0-B8B0-4D7D-9912-BB299B65150D}" uniqueName="8" name="mR" queryTableFieldId="8" dataDxfId="29"/>
    <tableColumn id="9" xr3:uid="{7B23E1FE-332F-4A59-BDB2-5C65FADA4EC7}" uniqueName="9" name="Ave. mR" queryTableFieldId="9" dataDxfId="28">
      <calculatedColumnFormula>ROUND(AVERAGE($H$15:H23),2)</calculatedColumnFormula>
    </tableColumn>
    <tableColumn id="10" xr3:uid="{6C7718D6-8716-4725-AB7A-476460C85648}" uniqueName="10" name="URL" queryTableFieldId="10" dataDxfId="27">
      <calculatedColumnFormula>ROUND(3.268*I14,2)</calculatedColumnFormula>
    </tableColumn>
  </tableColumns>
  <tableStyleInfo name="The Virus of Variation"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FE20B5D8-1C5B-4DE5-AB1F-438C8C362E2C}" name="physical_comparison_death_to_birth_rates" displayName="physical_comparison_death_to_birth_rates" ref="A1:I58" tableType="queryTable" totalsRowShown="0" headerRowDxfId="26">
  <autoFilter ref="A1:I58" xr:uid="{FE20B5D8-1C5B-4DE5-AB1F-438C8C362E2C}"/>
  <tableColumns count="9">
    <tableColumn id="1" xr3:uid="{6307DFBA-C34C-4458-8F8A-5266B53A88BA}" uniqueName="1" name="Hospital" queryTableFieldId="1" dataDxfId="25"/>
    <tableColumn id="2" xr3:uid="{DA08EA94-05C2-4A9D-8FEF-E60559482B9A}" uniqueName="2" name="Year" queryTableFieldId="2" dataDxfId="24"/>
    <tableColumn id="3" xr3:uid="{8C53ACD2-D608-414E-87D0-DEF55B2AF037}" uniqueName="3" name="Rate" queryTableFieldId="3"/>
    <tableColumn id="4" xr3:uid="{E6E6AA7A-2E90-4BE6-91EB-8DFBD16C6761}" uniqueName="4" name="Mean" queryTableFieldId="4" dataDxfId="23">
      <calculatedColumnFormula>ROUND(AVERAGE($C$2:$C$58),2)</calculatedColumnFormula>
    </tableColumn>
    <tableColumn id="5" xr3:uid="{865E7911-6217-457E-84EB-AFBD81AAD5C6}" uniqueName="5" name="UPL" queryTableFieldId="5" dataDxfId="22">
      <calculatedColumnFormula>ROUND(D2+(2.66*H2),2)</calculatedColumnFormula>
    </tableColumn>
    <tableColumn id="6" xr3:uid="{D8E429FF-18BA-4033-A5AE-EAAD9A5773BD}" uniqueName="6" name="LPL" queryTableFieldId="6" dataDxfId="21">
      <calculatedColumnFormula>ROUND(MAX(0,D2-(2.66*H2)),2)</calculatedColumnFormula>
    </tableColumn>
    <tableColumn id="7" xr3:uid="{849B8E7E-1D48-420E-B29E-A29CC36B025E}" uniqueName="7" name="mR" queryTableFieldId="7" dataDxfId="20">
      <calculatedColumnFormula>ROUND(ABS(C1-C2),2)</calculatedColumnFormula>
    </tableColumn>
    <tableColumn id="8" xr3:uid="{FE826137-9DD6-4D88-B2A0-21427D091E65}" uniqueName="8" name="Ave. mR" queryTableFieldId="8" dataDxfId="19">
      <calculatedColumnFormula>ROUND(AVERAGE($G$3:$G$58),2)</calculatedColumnFormula>
    </tableColumn>
    <tableColumn id="9" xr3:uid="{40EF0658-C0BB-4831-8FD5-87C81F8B4E26}" uniqueName="9" name="URL" queryTableFieldId="9" dataDxfId="18">
      <calculatedColumnFormula>ROUND(3.268*H2,2)</calculatedColumnFormula>
    </tableColumn>
  </tableColumns>
  <tableStyleInfo name="The Virus of Variation"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8BDE373-D240-402D-BAD2-1B03DBD10233}" name="physical_comparison_death_to_birth_rates__2" displayName="physical_comparison_death_to_birth_rates__2" ref="A60:I117" tableType="queryTable" totalsRowShown="0">
  <autoFilter ref="A60:I117" xr:uid="{88BDE373-D240-402D-BAD2-1B03DBD10233}"/>
  <tableColumns count="9">
    <tableColumn id="1" xr3:uid="{F7087C9F-9A4E-41A9-81FD-9E35DE61B6E2}" uniqueName="1" name="Hospital" queryTableFieldId="1" dataDxfId="17"/>
    <tableColumn id="2" xr3:uid="{266BE6D3-CFAE-444E-9016-1853CFF1A68A}" uniqueName="2" name="Year" queryTableFieldId="2" dataDxfId="16"/>
    <tableColumn id="3" xr3:uid="{429421D3-EB32-4FC3-97CF-2807DDC61DCE}" uniqueName="3" name="Rate" queryTableFieldId="3"/>
    <tableColumn id="4" xr3:uid="{C3CD3504-0540-4F71-BB4B-1A6F40961976}" uniqueName="4" name="Mean" queryTableFieldId="4" dataDxfId="15">
      <calculatedColumnFormula>ROUND(AVERAGE($C$61:$C$117),2)</calculatedColumnFormula>
    </tableColumn>
    <tableColumn id="5" xr3:uid="{34F86E28-3337-4241-867A-8E267CC4C24E}" uniqueName="5" name="UPL" queryTableFieldId="5" dataDxfId="14">
      <calculatedColumnFormula>ROUND(D61+(2.66*H61),2)</calculatedColumnFormula>
    </tableColumn>
    <tableColumn id="6" xr3:uid="{BB736B05-B657-4A27-9A4A-21CBEEA61D33}" uniqueName="6" name="LPL" queryTableFieldId="6" dataDxfId="13">
      <calculatedColumnFormula>ROUND(MAX(0,D61-(2.66*H61)),2)</calculatedColumnFormula>
    </tableColumn>
    <tableColumn id="7" xr3:uid="{92C39952-5563-4716-B124-C25D70E1188C}" uniqueName="7" name="mR" queryTableFieldId="7"/>
    <tableColumn id="8" xr3:uid="{B9558386-2785-4960-B4AC-2CC4C98030F9}" uniqueName="8" name="Ave. mR" queryTableFieldId="8" dataDxfId="12">
      <calculatedColumnFormula>ROUND(AVERAGE($G$62:$G$117),2)</calculatedColumnFormula>
    </tableColumn>
    <tableColumn id="9" xr3:uid="{EFBDE0C9-7D1C-44A3-8059-7575724EC6E4}" uniqueName="9" name="URL" queryTableFieldId="9" dataDxfId="11">
      <calculatedColumnFormula>ROUND(3.268*H61,2)</calculatedColumnFormula>
    </tableColumn>
  </tableColumns>
  <tableStyleInfo name="The Virus of Variation"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B661C90-9A57-4B9D-BD66-7AF715E88CDE}" name="temporal_comparison_death_to_birth_rates__5" displayName="temporal_comparison_death_to_birth_rates__5" ref="A1:G41" tableType="queryTable" totalsRowShown="0">
  <autoFilter ref="A1:G41" xr:uid="{EB661C90-9A57-4B9D-BD66-7AF715E88CDE}"/>
  <tableColumns count="7">
    <tableColumn id="1" xr3:uid="{55849ECB-FC84-47B2-8EC7-D6A0CA2BBFC7}" uniqueName="1" name="Hospital" queryTableFieldId="1" dataDxfId="10"/>
    <tableColumn id="2" xr3:uid="{358062C0-72A8-46CF-BFE5-DDBB6AED350C}" uniqueName="2" name="Stage" queryTableFieldId="2" dataDxfId="9"/>
    <tableColumn id="3" xr3:uid="{C29C434F-D5A1-4C9B-9A69-F3FD4D272ED7}" uniqueName="3" name="Year" queryTableFieldId="3"/>
    <tableColumn id="4" xr3:uid="{5CB5327E-3141-46C7-94FD-FC9C1032CE72}" uniqueName="4" name="Births" queryTableFieldId="4"/>
    <tableColumn id="5" xr3:uid="{52423596-81A4-4CD9-AA6B-1A45617ADFF8}" uniqueName="5" name="Deaths" queryTableFieldId="5"/>
    <tableColumn id="6" xr3:uid="{C67BBA92-ABC2-4E93-8DD4-FDC67B79DD94}" uniqueName="6" name="Rate" queryTableFieldId="6"/>
    <tableColumn id="7" xr3:uid="{003E20C4-A714-4FD5-9E17-52F8780254B2}" uniqueName="7" name="Note" queryTableFieldId="7" dataDxfId="8"/>
  </tableColumns>
  <tableStyleInfo name="The Virus of Variation"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FD161685-D14E-47FD-955C-623271DFAB34}" name="Query1" displayName="Query1" ref="I1:N115" tableType="queryTable" totalsRowShown="0" headerRowDxfId="2" dataDxfId="3">
  <autoFilter ref="I1:N115" xr:uid="{FD161685-D14E-47FD-955C-623271DFAB34}"/>
  <tableColumns count="6">
    <tableColumn id="1" xr3:uid="{2305858F-0838-41E7-9C50-A6D04187FEF6}" uniqueName="1" name="Hospital" queryTableFieldId="1" dataDxfId="1"/>
    <tableColumn id="2" xr3:uid="{2609C258-6D2D-4282-9A0F-C2329BD3CE32}" uniqueName="2" name="Year" queryTableFieldId="2" dataDxfId="7"/>
    <tableColumn id="3" xr3:uid="{C045DBD7-C927-47FF-9131-89DD661FB64D}" uniqueName="3" name="Births" queryTableFieldId="3" dataDxfId="6"/>
    <tableColumn id="4" xr3:uid="{0E552BC5-D9E9-4D2B-8AA7-D34A66B30940}" uniqueName="4" name="Deaths" queryTableFieldId="4" dataDxfId="5"/>
    <tableColumn id="5" xr3:uid="{1C4EC4CE-5449-4BC6-BEA2-963835D22BFA}" uniqueName="5" name="Rate" queryTableFieldId="5" dataDxfId="4"/>
    <tableColumn id="6" xr3:uid="{93501B52-B85C-424A-A0C6-08228ABC0C60}" uniqueName="6" name="Note" queryTableFieldId="6" dataDxfId="0"/>
  </tableColumns>
  <tableStyleInfo name="The Virus of Variation"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eme/themeOverride1.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5.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6.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7.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8.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9.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0.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1.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2.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3" Type="http://schemas.openxmlformats.org/officeDocument/2006/relationships/hyperlink" Target="mailto:James.Lehner@gmail.com" TargetMode="External"/><Relationship Id="rId2" Type="http://schemas.openxmlformats.org/officeDocument/2006/relationships/hyperlink" Target="https://www.brokenquality.com/book" TargetMode="External"/><Relationship Id="rId1" Type="http://schemas.openxmlformats.org/officeDocument/2006/relationships/hyperlink" Target="https://github.com/jimlehner/virus-of-variation-book" TargetMode="External"/><Relationship Id="rId5" Type="http://schemas.openxmlformats.org/officeDocument/2006/relationships/drawing" Target="../drawings/drawing1.xml"/><Relationship Id="rId4" Type="http://schemas.openxmlformats.org/officeDocument/2006/relationships/hyperlink" Target="mailto:QualityIsBroken@gmail.com" TargetMode="External"/></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table" Target="../tables/table5.x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L38"/>
  <sheetViews>
    <sheetView showGridLines="0" tabSelected="1" workbookViewId="0">
      <selection activeCell="E45" sqref="E45"/>
    </sheetView>
  </sheetViews>
  <sheetFormatPr defaultColWidth="12.6640625" defaultRowHeight="15.75" customHeight="1" x14ac:dyDescent="0.25"/>
  <cols>
    <col min="8" max="8" width="1.33203125" customWidth="1"/>
    <col min="13" max="13" width="1.33203125" customWidth="1"/>
  </cols>
  <sheetData>
    <row r="1" spans="1:12" ht="24.6" x14ac:dyDescent="0.55000000000000004">
      <c r="A1" s="35" t="s">
        <v>0</v>
      </c>
      <c r="B1" s="36"/>
      <c r="C1" s="36"/>
      <c r="D1" s="36"/>
      <c r="E1" s="36"/>
      <c r="F1" s="36"/>
      <c r="G1" s="37"/>
      <c r="H1" s="1"/>
      <c r="I1" s="1"/>
      <c r="J1" s="1"/>
      <c r="K1" s="1"/>
      <c r="L1" s="1"/>
    </row>
    <row r="2" spans="1:12" ht="15.75" customHeight="1" x14ac:dyDescent="0.25">
      <c r="A2" s="14" t="s">
        <v>78</v>
      </c>
      <c r="B2" s="15"/>
      <c r="C2" s="15"/>
      <c r="D2" s="15"/>
      <c r="E2" s="15"/>
      <c r="F2" s="15"/>
      <c r="G2" s="16"/>
      <c r="H2" s="1"/>
      <c r="I2" s="1"/>
    </row>
    <row r="3" spans="1:12" ht="15.75" customHeight="1" x14ac:dyDescent="0.25">
      <c r="A3" s="17"/>
      <c r="B3" s="18"/>
      <c r="C3" s="18"/>
      <c r="D3" s="18"/>
      <c r="E3" s="18"/>
      <c r="F3" s="18"/>
      <c r="G3" s="19"/>
      <c r="H3" s="1"/>
    </row>
    <row r="4" spans="1:12" ht="15.75" customHeight="1" x14ac:dyDescent="0.25">
      <c r="A4" s="17"/>
      <c r="B4" s="18"/>
      <c r="C4" s="18"/>
      <c r="D4" s="18"/>
      <c r="E4" s="18"/>
      <c r="F4" s="18"/>
      <c r="G4" s="19"/>
      <c r="H4" s="1"/>
    </row>
    <row r="5" spans="1:12" ht="15.75" customHeight="1" x14ac:dyDescent="0.25">
      <c r="A5" s="17"/>
      <c r="B5" s="18"/>
      <c r="C5" s="18"/>
      <c r="D5" s="18"/>
      <c r="E5" s="18"/>
      <c r="F5" s="18"/>
      <c r="G5" s="19"/>
      <c r="H5" s="1"/>
    </row>
    <row r="6" spans="1:12" ht="15.75" customHeight="1" x14ac:dyDescent="0.25">
      <c r="A6" s="17"/>
      <c r="B6" s="18"/>
      <c r="C6" s="18"/>
      <c r="D6" s="18"/>
      <c r="E6" s="18"/>
      <c r="F6" s="18"/>
      <c r="G6" s="19"/>
      <c r="H6" s="1"/>
    </row>
    <row r="7" spans="1:12" ht="15.75" customHeight="1" x14ac:dyDescent="0.25">
      <c r="A7" s="17"/>
      <c r="B7" s="18"/>
      <c r="C7" s="18"/>
      <c r="D7" s="18"/>
      <c r="E7" s="18"/>
      <c r="F7" s="18"/>
      <c r="G7" s="19"/>
      <c r="H7" s="1"/>
    </row>
    <row r="8" spans="1:12" ht="15.75" customHeight="1" x14ac:dyDescent="0.25">
      <c r="A8" s="17"/>
      <c r="B8" s="18"/>
      <c r="C8" s="18"/>
      <c r="D8" s="18"/>
      <c r="E8" s="18"/>
      <c r="F8" s="18"/>
      <c r="G8" s="19"/>
      <c r="H8" s="1"/>
    </row>
    <row r="9" spans="1:12" ht="15.75" customHeight="1" x14ac:dyDescent="0.25">
      <c r="A9" s="17"/>
      <c r="B9" s="18"/>
      <c r="C9" s="18"/>
      <c r="D9" s="18"/>
      <c r="E9" s="18"/>
      <c r="F9" s="18"/>
      <c r="G9" s="19"/>
      <c r="H9" s="1"/>
    </row>
    <row r="10" spans="1:12" ht="15.75" customHeight="1" x14ac:dyDescent="0.25">
      <c r="A10" s="17"/>
      <c r="B10" s="18"/>
      <c r="C10" s="18"/>
      <c r="D10" s="18"/>
      <c r="E10" s="18"/>
      <c r="F10" s="18"/>
      <c r="G10" s="19"/>
      <c r="H10" s="1"/>
    </row>
    <row r="11" spans="1:12" ht="15.75" customHeight="1" x14ac:dyDescent="0.25">
      <c r="A11" s="17"/>
      <c r="B11" s="18"/>
      <c r="C11" s="18"/>
      <c r="D11" s="18"/>
      <c r="E11" s="18"/>
      <c r="F11" s="18"/>
      <c r="G11" s="19"/>
      <c r="H11" s="1"/>
    </row>
    <row r="12" spans="1:12" ht="15.75" customHeight="1" x14ac:dyDescent="0.25">
      <c r="A12" s="17"/>
      <c r="B12" s="18"/>
      <c r="C12" s="18"/>
      <c r="D12" s="18"/>
      <c r="E12" s="18"/>
      <c r="F12" s="18"/>
      <c r="G12" s="19"/>
      <c r="H12" s="1"/>
    </row>
    <row r="13" spans="1:12" ht="15.75" customHeight="1" x14ac:dyDescent="0.25">
      <c r="A13" s="17"/>
      <c r="B13" s="18"/>
      <c r="C13" s="18"/>
      <c r="D13" s="18"/>
      <c r="E13" s="18"/>
      <c r="F13" s="18"/>
      <c r="G13" s="19"/>
      <c r="H13" s="1"/>
    </row>
    <row r="14" spans="1:12" ht="15.75" customHeight="1" x14ac:dyDescent="0.25">
      <c r="A14" s="17"/>
      <c r="B14" s="18"/>
      <c r="C14" s="18"/>
      <c r="D14" s="18"/>
      <c r="E14" s="18"/>
      <c r="F14" s="18"/>
      <c r="G14" s="19"/>
      <c r="H14" s="1"/>
    </row>
    <row r="15" spans="1:12" ht="15.75" customHeight="1" x14ac:dyDescent="0.25">
      <c r="A15" s="17"/>
      <c r="B15" s="18"/>
      <c r="C15" s="18"/>
      <c r="D15" s="18"/>
      <c r="E15" s="18"/>
      <c r="F15" s="18"/>
      <c r="G15" s="19"/>
      <c r="H15" s="1"/>
    </row>
    <row r="16" spans="1:12" ht="15.75" customHeight="1" x14ac:dyDescent="0.25">
      <c r="A16" s="17"/>
      <c r="B16" s="18"/>
      <c r="C16" s="18"/>
      <c r="D16" s="18"/>
      <c r="E16" s="18"/>
      <c r="F16" s="18"/>
      <c r="G16" s="19"/>
      <c r="H16" s="1"/>
    </row>
    <row r="17" spans="1:8" ht="15.75" customHeight="1" x14ac:dyDescent="0.25">
      <c r="A17" s="17"/>
      <c r="B17" s="18"/>
      <c r="C17" s="18"/>
      <c r="D17" s="18"/>
      <c r="E17" s="18"/>
      <c r="F17" s="18"/>
      <c r="G17" s="19"/>
      <c r="H17" s="1"/>
    </row>
    <row r="18" spans="1:8" ht="15.75" customHeight="1" x14ac:dyDescent="0.25">
      <c r="A18" s="17"/>
      <c r="B18" s="18"/>
      <c r="C18" s="18"/>
      <c r="D18" s="18"/>
      <c r="E18" s="18"/>
      <c r="F18" s="18"/>
      <c r="G18" s="19"/>
      <c r="H18" s="1"/>
    </row>
    <row r="19" spans="1:8" ht="15.75" customHeight="1" x14ac:dyDescent="0.25">
      <c r="A19" s="17"/>
      <c r="B19" s="18"/>
      <c r="C19" s="18"/>
      <c r="D19" s="18"/>
      <c r="E19" s="18"/>
      <c r="F19" s="18"/>
      <c r="G19" s="19"/>
      <c r="H19" s="1"/>
    </row>
    <row r="20" spans="1:8" ht="15.75" customHeight="1" x14ac:dyDescent="0.25">
      <c r="A20" s="17"/>
      <c r="B20" s="18"/>
      <c r="C20" s="18"/>
      <c r="D20" s="18"/>
      <c r="E20" s="18"/>
      <c r="F20" s="18"/>
      <c r="G20" s="19"/>
      <c r="H20" s="1"/>
    </row>
    <row r="21" spans="1:8" ht="15.75" customHeight="1" x14ac:dyDescent="0.25">
      <c r="A21" s="17"/>
      <c r="B21" s="18"/>
      <c r="C21" s="18"/>
      <c r="D21" s="18"/>
      <c r="E21" s="18"/>
      <c r="F21" s="18"/>
      <c r="G21" s="19"/>
      <c r="H21" s="1"/>
    </row>
    <row r="22" spans="1:8" ht="15.75" customHeight="1" x14ac:dyDescent="0.25">
      <c r="A22" s="17"/>
      <c r="B22" s="18"/>
      <c r="C22" s="18"/>
      <c r="D22" s="18"/>
      <c r="E22" s="18"/>
      <c r="F22" s="18"/>
      <c r="G22" s="19"/>
      <c r="H22" s="1"/>
    </row>
    <row r="23" spans="1:8" ht="15.75" customHeight="1" x14ac:dyDescent="0.25">
      <c r="A23" s="17"/>
      <c r="B23" s="18"/>
      <c r="C23" s="18"/>
      <c r="D23" s="18"/>
      <c r="E23" s="18"/>
      <c r="F23" s="18"/>
      <c r="G23" s="19"/>
      <c r="H23" s="1"/>
    </row>
    <row r="24" spans="1:8" ht="15.75" customHeight="1" x14ac:dyDescent="0.25">
      <c r="A24" s="17"/>
      <c r="B24" s="18"/>
      <c r="C24" s="18"/>
      <c r="D24" s="18"/>
      <c r="E24" s="18"/>
      <c r="F24" s="18"/>
      <c r="G24" s="19"/>
      <c r="H24" s="1"/>
    </row>
    <row r="25" spans="1:8" ht="15.75" customHeight="1" x14ac:dyDescent="0.25">
      <c r="A25" s="17"/>
      <c r="B25" s="18"/>
      <c r="C25" s="18"/>
      <c r="D25" s="18"/>
      <c r="E25" s="18"/>
      <c r="F25" s="18"/>
      <c r="G25" s="19"/>
      <c r="H25" s="1"/>
    </row>
    <row r="26" spans="1:8" ht="15.75" customHeight="1" x14ac:dyDescent="0.25">
      <c r="A26" s="17"/>
      <c r="B26" s="18"/>
      <c r="C26" s="18"/>
      <c r="D26" s="18"/>
      <c r="E26" s="18"/>
      <c r="F26" s="18"/>
      <c r="G26" s="19"/>
      <c r="H26" s="1"/>
    </row>
    <row r="27" spans="1:8" ht="15.75" customHeight="1" x14ac:dyDescent="0.25">
      <c r="A27" s="17"/>
      <c r="B27" s="18"/>
      <c r="C27" s="18"/>
      <c r="D27" s="18"/>
      <c r="E27" s="18"/>
      <c r="F27" s="18"/>
      <c r="G27" s="19"/>
      <c r="H27" s="1"/>
    </row>
    <row r="28" spans="1:8" ht="15.75" customHeight="1" x14ac:dyDescent="0.25">
      <c r="A28" s="20"/>
      <c r="B28" s="21"/>
      <c r="C28" s="21"/>
      <c r="D28" s="21"/>
      <c r="E28" s="21"/>
      <c r="F28" s="21"/>
      <c r="G28" s="22"/>
    </row>
    <row r="29" spans="1:8" ht="15.75" customHeight="1" x14ac:dyDescent="0.25">
      <c r="A29" s="23" t="s">
        <v>70</v>
      </c>
      <c r="B29" s="24"/>
      <c r="C29" s="24"/>
      <c r="D29" s="24"/>
      <c r="E29" s="24"/>
      <c r="F29" s="24"/>
      <c r="G29" s="25"/>
    </row>
    <row r="30" spans="1:8" ht="15.75" customHeight="1" x14ac:dyDescent="0.25">
      <c r="A30" s="26" t="s">
        <v>71</v>
      </c>
      <c r="B30" s="27"/>
      <c r="C30" s="27"/>
      <c r="D30" s="27"/>
      <c r="E30" s="27"/>
      <c r="F30" s="27"/>
      <c r="G30" s="28"/>
    </row>
    <row r="31" spans="1:8" ht="15.75" customHeight="1" x14ac:dyDescent="0.25">
      <c r="A31" s="29" t="s">
        <v>72</v>
      </c>
      <c r="B31" s="30"/>
      <c r="C31" s="30"/>
      <c r="D31" s="30"/>
      <c r="E31" s="30"/>
      <c r="F31" s="30"/>
      <c r="G31" s="31"/>
    </row>
    <row r="32" spans="1:8" ht="15.75" customHeight="1" x14ac:dyDescent="0.25">
      <c r="A32" s="26" t="s">
        <v>73</v>
      </c>
      <c r="B32" s="27"/>
      <c r="C32" s="27"/>
      <c r="D32" s="27"/>
      <c r="E32" s="27"/>
      <c r="F32" s="27"/>
      <c r="G32" s="28"/>
    </row>
    <row r="33" spans="1:7" ht="15.75" customHeight="1" x14ac:dyDescent="0.25">
      <c r="A33" s="29" t="s">
        <v>74</v>
      </c>
      <c r="B33" s="30"/>
      <c r="C33" s="30"/>
      <c r="D33" s="30"/>
      <c r="E33" s="30"/>
      <c r="F33" s="30"/>
      <c r="G33" s="31"/>
    </row>
    <row r="34" spans="1:7" ht="15.75" customHeight="1" x14ac:dyDescent="0.25">
      <c r="A34" s="26" t="s">
        <v>75</v>
      </c>
      <c r="B34" s="27"/>
      <c r="C34" s="27"/>
      <c r="D34" s="27"/>
      <c r="E34" s="27"/>
      <c r="F34" s="27"/>
      <c r="G34" s="28"/>
    </row>
    <row r="35" spans="1:7" ht="15.75" customHeight="1" x14ac:dyDescent="0.25">
      <c r="A35" s="32" t="s">
        <v>76</v>
      </c>
      <c r="B35" s="33"/>
      <c r="C35" s="33"/>
      <c r="D35" s="33"/>
      <c r="E35" s="33"/>
      <c r="F35" s="33"/>
      <c r="G35" s="34"/>
    </row>
    <row r="36" spans="1:7" ht="15.75" customHeight="1" x14ac:dyDescent="0.25">
      <c r="A36" s="23" t="s">
        <v>77</v>
      </c>
      <c r="B36" s="24"/>
      <c r="C36" s="24"/>
      <c r="D36" s="24"/>
      <c r="E36" s="24"/>
      <c r="F36" s="24"/>
      <c r="G36" s="25"/>
    </row>
    <row r="37" spans="1:7" ht="15.75" customHeight="1" x14ac:dyDescent="0.25">
      <c r="A37" s="38" t="s">
        <v>80</v>
      </c>
      <c r="B37" s="44" t="s">
        <v>79</v>
      </c>
      <c r="C37" s="39"/>
      <c r="D37" s="39"/>
      <c r="E37" s="39"/>
      <c r="F37" s="39"/>
      <c r="G37" s="40"/>
    </row>
    <row r="38" spans="1:7" ht="15.75" customHeight="1" x14ac:dyDescent="0.25">
      <c r="A38" s="41" t="s">
        <v>81</v>
      </c>
      <c r="B38" s="42" t="s">
        <v>84</v>
      </c>
      <c r="C38" s="42"/>
      <c r="D38" s="42"/>
      <c r="E38" s="42"/>
      <c r="F38" s="42"/>
      <c r="G38" s="43"/>
    </row>
  </sheetData>
  <mergeCells count="12">
    <mergeCell ref="B37:G37"/>
    <mergeCell ref="B38:G38"/>
    <mergeCell ref="A32:G32"/>
    <mergeCell ref="A33:G33"/>
    <mergeCell ref="A34:G34"/>
    <mergeCell ref="A35:G35"/>
    <mergeCell ref="A36:G36"/>
    <mergeCell ref="A1:G1"/>
    <mergeCell ref="A2:G28"/>
    <mergeCell ref="A29:G29"/>
    <mergeCell ref="A30:G30"/>
    <mergeCell ref="A31:G31"/>
  </mergeCells>
  <hyperlinks>
    <hyperlink ref="A32" r:id="rId1" xr:uid="{BFD3ECE4-0489-4161-9F3C-D4A1C19009F6}"/>
    <hyperlink ref="A30" r:id="rId2" xr:uid="{8D994F2E-4BB5-4611-A61B-8369C6481689}"/>
    <hyperlink ref="A34" r:id="rId3" xr:uid="{C3F793DA-17B0-4391-BCD5-D501A17194C3}"/>
    <hyperlink ref="A35" r:id="rId4" xr:uid="{9FF55C13-0F3E-4DE1-A552-4AB27AE8E860}"/>
  </hyperlinks>
  <pageMargins left="0.7" right="0.7" top="0.75" bottom="0.75" header="0.3" footer="0.3"/>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O30"/>
  <sheetViews>
    <sheetView workbookViewId="0">
      <selection activeCell="C34" sqref="C34"/>
    </sheetView>
  </sheetViews>
  <sheetFormatPr defaultColWidth="12.6640625" defaultRowHeight="15.75" customHeight="1" x14ac:dyDescent="0.25"/>
  <cols>
    <col min="1" max="1" width="21.5546875" bestFit="1" customWidth="1"/>
    <col min="2" max="2" width="8.33203125" bestFit="1" customWidth="1"/>
    <col min="3" max="4" width="7.21875" bestFit="1" customWidth="1"/>
    <col min="5" max="5" width="7.6640625" bestFit="1" customWidth="1"/>
    <col min="6" max="6" width="6.6640625" bestFit="1" customWidth="1"/>
    <col min="7" max="7" width="6.44140625" bestFit="1" customWidth="1"/>
    <col min="8" max="8" width="6" bestFit="1" customWidth="1"/>
    <col min="9" max="9" width="10" bestFit="1" customWidth="1"/>
    <col min="10" max="10" width="6.6640625" bestFit="1" customWidth="1"/>
  </cols>
  <sheetData>
    <row r="1" spans="1:15" ht="13.2" x14ac:dyDescent="0.25">
      <c r="A1" s="2" t="s">
        <v>1</v>
      </c>
      <c r="B1" s="6" t="s">
        <v>2</v>
      </c>
      <c r="C1" s="6" t="s">
        <v>3</v>
      </c>
      <c r="D1" s="7" t="s">
        <v>4</v>
      </c>
      <c r="E1" s="7" t="s">
        <v>5</v>
      </c>
      <c r="F1" s="8" t="s">
        <v>6</v>
      </c>
      <c r="G1" s="9" t="s">
        <v>7</v>
      </c>
      <c r="H1" s="10" t="s">
        <v>8</v>
      </c>
      <c r="I1" s="11" t="s">
        <v>9</v>
      </c>
      <c r="J1" s="11" t="s">
        <v>10</v>
      </c>
      <c r="K1" s="3"/>
    </row>
    <row r="2" spans="1:15" ht="13.2" x14ac:dyDescent="0.25">
      <c r="A2" t="s">
        <v>11</v>
      </c>
      <c r="B2" t="s">
        <v>82</v>
      </c>
      <c r="C2" t="s">
        <v>12</v>
      </c>
      <c r="D2">
        <v>0.9</v>
      </c>
      <c r="E2">
        <f t="shared" ref="E2:E11" si="0">ROUND(AVERAGE($D$2:$D$11),2)</f>
        <v>1.02</v>
      </c>
      <c r="F2">
        <f t="shared" ref="F2:F11" si="1">ROUND(E2+(2.66*I2),2)</f>
        <v>2.38</v>
      </c>
      <c r="G2">
        <f t="shared" ref="G2:G11" si="2">ROUND(MAX(0,E2-(2.66*I2)),2)</f>
        <v>0</v>
      </c>
      <c r="I2">
        <f t="shared" ref="I2:I11" si="3">ROUND(AVERAGE($H$3:$H$11),2)</f>
        <v>0.51</v>
      </c>
      <c r="J2">
        <f t="shared" ref="J2:J11" si="4">ROUND(3.268*I2,2)</f>
        <v>1.67</v>
      </c>
    </row>
    <row r="3" spans="1:15" ht="13.2" x14ac:dyDescent="0.25">
      <c r="A3" t="s">
        <v>11</v>
      </c>
      <c r="B3" t="s">
        <v>82</v>
      </c>
      <c r="C3" t="s">
        <v>13</v>
      </c>
      <c r="D3">
        <v>0.6</v>
      </c>
      <c r="E3">
        <f t="shared" si="0"/>
        <v>1.02</v>
      </c>
      <c r="F3">
        <f t="shared" si="1"/>
        <v>2.38</v>
      </c>
      <c r="G3">
        <f t="shared" si="2"/>
        <v>0</v>
      </c>
      <c r="H3">
        <f t="shared" ref="H3:H11" si="5">ABS(D2-D3)</f>
        <v>0.30000000000000004</v>
      </c>
      <c r="I3">
        <f t="shared" si="3"/>
        <v>0.51</v>
      </c>
      <c r="J3">
        <f t="shared" si="4"/>
        <v>1.67</v>
      </c>
    </row>
    <row r="4" spans="1:15" ht="13.2" x14ac:dyDescent="0.25">
      <c r="A4" t="s">
        <v>11</v>
      </c>
      <c r="B4" t="s">
        <v>82</v>
      </c>
      <c r="C4" t="s">
        <v>14</v>
      </c>
      <c r="D4">
        <v>0.6</v>
      </c>
      <c r="E4">
        <f t="shared" si="0"/>
        <v>1.02</v>
      </c>
      <c r="F4">
        <f t="shared" si="1"/>
        <v>2.38</v>
      </c>
      <c r="G4">
        <f t="shared" si="2"/>
        <v>0</v>
      </c>
      <c r="H4">
        <f t="shared" si="5"/>
        <v>0</v>
      </c>
      <c r="I4">
        <f t="shared" si="3"/>
        <v>0.51</v>
      </c>
      <c r="J4">
        <f t="shared" si="4"/>
        <v>1.67</v>
      </c>
    </row>
    <row r="5" spans="1:15" ht="13.2" x14ac:dyDescent="0.25">
      <c r="A5" t="s">
        <v>11</v>
      </c>
      <c r="B5" t="s">
        <v>82</v>
      </c>
      <c r="C5" t="s">
        <v>15</v>
      </c>
      <c r="D5">
        <v>0.7</v>
      </c>
      <c r="E5">
        <f t="shared" si="0"/>
        <v>1.02</v>
      </c>
      <c r="F5">
        <f t="shared" si="1"/>
        <v>2.38</v>
      </c>
      <c r="G5">
        <f t="shared" si="2"/>
        <v>0</v>
      </c>
      <c r="H5">
        <f t="shared" si="5"/>
        <v>9.9999999999999978E-2</v>
      </c>
      <c r="I5">
        <f t="shared" si="3"/>
        <v>0.51</v>
      </c>
      <c r="J5">
        <f t="shared" si="4"/>
        <v>1.67</v>
      </c>
    </row>
    <row r="6" spans="1:15" ht="13.2" x14ac:dyDescent="0.25">
      <c r="A6" t="s">
        <v>11</v>
      </c>
      <c r="B6" t="s">
        <v>82</v>
      </c>
      <c r="C6" t="s">
        <v>16</v>
      </c>
      <c r="D6">
        <v>1.6</v>
      </c>
      <c r="E6">
        <f t="shared" si="0"/>
        <v>1.02</v>
      </c>
      <c r="F6">
        <f t="shared" si="1"/>
        <v>2.38</v>
      </c>
      <c r="G6">
        <f t="shared" si="2"/>
        <v>0</v>
      </c>
      <c r="H6">
        <f t="shared" si="5"/>
        <v>0.90000000000000013</v>
      </c>
      <c r="I6">
        <f t="shared" si="3"/>
        <v>0.51</v>
      </c>
      <c r="J6">
        <f t="shared" si="4"/>
        <v>1.67</v>
      </c>
    </row>
    <row r="7" spans="1:15" ht="13.2" x14ac:dyDescent="0.25">
      <c r="A7" t="s">
        <v>11</v>
      </c>
      <c r="B7" t="s">
        <v>82</v>
      </c>
      <c r="C7" t="s">
        <v>17</v>
      </c>
      <c r="D7">
        <v>1.7</v>
      </c>
      <c r="E7">
        <f t="shared" si="0"/>
        <v>1.02</v>
      </c>
      <c r="F7">
        <f t="shared" si="1"/>
        <v>2.38</v>
      </c>
      <c r="G7">
        <f t="shared" si="2"/>
        <v>0</v>
      </c>
      <c r="H7">
        <f t="shared" si="5"/>
        <v>9.9999999999999867E-2</v>
      </c>
      <c r="I7">
        <f t="shared" si="3"/>
        <v>0.51</v>
      </c>
      <c r="J7">
        <f t="shared" si="4"/>
        <v>1.67</v>
      </c>
    </row>
    <row r="8" spans="1:15" ht="13.2" x14ac:dyDescent="0.25">
      <c r="A8" t="s">
        <v>11</v>
      </c>
      <c r="B8" t="s">
        <v>82</v>
      </c>
      <c r="C8" t="s">
        <v>18</v>
      </c>
      <c r="D8">
        <v>0.8</v>
      </c>
      <c r="E8">
        <f t="shared" si="0"/>
        <v>1.02</v>
      </c>
      <c r="F8">
        <f t="shared" si="1"/>
        <v>2.38</v>
      </c>
      <c r="G8">
        <f t="shared" si="2"/>
        <v>0</v>
      </c>
      <c r="H8">
        <f t="shared" si="5"/>
        <v>0.89999999999999991</v>
      </c>
      <c r="I8">
        <f t="shared" si="3"/>
        <v>0.51</v>
      </c>
      <c r="J8">
        <f t="shared" si="4"/>
        <v>1.67</v>
      </c>
    </row>
    <row r="9" spans="1:15" ht="13.2" x14ac:dyDescent="0.25">
      <c r="A9" t="s">
        <v>11</v>
      </c>
      <c r="B9" t="s">
        <v>82</v>
      </c>
      <c r="C9" t="s">
        <v>19</v>
      </c>
      <c r="D9">
        <v>1.6</v>
      </c>
      <c r="E9">
        <f t="shared" si="0"/>
        <v>1.02</v>
      </c>
      <c r="F9">
        <f t="shared" si="1"/>
        <v>2.38</v>
      </c>
      <c r="G9">
        <f t="shared" si="2"/>
        <v>0</v>
      </c>
      <c r="H9">
        <f t="shared" si="5"/>
        <v>0.8</v>
      </c>
      <c r="I9">
        <f t="shared" si="3"/>
        <v>0.51</v>
      </c>
      <c r="J9">
        <f t="shared" si="4"/>
        <v>1.67</v>
      </c>
    </row>
    <row r="10" spans="1:15" ht="13.2" x14ac:dyDescent="0.25">
      <c r="A10" t="s">
        <v>11</v>
      </c>
      <c r="B10" t="s">
        <v>82</v>
      </c>
      <c r="C10" t="s">
        <v>20</v>
      </c>
      <c r="D10">
        <v>0.6</v>
      </c>
      <c r="E10">
        <f t="shared" si="0"/>
        <v>1.02</v>
      </c>
      <c r="F10">
        <f t="shared" si="1"/>
        <v>2.38</v>
      </c>
      <c r="G10">
        <f t="shared" si="2"/>
        <v>0</v>
      </c>
      <c r="H10">
        <f t="shared" si="5"/>
        <v>1</v>
      </c>
      <c r="I10">
        <f t="shared" si="3"/>
        <v>0.51</v>
      </c>
      <c r="J10">
        <f t="shared" si="4"/>
        <v>1.67</v>
      </c>
    </row>
    <row r="11" spans="1:15" ht="13.2" x14ac:dyDescent="0.25">
      <c r="A11" t="s">
        <v>11</v>
      </c>
      <c r="B11" t="s">
        <v>82</v>
      </c>
      <c r="C11" t="s">
        <v>21</v>
      </c>
      <c r="D11">
        <v>1.1000000000000001</v>
      </c>
      <c r="E11">
        <f t="shared" si="0"/>
        <v>1.02</v>
      </c>
      <c r="F11">
        <f t="shared" si="1"/>
        <v>2.38</v>
      </c>
      <c r="G11">
        <f t="shared" si="2"/>
        <v>0</v>
      </c>
      <c r="H11">
        <f t="shared" si="5"/>
        <v>0.50000000000000011</v>
      </c>
      <c r="I11">
        <f t="shared" si="3"/>
        <v>0.51</v>
      </c>
      <c r="J11">
        <f t="shared" si="4"/>
        <v>1.67</v>
      </c>
    </row>
    <row r="12" spans="1:15" ht="13.2" x14ac:dyDescent="0.25"/>
    <row r="13" spans="1:15" ht="13.2" x14ac:dyDescent="0.25">
      <c r="A13" t="s">
        <v>1</v>
      </c>
      <c r="B13" t="s">
        <v>2</v>
      </c>
      <c r="C13" t="s">
        <v>3</v>
      </c>
      <c r="D13" t="s">
        <v>4</v>
      </c>
      <c r="E13" s="5" t="s">
        <v>5</v>
      </c>
      <c r="F13" s="5" t="s">
        <v>6</v>
      </c>
      <c r="G13" s="5" t="s">
        <v>7</v>
      </c>
      <c r="H13" s="5" t="s">
        <v>8</v>
      </c>
      <c r="I13" s="5" t="s">
        <v>9</v>
      </c>
      <c r="J13" s="5" t="s">
        <v>10</v>
      </c>
    </row>
    <row r="14" spans="1:15" ht="13.2" x14ac:dyDescent="0.25">
      <c r="A14" t="s">
        <v>11</v>
      </c>
      <c r="B14" t="s">
        <v>83</v>
      </c>
      <c r="C14" t="s">
        <v>22</v>
      </c>
      <c r="D14">
        <v>0.6</v>
      </c>
      <c r="E14">
        <f t="shared" ref="E14:E23" si="6">ROUND(AVERAGE($D$14:$D$23),2)</f>
        <v>1.36</v>
      </c>
      <c r="F14">
        <f t="shared" ref="F14:F23" si="7">ROUND(E14+(2.66*I14),2)</f>
        <v>2.64</v>
      </c>
      <c r="G14">
        <f t="shared" ref="G14:G23" si="8">ROUND(MAX(0,E14-(2.66*I14)),2)</f>
        <v>0.08</v>
      </c>
      <c r="I14">
        <f>ROUND(AVERAGE($H$15:H23),2)</f>
        <v>0.48</v>
      </c>
      <c r="J14">
        <f t="shared" ref="J14:J23" si="9">ROUND(3.268*I14,2)</f>
        <v>1.57</v>
      </c>
    </row>
    <row r="15" spans="1:15" ht="13.2" x14ac:dyDescent="0.25">
      <c r="A15" t="s">
        <v>11</v>
      </c>
      <c r="B15" t="s">
        <v>83</v>
      </c>
      <c r="C15" t="s">
        <v>23</v>
      </c>
      <c r="D15">
        <v>0.5</v>
      </c>
      <c r="E15">
        <f t="shared" si="6"/>
        <v>1.36</v>
      </c>
      <c r="F15">
        <f t="shared" si="7"/>
        <v>2.64</v>
      </c>
      <c r="G15">
        <f t="shared" si="8"/>
        <v>0.08</v>
      </c>
      <c r="H15">
        <f t="shared" ref="H15:H23" si="10">ABS(D14-D15)</f>
        <v>9.9999999999999978E-2</v>
      </c>
      <c r="I15">
        <f>ROUND(AVERAGE($H$15:H24),2)</f>
        <v>0.48</v>
      </c>
      <c r="J15">
        <f t="shared" si="9"/>
        <v>1.57</v>
      </c>
    </row>
    <row r="16" spans="1:15" ht="13.2" x14ac:dyDescent="0.25">
      <c r="A16" t="s">
        <v>11</v>
      </c>
      <c r="B16" t="s">
        <v>83</v>
      </c>
      <c r="C16" t="s">
        <v>24</v>
      </c>
      <c r="D16">
        <v>0.6</v>
      </c>
      <c r="E16">
        <f t="shared" si="6"/>
        <v>1.36</v>
      </c>
      <c r="F16">
        <f t="shared" si="7"/>
        <v>2.64</v>
      </c>
      <c r="G16">
        <f t="shared" si="8"/>
        <v>0.08</v>
      </c>
      <c r="H16">
        <f t="shared" si="10"/>
        <v>9.9999999999999978E-2</v>
      </c>
      <c r="I16">
        <f>ROUND(AVERAGE($H$15:H25),2)</f>
        <v>0.48</v>
      </c>
      <c r="J16">
        <f t="shared" si="9"/>
        <v>1.57</v>
      </c>
      <c r="O16" s="5"/>
    </row>
    <row r="17" spans="1:15" ht="13.2" x14ac:dyDescent="0.25">
      <c r="A17" t="s">
        <v>11</v>
      </c>
      <c r="B17" t="s">
        <v>83</v>
      </c>
      <c r="C17" t="s">
        <v>25</v>
      </c>
      <c r="D17">
        <v>1.7</v>
      </c>
      <c r="E17">
        <f t="shared" si="6"/>
        <v>1.36</v>
      </c>
      <c r="F17">
        <f t="shared" si="7"/>
        <v>2.64</v>
      </c>
      <c r="G17">
        <f t="shared" si="8"/>
        <v>0.08</v>
      </c>
      <c r="H17">
        <f t="shared" si="10"/>
        <v>1.1000000000000001</v>
      </c>
      <c r="I17">
        <f>ROUND(AVERAGE($H$15:H26),2)</f>
        <v>0.48</v>
      </c>
      <c r="J17">
        <f t="shared" si="9"/>
        <v>1.57</v>
      </c>
    </row>
    <row r="18" spans="1:15" ht="13.2" x14ac:dyDescent="0.25">
      <c r="A18" t="s">
        <v>11</v>
      </c>
      <c r="B18" t="s">
        <v>83</v>
      </c>
      <c r="C18" t="s">
        <v>26</v>
      </c>
      <c r="D18">
        <v>1.8</v>
      </c>
      <c r="E18">
        <f t="shared" si="6"/>
        <v>1.36</v>
      </c>
      <c r="F18">
        <f t="shared" si="7"/>
        <v>2.64</v>
      </c>
      <c r="G18">
        <f t="shared" si="8"/>
        <v>0.08</v>
      </c>
      <c r="H18">
        <f t="shared" si="10"/>
        <v>0.10000000000000009</v>
      </c>
      <c r="I18">
        <f>ROUND(AVERAGE($H$15:H27),2)</f>
        <v>0.48</v>
      </c>
      <c r="J18">
        <f t="shared" si="9"/>
        <v>1.57</v>
      </c>
    </row>
    <row r="19" spans="1:15" ht="13.2" x14ac:dyDescent="0.25">
      <c r="A19" t="s">
        <v>11</v>
      </c>
      <c r="B19" t="s">
        <v>83</v>
      </c>
      <c r="C19" t="s">
        <v>27</v>
      </c>
      <c r="D19">
        <v>2</v>
      </c>
      <c r="E19">
        <f t="shared" si="6"/>
        <v>1.36</v>
      </c>
      <c r="F19">
        <f t="shared" si="7"/>
        <v>2.64</v>
      </c>
      <c r="G19">
        <f t="shared" si="8"/>
        <v>0.08</v>
      </c>
      <c r="H19">
        <f t="shared" si="10"/>
        <v>0.19999999999999996</v>
      </c>
      <c r="I19">
        <f>ROUND(AVERAGE($H$15:H28),2)</f>
        <v>0.48</v>
      </c>
      <c r="J19">
        <f t="shared" si="9"/>
        <v>1.57</v>
      </c>
      <c r="O19" s="5"/>
    </row>
    <row r="20" spans="1:15" ht="13.2" x14ac:dyDescent="0.25">
      <c r="A20" t="s">
        <v>11</v>
      </c>
      <c r="B20" t="s">
        <v>83</v>
      </c>
      <c r="C20" t="s">
        <v>28</v>
      </c>
      <c r="D20">
        <v>1.3</v>
      </c>
      <c r="E20">
        <f t="shared" si="6"/>
        <v>1.36</v>
      </c>
      <c r="F20">
        <f t="shared" si="7"/>
        <v>2.64</v>
      </c>
      <c r="G20">
        <f t="shared" si="8"/>
        <v>0.08</v>
      </c>
      <c r="H20">
        <f t="shared" si="10"/>
        <v>0.7</v>
      </c>
      <c r="I20">
        <f>ROUND(AVERAGE($H$15:H29),2)</f>
        <v>0.48</v>
      </c>
      <c r="J20">
        <f t="shared" si="9"/>
        <v>1.57</v>
      </c>
    </row>
    <row r="21" spans="1:15" ht="13.2" x14ac:dyDescent="0.25">
      <c r="A21" t="s">
        <v>11</v>
      </c>
      <c r="B21" t="s">
        <v>83</v>
      </c>
      <c r="C21" t="s">
        <v>29</v>
      </c>
      <c r="D21">
        <v>2.1</v>
      </c>
      <c r="E21">
        <f t="shared" si="6"/>
        <v>1.36</v>
      </c>
      <c r="F21">
        <f t="shared" si="7"/>
        <v>2.64</v>
      </c>
      <c r="G21">
        <f t="shared" si="8"/>
        <v>0.08</v>
      </c>
      <c r="H21">
        <f t="shared" si="10"/>
        <v>0.8</v>
      </c>
      <c r="I21">
        <f>ROUND(AVERAGE($H$15:H30),2)</f>
        <v>0.48</v>
      </c>
      <c r="J21">
        <f t="shared" si="9"/>
        <v>1.57</v>
      </c>
    </row>
    <row r="22" spans="1:15" ht="13.2" x14ac:dyDescent="0.25">
      <c r="A22" t="s">
        <v>11</v>
      </c>
      <c r="B22" t="s">
        <v>83</v>
      </c>
      <c r="C22" t="s">
        <v>30</v>
      </c>
      <c r="D22">
        <v>1.3</v>
      </c>
      <c r="E22">
        <f t="shared" si="6"/>
        <v>1.36</v>
      </c>
      <c r="F22">
        <f t="shared" si="7"/>
        <v>2.64</v>
      </c>
      <c r="G22">
        <f t="shared" si="8"/>
        <v>0.08</v>
      </c>
      <c r="H22">
        <f t="shared" si="10"/>
        <v>0.8</v>
      </c>
      <c r="I22">
        <f>ROUND(AVERAGE($H$15:H31),2)</f>
        <v>0.48</v>
      </c>
      <c r="J22">
        <f t="shared" si="9"/>
        <v>1.57</v>
      </c>
    </row>
    <row r="23" spans="1:15" ht="13.2" x14ac:dyDescent="0.25">
      <c r="A23" t="s">
        <v>11</v>
      </c>
      <c r="B23" t="s">
        <v>83</v>
      </c>
      <c r="C23" t="s">
        <v>31</v>
      </c>
      <c r="D23">
        <v>1.7</v>
      </c>
      <c r="E23">
        <f t="shared" si="6"/>
        <v>1.36</v>
      </c>
      <c r="F23">
        <f t="shared" si="7"/>
        <v>2.64</v>
      </c>
      <c r="G23">
        <f t="shared" si="8"/>
        <v>0.08</v>
      </c>
      <c r="H23">
        <f t="shared" si="10"/>
        <v>0.39999999999999991</v>
      </c>
      <c r="I23">
        <f>ROUND(AVERAGE($H$15:H32),2)</f>
        <v>0.48</v>
      </c>
      <c r="J23">
        <f t="shared" si="9"/>
        <v>1.57</v>
      </c>
    </row>
    <row r="27" spans="1:15" ht="15.75" customHeight="1" x14ac:dyDescent="0.25">
      <c r="B27" s="5"/>
    </row>
    <row r="30" spans="1:15" ht="15.75" customHeight="1" x14ac:dyDescent="0.25">
      <c r="B30" s="5"/>
    </row>
  </sheetData>
  <pageMargins left="0.7" right="0.7" top="0.75" bottom="0.75" header="0.3" footer="0.3"/>
  <pageSetup orientation="landscape" r:id="rId1"/>
  <drawing r:id="rId2"/>
  <tableParts count="2">
    <tablePart r:id="rId3"/>
    <tablePart r:id="rId4"/>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4C79CE-3AF3-4BBA-A53D-61144E7F573B}">
  <sheetPr>
    <outlinePr summaryBelow="0" summaryRight="0"/>
  </sheetPr>
  <dimension ref="A1:O29"/>
  <sheetViews>
    <sheetView workbookViewId="0">
      <selection activeCell="R32" sqref="R32"/>
    </sheetView>
  </sheetViews>
  <sheetFormatPr defaultColWidth="12.6640625" defaultRowHeight="15.75" customHeight="1" x14ac:dyDescent="0.25"/>
  <cols>
    <col min="1" max="1" width="20.88671875" bestFit="1" customWidth="1"/>
    <col min="2" max="2" width="8" bestFit="1" customWidth="1"/>
    <col min="3" max="3" width="7.109375" bestFit="1" customWidth="1"/>
    <col min="4" max="4" width="6.88671875" bestFit="1" customWidth="1"/>
    <col min="5" max="5" width="7.6640625" bestFit="1" customWidth="1"/>
    <col min="6" max="6" width="6.6640625" bestFit="1" customWidth="1"/>
    <col min="7" max="7" width="6.44140625" bestFit="1" customWidth="1"/>
    <col min="8" max="8" width="6" bestFit="1" customWidth="1"/>
    <col min="9" max="9" width="10" bestFit="1" customWidth="1"/>
    <col min="10" max="10" width="6.6640625" bestFit="1" customWidth="1"/>
  </cols>
  <sheetData>
    <row r="1" spans="1:15" ht="13.2" x14ac:dyDescent="0.25">
      <c r="A1" s="2" t="s">
        <v>1</v>
      </c>
      <c r="B1" s="6" t="s">
        <v>2</v>
      </c>
      <c r="C1" s="6" t="s">
        <v>3</v>
      </c>
      <c r="D1" s="7" t="s">
        <v>4</v>
      </c>
      <c r="E1" s="7" t="s">
        <v>5</v>
      </c>
      <c r="F1" s="8" t="s">
        <v>6</v>
      </c>
      <c r="G1" s="9" t="s">
        <v>7</v>
      </c>
      <c r="H1" s="10" t="s">
        <v>8</v>
      </c>
      <c r="I1" s="11" t="s">
        <v>9</v>
      </c>
      <c r="J1" s="11" t="s">
        <v>10</v>
      </c>
      <c r="K1" s="3"/>
    </row>
    <row r="2" spans="1:15" ht="13.2" x14ac:dyDescent="0.25">
      <c r="A2" t="s">
        <v>32</v>
      </c>
      <c r="B2" t="s">
        <v>82</v>
      </c>
      <c r="C2" t="s">
        <v>12</v>
      </c>
      <c r="D2">
        <v>2.1</v>
      </c>
      <c r="E2">
        <f t="shared" ref="E2:E11" si="0">ROUND(AVERAGE($D$2:$D$11),2)</f>
        <v>1.02</v>
      </c>
      <c r="F2">
        <f t="shared" ref="F2:F11" si="1">ROUND(E2+(2.66*I2),2)</f>
        <v>2.2999999999999998</v>
      </c>
      <c r="G2">
        <f t="shared" ref="G2:G11" si="2">ROUND(MAX(0,E2-(2.66*I2)),2)</f>
        <v>0</v>
      </c>
      <c r="I2">
        <f t="shared" ref="I2:I11" si="3">ROUND(AVERAGE($H$3:$H$11),2)</f>
        <v>0.48</v>
      </c>
      <c r="J2">
        <f t="shared" ref="J2:J11" si="4">ROUND(3.268*I2,2)</f>
        <v>1.57</v>
      </c>
    </row>
    <row r="3" spans="1:15" ht="13.2" x14ac:dyDescent="0.25">
      <c r="A3" t="s">
        <v>32</v>
      </c>
      <c r="B3" t="s">
        <v>82</v>
      </c>
      <c r="C3" t="s">
        <v>13</v>
      </c>
      <c r="D3">
        <v>1.4</v>
      </c>
      <c r="E3">
        <f t="shared" si="0"/>
        <v>1.02</v>
      </c>
      <c r="F3">
        <f t="shared" si="1"/>
        <v>2.2999999999999998</v>
      </c>
      <c r="G3">
        <f t="shared" si="2"/>
        <v>0</v>
      </c>
      <c r="H3">
        <f t="shared" ref="H3:H11" si="5">ABS(D2-D3)</f>
        <v>0.70000000000000018</v>
      </c>
      <c r="I3">
        <f t="shared" si="3"/>
        <v>0.48</v>
      </c>
      <c r="J3">
        <f t="shared" si="4"/>
        <v>1.57</v>
      </c>
    </row>
    <row r="4" spans="1:15" ht="13.2" x14ac:dyDescent="0.25">
      <c r="A4" t="s">
        <v>32</v>
      </c>
      <c r="B4" t="s">
        <v>82</v>
      </c>
      <c r="C4" t="s">
        <v>14</v>
      </c>
      <c r="D4">
        <v>0.4</v>
      </c>
      <c r="E4">
        <f t="shared" si="0"/>
        <v>1.02</v>
      </c>
      <c r="F4">
        <f t="shared" si="1"/>
        <v>2.2999999999999998</v>
      </c>
      <c r="G4">
        <f t="shared" si="2"/>
        <v>0</v>
      </c>
      <c r="H4">
        <f t="shared" si="5"/>
        <v>0.99999999999999989</v>
      </c>
      <c r="I4">
        <f t="shared" si="3"/>
        <v>0.48</v>
      </c>
      <c r="J4">
        <f t="shared" si="4"/>
        <v>1.57</v>
      </c>
    </row>
    <row r="5" spans="1:15" ht="13.2" x14ac:dyDescent="0.25">
      <c r="A5" t="s">
        <v>32</v>
      </c>
      <c r="B5" t="s">
        <v>82</v>
      </c>
      <c r="C5" t="s">
        <v>15</v>
      </c>
      <c r="D5">
        <v>0.4</v>
      </c>
      <c r="E5">
        <f t="shared" si="0"/>
        <v>1.02</v>
      </c>
      <c r="F5">
        <f t="shared" si="1"/>
        <v>2.2999999999999998</v>
      </c>
      <c r="G5">
        <f t="shared" si="2"/>
        <v>0</v>
      </c>
      <c r="H5">
        <f t="shared" si="5"/>
        <v>0</v>
      </c>
      <c r="I5">
        <f t="shared" si="3"/>
        <v>0.48</v>
      </c>
      <c r="J5">
        <f t="shared" si="4"/>
        <v>1.57</v>
      </c>
    </row>
    <row r="6" spans="1:15" ht="13.2" x14ac:dyDescent="0.25">
      <c r="A6" t="s">
        <v>32</v>
      </c>
      <c r="B6" t="s">
        <v>82</v>
      </c>
      <c r="C6" t="s">
        <v>16</v>
      </c>
      <c r="D6">
        <v>0.4</v>
      </c>
      <c r="E6">
        <f t="shared" si="0"/>
        <v>1.02</v>
      </c>
      <c r="F6">
        <f t="shared" si="1"/>
        <v>2.2999999999999998</v>
      </c>
      <c r="G6">
        <f t="shared" si="2"/>
        <v>0</v>
      </c>
      <c r="H6">
        <f t="shared" si="5"/>
        <v>0</v>
      </c>
      <c r="I6">
        <f t="shared" si="3"/>
        <v>0.48</v>
      </c>
      <c r="J6">
        <f t="shared" si="4"/>
        <v>1.57</v>
      </c>
    </row>
    <row r="7" spans="1:15" ht="13.2" x14ac:dyDescent="0.25">
      <c r="A7" t="s">
        <v>32</v>
      </c>
      <c r="B7" t="s">
        <v>82</v>
      </c>
      <c r="C7" t="s">
        <v>17</v>
      </c>
      <c r="D7">
        <v>0.6</v>
      </c>
      <c r="E7">
        <f t="shared" si="0"/>
        <v>1.02</v>
      </c>
      <c r="F7">
        <f t="shared" si="1"/>
        <v>2.2999999999999998</v>
      </c>
      <c r="G7">
        <f t="shared" si="2"/>
        <v>0</v>
      </c>
      <c r="H7">
        <f t="shared" si="5"/>
        <v>0.19999999999999996</v>
      </c>
      <c r="I7">
        <f t="shared" si="3"/>
        <v>0.48</v>
      </c>
      <c r="J7">
        <f t="shared" si="4"/>
        <v>1.57</v>
      </c>
    </row>
    <row r="8" spans="1:15" ht="13.2" x14ac:dyDescent="0.25">
      <c r="A8" t="s">
        <v>32</v>
      </c>
      <c r="B8" t="s">
        <v>82</v>
      </c>
      <c r="C8" t="s">
        <v>18</v>
      </c>
      <c r="D8">
        <v>0.8</v>
      </c>
      <c r="E8">
        <f t="shared" si="0"/>
        <v>1.02</v>
      </c>
      <c r="F8">
        <f t="shared" si="1"/>
        <v>2.2999999999999998</v>
      </c>
      <c r="G8">
        <f t="shared" si="2"/>
        <v>0</v>
      </c>
      <c r="H8">
        <f t="shared" si="5"/>
        <v>0.20000000000000007</v>
      </c>
      <c r="I8">
        <f t="shared" si="3"/>
        <v>0.48</v>
      </c>
      <c r="J8">
        <f t="shared" si="4"/>
        <v>1.57</v>
      </c>
    </row>
    <row r="9" spans="1:15" ht="13.2" x14ac:dyDescent="0.25">
      <c r="A9" t="s">
        <v>32</v>
      </c>
      <c r="B9" t="s">
        <v>82</v>
      </c>
      <c r="C9" t="s">
        <v>19</v>
      </c>
      <c r="D9">
        <v>0.6</v>
      </c>
      <c r="E9">
        <f t="shared" si="0"/>
        <v>1.02</v>
      </c>
      <c r="F9">
        <f t="shared" si="1"/>
        <v>2.2999999999999998</v>
      </c>
      <c r="G9">
        <f t="shared" si="2"/>
        <v>0</v>
      </c>
      <c r="H9">
        <f t="shared" si="5"/>
        <v>0.20000000000000007</v>
      </c>
      <c r="I9">
        <f t="shared" si="3"/>
        <v>0.48</v>
      </c>
      <c r="J9">
        <f t="shared" si="4"/>
        <v>1.57</v>
      </c>
    </row>
    <row r="10" spans="1:15" ht="13.2" x14ac:dyDescent="0.25">
      <c r="A10" t="s">
        <v>32</v>
      </c>
      <c r="B10" t="s">
        <v>82</v>
      </c>
      <c r="C10" t="s">
        <v>20</v>
      </c>
      <c r="D10">
        <v>0.9</v>
      </c>
      <c r="E10">
        <f t="shared" si="0"/>
        <v>1.02</v>
      </c>
      <c r="F10">
        <f t="shared" si="1"/>
        <v>2.2999999999999998</v>
      </c>
      <c r="G10">
        <f t="shared" si="2"/>
        <v>0</v>
      </c>
      <c r="H10">
        <f t="shared" si="5"/>
        <v>0.30000000000000004</v>
      </c>
      <c r="I10">
        <f t="shared" si="3"/>
        <v>0.48</v>
      </c>
      <c r="J10">
        <f t="shared" si="4"/>
        <v>1.57</v>
      </c>
    </row>
    <row r="11" spans="1:15" ht="13.2" x14ac:dyDescent="0.25">
      <c r="A11" t="s">
        <v>32</v>
      </c>
      <c r="B11" t="s">
        <v>82</v>
      </c>
      <c r="C11" t="s">
        <v>21</v>
      </c>
      <c r="D11">
        <v>2.6</v>
      </c>
      <c r="E11">
        <f t="shared" si="0"/>
        <v>1.02</v>
      </c>
      <c r="F11">
        <f t="shared" si="1"/>
        <v>2.2999999999999998</v>
      </c>
      <c r="G11">
        <f t="shared" si="2"/>
        <v>0</v>
      </c>
      <c r="H11">
        <f t="shared" si="5"/>
        <v>1.7000000000000002</v>
      </c>
      <c r="I11">
        <f t="shared" si="3"/>
        <v>0.48</v>
      </c>
      <c r="J11">
        <f t="shared" si="4"/>
        <v>1.57</v>
      </c>
    </row>
    <row r="12" spans="1:15" ht="13.2" x14ac:dyDescent="0.25"/>
    <row r="13" spans="1:15" ht="13.2" x14ac:dyDescent="0.25">
      <c r="A13" t="s">
        <v>1</v>
      </c>
      <c r="B13" t="s">
        <v>2</v>
      </c>
      <c r="C13" t="s">
        <v>3</v>
      </c>
      <c r="D13" t="s">
        <v>4</v>
      </c>
      <c r="E13" s="5" t="s">
        <v>5</v>
      </c>
      <c r="F13" s="5" t="s">
        <v>6</v>
      </c>
      <c r="G13" s="5" t="s">
        <v>7</v>
      </c>
      <c r="H13" s="5" t="s">
        <v>8</v>
      </c>
      <c r="I13" s="5" t="s">
        <v>9</v>
      </c>
      <c r="J13" s="5" t="s">
        <v>10</v>
      </c>
    </row>
    <row r="14" spans="1:15" ht="13.2" x14ac:dyDescent="0.25">
      <c r="A14" t="s">
        <v>32</v>
      </c>
      <c r="B14" t="s">
        <v>83</v>
      </c>
      <c r="C14" t="s">
        <v>22</v>
      </c>
      <c r="D14">
        <v>6.6</v>
      </c>
      <c r="E14">
        <f t="shared" ref="E14:E23" si="6">ROUND(AVERAGE($D$14:$D$23),2)</f>
        <v>6.26</v>
      </c>
      <c r="F14">
        <f t="shared" ref="F14:F23" si="7">ROUND(E14+(2.66*I14),2)</f>
        <v>13.89</v>
      </c>
      <c r="G14">
        <f t="shared" ref="G14:G23" si="8">ROUND(MAX(0,E14-(2.66*I14)),2)</f>
        <v>0</v>
      </c>
      <c r="I14">
        <f>ROUND(AVERAGE($H$15:H23),2)</f>
        <v>2.87</v>
      </c>
      <c r="J14">
        <f t="shared" ref="J14:J23" si="9">ROUND(3.268*I14,2)</f>
        <v>9.3800000000000008</v>
      </c>
    </row>
    <row r="15" spans="1:15" ht="13.2" x14ac:dyDescent="0.25">
      <c r="A15" t="s">
        <v>32</v>
      </c>
      <c r="B15" t="s">
        <v>83</v>
      </c>
      <c r="C15" t="s">
        <v>23</v>
      </c>
      <c r="D15">
        <v>3.2</v>
      </c>
      <c r="E15">
        <f t="shared" si="6"/>
        <v>6.26</v>
      </c>
      <c r="F15">
        <f t="shared" si="7"/>
        <v>13.89</v>
      </c>
      <c r="G15">
        <f t="shared" si="8"/>
        <v>0</v>
      </c>
      <c r="H15">
        <f t="shared" ref="H15:H23" si="10">ABS(D14-D15)</f>
        <v>3.3999999999999995</v>
      </c>
      <c r="I15">
        <f>ROUND(AVERAGE($H$15:H24),2)</f>
        <v>2.87</v>
      </c>
      <c r="J15">
        <f t="shared" si="9"/>
        <v>9.3800000000000008</v>
      </c>
    </row>
    <row r="16" spans="1:15" ht="13.2" x14ac:dyDescent="0.25">
      <c r="A16" t="s">
        <v>32</v>
      </c>
      <c r="B16" t="s">
        <v>83</v>
      </c>
      <c r="C16" t="s">
        <v>24</v>
      </c>
      <c r="D16">
        <v>5.3</v>
      </c>
      <c r="E16">
        <f t="shared" si="6"/>
        <v>6.26</v>
      </c>
      <c r="F16">
        <f t="shared" si="7"/>
        <v>13.89</v>
      </c>
      <c r="G16">
        <f t="shared" si="8"/>
        <v>0</v>
      </c>
      <c r="H16">
        <f t="shared" si="10"/>
        <v>2.0999999999999996</v>
      </c>
      <c r="I16">
        <f>ROUND(AVERAGE($H$15:H25),2)</f>
        <v>2.87</v>
      </c>
      <c r="J16">
        <f t="shared" si="9"/>
        <v>9.3800000000000008</v>
      </c>
      <c r="O16" s="5"/>
    </row>
    <row r="17" spans="1:15" ht="13.2" x14ac:dyDescent="0.25">
      <c r="A17" t="s">
        <v>32</v>
      </c>
      <c r="B17" t="s">
        <v>83</v>
      </c>
      <c r="C17" t="s">
        <v>25</v>
      </c>
      <c r="D17">
        <v>7.7</v>
      </c>
      <c r="E17">
        <f t="shared" si="6"/>
        <v>6.26</v>
      </c>
      <c r="F17">
        <f t="shared" si="7"/>
        <v>13.89</v>
      </c>
      <c r="G17">
        <f t="shared" si="8"/>
        <v>0</v>
      </c>
      <c r="H17">
        <f t="shared" si="10"/>
        <v>2.4000000000000004</v>
      </c>
      <c r="I17">
        <f>ROUND(AVERAGE($H$15:H26),2)</f>
        <v>2.87</v>
      </c>
      <c r="J17">
        <f t="shared" si="9"/>
        <v>9.3800000000000008</v>
      </c>
    </row>
    <row r="18" spans="1:15" ht="13.2" x14ac:dyDescent="0.25">
      <c r="A18" t="s">
        <v>32</v>
      </c>
      <c r="B18" t="s">
        <v>83</v>
      </c>
      <c r="C18" t="s">
        <v>26</v>
      </c>
      <c r="D18">
        <v>5.6</v>
      </c>
      <c r="E18">
        <f t="shared" si="6"/>
        <v>6.26</v>
      </c>
      <c r="F18">
        <f t="shared" si="7"/>
        <v>13.89</v>
      </c>
      <c r="G18">
        <f t="shared" si="8"/>
        <v>0</v>
      </c>
      <c r="H18">
        <f t="shared" si="10"/>
        <v>2.1000000000000005</v>
      </c>
      <c r="I18">
        <f>ROUND(AVERAGE($H$15:H27),2)</f>
        <v>2.87</v>
      </c>
      <c r="J18">
        <f t="shared" si="9"/>
        <v>9.3800000000000008</v>
      </c>
    </row>
    <row r="19" spans="1:15" ht="13.2" x14ac:dyDescent="0.25">
      <c r="A19" t="s">
        <v>32</v>
      </c>
      <c r="B19" t="s">
        <v>83</v>
      </c>
      <c r="C19" t="s">
        <v>27</v>
      </c>
      <c r="D19">
        <v>7.5</v>
      </c>
      <c r="E19">
        <f t="shared" si="6"/>
        <v>6.26</v>
      </c>
      <c r="F19">
        <f t="shared" si="7"/>
        <v>13.89</v>
      </c>
      <c r="G19">
        <f t="shared" si="8"/>
        <v>0</v>
      </c>
      <c r="H19">
        <f t="shared" si="10"/>
        <v>1.9000000000000004</v>
      </c>
      <c r="I19">
        <f>ROUND(AVERAGE($H$15:H28),2)</f>
        <v>2.87</v>
      </c>
      <c r="J19">
        <f t="shared" si="9"/>
        <v>9.3800000000000008</v>
      </c>
      <c r="O19" s="5"/>
    </row>
    <row r="20" spans="1:15" ht="13.2" x14ac:dyDescent="0.25">
      <c r="A20" t="s">
        <v>32</v>
      </c>
      <c r="B20" t="s">
        <v>83</v>
      </c>
      <c r="C20" t="s">
        <v>28</v>
      </c>
      <c r="D20">
        <v>9.1</v>
      </c>
      <c r="E20">
        <f t="shared" si="6"/>
        <v>6.26</v>
      </c>
      <c r="F20">
        <f t="shared" si="7"/>
        <v>13.89</v>
      </c>
      <c r="G20">
        <f t="shared" si="8"/>
        <v>0</v>
      </c>
      <c r="H20">
        <f t="shared" si="10"/>
        <v>1.5999999999999996</v>
      </c>
      <c r="I20">
        <f>ROUND(AVERAGE($H$15:H29),2)</f>
        <v>2.87</v>
      </c>
      <c r="J20">
        <f t="shared" si="9"/>
        <v>9.3800000000000008</v>
      </c>
    </row>
    <row r="21" spans="1:15" ht="13.2" x14ac:dyDescent="0.25">
      <c r="A21" t="s">
        <v>32</v>
      </c>
      <c r="B21" t="s">
        <v>83</v>
      </c>
      <c r="C21" t="s">
        <v>29</v>
      </c>
      <c r="D21">
        <v>3</v>
      </c>
      <c r="E21">
        <f t="shared" si="6"/>
        <v>6.26</v>
      </c>
      <c r="F21">
        <f t="shared" si="7"/>
        <v>13.89</v>
      </c>
      <c r="G21">
        <f t="shared" si="8"/>
        <v>0</v>
      </c>
      <c r="H21">
        <f t="shared" si="10"/>
        <v>6.1</v>
      </c>
      <c r="I21">
        <f>ROUND(AVERAGE($H$15:H30),2)</f>
        <v>2.87</v>
      </c>
      <c r="J21">
        <f t="shared" si="9"/>
        <v>9.3800000000000008</v>
      </c>
    </row>
    <row r="22" spans="1:15" ht="13.2" x14ac:dyDescent="0.25">
      <c r="A22" t="s">
        <v>32</v>
      </c>
      <c r="B22" t="s">
        <v>83</v>
      </c>
      <c r="C22" t="s">
        <v>30</v>
      </c>
      <c r="D22">
        <v>5.4</v>
      </c>
      <c r="E22">
        <f t="shared" si="6"/>
        <v>6.26</v>
      </c>
      <c r="F22">
        <f t="shared" si="7"/>
        <v>13.89</v>
      </c>
      <c r="G22">
        <f t="shared" si="8"/>
        <v>0</v>
      </c>
      <c r="H22">
        <f t="shared" si="10"/>
        <v>2.4000000000000004</v>
      </c>
      <c r="I22">
        <f>ROUND(AVERAGE($H$15:H31),2)</f>
        <v>2.87</v>
      </c>
      <c r="J22">
        <f t="shared" si="9"/>
        <v>9.3800000000000008</v>
      </c>
    </row>
    <row r="23" spans="1:15" ht="13.2" x14ac:dyDescent="0.25">
      <c r="A23" t="s">
        <v>32</v>
      </c>
      <c r="B23" t="s">
        <v>83</v>
      </c>
      <c r="C23" t="s">
        <v>31</v>
      </c>
      <c r="D23">
        <v>9.1999999999999993</v>
      </c>
      <c r="E23">
        <f t="shared" si="6"/>
        <v>6.26</v>
      </c>
      <c r="F23">
        <f t="shared" si="7"/>
        <v>13.89</v>
      </c>
      <c r="G23">
        <f t="shared" si="8"/>
        <v>0</v>
      </c>
      <c r="H23">
        <f t="shared" si="10"/>
        <v>3.7999999999999989</v>
      </c>
      <c r="I23">
        <f>ROUND(AVERAGE($H$15:H32),2)</f>
        <v>2.87</v>
      </c>
      <c r="J23">
        <f t="shared" si="9"/>
        <v>9.3800000000000008</v>
      </c>
    </row>
    <row r="26" spans="1:15" ht="15.75" customHeight="1" x14ac:dyDescent="0.25">
      <c r="B26" s="5"/>
    </row>
    <row r="29" spans="1:15" ht="15.75" customHeight="1" x14ac:dyDescent="0.25">
      <c r="B29" s="5"/>
    </row>
  </sheetData>
  <pageMargins left="0.7" right="0.7" top="0.75" bottom="0.75" header="0.3" footer="0.3"/>
  <drawing r:id="rId1"/>
  <tableParts count="2">
    <tablePart r:id="rId2"/>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I117"/>
  <sheetViews>
    <sheetView zoomScaleNormal="100" workbookViewId="0">
      <selection activeCell="J13" sqref="J13"/>
    </sheetView>
  </sheetViews>
  <sheetFormatPr defaultColWidth="12.6640625" defaultRowHeight="15.75" customHeight="1" x14ac:dyDescent="0.25"/>
  <cols>
    <col min="1" max="1" width="20.77734375" bestFit="1" customWidth="1"/>
    <col min="2" max="3" width="7.21875" bestFit="1" customWidth="1"/>
  </cols>
  <sheetData>
    <row r="1" spans="1:9" ht="13.2" x14ac:dyDescent="0.25">
      <c r="A1" s="12" t="s">
        <v>1</v>
      </c>
      <c r="B1" s="13" t="s">
        <v>3</v>
      </c>
      <c r="C1" s="13" t="s">
        <v>4</v>
      </c>
      <c r="D1" s="11" t="s">
        <v>5</v>
      </c>
      <c r="E1" s="11" t="s">
        <v>6</v>
      </c>
      <c r="F1" s="11" t="s">
        <v>7</v>
      </c>
      <c r="G1" s="11" t="s">
        <v>8</v>
      </c>
      <c r="H1" s="11" t="s">
        <v>9</v>
      </c>
      <c r="I1" s="11" t="s">
        <v>10</v>
      </c>
    </row>
    <row r="2" spans="1:9" ht="13.2" x14ac:dyDescent="0.25">
      <c r="A2" t="s">
        <v>11</v>
      </c>
      <c r="B2" t="s">
        <v>12</v>
      </c>
      <c r="C2">
        <v>0.9</v>
      </c>
      <c r="D2">
        <f t="shared" ref="D2:D33" si="0">ROUND(AVERAGE($C$2:$C$58),2)</f>
        <v>1.19</v>
      </c>
      <c r="E2">
        <f t="shared" ref="E2:E33" si="1">ROUND(D2+(2.66*H2),2)</f>
        <v>2.81</v>
      </c>
      <c r="F2">
        <f t="shared" ref="F2:F33" si="2">ROUND(MAX(0,D2-(2.66*H2)),2)</f>
        <v>0</v>
      </c>
      <c r="H2">
        <f t="shared" ref="H2:H33" si="3">ROUND(AVERAGE($G$3:$G$58),2)</f>
        <v>0.61</v>
      </c>
      <c r="I2">
        <f t="shared" ref="I2:I33" si="4">ROUND(3.268*H2,2)</f>
        <v>1.99</v>
      </c>
    </row>
    <row r="3" spans="1:9" ht="13.2" x14ac:dyDescent="0.25">
      <c r="A3" t="s">
        <v>11</v>
      </c>
      <c r="B3" t="s">
        <v>13</v>
      </c>
      <c r="C3">
        <v>0.6</v>
      </c>
      <c r="D3">
        <f t="shared" si="0"/>
        <v>1.19</v>
      </c>
      <c r="E3">
        <f t="shared" si="1"/>
        <v>2.81</v>
      </c>
      <c r="F3">
        <f t="shared" si="2"/>
        <v>0</v>
      </c>
      <c r="G3">
        <f t="shared" ref="G3:G33" si="5">ROUND(ABS(C2-C3),2)</f>
        <v>0.3</v>
      </c>
      <c r="H3">
        <f t="shared" si="3"/>
        <v>0.61</v>
      </c>
      <c r="I3">
        <f t="shared" si="4"/>
        <v>1.99</v>
      </c>
    </row>
    <row r="4" spans="1:9" ht="13.2" x14ac:dyDescent="0.25">
      <c r="A4" t="s">
        <v>11</v>
      </c>
      <c r="B4" t="s">
        <v>14</v>
      </c>
      <c r="C4">
        <v>0.6</v>
      </c>
      <c r="D4">
        <f t="shared" si="0"/>
        <v>1.19</v>
      </c>
      <c r="E4">
        <f t="shared" si="1"/>
        <v>2.81</v>
      </c>
      <c r="F4">
        <f t="shared" si="2"/>
        <v>0</v>
      </c>
      <c r="G4">
        <f t="shared" si="5"/>
        <v>0</v>
      </c>
      <c r="H4">
        <f t="shared" si="3"/>
        <v>0.61</v>
      </c>
      <c r="I4">
        <f t="shared" si="4"/>
        <v>1.99</v>
      </c>
    </row>
    <row r="5" spans="1:9" ht="13.2" x14ac:dyDescent="0.25">
      <c r="A5" t="s">
        <v>11</v>
      </c>
      <c r="B5" t="s">
        <v>15</v>
      </c>
      <c r="C5">
        <v>0.7</v>
      </c>
      <c r="D5">
        <f t="shared" si="0"/>
        <v>1.19</v>
      </c>
      <c r="E5">
        <f t="shared" si="1"/>
        <v>2.81</v>
      </c>
      <c r="F5">
        <f t="shared" si="2"/>
        <v>0</v>
      </c>
      <c r="G5">
        <f t="shared" si="5"/>
        <v>0.1</v>
      </c>
      <c r="H5">
        <f t="shared" si="3"/>
        <v>0.61</v>
      </c>
      <c r="I5">
        <f t="shared" si="4"/>
        <v>1.99</v>
      </c>
    </row>
    <row r="6" spans="1:9" ht="13.2" x14ac:dyDescent="0.25">
      <c r="A6" t="s">
        <v>11</v>
      </c>
      <c r="B6" t="s">
        <v>16</v>
      </c>
      <c r="C6">
        <v>1.6</v>
      </c>
      <c r="D6">
        <f t="shared" si="0"/>
        <v>1.19</v>
      </c>
      <c r="E6">
        <f t="shared" si="1"/>
        <v>2.81</v>
      </c>
      <c r="F6">
        <f t="shared" si="2"/>
        <v>0</v>
      </c>
      <c r="G6">
        <f t="shared" si="5"/>
        <v>0.9</v>
      </c>
      <c r="H6">
        <f t="shared" si="3"/>
        <v>0.61</v>
      </c>
      <c r="I6">
        <f t="shared" si="4"/>
        <v>1.99</v>
      </c>
    </row>
    <row r="7" spans="1:9" ht="13.2" x14ac:dyDescent="0.25">
      <c r="A7" t="s">
        <v>11</v>
      </c>
      <c r="B7" t="s">
        <v>17</v>
      </c>
      <c r="C7">
        <v>1.7</v>
      </c>
      <c r="D7">
        <f t="shared" si="0"/>
        <v>1.19</v>
      </c>
      <c r="E7">
        <f t="shared" si="1"/>
        <v>2.81</v>
      </c>
      <c r="F7">
        <f t="shared" si="2"/>
        <v>0</v>
      </c>
      <c r="G7">
        <f t="shared" si="5"/>
        <v>0.1</v>
      </c>
      <c r="H7">
        <f t="shared" si="3"/>
        <v>0.61</v>
      </c>
      <c r="I7">
        <f t="shared" si="4"/>
        <v>1.99</v>
      </c>
    </row>
    <row r="8" spans="1:9" ht="13.2" x14ac:dyDescent="0.25">
      <c r="A8" t="s">
        <v>11</v>
      </c>
      <c r="B8" t="s">
        <v>18</v>
      </c>
      <c r="C8">
        <v>0.8</v>
      </c>
      <c r="D8">
        <f t="shared" si="0"/>
        <v>1.19</v>
      </c>
      <c r="E8">
        <f t="shared" si="1"/>
        <v>2.81</v>
      </c>
      <c r="F8">
        <f t="shared" si="2"/>
        <v>0</v>
      </c>
      <c r="G8">
        <f t="shared" si="5"/>
        <v>0.9</v>
      </c>
      <c r="H8">
        <f t="shared" si="3"/>
        <v>0.61</v>
      </c>
      <c r="I8">
        <f t="shared" si="4"/>
        <v>1.99</v>
      </c>
    </row>
    <row r="9" spans="1:9" ht="13.2" x14ac:dyDescent="0.25">
      <c r="A9" t="s">
        <v>11</v>
      </c>
      <c r="B9" t="s">
        <v>19</v>
      </c>
      <c r="C9">
        <v>1.6</v>
      </c>
      <c r="D9">
        <f t="shared" si="0"/>
        <v>1.19</v>
      </c>
      <c r="E9">
        <f t="shared" si="1"/>
        <v>2.81</v>
      </c>
      <c r="F9">
        <f t="shared" si="2"/>
        <v>0</v>
      </c>
      <c r="G9">
        <f t="shared" si="5"/>
        <v>0.8</v>
      </c>
      <c r="H9">
        <f t="shared" si="3"/>
        <v>0.61</v>
      </c>
      <c r="I9">
        <f t="shared" si="4"/>
        <v>1.99</v>
      </c>
    </row>
    <row r="10" spans="1:9" ht="13.2" x14ac:dyDescent="0.25">
      <c r="A10" t="s">
        <v>11</v>
      </c>
      <c r="B10" t="s">
        <v>20</v>
      </c>
      <c r="C10">
        <v>0.6</v>
      </c>
      <c r="D10">
        <f t="shared" si="0"/>
        <v>1.19</v>
      </c>
      <c r="E10">
        <f t="shared" si="1"/>
        <v>2.81</v>
      </c>
      <c r="F10">
        <f t="shared" si="2"/>
        <v>0</v>
      </c>
      <c r="G10">
        <f t="shared" si="5"/>
        <v>1</v>
      </c>
      <c r="H10">
        <f t="shared" si="3"/>
        <v>0.61</v>
      </c>
      <c r="I10">
        <f t="shared" si="4"/>
        <v>1.99</v>
      </c>
    </row>
    <row r="11" spans="1:9" ht="13.2" x14ac:dyDescent="0.25">
      <c r="A11" t="s">
        <v>11</v>
      </c>
      <c r="B11" t="s">
        <v>21</v>
      </c>
      <c r="C11">
        <v>1.1000000000000001</v>
      </c>
      <c r="D11">
        <f t="shared" si="0"/>
        <v>1.19</v>
      </c>
      <c r="E11">
        <f t="shared" si="1"/>
        <v>2.81</v>
      </c>
      <c r="F11">
        <f t="shared" si="2"/>
        <v>0</v>
      </c>
      <c r="G11">
        <f t="shared" si="5"/>
        <v>0.5</v>
      </c>
      <c r="H11">
        <f t="shared" si="3"/>
        <v>0.61</v>
      </c>
      <c r="I11">
        <f t="shared" si="4"/>
        <v>1.99</v>
      </c>
    </row>
    <row r="12" spans="1:9" ht="13.2" x14ac:dyDescent="0.25">
      <c r="A12" t="s">
        <v>11</v>
      </c>
      <c r="B12" t="s">
        <v>33</v>
      </c>
      <c r="C12">
        <v>1.3</v>
      </c>
      <c r="D12">
        <f t="shared" si="0"/>
        <v>1.19</v>
      </c>
      <c r="E12">
        <f t="shared" si="1"/>
        <v>2.81</v>
      </c>
      <c r="F12">
        <f t="shared" si="2"/>
        <v>0</v>
      </c>
      <c r="G12">
        <f t="shared" si="5"/>
        <v>0.2</v>
      </c>
      <c r="H12">
        <f t="shared" si="3"/>
        <v>0.61</v>
      </c>
      <c r="I12">
        <f t="shared" si="4"/>
        <v>1.99</v>
      </c>
    </row>
    <row r="13" spans="1:9" ht="13.2" x14ac:dyDescent="0.25">
      <c r="A13" t="s">
        <v>11</v>
      </c>
      <c r="B13" t="s">
        <v>34</v>
      </c>
      <c r="C13">
        <v>0.5</v>
      </c>
      <c r="D13">
        <f t="shared" si="0"/>
        <v>1.19</v>
      </c>
      <c r="E13">
        <f t="shared" si="1"/>
        <v>2.81</v>
      </c>
      <c r="F13">
        <f t="shared" si="2"/>
        <v>0</v>
      </c>
      <c r="G13">
        <f t="shared" si="5"/>
        <v>0.8</v>
      </c>
      <c r="H13">
        <f t="shared" si="3"/>
        <v>0.61</v>
      </c>
      <c r="I13">
        <f t="shared" si="4"/>
        <v>1.99</v>
      </c>
    </row>
    <row r="14" spans="1:9" ht="13.2" x14ac:dyDescent="0.25">
      <c r="A14" t="s">
        <v>11</v>
      </c>
      <c r="B14" t="s">
        <v>35</v>
      </c>
      <c r="C14">
        <v>0.6</v>
      </c>
      <c r="D14">
        <f t="shared" si="0"/>
        <v>1.19</v>
      </c>
      <c r="E14">
        <f t="shared" si="1"/>
        <v>2.81</v>
      </c>
      <c r="F14">
        <f t="shared" si="2"/>
        <v>0</v>
      </c>
      <c r="G14">
        <f t="shared" si="5"/>
        <v>0.1</v>
      </c>
      <c r="H14">
        <f t="shared" si="3"/>
        <v>0.61</v>
      </c>
      <c r="I14">
        <f t="shared" si="4"/>
        <v>1.99</v>
      </c>
    </row>
    <row r="15" spans="1:9" ht="13.2" x14ac:dyDescent="0.25">
      <c r="A15" t="s">
        <v>11</v>
      </c>
      <c r="B15" t="s">
        <v>36</v>
      </c>
      <c r="C15">
        <v>0.8</v>
      </c>
      <c r="D15">
        <f t="shared" si="0"/>
        <v>1.19</v>
      </c>
      <c r="E15">
        <f t="shared" si="1"/>
        <v>2.81</v>
      </c>
      <c r="F15">
        <f t="shared" si="2"/>
        <v>0</v>
      </c>
      <c r="G15">
        <f t="shared" si="5"/>
        <v>0.2</v>
      </c>
      <c r="H15">
        <f t="shared" si="3"/>
        <v>0.61</v>
      </c>
      <c r="I15">
        <f t="shared" si="4"/>
        <v>1.99</v>
      </c>
    </row>
    <row r="16" spans="1:9" ht="13.2" x14ac:dyDescent="0.25">
      <c r="A16" t="s">
        <v>11</v>
      </c>
      <c r="B16" t="s">
        <v>37</v>
      </c>
      <c r="C16">
        <v>0.5</v>
      </c>
      <c r="D16">
        <f t="shared" si="0"/>
        <v>1.19</v>
      </c>
      <c r="E16">
        <f t="shared" si="1"/>
        <v>2.81</v>
      </c>
      <c r="F16">
        <f t="shared" si="2"/>
        <v>0</v>
      </c>
      <c r="G16">
        <f t="shared" si="5"/>
        <v>0.3</v>
      </c>
      <c r="H16">
        <f t="shared" si="3"/>
        <v>0.61</v>
      </c>
      <c r="I16">
        <f t="shared" si="4"/>
        <v>1.99</v>
      </c>
    </row>
    <row r="17" spans="1:9" ht="13.2" x14ac:dyDescent="0.25">
      <c r="A17" t="s">
        <v>11</v>
      </c>
      <c r="B17" t="s">
        <v>38</v>
      </c>
      <c r="C17">
        <v>0.7</v>
      </c>
      <c r="D17">
        <f t="shared" si="0"/>
        <v>1.19</v>
      </c>
      <c r="E17">
        <f t="shared" si="1"/>
        <v>2.81</v>
      </c>
      <c r="F17">
        <f t="shared" si="2"/>
        <v>0</v>
      </c>
      <c r="G17">
        <f t="shared" si="5"/>
        <v>0.2</v>
      </c>
      <c r="H17">
        <f t="shared" si="3"/>
        <v>0.61</v>
      </c>
      <c r="I17">
        <f t="shared" si="4"/>
        <v>1.99</v>
      </c>
    </row>
    <row r="18" spans="1:9" ht="13.2" x14ac:dyDescent="0.25">
      <c r="A18" t="s">
        <v>11</v>
      </c>
      <c r="B18" t="s">
        <v>39</v>
      </c>
      <c r="C18">
        <v>1</v>
      </c>
      <c r="D18">
        <f t="shared" si="0"/>
        <v>1.19</v>
      </c>
      <c r="E18">
        <f t="shared" si="1"/>
        <v>2.81</v>
      </c>
      <c r="F18">
        <f t="shared" si="2"/>
        <v>0</v>
      </c>
      <c r="G18">
        <f t="shared" si="5"/>
        <v>0.3</v>
      </c>
      <c r="H18">
        <f t="shared" si="3"/>
        <v>0.61</v>
      </c>
      <c r="I18">
        <f t="shared" si="4"/>
        <v>1.99</v>
      </c>
    </row>
    <row r="19" spans="1:9" ht="13.2" x14ac:dyDescent="0.25">
      <c r="A19" t="s">
        <v>11</v>
      </c>
      <c r="B19" t="s">
        <v>40</v>
      </c>
      <c r="C19">
        <v>1.7</v>
      </c>
      <c r="D19">
        <f t="shared" si="0"/>
        <v>1.19</v>
      </c>
      <c r="E19">
        <f t="shared" si="1"/>
        <v>2.81</v>
      </c>
      <c r="F19">
        <f t="shared" si="2"/>
        <v>0</v>
      </c>
      <c r="G19">
        <f t="shared" si="5"/>
        <v>0.7</v>
      </c>
      <c r="H19">
        <f t="shared" si="3"/>
        <v>0.61</v>
      </c>
      <c r="I19">
        <f t="shared" si="4"/>
        <v>1.99</v>
      </c>
    </row>
    <row r="20" spans="1:9" ht="13.2" x14ac:dyDescent="0.25">
      <c r="A20" t="s">
        <v>11</v>
      </c>
      <c r="B20" t="s">
        <v>41</v>
      </c>
      <c r="C20">
        <v>1.3</v>
      </c>
      <c r="D20">
        <f t="shared" si="0"/>
        <v>1.19</v>
      </c>
      <c r="E20">
        <f t="shared" si="1"/>
        <v>2.81</v>
      </c>
      <c r="F20">
        <f t="shared" si="2"/>
        <v>0</v>
      </c>
      <c r="G20">
        <f t="shared" si="5"/>
        <v>0.4</v>
      </c>
      <c r="H20">
        <f t="shared" si="3"/>
        <v>0.61</v>
      </c>
      <c r="I20">
        <f t="shared" si="4"/>
        <v>1.99</v>
      </c>
    </row>
    <row r="21" spans="1:9" ht="13.2" x14ac:dyDescent="0.25">
      <c r="A21" t="s">
        <v>11</v>
      </c>
      <c r="B21" t="s">
        <v>42</v>
      </c>
      <c r="C21">
        <v>2.2000000000000002</v>
      </c>
      <c r="D21">
        <f t="shared" si="0"/>
        <v>1.19</v>
      </c>
      <c r="E21">
        <f t="shared" si="1"/>
        <v>2.81</v>
      </c>
      <c r="F21">
        <f t="shared" si="2"/>
        <v>0</v>
      </c>
      <c r="G21">
        <f t="shared" si="5"/>
        <v>0.9</v>
      </c>
      <c r="H21">
        <f t="shared" si="3"/>
        <v>0.61</v>
      </c>
      <c r="I21">
        <f t="shared" si="4"/>
        <v>1.99</v>
      </c>
    </row>
    <row r="22" spans="1:9" ht="13.2" x14ac:dyDescent="0.25">
      <c r="A22" t="s">
        <v>11</v>
      </c>
      <c r="B22" t="s">
        <v>43</v>
      </c>
      <c r="C22">
        <v>0.8</v>
      </c>
      <c r="D22">
        <f t="shared" si="0"/>
        <v>1.19</v>
      </c>
      <c r="E22">
        <f t="shared" si="1"/>
        <v>2.81</v>
      </c>
      <c r="F22">
        <f t="shared" si="2"/>
        <v>0</v>
      </c>
      <c r="G22">
        <f t="shared" si="5"/>
        <v>1.4</v>
      </c>
      <c r="H22">
        <f t="shared" si="3"/>
        <v>0.61</v>
      </c>
      <c r="I22">
        <f t="shared" si="4"/>
        <v>1.99</v>
      </c>
    </row>
    <row r="23" spans="1:9" ht="13.2" x14ac:dyDescent="0.25">
      <c r="A23" t="s">
        <v>11</v>
      </c>
      <c r="B23" t="s">
        <v>44</v>
      </c>
      <c r="C23">
        <v>0.5</v>
      </c>
      <c r="D23">
        <f t="shared" si="0"/>
        <v>1.19</v>
      </c>
      <c r="E23">
        <f t="shared" si="1"/>
        <v>2.81</v>
      </c>
      <c r="F23">
        <f t="shared" si="2"/>
        <v>0</v>
      </c>
      <c r="G23">
        <f t="shared" si="5"/>
        <v>0.3</v>
      </c>
      <c r="H23">
        <f t="shared" si="3"/>
        <v>0.61</v>
      </c>
      <c r="I23">
        <f t="shared" si="4"/>
        <v>1.99</v>
      </c>
    </row>
    <row r="24" spans="1:9" ht="13.2" x14ac:dyDescent="0.25">
      <c r="A24" t="s">
        <v>11</v>
      </c>
      <c r="B24" t="s">
        <v>45</v>
      </c>
      <c r="C24">
        <v>1</v>
      </c>
      <c r="D24">
        <f t="shared" si="0"/>
        <v>1.19</v>
      </c>
      <c r="E24">
        <f t="shared" si="1"/>
        <v>2.81</v>
      </c>
      <c r="F24">
        <f t="shared" si="2"/>
        <v>0</v>
      </c>
      <c r="G24">
        <f t="shared" si="5"/>
        <v>0.5</v>
      </c>
      <c r="H24">
        <f t="shared" si="3"/>
        <v>0.61</v>
      </c>
      <c r="I24">
        <f t="shared" si="4"/>
        <v>1.99</v>
      </c>
    </row>
    <row r="25" spans="1:9" ht="13.2" x14ac:dyDescent="0.25">
      <c r="A25" t="s">
        <v>11</v>
      </c>
      <c r="B25" t="s">
        <v>46</v>
      </c>
      <c r="C25">
        <v>0.5</v>
      </c>
      <c r="D25">
        <f t="shared" si="0"/>
        <v>1.19</v>
      </c>
      <c r="E25">
        <f t="shared" si="1"/>
        <v>2.81</v>
      </c>
      <c r="F25">
        <f t="shared" si="2"/>
        <v>0</v>
      </c>
      <c r="G25">
        <f t="shared" si="5"/>
        <v>0.5</v>
      </c>
      <c r="H25">
        <f t="shared" si="3"/>
        <v>0.61</v>
      </c>
      <c r="I25">
        <f t="shared" si="4"/>
        <v>1.99</v>
      </c>
    </row>
    <row r="26" spans="1:9" ht="13.2" x14ac:dyDescent="0.25">
      <c r="A26" t="s">
        <v>11</v>
      </c>
      <c r="B26" t="s">
        <v>47</v>
      </c>
      <c r="C26">
        <v>0.5</v>
      </c>
      <c r="D26">
        <f t="shared" si="0"/>
        <v>1.19</v>
      </c>
      <c r="E26">
        <f t="shared" si="1"/>
        <v>2.81</v>
      </c>
      <c r="F26">
        <f t="shared" si="2"/>
        <v>0</v>
      </c>
      <c r="G26">
        <f t="shared" si="5"/>
        <v>0</v>
      </c>
      <c r="H26">
        <f t="shared" si="3"/>
        <v>0.61</v>
      </c>
      <c r="I26">
        <f t="shared" si="4"/>
        <v>1.99</v>
      </c>
    </row>
    <row r="27" spans="1:9" ht="13.2" x14ac:dyDescent="0.25">
      <c r="A27" t="s">
        <v>11</v>
      </c>
      <c r="B27" t="s">
        <v>48</v>
      </c>
      <c r="C27">
        <v>0.7</v>
      </c>
      <c r="D27">
        <f t="shared" si="0"/>
        <v>1.19</v>
      </c>
      <c r="E27">
        <f t="shared" si="1"/>
        <v>2.81</v>
      </c>
      <c r="F27">
        <f t="shared" si="2"/>
        <v>0</v>
      </c>
      <c r="G27">
        <f t="shared" si="5"/>
        <v>0.2</v>
      </c>
      <c r="H27">
        <f t="shared" si="3"/>
        <v>0.61</v>
      </c>
      <c r="I27">
        <f t="shared" si="4"/>
        <v>1.99</v>
      </c>
    </row>
    <row r="28" spans="1:9" ht="13.2" x14ac:dyDescent="0.25">
      <c r="A28" t="s">
        <v>11</v>
      </c>
      <c r="B28" t="s">
        <v>49</v>
      </c>
      <c r="C28">
        <v>1</v>
      </c>
      <c r="D28">
        <f t="shared" si="0"/>
        <v>1.19</v>
      </c>
      <c r="E28">
        <f t="shared" si="1"/>
        <v>2.81</v>
      </c>
      <c r="F28">
        <f t="shared" si="2"/>
        <v>0</v>
      </c>
      <c r="G28">
        <f t="shared" si="5"/>
        <v>0.3</v>
      </c>
      <c r="H28">
        <f t="shared" si="3"/>
        <v>0.61</v>
      </c>
      <c r="I28">
        <f t="shared" si="4"/>
        <v>1.99</v>
      </c>
    </row>
    <row r="29" spans="1:9" ht="13.2" x14ac:dyDescent="0.25">
      <c r="A29" t="s">
        <v>11</v>
      </c>
      <c r="B29" t="s">
        <v>50</v>
      </c>
      <c r="C29">
        <v>0.9</v>
      </c>
      <c r="D29">
        <f t="shared" si="0"/>
        <v>1.19</v>
      </c>
      <c r="E29">
        <f t="shared" si="1"/>
        <v>2.81</v>
      </c>
      <c r="F29">
        <f t="shared" si="2"/>
        <v>0</v>
      </c>
      <c r="G29">
        <f t="shared" si="5"/>
        <v>0.1</v>
      </c>
      <c r="H29">
        <f t="shared" si="3"/>
        <v>0.61</v>
      </c>
      <c r="I29">
        <f t="shared" si="4"/>
        <v>1.99</v>
      </c>
    </row>
    <row r="30" spans="1:9" ht="13.2" x14ac:dyDescent="0.25">
      <c r="A30" t="s">
        <v>11</v>
      </c>
      <c r="B30" t="s">
        <v>51</v>
      </c>
      <c r="C30">
        <v>1.6</v>
      </c>
      <c r="D30">
        <f t="shared" si="0"/>
        <v>1.19</v>
      </c>
      <c r="E30">
        <f t="shared" si="1"/>
        <v>2.81</v>
      </c>
      <c r="F30">
        <f t="shared" si="2"/>
        <v>0</v>
      </c>
      <c r="G30">
        <f t="shared" si="5"/>
        <v>0.7</v>
      </c>
      <c r="H30">
        <f t="shared" si="3"/>
        <v>0.61</v>
      </c>
      <c r="I30">
        <f t="shared" si="4"/>
        <v>1.99</v>
      </c>
    </row>
    <row r="31" spans="1:9" ht="13.2" x14ac:dyDescent="0.25">
      <c r="A31" t="s">
        <v>11</v>
      </c>
      <c r="B31" t="s">
        <v>52</v>
      </c>
      <c r="C31">
        <v>2.5</v>
      </c>
      <c r="D31">
        <f t="shared" si="0"/>
        <v>1.19</v>
      </c>
      <c r="E31">
        <f t="shared" si="1"/>
        <v>2.81</v>
      </c>
      <c r="F31">
        <f t="shared" si="2"/>
        <v>0</v>
      </c>
      <c r="G31">
        <f t="shared" si="5"/>
        <v>0.9</v>
      </c>
      <c r="H31">
        <f t="shared" si="3"/>
        <v>0.61</v>
      </c>
      <c r="I31">
        <f t="shared" si="4"/>
        <v>1.99</v>
      </c>
    </row>
    <row r="32" spans="1:9" ht="13.2" x14ac:dyDescent="0.25">
      <c r="A32" t="s">
        <v>11</v>
      </c>
      <c r="B32" t="s">
        <v>53</v>
      </c>
      <c r="C32">
        <v>1</v>
      </c>
      <c r="D32">
        <f t="shared" si="0"/>
        <v>1.19</v>
      </c>
      <c r="E32">
        <f t="shared" si="1"/>
        <v>2.81</v>
      </c>
      <c r="F32">
        <f t="shared" si="2"/>
        <v>0</v>
      </c>
      <c r="G32">
        <f t="shared" si="5"/>
        <v>1.5</v>
      </c>
      <c r="H32">
        <f t="shared" si="3"/>
        <v>0.61</v>
      </c>
      <c r="I32">
        <f t="shared" si="4"/>
        <v>1.99</v>
      </c>
    </row>
    <row r="33" spans="1:9" ht="13.2" x14ac:dyDescent="0.25">
      <c r="A33" t="s">
        <v>11</v>
      </c>
      <c r="B33" t="s">
        <v>54</v>
      </c>
      <c r="C33">
        <v>0.6</v>
      </c>
      <c r="D33">
        <f t="shared" si="0"/>
        <v>1.19</v>
      </c>
      <c r="E33">
        <f t="shared" si="1"/>
        <v>2.81</v>
      </c>
      <c r="F33">
        <f t="shared" si="2"/>
        <v>0</v>
      </c>
      <c r="G33">
        <f t="shared" si="5"/>
        <v>0.4</v>
      </c>
      <c r="H33">
        <f t="shared" si="3"/>
        <v>0.61</v>
      </c>
      <c r="I33">
        <f t="shared" si="4"/>
        <v>1.99</v>
      </c>
    </row>
    <row r="34" spans="1:9" ht="13.2" x14ac:dyDescent="0.25">
      <c r="A34" t="s">
        <v>11</v>
      </c>
      <c r="B34" t="s">
        <v>55</v>
      </c>
      <c r="C34">
        <v>0.5</v>
      </c>
      <c r="D34">
        <f t="shared" ref="D34:D58" si="6">ROUND(AVERAGE($C$2:$C$58),2)</f>
        <v>1.19</v>
      </c>
      <c r="E34">
        <f t="shared" ref="E34:E58" si="7">ROUND(D34+(2.66*H34),2)</f>
        <v>2.81</v>
      </c>
      <c r="F34">
        <f t="shared" ref="F34:F58" si="8">ROUND(MAX(0,D34-(2.66*H34)),2)</f>
        <v>0</v>
      </c>
      <c r="G34">
        <f t="shared" ref="G34:G58" si="9">ROUND(ABS(C33-C34),2)</f>
        <v>0.1</v>
      </c>
      <c r="H34">
        <f t="shared" ref="H34:H58" si="10">ROUND(AVERAGE($G$3:$G$58),2)</f>
        <v>0.61</v>
      </c>
      <c r="I34">
        <f t="shared" ref="I34:I58" si="11">ROUND(3.268*H34,2)</f>
        <v>1.99</v>
      </c>
    </row>
    <row r="35" spans="1:9" ht="13.2" x14ac:dyDescent="0.25">
      <c r="A35" t="s">
        <v>11</v>
      </c>
      <c r="B35" t="s">
        <v>56</v>
      </c>
      <c r="C35">
        <v>0.9</v>
      </c>
      <c r="D35">
        <f t="shared" si="6"/>
        <v>1.19</v>
      </c>
      <c r="E35">
        <f t="shared" si="7"/>
        <v>2.81</v>
      </c>
      <c r="F35">
        <f t="shared" si="8"/>
        <v>0</v>
      </c>
      <c r="G35">
        <f t="shared" si="9"/>
        <v>0.4</v>
      </c>
      <c r="H35">
        <f t="shared" si="10"/>
        <v>0.61</v>
      </c>
      <c r="I35">
        <f t="shared" si="11"/>
        <v>1.99</v>
      </c>
    </row>
    <row r="36" spans="1:9" ht="13.2" x14ac:dyDescent="0.25">
      <c r="A36" t="s">
        <v>11</v>
      </c>
      <c r="B36" t="s">
        <v>57</v>
      </c>
      <c r="C36">
        <v>1.6</v>
      </c>
      <c r="D36">
        <f t="shared" si="6"/>
        <v>1.19</v>
      </c>
      <c r="E36">
        <f t="shared" si="7"/>
        <v>2.81</v>
      </c>
      <c r="F36">
        <f t="shared" si="8"/>
        <v>0</v>
      </c>
      <c r="G36">
        <f t="shared" si="9"/>
        <v>0.7</v>
      </c>
      <c r="H36">
        <f t="shared" si="10"/>
        <v>0.61</v>
      </c>
      <c r="I36">
        <f t="shared" si="11"/>
        <v>1.99</v>
      </c>
    </row>
    <row r="37" spans="1:9" ht="13.2" x14ac:dyDescent="0.25">
      <c r="A37" t="s">
        <v>11</v>
      </c>
      <c r="B37" t="s">
        <v>58</v>
      </c>
      <c r="C37">
        <v>2.9</v>
      </c>
      <c r="D37">
        <f t="shared" si="6"/>
        <v>1.19</v>
      </c>
      <c r="E37">
        <f t="shared" si="7"/>
        <v>2.81</v>
      </c>
      <c r="F37">
        <f t="shared" si="8"/>
        <v>0</v>
      </c>
      <c r="G37">
        <f t="shared" si="9"/>
        <v>1.3</v>
      </c>
      <c r="H37">
        <f t="shared" si="10"/>
        <v>0.61</v>
      </c>
      <c r="I37">
        <f t="shared" si="11"/>
        <v>1.99</v>
      </c>
    </row>
    <row r="38" spans="1:9" ht="13.2" x14ac:dyDescent="0.25">
      <c r="A38" t="s">
        <v>11</v>
      </c>
      <c r="B38" t="s">
        <v>59</v>
      </c>
      <c r="C38">
        <v>2.8</v>
      </c>
      <c r="D38">
        <f t="shared" si="6"/>
        <v>1.19</v>
      </c>
      <c r="E38">
        <f t="shared" si="7"/>
        <v>2.81</v>
      </c>
      <c r="F38">
        <f t="shared" si="8"/>
        <v>0</v>
      </c>
      <c r="G38">
        <f t="shared" si="9"/>
        <v>0.1</v>
      </c>
      <c r="H38">
        <f t="shared" si="10"/>
        <v>0.61</v>
      </c>
      <c r="I38">
        <f t="shared" si="11"/>
        <v>1.99</v>
      </c>
    </row>
    <row r="39" spans="1:9" ht="13.2" x14ac:dyDescent="0.25">
      <c r="A39" t="s">
        <v>11</v>
      </c>
      <c r="B39" t="s">
        <v>60</v>
      </c>
      <c r="C39">
        <v>0.8</v>
      </c>
      <c r="D39">
        <f t="shared" si="6"/>
        <v>1.19</v>
      </c>
      <c r="E39">
        <f t="shared" si="7"/>
        <v>2.81</v>
      </c>
      <c r="F39">
        <f t="shared" si="8"/>
        <v>0</v>
      </c>
      <c r="G39">
        <f t="shared" si="9"/>
        <v>2</v>
      </c>
      <c r="H39">
        <f t="shared" si="10"/>
        <v>0.61</v>
      </c>
      <c r="I39">
        <f t="shared" si="11"/>
        <v>1.99</v>
      </c>
    </row>
    <row r="40" spans="1:9" ht="13.2" x14ac:dyDescent="0.25">
      <c r="A40" t="s">
        <v>11</v>
      </c>
      <c r="B40" t="s">
        <v>61</v>
      </c>
      <c r="C40">
        <v>0.4</v>
      </c>
      <c r="D40">
        <f t="shared" si="6"/>
        <v>1.19</v>
      </c>
      <c r="E40">
        <f t="shared" si="7"/>
        <v>2.81</v>
      </c>
      <c r="F40">
        <f t="shared" si="8"/>
        <v>0</v>
      </c>
      <c r="G40">
        <f t="shared" si="9"/>
        <v>0.4</v>
      </c>
      <c r="H40">
        <f t="shared" si="10"/>
        <v>0.61</v>
      </c>
      <c r="I40">
        <f t="shared" si="11"/>
        <v>1.99</v>
      </c>
    </row>
    <row r="41" spans="1:9" ht="13.2" x14ac:dyDescent="0.25">
      <c r="A41" t="s">
        <v>11</v>
      </c>
      <c r="B41" t="s">
        <v>62</v>
      </c>
      <c r="C41">
        <v>2.2999999999999998</v>
      </c>
      <c r="D41">
        <f t="shared" si="6"/>
        <v>1.19</v>
      </c>
      <c r="E41">
        <f t="shared" si="7"/>
        <v>2.81</v>
      </c>
      <c r="F41">
        <f t="shared" si="8"/>
        <v>0</v>
      </c>
      <c r="G41">
        <f t="shared" si="9"/>
        <v>1.9</v>
      </c>
      <c r="H41">
        <f t="shared" si="10"/>
        <v>0.61</v>
      </c>
      <c r="I41">
        <f t="shared" si="11"/>
        <v>1.99</v>
      </c>
    </row>
    <row r="42" spans="1:9" ht="13.2" x14ac:dyDescent="0.25">
      <c r="A42" t="s">
        <v>11</v>
      </c>
      <c r="B42" t="s">
        <v>63</v>
      </c>
      <c r="C42">
        <v>0.8</v>
      </c>
      <c r="D42">
        <f t="shared" si="6"/>
        <v>1.19</v>
      </c>
      <c r="E42">
        <f t="shared" si="7"/>
        <v>2.81</v>
      </c>
      <c r="F42">
        <f t="shared" si="8"/>
        <v>0</v>
      </c>
      <c r="G42">
        <f t="shared" si="9"/>
        <v>1.5</v>
      </c>
      <c r="H42">
        <f t="shared" si="10"/>
        <v>0.61</v>
      </c>
      <c r="I42">
        <f t="shared" si="11"/>
        <v>1.99</v>
      </c>
    </row>
    <row r="43" spans="1:9" ht="13.2" x14ac:dyDescent="0.25">
      <c r="A43" t="s">
        <v>11</v>
      </c>
      <c r="B43" t="s">
        <v>64</v>
      </c>
      <c r="C43">
        <v>0.9</v>
      </c>
      <c r="D43">
        <f t="shared" si="6"/>
        <v>1.19</v>
      </c>
      <c r="E43">
        <f t="shared" si="7"/>
        <v>2.81</v>
      </c>
      <c r="F43">
        <f t="shared" si="8"/>
        <v>0</v>
      </c>
      <c r="G43">
        <f t="shared" si="9"/>
        <v>0.1</v>
      </c>
      <c r="H43">
        <f t="shared" si="10"/>
        <v>0.61</v>
      </c>
      <c r="I43">
        <f t="shared" si="11"/>
        <v>1.99</v>
      </c>
    </row>
    <row r="44" spans="1:9" ht="13.2" x14ac:dyDescent="0.25">
      <c r="A44" t="s">
        <v>11</v>
      </c>
      <c r="B44" t="s">
        <v>65</v>
      </c>
      <c r="C44">
        <v>3.3</v>
      </c>
      <c r="D44">
        <f t="shared" si="6"/>
        <v>1.19</v>
      </c>
      <c r="E44">
        <f t="shared" si="7"/>
        <v>2.81</v>
      </c>
      <c r="F44">
        <f t="shared" si="8"/>
        <v>0</v>
      </c>
      <c r="G44">
        <f t="shared" si="9"/>
        <v>2.4</v>
      </c>
      <c r="H44">
        <f t="shared" si="10"/>
        <v>0.61</v>
      </c>
      <c r="I44">
        <f t="shared" si="11"/>
        <v>1.99</v>
      </c>
    </row>
    <row r="45" spans="1:9" ht="13.2" x14ac:dyDescent="0.25">
      <c r="A45" t="s">
        <v>11</v>
      </c>
      <c r="B45" t="s">
        <v>66</v>
      </c>
      <c r="C45">
        <v>1.3</v>
      </c>
      <c r="D45">
        <f t="shared" si="6"/>
        <v>1.19</v>
      </c>
      <c r="E45">
        <f t="shared" si="7"/>
        <v>2.81</v>
      </c>
      <c r="F45">
        <f t="shared" si="8"/>
        <v>0</v>
      </c>
      <c r="G45">
        <f t="shared" si="9"/>
        <v>2</v>
      </c>
      <c r="H45">
        <f t="shared" si="10"/>
        <v>0.61</v>
      </c>
      <c r="I45">
        <f t="shared" si="11"/>
        <v>1.99</v>
      </c>
    </row>
    <row r="46" spans="1:9" ht="13.2" x14ac:dyDescent="0.25">
      <c r="A46" t="s">
        <v>11</v>
      </c>
      <c r="B46" t="s">
        <v>67</v>
      </c>
      <c r="C46">
        <v>1.5</v>
      </c>
      <c r="D46">
        <f t="shared" si="6"/>
        <v>1.19</v>
      </c>
      <c r="E46">
        <f t="shared" si="7"/>
        <v>2.81</v>
      </c>
      <c r="F46">
        <f t="shared" si="8"/>
        <v>0</v>
      </c>
      <c r="G46">
        <f t="shared" si="9"/>
        <v>0.2</v>
      </c>
      <c r="H46">
        <f t="shared" si="10"/>
        <v>0.61</v>
      </c>
      <c r="I46">
        <f t="shared" si="11"/>
        <v>1.99</v>
      </c>
    </row>
    <row r="47" spans="1:9" ht="13.2" x14ac:dyDescent="0.25">
      <c r="A47" t="s">
        <v>11</v>
      </c>
      <c r="B47" t="s">
        <v>68</v>
      </c>
      <c r="C47">
        <v>1.6</v>
      </c>
      <c r="D47">
        <f t="shared" si="6"/>
        <v>1.19</v>
      </c>
      <c r="E47">
        <f t="shared" si="7"/>
        <v>2.81</v>
      </c>
      <c r="F47">
        <f t="shared" si="8"/>
        <v>0</v>
      </c>
      <c r="G47">
        <f t="shared" si="9"/>
        <v>0.1</v>
      </c>
      <c r="H47">
        <f t="shared" si="10"/>
        <v>0.61</v>
      </c>
      <c r="I47">
        <f t="shared" si="11"/>
        <v>1.99</v>
      </c>
    </row>
    <row r="48" spans="1:9" ht="13.2" x14ac:dyDescent="0.25">
      <c r="A48" t="s">
        <v>11</v>
      </c>
      <c r="B48" t="s">
        <v>69</v>
      </c>
      <c r="C48">
        <v>0.5</v>
      </c>
      <c r="D48">
        <f t="shared" si="6"/>
        <v>1.19</v>
      </c>
      <c r="E48">
        <f t="shared" si="7"/>
        <v>2.81</v>
      </c>
      <c r="F48">
        <f t="shared" si="8"/>
        <v>0</v>
      </c>
      <c r="G48">
        <f t="shared" si="9"/>
        <v>1.1000000000000001</v>
      </c>
      <c r="H48">
        <f t="shared" si="10"/>
        <v>0.61</v>
      </c>
      <c r="I48">
        <f t="shared" si="11"/>
        <v>1.99</v>
      </c>
    </row>
    <row r="49" spans="1:9" ht="13.2" x14ac:dyDescent="0.25">
      <c r="A49" t="s">
        <v>11</v>
      </c>
      <c r="B49" t="s">
        <v>22</v>
      </c>
      <c r="C49">
        <v>0.6</v>
      </c>
      <c r="D49">
        <f t="shared" si="6"/>
        <v>1.19</v>
      </c>
      <c r="E49">
        <f t="shared" si="7"/>
        <v>2.81</v>
      </c>
      <c r="F49">
        <f t="shared" si="8"/>
        <v>0</v>
      </c>
      <c r="G49">
        <f t="shared" si="9"/>
        <v>0.1</v>
      </c>
      <c r="H49">
        <f t="shared" si="10"/>
        <v>0.61</v>
      </c>
      <c r="I49">
        <f t="shared" si="11"/>
        <v>1.99</v>
      </c>
    </row>
    <row r="50" spans="1:9" ht="13.2" x14ac:dyDescent="0.25">
      <c r="A50" t="s">
        <v>11</v>
      </c>
      <c r="B50" t="s">
        <v>23</v>
      </c>
      <c r="C50">
        <v>0.5</v>
      </c>
      <c r="D50">
        <f t="shared" si="6"/>
        <v>1.19</v>
      </c>
      <c r="E50">
        <f t="shared" si="7"/>
        <v>2.81</v>
      </c>
      <c r="F50">
        <f t="shared" si="8"/>
        <v>0</v>
      </c>
      <c r="G50">
        <f t="shared" si="9"/>
        <v>0.1</v>
      </c>
      <c r="H50">
        <f t="shared" si="10"/>
        <v>0.61</v>
      </c>
      <c r="I50">
        <f t="shared" si="11"/>
        <v>1.99</v>
      </c>
    </row>
    <row r="51" spans="1:9" ht="13.2" x14ac:dyDescent="0.25">
      <c r="A51" t="s">
        <v>11</v>
      </c>
      <c r="B51" t="s">
        <v>24</v>
      </c>
      <c r="C51">
        <v>0.6</v>
      </c>
      <c r="D51">
        <f t="shared" si="6"/>
        <v>1.19</v>
      </c>
      <c r="E51">
        <f t="shared" si="7"/>
        <v>2.81</v>
      </c>
      <c r="F51">
        <f t="shared" si="8"/>
        <v>0</v>
      </c>
      <c r="G51">
        <f t="shared" si="9"/>
        <v>0.1</v>
      </c>
      <c r="H51">
        <f t="shared" si="10"/>
        <v>0.61</v>
      </c>
      <c r="I51">
        <f t="shared" si="11"/>
        <v>1.99</v>
      </c>
    </row>
    <row r="52" spans="1:9" ht="13.2" x14ac:dyDescent="0.25">
      <c r="A52" t="s">
        <v>11</v>
      </c>
      <c r="B52" t="s">
        <v>25</v>
      </c>
      <c r="C52">
        <v>1.7</v>
      </c>
      <c r="D52">
        <f t="shared" si="6"/>
        <v>1.19</v>
      </c>
      <c r="E52">
        <f t="shared" si="7"/>
        <v>2.81</v>
      </c>
      <c r="F52">
        <f t="shared" si="8"/>
        <v>0</v>
      </c>
      <c r="G52">
        <f t="shared" si="9"/>
        <v>1.1000000000000001</v>
      </c>
      <c r="H52">
        <f t="shared" si="10"/>
        <v>0.61</v>
      </c>
      <c r="I52">
        <f t="shared" si="11"/>
        <v>1.99</v>
      </c>
    </row>
    <row r="53" spans="1:9" ht="13.2" x14ac:dyDescent="0.25">
      <c r="A53" t="s">
        <v>11</v>
      </c>
      <c r="B53" t="s">
        <v>26</v>
      </c>
      <c r="C53">
        <v>1.8</v>
      </c>
      <c r="D53">
        <f t="shared" si="6"/>
        <v>1.19</v>
      </c>
      <c r="E53">
        <f t="shared" si="7"/>
        <v>2.81</v>
      </c>
      <c r="F53">
        <f t="shared" si="8"/>
        <v>0</v>
      </c>
      <c r="G53">
        <f t="shared" si="9"/>
        <v>0.1</v>
      </c>
      <c r="H53">
        <f t="shared" si="10"/>
        <v>0.61</v>
      </c>
      <c r="I53">
        <f t="shared" si="11"/>
        <v>1.99</v>
      </c>
    </row>
    <row r="54" spans="1:9" ht="13.2" x14ac:dyDescent="0.25">
      <c r="A54" t="s">
        <v>11</v>
      </c>
      <c r="B54" t="s">
        <v>27</v>
      </c>
      <c r="C54">
        <v>2</v>
      </c>
      <c r="D54">
        <f t="shared" si="6"/>
        <v>1.19</v>
      </c>
      <c r="E54">
        <f t="shared" si="7"/>
        <v>2.81</v>
      </c>
      <c r="F54">
        <f t="shared" si="8"/>
        <v>0</v>
      </c>
      <c r="G54">
        <f t="shared" si="9"/>
        <v>0.2</v>
      </c>
      <c r="H54">
        <f t="shared" si="10"/>
        <v>0.61</v>
      </c>
      <c r="I54">
        <f t="shared" si="11"/>
        <v>1.99</v>
      </c>
    </row>
    <row r="55" spans="1:9" ht="13.2" x14ac:dyDescent="0.25">
      <c r="A55" t="s">
        <v>11</v>
      </c>
      <c r="B55" t="s">
        <v>28</v>
      </c>
      <c r="C55">
        <v>1.3</v>
      </c>
      <c r="D55">
        <f t="shared" si="6"/>
        <v>1.19</v>
      </c>
      <c r="E55">
        <f t="shared" si="7"/>
        <v>2.81</v>
      </c>
      <c r="F55">
        <f t="shared" si="8"/>
        <v>0</v>
      </c>
      <c r="G55">
        <f t="shared" si="9"/>
        <v>0.7</v>
      </c>
      <c r="H55">
        <f t="shared" si="10"/>
        <v>0.61</v>
      </c>
      <c r="I55">
        <f t="shared" si="11"/>
        <v>1.99</v>
      </c>
    </row>
    <row r="56" spans="1:9" ht="13.2" x14ac:dyDescent="0.25">
      <c r="A56" t="s">
        <v>11</v>
      </c>
      <c r="B56" t="s">
        <v>29</v>
      </c>
      <c r="C56">
        <v>2.1</v>
      </c>
      <c r="D56">
        <f t="shared" si="6"/>
        <v>1.19</v>
      </c>
      <c r="E56">
        <f t="shared" si="7"/>
        <v>2.81</v>
      </c>
      <c r="F56">
        <f t="shared" si="8"/>
        <v>0</v>
      </c>
      <c r="G56">
        <f t="shared" si="9"/>
        <v>0.8</v>
      </c>
      <c r="H56">
        <f t="shared" si="10"/>
        <v>0.61</v>
      </c>
      <c r="I56">
        <f t="shared" si="11"/>
        <v>1.99</v>
      </c>
    </row>
    <row r="57" spans="1:9" ht="13.2" x14ac:dyDescent="0.25">
      <c r="A57" t="s">
        <v>11</v>
      </c>
      <c r="B57" t="s">
        <v>30</v>
      </c>
      <c r="C57">
        <v>1.3</v>
      </c>
      <c r="D57">
        <f t="shared" si="6"/>
        <v>1.19</v>
      </c>
      <c r="E57">
        <f t="shared" si="7"/>
        <v>2.81</v>
      </c>
      <c r="F57">
        <f t="shared" si="8"/>
        <v>0</v>
      </c>
      <c r="G57">
        <f t="shared" si="9"/>
        <v>0.8</v>
      </c>
      <c r="H57">
        <f t="shared" si="10"/>
        <v>0.61</v>
      </c>
      <c r="I57">
        <f t="shared" si="11"/>
        <v>1.99</v>
      </c>
    </row>
    <row r="58" spans="1:9" ht="13.2" x14ac:dyDescent="0.25">
      <c r="A58" t="s">
        <v>11</v>
      </c>
      <c r="B58" t="s">
        <v>31</v>
      </c>
      <c r="C58">
        <v>1.7</v>
      </c>
      <c r="D58">
        <f t="shared" si="6"/>
        <v>1.19</v>
      </c>
      <c r="E58">
        <f t="shared" si="7"/>
        <v>2.81</v>
      </c>
      <c r="F58">
        <f t="shared" si="8"/>
        <v>0</v>
      </c>
      <c r="G58">
        <f t="shared" si="9"/>
        <v>0.4</v>
      </c>
      <c r="H58">
        <f t="shared" si="10"/>
        <v>0.61</v>
      </c>
      <c r="I58">
        <f t="shared" si="11"/>
        <v>1.99</v>
      </c>
    </row>
    <row r="59" spans="1:9" ht="13.2" x14ac:dyDescent="0.25"/>
    <row r="60" spans="1:9" ht="13.2" x14ac:dyDescent="0.25">
      <c r="A60" t="s">
        <v>1</v>
      </c>
      <c r="B60" t="s">
        <v>3</v>
      </c>
      <c r="C60" t="s">
        <v>4</v>
      </c>
      <c r="D60" s="5" t="s">
        <v>5</v>
      </c>
      <c r="E60" s="5" t="s">
        <v>6</v>
      </c>
      <c r="F60" s="5" t="s">
        <v>7</v>
      </c>
      <c r="G60" s="5" t="s">
        <v>8</v>
      </c>
      <c r="H60" s="5" t="s">
        <v>9</v>
      </c>
      <c r="I60" s="5" t="s">
        <v>10</v>
      </c>
    </row>
    <row r="61" spans="1:9" ht="13.2" x14ac:dyDescent="0.25">
      <c r="A61" t="s">
        <v>32</v>
      </c>
      <c r="B61" t="s">
        <v>12</v>
      </c>
      <c r="C61">
        <v>2.1</v>
      </c>
      <c r="D61">
        <f t="shared" ref="D61:D92" si="12">ROUND(AVERAGE($C$61:$C$117),2)</f>
        <v>2.66</v>
      </c>
      <c r="E61">
        <f t="shared" ref="E61:E92" si="13">ROUND(D61+(2.66*H61),2)</f>
        <v>6.62</v>
      </c>
      <c r="F61">
        <f t="shared" ref="F61:F92" si="14">ROUND(MAX(0,D61-(2.66*H61)),2)</f>
        <v>0</v>
      </c>
      <c r="H61">
        <f t="shared" ref="H61:H92" si="15">ROUND(AVERAGE($G$62:$G$117),2)</f>
        <v>1.49</v>
      </c>
      <c r="I61">
        <f t="shared" ref="I61:I92" si="16">ROUND(3.268*H61,2)</f>
        <v>4.87</v>
      </c>
    </row>
    <row r="62" spans="1:9" ht="13.2" x14ac:dyDescent="0.25">
      <c r="A62" t="s">
        <v>32</v>
      </c>
      <c r="B62" t="s">
        <v>13</v>
      </c>
      <c r="C62">
        <v>1.4</v>
      </c>
      <c r="D62">
        <f t="shared" si="12"/>
        <v>2.66</v>
      </c>
      <c r="E62">
        <f t="shared" si="13"/>
        <v>6.62</v>
      </c>
      <c r="F62">
        <f t="shared" si="14"/>
        <v>0</v>
      </c>
      <c r="G62">
        <f t="shared" ref="G62:G117" si="17">ROUND(ABS(C61-C62),2)</f>
        <v>0.7</v>
      </c>
      <c r="H62">
        <f t="shared" si="15"/>
        <v>1.49</v>
      </c>
      <c r="I62">
        <f t="shared" si="16"/>
        <v>4.87</v>
      </c>
    </row>
    <row r="63" spans="1:9" ht="13.2" x14ac:dyDescent="0.25">
      <c r="A63" t="s">
        <v>32</v>
      </c>
      <c r="B63" t="s">
        <v>14</v>
      </c>
      <c r="C63">
        <v>0.4</v>
      </c>
      <c r="D63">
        <f t="shared" si="12"/>
        <v>2.66</v>
      </c>
      <c r="E63">
        <f t="shared" si="13"/>
        <v>6.62</v>
      </c>
      <c r="F63">
        <f t="shared" si="14"/>
        <v>0</v>
      </c>
      <c r="G63">
        <f t="shared" si="17"/>
        <v>1</v>
      </c>
      <c r="H63">
        <f t="shared" si="15"/>
        <v>1.49</v>
      </c>
      <c r="I63">
        <f t="shared" si="16"/>
        <v>4.87</v>
      </c>
    </row>
    <row r="64" spans="1:9" ht="13.2" x14ac:dyDescent="0.25">
      <c r="A64" t="s">
        <v>32</v>
      </c>
      <c r="B64" t="s">
        <v>15</v>
      </c>
      <c r="C64">
        <v>0.4</v>
      </c>
      <c r="D64">
        <f t="shared" si="12"/>
        <v>2.66</v>
      </c>
      <c r="E64">
        <f t="shared" si="13"/>
        <v>6.62</v>
      </c>
      <c r="F64">
        <f t="shared" si="14"/>
        <v>0</v>
      </c>
      <c r="G64">
        <f t="shared" si="17"/>
        <v>0</v>
      </c>
      <c r="H64">
        <f t="shared" si="15"/>
        <v>1.49</v>
      </c>
      <c r="I64">
        <f t="shared" si="16"/>
        <v>4.87</v>
      </c>
    </row>
    <row r="65" spans="1:9" ht="13.2" x14ac:dyDescent="0.25">
      <c r="A65" t="s">
        <v>32</v>
      </c>
      <c r="B65" t="s">
        <v>16</v>
      </c>
      <c r="C65">
        <v>0.4</v>
      </c>
      <c r="D65">
        <f t="shared" si="12"/>
        <v>2.66</v>
      </c>
      <c r="E65">
        <f t="shared" si="13"/>
        <v>6.62</v>
      </c>
      <c r="F65">
        <f t="shared" si="14"/>
        <v>0</v>
      </c>
      <c r="G65">
        <f t="shared" si="17"/>
        <v>0</v>
      </c>
      <c r="H65">
        <f t="shared" si="15"/>
        <v>1.49</v>
      </c>
      <c r="I65">
        <f t="shared" si="16"/>
        <v>4.87</v>
      </c>
    </row>
    <row r="66" spans="1:9" ht="13.2" x14ac:dyDescent="0.25">
      <c r="A66" t="s">
        <v>32</v>
      </c>
      <c r="B66" t="s">
        <v>17</v>
      </c>
      <c r="C66">
        <v>0.6</v>
      </c>
      <c r="D66">
        <f t="shared" si="12"/>
        <v>2.66</v>
      </c>
      <c r="E66">
        <f t="shared" si="13"/>
        <v>6.62</v>
      </c>
      <c r="F66">
        <f t="shared" si="14"/>
        <v>0</v>
      </c>
      <c r="G66">
        <f t="shared" si="17"/>
        <v>0.2</v>
      </c>
      <c r="H66">
        <f t="shared" si="15"/>
        <v>1.49</v>
      </c>
      <c r="I66">
        <f t="shared" si="16"/>
        <v>4.87</v>
      </c>
    </row>
    <row r="67" spans="1:9" ht="13.2" x14ac:dyDescent="0.25">
      <c r="A67" t="s">
        <v>32</v>
      </c>
      <c r="B67" t="s">
        <v>18</v>
      </c>
      <c r="C67">
        <v>0.8</v>
      </c>
      <c r="D67">
        <f t="shared" si="12"/>
        <v>2.66</v>
      </c>
      <c r="E67">
        <f t="shared" si="13"/>
        <v>6.62</v>
      </c>
      <c r="F67">
        <f t="shared" si="14"/>
        <v>0</v>
      </c>
      <c r="G67">
        <f t="shared" si="17"/>
        <v>0.2</v>
      </c>
      <c r="H67">
        <f t="shared" si="15"/>
        <v>1.49</v>
      </c>
      <c r="I67">
        <f t="shared" si="16"/>
        <v>4.87</v>
      </c>
    </row>
    <row r="68" spans="1:9" ht="13.2" x14ac:dyDescent="0.25">
      <c r="A68" t="s">
        <v>32</v>
      </c>
      <c r="B68" t="s">
        <v>19</v>
      </c>
      <c r="C68">
        <v>0.6</v>
      </c>
      <c r="D68">
        <f t="shared" si="12"/>
        <v>2.66</v>
      </c>
      <c r="E68">
        <f t="shared" si="13"/>
        <v>6.62</v>
      </c>
      <c r="F68">
        <f t="shared" si="14"/>
        <v>0</v>
      </c>
      <c r="G68">
        <f t="shared" si="17"/>
        <v>0.2</v>
      </c>
      <c r="H68">
        <f t="shared" si="15"/>
        <v>1.49</v>
      </c>
      <c r="I68">
        <f t="shared" si="16"/>
        <v>4.87</v>
      </c>
    </row>
    <row r="69" spans="1:9" ht="13.2" x14ac:dyDescent="0.25">
      <c r="A69" t="s">
        <v>32</v>
      </c>
      <c r="B69" t="s">
        <v>20</v>
      </c>
      <c r="C69">
        <v>0.9</v>
      </c>
      <c r="D69">
        <f t="shared" si="12"/>
        <v>2.66</v>
      </c>
      <c r="E69">
        <f t="shared" si="13"/>
        <v>6.62</v>
      </c>
      <c r="F69">
        <f t="shared" si="14"/>
        <v>0</v>
      </c>
      <c r="G69">
        <f t="shared" si="17"/>
        <v>0.3</v>
      </c>
      <c r="H69">
        <f t="shared" si="15"/>
        <v>1.49</v>
      </c>
      <c r="I69">
        <f t="shared" si="16"/>
        <v>4.87</v>
      </c>
    </row>
    <row r="70" spans="1:9" ht="13.2" x14ac:dyDescent="0.25">
      <c r="A70" t="s">
        <v>32</v>
      </c>
      <c r="B70" t="s">
        <v>21</v>
      </c>
      <c r="C70">
        <v>2.6</v>
      </c>
      <c r="D70">
        <f t="shared" si="12"/>
        <v>2.66</v>
      </c>
      <c r="E70">
        <f t="shared" si="13"/>
        <v>6.62</v>
      </c>
      <c r="F70">
        <f t="shared" si="14"/>
        <v>0</v>
      </c>
      <c r="G70">
        <f t="shared" si="17"/>
        <v>1.7</v>
      </c>
      <c r="H70">
        <f t="shared" si="15"/>
        <v>1.49</v>
      </c>
      <c r="I70">
        <f t="shared" si="16"/>
        <v>4.87</v>
      </c>
    </row>
    <row r="71" spans="1:9" ht="13.2" x14ac:dyDescent="0.25">
      <c r="A71" t="s">
        <v>32</v>
      </c>
      <c r="B71" t="s">
        <v>33</v>
      </c>
      <c r="C71">
        <v>0.4</v>
      </c>
      <c r="D71">
        <f t="shared" si="12"/>
        <v>2.66</v>
      </c>
      <c r="E71">
        <f t="shared" si="13"/>
        <v>6.62</v>
      </c>
      <c r="F71">
        <f t="shared" si="14"/>
        <v>0</v>
      </c>
      <c r="G71">
        <f t="shared" si="17"/>
        <v>2.2000000000000002</v>
      </c>
      <c r="H71">
        <f t="shared" si="15"/>
        <v>1.49</v>
      </c>
      <c r="I71">
        <f t="shared" si="16"/>
        <v>4.87</v>
      </c>
    </row>
    <row r="72" spans="1:9" ht="13.2" x14ac:dyDescent="0.25">
      <c r="A72" t="s">
        <v>32</v>
      </c>
      <c r="B72" t="s">
        <v>34</v>
      </c>
      <c r="C72">
        <v>2.1</v>
      </c>
      <c r="D72">
        <f t="shared" si="12"/>
        <v>2.66</v>
      </c>
      <c r="E72">
        <f t="shared" si="13"/>
        <v>6.62</v>
      </c>
      <c r="F72">
        <f t="shared" si="14"/>
        <v>0</v>
      </c>
      <c r="G72">
        <f t="shared" si="17"/>
        <v>1.7</v>
      </c>
      <c r="H72">
        <f t="shared" si="15"/>
        <v>1.49</v>
      </c>
      <c r="I72">
        <f t="shared" si="16"/>
        <v>4.87</v>
      </c>
    </row>
    <row r="73" spans="1:9" ht="13.2" x14ac:dyDescent="0.25">
      <c r="A73" t="s">
        <v>32</v>
      </c>
      <c r="B73" t="s">
        <v>35</v>
      </c>
      <c r="C73">
        <v>1.2</v>
      </c>
      <c r="D73">
        <f t="shared" si="12"/>
        <v>2.66</v>
      </c>
      <c r="E73">
        <f t="shared" si="13"/>
        <v>6.62</v>
      </c>
      <c r="F73">
        <f t="shared" si="14"/>
        <v>0</v>
      </c>
      <c r="G73">
        <f t="shared" si="17"/>
        <v>0.9</v>
      </c>
      <c r="H73">
        <f t="shared" si="15"/>
        <v>1.49</v>
      </c>
      <c r="I73">
        <f t="shared" si="16"/>
        <v>4.87</v>
      </c>
    </row>
    <row r="74" spans="1:9" ht="13.2" x14ac:dyDescent="0.25">
      <c r="A74" t="s">
        <v>32</v>
      </c>
      <c r="B74" t="s">
        <v>36</v>
      </c>
      <c r="C74">
        <v>0.2</v>
      </c>
      <c r="D74">
        <f t="shared" si="12"/>
        <v>2.66</v>
      </c>
      <c r="E74">
        <f t="shared" si="13"/>
        <v>6.62</v>
      </c>
      <c r="F74">
        <f t="shared" si="14"/>
        <v>0</v>
      </c>
      <c r="G74">
        <f t="shared" si="17"/>
        <v>1</v>
      </c>
      <c r="H74">
        <f t="shared" si="15"/>
        <v>1.49</v>
      </c>
      <c r="I74">
        <f t="shared" si="16"/>
        <v>4.87</v>
      </c>
    </row>
    <row r="75" spans="1:9" ht="13.2" x14ac:dyDescent="0.25">
      <c r="A75" t="s">
        <v>32</v>
      </c>
      <c r="B75" t="s">
        <v>37</v>
      </c>
      <c r="C75">
        <v>0.2</v>
      </c>
      <c r="D75">
        <f t="shared" si="12"/>
        <v>2.66</v>
      </c>
      <c r="E75">
        <f t="shared" si="13"/>
        <v>6.62</v>
      </c>
      <c r="F75">
        <f t="shared" si="14"/>
        <v>0</v>
      </c>
      <c r="G75">
        <f t="shared" si="17"/>
        <v>0</v>
      </c>
      <c r="H75">
        <f t="shared" si="15"/>
        <v>1.49</v>
      </c>
      <c r="I75">
        <f t="shared" si="16"/>
        <v>4.87</v>
      </c>
    </row>
    <row r="76" spans="1:9" ht="13.2" x14ac:dyDescent="0.25">
      <c r="A76" t="s">
        <v>32</v>
      </c>
      <c r="B76" t="s">
        <v>38</v>
      </c>
      <c r="C76">
        <v>1</v>
      </c>
      <c r="D76">
        <f t="shared" si="12"/>
        <v>2.66</v>
      </c>
      <c r="E76">
        <f t="shared" si="13"/>
        <v>6.62</v>
      </c>
      <c r="F76">
        <f t="shared" si="14"/>
        <v>0</v>
      </c>
      <c r="G76">
        <f t="shared" si="17"/>
        <v>0.8</v>
      </c>
      <c r="H76">
        <f t="shared" si="15"/>
        <v>1.49</v>
      </c>
      <c r="I76">
        <f t="shared" si="16"/>
        <v>4.87</v>
      </c>
    </row>
    <row r="77" spans="1:9" ht="13.2" x14ac:dyDescent="0.25">
      <c r="A77" t="s">
        <v>32</v>
      </c>
      <c r="B77" t="s">
        <v>39</v>
      </c>
      <c r="C77">
        <v>2</v>
      </c>
      <c r="D77">
        <f t="shared" si="12"/>
        <v>2.66</v>
      </c>
      <c r="E77">
        <f t="shared" si="13"/>
        <v>6.62</v>
      </c>
      <c r="F77">
        <f t="shared" si="14"/>
        <v>0</v>
      </c>
      <c r="G77">
        <f t="shared" si="17"/>
        <v>1</v>
      </c>
      <c r="H77">
        <f t="shared" si="15"/>
        <v>1.49</v>
      </c>
      <c r="I77">
        <f t="shared" si="16"/>
        <v>4.87</v>
      </c>
    </row>
    <row r="78" spans="1:9" ht="13.2" x14ac:dyDescent="0.25">
      <c r="A78" t="s">
        <v>32</v>
      </c>
      <c r="B78" t="s">
        <v>40</v>
      </c>
      <c r="C78">
        <v>0.8</v>
      </c>
      <c r="D78">
        <f t="shared" si="12"/>
        <v>2.66</v>
      </c>
      <c r="E78">
        <f t="shared" si="13"/>
        <v>6.62</v>
      </c>
      <c r="F78">
        <f t="shared" si="14"/>
        <v>0</v>
      </c>
      <c r="G78">
        <f t="shared" si="17"/>
        <v>1.2</v>
      </c>
      <c r="H78">
        <f t="shared" si="15"/>
        <v>1.49</v>
      </c>
      <c r="I78">
        <f t="shared" si="16"/>
        <v>4.87</v>
      </c>
    </row>
    <row r="79" spans="1:9" ht="13.2" x14ac:dyDescent="0.25">
      <c r="A79" t="s">
        <v>32</v>
      </c>
      <c r="B79" t="s">
        <v>41</v>
      </c>
      <c r="C79">
        <v>0.4</v>
      </c>
      <c r="D79">
        <f t="shared" si="12"/>
        <v>2.66</v>
      </c>
      <c r="E79">
        <f t="shared" si="13"/>
        <v>6.62</v>
      </c>
      <c r="F79">
        <f t="shared" si="14"/>
        <v>0</v>
      </c>
      <c r="G79">
        <f t="shared" si="17"/>
        <v>0.4</v>
      </c>
      <c r="H79">
        <f t="shared" si="15"/>
        <v>1.49</v>
      </c>
      <c r="I79">
        <f t="shared" si="16"/>
        <v>4.87</v>
      </c>
    </row>
    <row r="80" spans="1:9" ht="13.2" x14ac:dyDescent="0.25">
      <c r="A80" t="s">
        <v>32</v>
      </c>
      <c r="B80" t="s">
        <v>42</v>
      </c>
      <c r="C80">
        <v>0.7</v>
      </c>
      <c r="D80">
        <f t="shared" si="12"/>
        <v>2.66</v>
      </c>
      <c r="E80">
        <f t="shared" si="13"/>
        <v>6.62</v>
      </c>
      <c r="F80">
        <f t="shared" si="14"/>
        <v>0</v>
      </c>
      <c r="G80">
        <f t="shared" si="17"/>
        <v>0.3</v>
      </c>
      <c r="H80">
        <f t="shared" si="15"/>
        <v>1.49</v>
      </c>
      <c r="I80">
        <f t="shared" si="16"/>
        <v>4.87</v>
      </c>
    </row>
    <row r="81" spans="1:9" ht="13.2" x14ac:dyDescent="0.25">
      <c r="A81" t="s">
        <v>32</v>
      </c>
      <c r="B81" t="s">
        <v>43</v>
      </c>
      <c r="C81">
        <v>0.4</v>
      </c>
      <c r="D81">
        <f t="shared" si="12"/>
        <v>2.66</v>
      </c>
      <c r="E81">
        <f t="shared" si="13"/>
        <v>6.62</v>
      </c>
      <c r="F81">
        <f t="shared" si="14"/>
        <v>0</v>
      </c>
      <c r="G81">
        <f t="shared" si="17"/>
        <v>0.3</v>
      </c>
      <c r="H81">
        <f t="shared" si="15"/>
        <v>1.49</v>
      </c>
      <c r="I81">
        <f t="shared" si="16"/>
        <v>4.87</v>
      </c>
    </row>
    <row r="82" spans="1:9" ht="13.2" x14ac:dyDescent="0.25">
      <c r="A82" t="s">
        <v>32</v>
      </c>
      <c r="B82" t="s">
        <v>44</v>
      </c>
      <c r="C82">
        <v>0.4</v>
      </c>
      <c r="D82">
        <f t="shared" si="12"/>
        <v>2.66</v>
      </c>
      <c r="E82">
        <f t="shared" si="13"/>
        <v>6.62</v>
      </c>
      <c r="F82">
        <f t="shared" si="14"/>
        <v>0</v>
      </c>
      <c r="G82">
        <f t="shared" si="17"/>
        <v>0</v>
      </c>
      <c r="H82">
        <f t="shared" si="15"/>
        <v>1.49</v>
      </c>
      <c r="I82">
        <f t="shared" si="16"/>
        <v>4.87</v>
      </c>
    </row>
    <row r="83" spans="1:9" ht="13.2" x14ac:dyDescent="0.25">
      <c r="A83" t="s">
        <v>32</v>
      </c>
      <c r="B83" t="s">
        <v>45</v>
      </c>
      <c r="C83">
        <v>0.7</v>
      </c>
      <c r="D83">
        <f t="shared" si="12"/>
        <v>2.66</v>
      </c>
      <c r="E83">
        <f t="shared" si="13"/>
        <v>6.62</v>
      </c>
      <c r="F83">
        <f t="shared" si="14"/>
        <v>0</v>
      </c>
      <c r="G83">
        <f t="shared" si="17"/>
        <v>0.3</v>
      </c>
      <c r="H83">
        <f t="shared" si="15"/>
        <v>1.49</v>
      </c>
      <c r="I83">
        <f t="shared" si="16"/>
        <v>4.87</v>
      </c>
    </row>
    <row r="84" spans="1:9" ht="13.2" x14ac:dyDescent="0.25">
      <c r="A84" t="s">
        <v>32</v>
      </c>
      <c r="B84" t="s">
        <v>46</v>
      </c>
      <c r="C84">
        <v>0.6</v>
      </c>
      <c r="D84">
        <f t="shared" si="12"/>
        <v>2.66</v>
      </c>
      <c r="E84">
        <f t="shared" si="13"/>
        <v>6.62</v>
      </c>
      <c r="F84">
        <f t="shared" si="14"/>
        <v>0</v>
      </c>
      <c r="G84">
        <f t="shared" si="17"/>
        <v>0.1</v>
      </c>
      <c r="H84">
        <f t="shared" si="15"/>
        <v>1.49</v>
      </c>
      <c r="I84">
        <f t="shared" si="16"/>
        <v>4.87</v>
      </c>
    </row>
    <row r="85" spans="1:9" ht="13.2" x14ac:dyDescent="0.25">
      <c r="A85" t="s">
        <v>32</v>
      </c>
      <c r="B85" t="s">
        <v>47</v>
      </c>
      <c r="C85">
        <v>0.8</v>
      </c>
      <c r="D85">
        <f t="shared" si="12"/>
        <v>2.66</v>
      </c>
      <c r="E85">
        <f t="shared" si="13"/>
        <v>6.62</v>
      </c>
      <c r="F85">
        <f t="shared" si="14"/>
        <v>0</v>
      </c>
      <c r="G85">
        <f t="shared" si="17"/>
        <v>0.2</v>
      </c>
      <c r="H85">
        <f t="shared" si="15"/>
        <v>1.49</v>
      </c>
      <c r="I85">
        <f t="shared" si="16"/>
        <v>4.87</v>
      </c>
    </row>
    <row r="86" spans="1:9" ht="13.2" x14ac:dyDescent="0.25">
      <c r="A86" t="s">
        <v>32</v>
      </c>
      <c r="B86" t="s">
        <v>48</v>
      </c>
      <c r="C86">
        <v>1.4</v>
      </c>
      <c r="D86">
        <f t="shared" si="12"/>
        <v>2.66</v>
      </c>
      <c r="E86">
        <f t="shared" si="13"/>
        <v>6.62</v>
      </c>
      <c r="F86">
        <f t="shared" si="14"/>
        <v>0</v>
      </c>
      <c r="G86">
        <f t="shared" si="17"/>
        <v>0.6</v>
      </c>
      <c r="H86">
        <f t="shared" si="15"/>
        <v>1.49</v>
      </c>
      <c r="I86">
        <f t="shared" si="16"/>
        <v>4.87</v>
      </c>
    </row>
    <row r="87" spans="1:9" ht="13.2" x14ac:dyDescent="0.25">
      <c r="A87" t="s">
        <v>32</v>
      </c>
      <c r="B87" t="s">
        <v>49</v>
      </c>
      <c r="C87">
        <v>0.8</v>
      </c>
      <c r="D87">
        <f t="shared" si="12"/>
        <v>2.66</v>
      </c>
      <c r="E87">
        <f t="shared" si="13"/>
        <v>6.62</v>
      </c>
      <c r="F87">
        <f t="shared" si="14"/>
        <v>0</v>
      </c>
      <c r="G87">
        <f t="shared" si="17"/>
        <v>0.6</v>
      </c>
      <c r="H87">
        <f t="shared" si="15"/>
        <v>1.49</v>
      </c>
      <c r="I87">
        <f t="shared" si="16"/>
        <v>4.87</v>
      </c>
    </row>
    <row r="88" spans="1:9" ht="13.2" x14ac:dyDescent="0.25">
      <c r="A88" t="s">
        <v>32</v>
      </c>
      <c r="B88" t="s">
        <v>50</v>
      </c>
      <c r="C88">
        <v>1.9</v>
      </c>
      <c r="D88">
        <f t="shared" si="12"/>
        <v>2.66</v>
      </c>
      <c r="E88">
        <f t="shared" si="13"/>
        <v>6.62</v>
      </c>
      <c r="F88">
        <f t="shared" si="14"/>
        <v>0</v>
      </c>
      <c r="G88">
        <f t="shared" si="17"/>
        <v>1.1000000000000001</v>
      </c>
      <c r="H88">
        <f t="shared" si="15"/>
        <v>1.49</v>
      </c>
      <c r="I88">
        <f t="shared" si="16"/>
        <v>4.87</v>
      </c>
    </row>
    <row r="89" spans="1:9" ht="13.2" x14ac:dyDescent="0.25">
      <c r="A89" t="s">
        <v>32</v>
      </c>
      <c r="B89" t="s">
        <v>51</v>
      </c>
      <c r="C89">
        <v>0.6</v>
      </c>
      <c r="D89">
        <f t="shared" si="12"/>
        <v>2.66</v>
      </c>
      <c r="E89">
        <f t="shared" si="13"/>
        <v>6.62</v>
      </c>
      <c r="F89">
        <f t="shared" si="14"/>
        <v>0</v>
      </c>
      <c r="G89">
        <f t="shared" si="17"/>
        <v>1.3</v>
      </c>
      <c r="H89">
        <f t="shared" si="15"/>
        <v>1.49</v>
      </c>
      <c r="I89">
        <f t="shared" si="16"/>
        <v>4.87</v>
      </c>
    </row>
    <row r="90" spans="1:9" ht="13.2" x14ac:dyDescent="0.25">
      <c r="A90" t="s">
        <v>32</v>
      </c>
      <c r="B90" t="s">
        <v>52</v>
      </c>
      <c r="C90">
        <v>1.1000000000000001</v>
      </c>
      <c r="D90">
        <f t="shared" si="12"/>
        <v>2.66</v>
      </c>
      <c r="E90">
        <f t="shared" si="13"/>
        <v>6.62</v>
      </c>
      <c r="F90">
        <f t="shared" si="14"/>
        <v>0</v>
      </c>
      <c r="G90">
        <f t="shared" si="17"/>
        <v>0.5</v>
      </c>
      <c r="H90">
        <f t="shared" si="15"/>
        <v>1.49</v>
      </c>
      <c r="I90">
        <f t="shared" si="16"/>
        <v>4.87</v>
      </c>
    </row>
    <row r="91" spans="1:9" ht="13.2" x14ac:dyDescent="0.25">
      <c r="A91" t="s">
        <v>32</v>
      </c>
      <c r="B91" t="s">
        <v>53</v>
      </c>
      <c r="C91">
        <v>3.2</v>
      </c>
      <c r="D91">
        <f t="shared" si="12"/>
        <v>2.66</v>
      </c>
      <c r="E91">
        <f t="shared" si="13"/>
        <v>6.62</v>
      </c>
      <c r="F91">
        <f t="shared" si="14"/>
        <v>0</v>
      </c>
      <c r="G91">
        <f t="shared" si="17"/>
        <v>2.1</v>
      </c>
      <c r="H91">
        <f t="shared" si="15"/>
        <v>1.49</v>
      </c>
      <c r="I91">
        <f t="shared" si="16"/>
        <v>4.87</v>
      </c>
    </row>
    <row r="92" spans="1:9" ht="13.2" x14ac:dyDescent="0.25">
      <c r="A92" t="s">
        <v>32</v>
      </c>
      <c r="B92" t="s">
        <v>54</v>
      </c>
      <c r="C92">
        <v>0.7</v>
      </c>
      <c r="D92">
        <f t="shared" si="12"/>
        <v>2.66</v>
      </c>
      <c r="E92">
        <f t="shared" si="13"/>
        <v>6.62</v>
      </c>
      <c r="F92">
        <f t="shared" si="14"/>
        <v>0</v>
      </c>
      <c r="G92">
        <f t="shared" si="17"/>
        <v>2.5</v>
      </c>
      <c r="H92">
        <f t="shared" si="15"/>
        <v>1.49</v>
      </c>
      <c r="I92">
        <f t="shared" si="16"/>
        <v>4.87</v>
      </c>
    </row>
    <row r="93" spans="1:9" ht="13.2" x14ac:dyDescent="0.25">
      <c r="A93" t="s">
        <v>32</v>
      </c>
      <c r="B93" t="s">
        <v>55</v>
      </c>
      <c r="C93">
        <v>0.5</v>
      </c>
      <c r="D93">
        <f t="shared" ref="D93:D117" si="18">ROUND(AVERAGE($C$61:$C$117),2)</f>
        <v>2.66</v>
      </c>
      <c r="E93">
        <f t="shared" ref="E93:E117" si="19">ROUND(D93+(2.66*H93),2)</f>
        <v>6.62</v>
      </c>
      <c r="F93">
        <f t="shared" ref="F93:F117" si="20">ROUND(MAX(0,D93-(2.66*H93)),2)</f>
        <v>0</v>
      </c>
      <c r="G93">
        <f t="shared" si="17"/>
        <v>0.2</v>
      </c>
      <c r="H93">
        <f t="shared" ref="H93:H117" si="21">ROUND(AVERAGE($G$62:$G$117),2)</f>
        <v>1.49</v>
      </c>
      <c r="I93">
        <f t="shared" ref="I93:I117" si="22">ROUND(3.268*H93,2)</f>
        <v>4.87</v>
      </c>
    </row>
    <row r="94" spans="1:9" ht="13.2" x14ac:dyDescent="0.25">
      <c r="A94" t="s">
        <v>32</v>
      </c>
      <c r="B94" t="s">
        <v>56</v>
      </c>
      <c r="C94">
        <v>0.9</v>
      </c>
      <c r="D94">
        <f t="shared" si="18"/>
        <v>2.66</v>
      </c>
      <c r="E94">
        <f t="shared" si="19"/>
        <v>6.62</v>
      </c>
      <c r="F94">
        <f t="shared" si="20"/>
        <v>0</v>
      </c>
      <c r="G94">
        <f t="shared" si="17"/>
        <v>0.4</v>
      </c>
      <c r="H94">
        <f t="shared" si="21"/>
        <v>1.49</v>
      </c>
      <c r="I94">
        <f t="shared" si="22"/>
        <v>4.87</v>
      </c>
    </row>
    <row r="95" spans="1:9" ht="13.2" x14ac:dyDescent="0.25">
      <c r="A95" t="s">
        <v>32</v>
      </c>
      <c r="B95" t="s">
        <v>57</v>
      </c>
      <c r="C95">
        <v>2.2000000000000002</v>
      </c>
      <c r="D95">
        <f t="shared" si="18"/>
        <v>2.66</v>
      </c>
      <c r="E95">
        <f t="shared" si="19"/>
        <v>6.62</v>
      </c>
      <c r="F95">
        <f t="shared" si="20"/>
        <v>0</v>
      </c>
      <c r="G95">
        <f t="shared" si="17"/>
        <v>1.3</v>
      </c>
      <c r="H95">
        <f t="shared" si="21"/>
        <v>1.49</v>
      </c>
      <c r="I95">
        <f t="shared" si="22"/>
        <v>4.87</v>
      </c>
    </row>
    <row r="96" spans="1:9" ht="13.2" x14ac:dyDescent="0.25">
      <c r="A96" t="s">
        <v>32</v>
      </c>
      <c r="B96" t="s">
        <v>58</v>
      </c>
      <c r="C96">
        <v>5</v>
      </c>
      <c r="D96">
        <f t="shared" si="18"/>
        <v>2.66</v>
      </c>
      <c r="E96">
        <f t="shared" si="19"/>
        <v>6.62</v>
      </c>
      <c r="F96">
        <f t="shared" si="20"/>
        <v>0</v>
      </c>
      <c r="G96">
        <f t="shared" si="17"/>
        <v>2.8</v>
      </c>
      <c r="H96">
        <f t="shared" si="21"/>
        <v>1.49</v>
      </c>
      <c r="I96">
        <f t="shared" si="22"/>
        <v>4.87</v>
      </c>
    </row>
    <row r="97" spans="1:9" ht="13.2" x14ac:dyDescent="0.25">
      <c r="A97" t="s">
        <v>32</v>
      </c>
      <c r="B97" t="s">
        <v>59</v>
      </c>
      <c r="C97">
        <v>2.5</v>
      </c>
      <c r="D97">
        <f t="shared" si="18"/>
        <v>2.66</v>
      </c>
      <c r="E97">
        <f t="shared" si="19"/>
        <v>6.62</v>
      </c>
      <c r="F97">
        <f t="shared" si="20"/>
        <v>0</v>
      </c>
      <c r="G97">
        <f t="shared" si="17"/>
        <v>2.5</v>
      </c>
      <c r="H97">
        <f t="shared" si="21"/>
        <v>1.49</v>
      </c>
      <c r="I97">
        <f t="shared" si="22"/>
        <v>4.87</v>
      </c>
    </row>
    <row r="98" spans="1:9" ht="13.2" x14ac:dyDescent="0.25">
      <c r="A98" t="s">
        <v>32</v>
      </c>
      <c r="B98" t="s">
        <v>60</v>
      </c>
      <c r="C98">
        <v>1.7</v>
      </c>
      <c r="D98">
        <f t="shared" si="18"/>
        <v>2.66</v>
      </c>
      <c r="E98">
        <f t="shared" si="19"/>
        <v>6.62</v>
      </c>
      <c r="F98">
        <f t="shared" si="20"/>
        <v>0</v>
      </c>
      <c r="G98">
        <f t="shared" si="17"/>
        <v>0.8</v>
      </c>
      <c r="H98">
        <f t="shared" si="21"/>
        <v>1.49</v>
      </c>
      <c r="I98">
        <f t="shared" si="22"/>
        <v>4.87</v>
      </c>
    </row>
    <row r="99" spans="1:9" ht="13.2" x14ac:dyDescent="0.25">
      <c r="A99" t="s">
        <v>32</v>
      </c>
      <c r="B99" t="s">
        <v>61</v>
      </c>
      <c r="C99">
        <v>0.8</v>
      </c>
      <c r="D99">
        <f t="shared" si="18"/>
        <v>2.66</v>
      </c>
      <c r="E99">
        <f t="shared" si="19"/>
        <v>6.62</v>
      </c>
      <c r="F99">
        <f t="shared" si="20"/>
        <v>0</v>
      </c>
      <c r="G99">
        <f t="shared" si="17"/>
        <v>0.9</v>
      </c>
      <c r="H99">
        <f t="shared" si="21"/>
        <v>1.49</v>
      </c>
      <c r="I99">
        <f t="shared" si="22"/>
        <v>4.87</v>
      </c>
    </row>
    <row r="100" spans="1:9" ht="13.2" x14ac:dyDescent="0.25">
      <c r="A100" t="s">
        <v>32</v>
      </c>
      <c r="B100" t="s">
        <v>62</v>
      </c>
      <c r="C100">
        <v>7.5</v>
      </c>
      <c r="D100">
        <f t="shared" si="18"/>
        <v>2.66</v>
      </c>
      <c r="E100">
        <f t="shared" si="19"/>
        <v>6.62</v>
      </c>
      <c r="F100">
        <f t="shared" si="20"/>
        <v>0</v>
      </c>
      <c r="G100">
        <f t="shared" si="17"/>
        <v>6.7</v>
      </c>
      <c r="H100">
        <f t="shared" si="21"/>
        <v>1.49</v>
      </c>
      <c r="I100">
        <f t="shared" si="22"/>
        <v>4.87</v>
      </c>
    </row>
    <row r="101" spans="1:9" ht="13.2" x14ac:dyDescent="0.25">
      <c r="A101" t="s">
        <v>32</v>
      </c>
      <c r="B101" t="s">
        <v>63</v>
      </c>
      <c r="C101">
        <v>4.9000000000000004</v>
      </c>
      <c r="D101">
        <f t="shared" si="18"/>
        <v>2.66</v>
      </c>
      <c r="E101">
        <f t="shared" si="19"/>
        <v>6.62</v>
      </c>
      <c r="F101">
        <f t="shared" si="20"/>
        <v>0</v>
      </c>
      <c r="G101">
        <f t="shared" si="17"/>
        <v>2.6</v>
      </c>
      <c r="H101">
        <f t="shared" si="21"/>
        <v>1.49</v>
      </c>
      <c r="I101">
        <f t="shared" si="22"/>
        <v>4.87</v>
      </c>
    </row>
    <row r="102" spans="1:9" ht="13.2" x14ac:dyDescent="0.25">
      <c r="A102" t="s">
        <v>32</v>
      </c>
      <c r="B102" t="s">
        <v>64</v>
      </c>
      <c r="C102">
        <v>8.8000000000000007</v>
      </c>
      <c r="D102">
        <f t="shared" si="18"/>
        <v>2.66</v>
      </c>
      <c r="E102">
        <f t="shared" si="19"/>
        <v>6.62</v>
      </c>
      <c r="F102">
        <f t="shared" si="20"/>
        <v>0</v>
      </c>
      <c r="G102">
        <f t="shared" si="17"/>
        <v>3.9</v>
      </c>
      <c r="H102">
        <f t="shared" si="21"/>
        <v>1.49</v>
      </c>
      <c r="I102">
        <f t="shared" si="22"/>
        <v>4.87</v>
      </c>
    </row>
    <row r="103" spans="1:9" ht="13.2" x14ac:dyDescent="0.25">
      <c r="A103" t="s">
        <v>32</v>
      </c>
      <c r="B103" t="s">
        <v>65</v>
      </c>
      <c r="C103">
        <v>8.1</v>
      </c>
      <c r="D103">
        <f t="shared" si="18"/>
        <v>2.66</v>
      </c>
      <c r="E103">
        <f t="shared" si="19"/>
        <v>6.62</v>
      </c>
      <c r="F103">
        <f t="shared" si="20"/>
        <v>0</v>
      </c>
      <c r="G103">
        <f t="shared" si="17"/>
        <v>0.7</v>
      </c>
      <c r="H103">
        <f t="shared" si="21"/>
        <v>1.49</v>
      </c>
      <c r="I103">
        <f t="shared" si="22"/>
        <v>4.87</v>
      </c>
    </row>
    <row r="104" spans="1:9" ht="13.2" x14ac:dyDescent="0.25">
      <c r="A104" t="s">
        <v>32</v>
      </c>
      <c r="B104" t="s">
        <v>66</v>
      </c>
      <c r="C104">
        <v>2.2000000000000002</v>
      </c>
      <c r="D104">
        <f t="shared" si="18"/>
        <v>2.66</v>
      </c>
      <c r="E104">
        <f t="shared" si="19"/>
        <v>6.62</v>
      </c>
      <c r="F104">
        <f t="shared" si="20"/>
        <v>0</v>
      </c>
      <c r="G104">
        <f t="shared" si="17"/>
        <v>5.9</v>
      </c>
      <c r="H104">
        <f t="shared" si="21"/>
        <v>1.49</v>
      </c>
      <c r="I104">
        <f t="shared" si="22"/>
        <v>4.87</v>
      </c>
    </row>
    <row r="105" spans="1:9" ht="13.2" x14ac:dyDescent="0.25">
      <c r="A105" t="s">
        <v>32</v>
      </c>
      <c r="B105" t="s">
        <v>67</v>
      </c>
      <c r="C105">
        <v>3.6</v>
      </c>
      <c r="D105">
        <f t="shared" si="18"/>
        <v>2.66</v>
      </c>
      <c r="E105">
        <f t="shared" si="19"/>
        <v>6.62</v>
      </c>
      <c r="F105">
        <f t="shared" si="20"/>
        <v>0</v>
      </c>
      <c r="G105">
        <f t="shared" si="17"/>
        <v>1.4</v>
      </c>
      <c r="H105">
        <f t="shared" si="21"/>
        <v>1.49</v>
      </c>
      <c r="I105">
        <f t="shared" si="22"/>
        <v>4.87</v>
      </c>
    </row>
    <row r="106" spans="1:9" ht="13.2" x14ac:dyDescent="0.25">
      <c r="A106" t="s">
        <v>32</v>
      </c>
      <c r="B106" t="s">
        <v>68</v>
      </c>
      <c r="C106">
        <v>4.5999999999999996</v>
      </c>
      <c r="D106">
        <f t="shared" si="18"/>
        <v>2.66</v>
      </c>
      <c r="E106">
        <f t="shared" si="19"/>
        <v>6.62</v>
      </c>
      <c r="F106">
        <f t="shared" si="20"/>
        <v>0</v>
      </c>
      <c r="G106">
        <f t="shared" si="17"/>
        <v>1</v>
      </c>
      <c r="H106">
        <f t="shared" si="21"/>
        <v>1.49</v>
      </c>
      <c r="I106">
        <f t="shared" si="22"/>
        <v>4.87</v>
      </c>
    </row>
    <row r="107" spans="1:9" ht="13.2" x14ac:dyDescent="0.25">
      <c r="A107" t="s">
        <v>32</v>
      </c>
      <c r="B107" t="s">
        <v>69</v>
      </c>
      <c r="C107">
        <v>4</v>
      </c>
      <c r="D107">
        <f t="shared" si="18"/>
        <v>2.66</v>
      </c>
      <c r="E107">
        <f t="shared" si="19"/>
        <v>6.62</v>
      </c>
      <c r="F107">
        <f t="shared" si="20"/>
        <v>0</v>
      </c>
      <c r="G107">
        <f t="shared" si="17"/>
        <v>0.6</v>
      </c>
      <c r="H107">
        <f t="shared" si="21"/>
        <v>1.49</v>
      </c>
      <c r="I107">
        <f t="shared" si="22"/>
        <v>4.87</v>
      </c>
    </row>
    <row r="108" spans="1:9" ht="13.2" x14ac:dyDescent="0.25">
      <c r="A108" t="s">
        <v>32</v>
      </c>
      <c r="B108" t="s">
        <v>22</v>
      </c>
      <c r="C108">
        <v>6.6</v>
      </c>
      <c r="D108">
        <f t="shared" si="18"/>
        <v>2.66</v>
      </c>
      <c r="E108">
        <f t="shared" si="19"/>
        <v>6.62</v>
      </c>
      <c r="F108">
        <f t="shared" si="20"/>
        <v>0</v>
      </c>
      <c r="G108">
        <f t="shared" si="17"/>
        <v>2.6</v>
      </c>
      <c r="H108">
        <f t="shared" si="21"/>
        <v>1.49</v>
      </c>
      <c r="I108">
        <f t="shared" si="22"/>
        <v>4.87</v>
      </c>
    </row>
    <row r="109" spans="1:9" ht="13.2" x14ac:dyDescent="0.25">
      <c r="A109" t="s">
        <v>32</v>
      </c>
      <c r="B109" t="s">
        <v>23</v>
      </c>
      <c r="C109">
        <v>3.2</v>
      </c>
      <c r="D109">
        <f t="shared" si="18"/>
        <v>2.66</v>
      </c>
      <c r="E109">
        <f t="shared" si="19"/>
        <v>6.62</v>
      </c>
      <c r="F109">
        <f t="shared" si="20"/>
        <v>0</v>
      </c>
      <c r="G109">
        <f t="shared" si="17"/>
        <v>3.4</v>
      </c>
      <c r="H109">
        <f t="shared" si="21"/>
        <v>1.49</v>
      </c>
      <c r="I109">
        <f t="shared" si="22"/>
        <v>4.87</v>
      </c>
    </row>
    <row r="110" spans="1:9" ht="13.2" x14ac:dyDescent="0.25">
      <c r="A110" t="s">
        <v>32</v>
      </c>
      <c r="B110" t="s">
        <v>24</v>
      </c>
      <c r="C110">
        <v>5.3</v>
      </c>
      <c r="D110">
        <f t="shared" si="18"/>
        <v>2.66</v>
      </c>
      <c r="E110">
        <f t="shared" si="19"/>
        <v>6.62</v>
      </c>
      <c r="F110">
        <f t="shared" si="20"/>
        <v>0</v>
      </c>
      <c r="G110">
        <f t="shared" si="17"/>
        <v>2.1</v>
      </c>
      <c r="H110">
        <f t="shared" si="21"/>
        <v>1.49</v>
      </c>
      <c r="I110">
        <f t="shared" si="22"/>
        <v>4.87</v>
      </c>
    </row>
    <row r="111" spans="1:9" ht="13.2" x14ac:dyDescent="0.25">
      <c r="A111" t="s">
        <v>32</v>
      </c>
      <c r="B111" t="s">
        <v>25</v>
      </c>
      <c r="C111">
        <v>7.7</v>
      </c>
      <c r="D111">
        <f t="shared" si="18"/>
        <v>2.66</v>
      </c>
      <c r="E111">
        <f t="shared" si="19"/>
        <v>6.62</v>
      </c>
      <c r="F111">
        <f t="shared" si="20"/>
        <v>0</v>
      </c>
      <c r="G111">
        <f t="shared" si="17"/>
        <v>2.4</v>
      </c>
      <c r="H111">
        <f t="shared" si="21"/>
        <v>1.49</v>
      </c>
      <c r="I111">
        <f t="shared" si="22"/>
        <v>4.87</v>
      </c>
    </row>
    <row r="112" spans="1:9" ht="13.2" x14ac:dyDescent="0.25">
      <c r="A112" t="s">
        <v>32</v>
      </c>
      <c r="B112" t="s">
        <v>26</v>
      </c>
      <c r="C112">
        <v>5.6</v>
      </c>
      <c r="D112">
        <f t="shared" si="18"/>
        <v>2.66</v>
      </c>
      <c r="E112">
        <f t="shared" si="19"/>
        <v>6.62</v>
      </c>
      <c r="F112">
        <f t="shared" si="20"/>
        <v>0</v>
      </c>
      <c r="G112">
        <f t="shared" si="17"/>
        <v>2.1</v>
      </c>
      <c r="H112">
        <f t="shared" si="21"/>
        <v>1.49</v>
      </c>
      <c r="I112">
        <f t="shared" si="22"/>
        <v>4.87</v>
      </c>
    </row>
    <row r="113" spans="1:9" ht="13.2" x14ac:dyDescent="0.25">
      <c r="A113" t="s">
        <v>32</v>
      </c>
      <c r="B113" t="s">
        <v>27</v>
      </c>
      <c r="C113">
        <v>7.5</v>
      </c>
      <c r="D113">
        <f t="shared" si="18"/>
        <v>2.66</v>
      </c>
      <c r="E113">
        <f t="shared" si="19"/>
        <v>6.62</v>
      </c>
      <c r="F113">
        <f t="shared" si="20"/>
        <v>0</v>
      </c>
      <c r="G113">
        <f t="shared" si="17"/>
        <v>1.9</v>
      </c>
      <c r="H113">
        <f t="shared" si="21"/>
        <v>1.49</v>
      </c>
      <c r="I113">
        <f t="shared" si="22"/>
        <v>4.87</v>
      </c>
    </row>
    <row r="114" spans="1:9" ht="13.2" x14ac:dyDescent="0.25">
      <c r="A114" t="s">
        <v>32</v>
      </c>
      <c r="B114" t="s">
        <v>28</v>
      </c>
      <c r="C114">
        <v>9.1</v>
      </c>
      <c r="D114">
        <f t="shared" si="18"/>
        <v>2.66</v>
      </c>
      <c r="E114">
        <f t="shared" si="19"/>
        <v>6.62</v>
      </c>
      <c r="F114">
        <f t="shared" si="20"/>
        <v>0</v>
      </c>
      <c r="G114">
        <f t="shared" si="17"/>
        <v>1.6</v>
      </c>
      <c r="H114">
        <f t="shared" si="21"/>
        <v>1.49</v>
      </c>
      <c r="I114">
        <f t="shared" si="22"/>
        <v>4.87</v>
      </c>
    </row>
    <row r="115" spans="1:9" ht="13.2" x14ac:dyDescent="0.25">
      <c r="A115" t="s">
        <v>32</v>
      </c>
      <c r="B115" t="s">
        <v>29</v>
      </c>
      <c r="C115">
        <v>3</v>
      </c>
      <c r="D115">
        <f t="shared" si="18"/>
        <v>2.66</v>
      </c>
      <c r="E115">
        <f t="shared" si="19"/>
        <v>6.62</v>
      </c>
      <c r="F115">
        <f t="shared" si="20"/>
        <v>0</v>
      </c>
      <c r="G115">
        <f t="shared" si="17"/>
        <v>6.1</v>
      </c>
      <c r="H115">
        <f t="shared" si="21"/>
        <v>1.49</v>
      </c>
      <c r="I115">
        <f t="shared" si="22"/>
        <v>4.87</v>
      </c>
    </row>
    <row r="116" spans="1:9" ht="13.2" x14ac:dyDescent="0.25">
      <c r="A116" t="s">
        <v>32</v>
      </c>
      <c r="B116" t="s">
        <v>30</v>
      </c>
      <c r="C116">
        <v>5.4</v>
      </c>
      <c r="D116">
        <f t="shared" si="18"/>
        <v>2.66</v>
      </c>
      <c r="E116">
        <f t="shared" si="19"/>
        <v>6.62</v>
      </c>
      <c r="F116">
        <f t="shared" si="20"/>
        <v>0</v>
      </c>
      <c r="G116">
        <f t="shared" si="17"/>
        <v>2.4</v>
      </c>
      <c r="H116">
        <f t="shared" si="21"/>
        <v>1.49</v>
      </c>
      <c r="I116">
        <f t="shared" si="22"/>
        <v>4.87</v>
      </c>
    </row>
    <row r="117" spans="1:9" ht="13.2" x14ac:dyDescent="0.25">
      <c r="A117" t="s">
        <v>32</v>
      </c>
      <c r="B117" t="s">
        <v>31</v>
      </c>
      <c r="C117">
        <v>9.1999999999999993</v>
      </c>
      <c r="D117">
        <f t="shared" si="18"/>
        <v>2.66</v>
      </c>
      <c r="E117">
        <f t="shared" si="19"/>
        <v>6.62</v>
      </c>
      <c r="F117">
        <f t="shared" si="20"/>
        <v>0</v>
      </c>
      <c r="G117">
        <f t="shared" si="17"/>
        <v>3.8</v>
      </c>
      <c r="H117">
        <f t="shared" si="21"/>
        <v>1.49</v>
      </c>
      <c r="I117">
        <f t="shared" si="22"/>
        <v>4.87</v>
      </c>
    </row>
  </sheetData>
  <pageMargins left="0.7" right="0.7" top="0.75" bottom="0.75" header="0.3" footer="0.3"/>
  <drawing r:id="rId1"/>
  <tableParts count="2">
    <tablePart r:id="rId2"/>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R115"/>
  <sheetViews>
    <sheetView showGridLines="0" workbookViewId="0">
      <selection activeCell="R12" sqref="R12"/>
    </sheetView>
  </sheetViews>
  <sheetFormatPr defaultColWidth="12.6640625" defaultRowHeight="15.75" customHeight="1" x14ac:dyDescent="0.25"/>
  <cols>
    <col min="1" max="1" width="21.5546875" bestFit="1" customWidth="1"/>
    <col min="2" max="2" width="8.33203125" bestFit="1" customWidth="1"/>
    <col min="3" max="3" width="7.21875" bestFit="1" customWidth="1"/>
    <col min="4" max="4" width="8.5546875" bestFit="1" customWidth="1"/>
    <col min="5" max="5" width="9.33203125" bestFit="1" customWidth="1"/>
    <col min="6" max="6" width="7.21875" bestFit="1" customWidth="1"/>
    <col min="7" max="7" width="21.21875" bestFit="1" customWidth="1"/>
    <col min="8" max="8" width="12.6640625" customWidth="1"/>
    <col min="9" max="9" width="21.5546875" bestFit="1" customWidth="1"/>
    <col min="10" max="10" width="7.21875" bestFit="1" customWidth="1"/>
    <col min="11" max="11" width="8.5546875" bestFit="1" customWidth="1"/>
    <col min="12" max="12" width="9.33203125" bestFit="1" customWidth="1"/>
    <col min="13" max="13" width="7.21875" bestFit="1" customWidth="1"/>
    <col min="14" max="14" width="24.5546875" bestFit="1" customWidth="1"/>
    <col min="15" max="15" width="7.6640625" bestFit="1" customWidth="1"/>
    <col min="16" max="16" width="21.5546875" bestFit="1" customWidth="1"/>
    <col min="17" max="17" width="5" bestFit="1" customWidth="1"/>
    <col min="18" max="18" width="4.6640625" bestFit="1" customWidth="1"/>
  </cols>
  <sheetData>
    <row r="1" spans="1:18" ht="13.2" x14ac:dyDescent="0.25">
      <c r="A1" t="s">
        <v>1</v>
      </c>
      <c r="B1" t="s">
        <v>2</v>
      </c>
      <c r="C1" t="s">
        <v>3</v>
      </c>
      <c r="D1" t="s">
        <v>85</v>
      </c>
      <c r="E1" t="s">
        <v>86</v>
      </c>
      <c r="F1" t="s">
        <v>4</v>
      </c>
      <c r="G1" t="s">
        <v>87</v>
      </c>
      <c r="H1" s="1"/>
      <c r="I1" s="1" t="s">
        <v>1</v>
      </c>
      <c r="J1" s="1" t="s">
        <v>3</v>
      </c>
      <c r="K1" s="1" t="s">
        <v>85</v>
      </c>
      <c r="L1" s="1" t="s">
        <v>86</v>
      </c>
      <c r="M1" s="1" t="s">
        <v>4</v>
      </c>
      <c r="N1" s="1" t="s">
        <v>87</v>
      </c>
      <c r="O1" s="1"/>
      <c r="P1" s="1"/>
      <c r="Q1" s="2"/>
      <c r="R1" s="1"/>
    </row>
    <row r="2" spans="1:18" ht="13.2" x14ac:dyDescent="0.25">
      <c r="A2" s="45" t="s">
        <v>32</v>
      </c>
      <c r="B2" s="45" t="s">
        <v>82</v>
      </c>
      <c r="C2">
        <v>1784</v>
      </c>
      <c r="D2">
        <v>284</v>
      </c>
      <c r="E2">
        <v>6</v>
      </c>
      <c r="F2">
        <v>2.1</v>
      </c>
      <c r="G2" s="45" t="s">
        <v>88</v>
      </c>
      <c r="H2" s="2"/>
      <c r="I2" s="46" t="s">
        <v>32</v>
      </c>
      <c r="J2">
        <v>1784</v>
      </c>
      <c r="K2">
        <v>284</v>
      </c>
      <c r="L2">
        <v>6</v>
      </c>
      <c r="M2">
        <v>2.1</v>
      </c>
      <c r="N2" s="46" t="s">
        <v>88</v>
      </c>
      <c r="O2" s="2"/>
      <c r="P2" s="2"/>
      <c r="Q2" s="4"/>
      <c r="R2" s="4"/>
    </row>
    <row r="3" spans="1:18" ht="13.2" x14ac:dyDescent="0.25">
      <c r="A3" s="45" t="s">
        <v>32</v>
      </c>
      <c r="B3" s="45" t="s">
        <v>82</v>
      </c>
      <c r="C3">
        <v>1785</v>
      </c>
      <c r="D3">
        <v>899</v>
      </c>
      <c r="E3">
        <v>13</v>
      </c>
      <c r="F3">
        <v>1.4</v>
      </c>
      <c r="G3" s="45" t="s">
        <v>89</v>
      </c>
      <c r="H3" s="2"/>
      <c r="I3" s="46" t="s">
        <v>32</v>
      </c>
      <c r="J3">
        <v>1785</v>
      </c>
      <c r="K3">
        <v>899</v>
      </c>
      <c r="L3">
        <v>13</v>
      </c>
      <c r="M3">
        <v>1.4</v>
      </c>
      <c r="N3" s="46" t="s">
        <v>89</v>
      </c>
      <c r="O3" s="2"/>
      <c r="P3" s="2"/>
      <c r="Q3" s="4"/>
      <c r="R3" s="4"/>
    </row>
    <row r="4" spans="1:18" ht="13.2" x14ac:dyDescent="0.25">
      <c r="A4" s="45" t="s">
        <v>32</v>
      </c>
      <c r="B4" s="45" t="s">
        <v>82</v>
      </c>
      <c r="C4">
        <v>1786</v>
      </c>
      <c r="D4">
        <v>1151</v>
      </c>
      <c r="E4">
        <v>5</v>
      </c>
      <c r="F4">
        <v>0.4</v>
      </c>
      <c r="G4" s="45" t="s">
        <v>89</v>
      </c>
      <c r="H4" s="2"/>
      <c r="I4" s="46" t="s">
        <v>32</v>
      </c>
      <c r="J4">
        <v>1786</v>
      </c>
      <c r="K4">
        <v>1151</v>
      </c>
      <c r="L4">
        <v>5</v>
      </c>
      <c r="M4">
        <v>0.4</v>
      </c>
      <c r="N4" s="46" t="s">
        <v>89</v>
      </c>
      <c r="O4" s="2"/>
      <c r="P4" s="2"/>
      <c r="Q4" s="4"/>
      <c r="R4" s="4"/>
    </row>
    <row r="5" spans="1:18" ht="13.2" x14ac:dyDescent="0.25">
      <c r="A5" s="45" t="s">
        <v>32</v>
      </c>
      <c r="B5" s="45" t="s">
        <v>82</v>
      </c>
      <c r="C5">
        <v>1787</v>
      </c>
      <c r="D5">
        <v>1407</v>
      </c>
      <c r="E5">
        <v>5</v>
      </c>
      <c r="F5">
        <v>0.4</v>
      </c>
      <c r="G5" s="45" t="s">
        <v>89</v>
      </c>
      <c r="H5" s="2"/>
      <c r="I5" s="46" t="s">
        <v>32</v>
      </c>
      <c r="J5">
        <v>1787</v>
      </c>
      <c r="K5">
        <v>1407</v>
      </c>
      <c r="L5">
        <v>5</v>
      </c>
      <c r="M5">
        <v>0.4</v>
      </c>
      <c r="N5" s="46" t="s">
        <v>89</v>
      </c>
      <c r="O5" s="2"/>
      <c r="P5" s="2"/>
      <c r="Q5" s="4"/>
      <c r="R5" s="4"/>
    </row>
    <row r="6" spans="1:18" ht="13.2" x14ac:dyDescent="0.25">
      <c r="A6" s="45" t="s">
        <v>32</v>
      </c>
      <c r="B6" s="45" t="s">
        <v>82</v>
      </c>
      <c r="C6">
        <v>1788</v>
      </c>
      <c r="D6">
        <v>1425</v>
      </c>
      <c r="E6">
        <v>5</v>
      </c>
      <c r="F6">
        <v>0.4</v>
      </c>
      <c r="G6" s="45" t="s">
        <v>89</v>
      </c>
      <c r="H6" s="2"/>
      <c r="I6" s="46" t="s">
        <v>32</v>
      </c>
      <c r="J6">
        <v>1788</v>
      </c>
      <c r="K6">
        <v>1425</v>
      </c>
      <c r="L6">
        <v>5</v>
      </c>
      <c r="M6">
        <v>0.4</v>
      </c>
      <c r="N6" s="46" t="s">
        <v>89</v>
      </c>
      <c r="O6" s="2"/>
      <c r="P6" s="2"/>
      <c r="Q6" s="4"/>
      <c r="R6" s="4"/>
    </row>
    <row r="7" spans="1:18" ht="13.2" x14ac:dyDescent="0.25">
      <c r="A7" s="45" t="s">
        <v>32</v>
      </c>
      <c r="B7" s="45" t="s">
        <v>82</v>
      </c>
      <c r="C7">
        <v>1789</v>
      </c>
      <c r="D7">
        <v>1246</v>
      </c>
      <c r="E7">
        <v>7</v>
      </c>
      <c r="F7">
        <v>0.6</v>
      </c>
      <c r="G7" s="45" t="s">
        <v>89</v>
      </c>
      <c r="H7" s="2"/>
      <c r="I7" s="46" t="s">
        <v>32</v>
      </c>
      <c r="J7">
        <v>1789</v>
      </c>
      <c r="K7">
        <v>1246</v>
      </c>
      <c r="L7">
        <v>7</v>
      </c>
      <c r="M7">
        <v>0.6</v>
      </c>
      <c r="N7" s="46" t="s">
        <v>89</v>
      </c>
      <c r="O7" s="2"/>
      <c r="P7" s="2"/>
      <c r="Q7" s="4"/>
      <c r="R7" s="4"/>
    </row>
    <row r="8" spans="1:18" ht="13.2" x14ac:dyDescent="0.25">
      <c r="A8" s="45" t="s">
        <v>32</v>
      </c>
      <c r="B8" s="45" t="s">
        <v>82</v>
      </c>
      <c r="C8">
        <v>1790</v>
      </c>
      <c r="D8">
        <v>1326</v>
      </c>
      <c r="E8">
        <v>10</v>
      </c>
      <c r="F8">
        <v>0.8</v>
      </c>
      <c r="G8" s="45" t="s">
        <v>89</v>
      </c>
      <c r="H8" s="2"/>
      <c r="I8" s="46" t="s">
        <v>32</v>
      </c>
      <c r="J8">
        <v>1790</v>
      </c>
      <c r="K8">
        <v>1326</v>
      </c>
      <c r="L8">
        <v>10</v>
      </c>
      <c r="M8">
        <v>0.8</v>
      </c>
      <c r="N8" s="46" t="s">
        <v>89</v>
      </c>
      <c r="O8" s="2"/>
      <c r="P8" s="2"/>
      <c r="Q8" s="4"/>
      <c r="R8" s="4"/>
    </row>
    <row r="9" spans="1:18" ht="13.2" x14ac:dyDescent="0.25">
      <c r="A9" s="45" t="s">
        <v>32</v>
      </c>
      <c r="B9" s="45" t="s">
        <v>82</v>
      </c>
      <c r="C9">
        <v>1791</v>
      </c>
      <c r="D9">
        <v>1395</v>
      </c>
      <c r="E9">
        <v>8</v>
      </c>
      <c r="F9">
        <v>0.6</v>
      </c>
      <c r="G9" s="45" t="s">
        <v>89</v>
      </c>
      <c r="H9" s="2"/>
      <c r="I9" s="46" t="s">
        <v>32</v>
      </c>
      <c r="J9">
        <v>1791</v>
      </c>
      <c r="K9">
        <v>1395</v>
      </c>
      <c r="L9">
        <v>8</v>
      </c>
      <c r="M9">
        <v>0.6</v>
      </c>
      <c r="N9" s="46" t="s">
        <v>89</v>
      </c>
      <c r="O9" s="2"/>
      <c r="P9" s="2"/>
      <c r="Q9" s="4"/>
      <c r="R9" s="4"/>
    </row>
    <row r="10" spans="1:18" ht="13.2" x14ac:dyDescent="0.25">
      <c r="A10" s="45" t="s">
        <v>32</v>
      </c>
      <c r="B10" s="45" t="s">
        <v>82</v>
      </c>
      <c r="C10">
        <v>1792</v>
      </c>
      <c r="D10">
        <v>1579</v>
      </c>
      <c r="E10">
        <v>14</v>
      </c>
      <c r="F10">
        <v>0.9</v>
      </c>
      <c r="G10" s="45" t="s">
        <v>89</v>
      </c>
      <c r="H10" s="2"/>
      <c r="I10" s="46" t="s">
        <v>32</v>
      </c>
      <c r="J10">
        <v>1792</v>
      </c>
      <c r="K10">
        <v>1579</v>
      </c>
      <c r="L10">
        <v>14</v>
      </c>
      <c r="M10">
        <v>0.9</v>
      </c>
      <c r="N10" s="46" t="s">
        <v>89</v>
      </c>
      <c r="O10" s="2"/>
      <c r="P10" s="2"/>
      <c r="Q10" s="4"/>
      <c r="R10" s="4"/>
    </row>
    <row r="11" spans="1:18" ht="13.2" x14ac:dyDescent="0.25">
      <c r="A11" s="45" t="s">
        <v>32</v>
      </c>
      <c r="B11" s="45" t="s">
        <v>82</v>
      </c>
      <c r="C11">
        <v>1793</v>
      </c>
      <c r="D11">
        <v>1684</v>
      </c>
      <c r="E11">
        <v>44</v>
      </c>
      <c r="F11">
        <v>2.6</v>
      </c>
      <c r="G11" s="45" t="s">
        <v>89</v>
      </c>
      <c r="H11" s="2"/>
      <c r="I11" s="46" t="s">
        <v>32</v>
      </c>
      <c r="J11">
        <v>1793</v>
      </c>
      <c r="K11">
        <v>1684</v>
      </c>
      <c r="L11">
        <v>44</v>
      </c>
      <c r="M11">
        <v>2.6</v>
      </c>
      <c r="N11" s="46" t="s">
        <v>89</v>
      </c>
      <c r="O11" s="2"/>
      <c r="P11" s="2"/>
      <c r="Q11" s="4"/>
      <c r="R11" s="4"/>
    </row>
    <row r="12" spans="1:18" ht="13.2" x14ac:dyDescent="0.25">
      <c r="A12" s="45" t="s">
        <v>32</v>
      </c>
      <c r="B12" s="45" t="s">
        <v>83</v>
      </c>
      <c r="C12">
        <v>1831</v>
      </c>
      <c r="D12">
        <v>3353</v>
      </c>
      <c r="E12">
        <v>222</v>
      </c>
      <c r="F12">
        <v>6.6</v>
      </c>
      <c r="G12" s="45" t="s">
        <v>89</v>
      </c>
      <c r="H12" s="2"/>
      <c r="I12" s="46" t="s">
        <v>32</v>
      </c>
      <c r="J12">
        <v>1794</v>
      </c>
      <c r="K12">
        <v>1768</v>
      </c>
      <c r="L12">
        <v>7</v>
      </c>
      <c r="M12">
        <v>0.4</v>
      </c>
      <c r="N12" s="46" t="s">
        <v>89</v>
      </c>
      <c r="O12" s="2"/>
      <c r="P12" s="2"/>
      <c r="Q12" s="4"/>
      <c r="R12" s="4"/>
    </row>
    <row r="13" spans="1:18" ht="13.2" x14ac:dyDescent="0.25">
      <c r="A13" s="45" t="s">
        <v>32</v>
      </c>
      <c r="B13" s="45" t="s">
        <v>83</v>
      </c>
      <c r="C13">
        <v>1832</v>
      </c>
      <c r="D13">
        <v>3331</v>
      </c>
      <c r="E13">
        <v>105</v>
      </c>
      <c r="F13">
        <v>3.2</v>
      </c>
      <c r="G13" s="45" t="s">
        <v>89</v>
      </c>
      <c r="H13" s="2"/>
      <c r="I13" s="46" t="s">
        <v>32</v>
      </c>
      <c r="J13">
        <v>1795</v>
      </c>
      <c r="K13">
        <v>1798</v>
      </c>
      <c r="L13">
        <v>38</v>
      </c>
      <c r="M13">
        <v>2.1</v>
      </c>
      <c r="N13" s="46" t="s">
        <v>89</v>
      </c>
      <c r="O13" s="2"/>
      <c r="P13" s="2"/>
      <c r="Q13" s="4"/>
      <c r="R13" s="4"/>
    </row>
    <row r="14" spans="1:18" ht="13.2" x14ac:dyDescent="0.25">
      <c r="A14" s="45" t="s">
        <v>32</v>
      </c>
      <c r="B14" s="45" t="s">
        <v>83</v>
      </c>
      <c r="C14">
        <v>1833</v>
      </c>
      <c r="D14">
        <v>3737</v>
      </c>
      <c r="E14">
        <v>197</v>
      </c>
      <c r="F14">
        <v>5.3</v>
      </c>
      <c r="G14" s="45" t="s">
        <v>89</v>
      </c>
      <c r="H14" s="2"/>
      <c r="I14" s="46" t="s">
        <v>32</v>
      </c>
      <c r="J14">
        <v>1796</v>
      </c>
      <c r="K14">
        <v>1904</v>
      </c>
      <c r="L14">
        <v>22</v>
      </c>
      <c r="M14">
        <v>1.2</v>
      </c>
      <c r="N14" s="46" t="s">
        <v>89</v>
      </c>
      <c r="O14" s="2"/>
      <c r="P14" s="2"/>
      <c r="Q14" s="4"/>
      <c r="R14" s="4"/>
    </row>
    <row r="15" spans="1:18" ht="13.2" x14ac:dyDescent="0.25">
      <c r="A15" s="45" t="s">
        <v>32</v>
      </c>
      <c r="B15" s="45" t="s">
        <v>83</v>
      </c>
      <c r="C15">
        <v>1834</v>
      </c>
      <c r="D15">
        <v>2657</v>
      </c>
      <c r="E15">
        <v>205</v>
      </c>
      <c r="F15">
        <v>7.7</v>
      </c>
      <c r="G15" s="45" t="s">
        <v>89</v>
      </c>
      <c r="H15" s="2"/>
      <c r="I15" s="46" t="s">
        <v>32</v>
      </c>
      <c r="J15">
        <v>1797</v>
      </c>
      <c r="K15">
        <v>2012</v>
      </c>
      <c r="L15">
        <v>5</v>
      </c>
      <c r="M15">
        <v>0.2</v>
      </c>
      <c r="N15" s="46" t="s">
        <v>89</v>
      </c>
      <c r="O15" s="2"/>
      <c r="P15" s="2"/>
      <c r="Q15" s="4"/>
      <c r="R15" s="4"/>
    </row>
    <row r="16" spans="1:18" ht="13.2" x14ac:dyDescent="0.25">
      <c r="A16" s="45" t="s">
        <v>32</v>
      </c>
      <c r="B16" s="45" t="s">
        <v>83</v>
      </c>
      <c r="C16">
        <v>1835</v>
      </c>
      <c r="D16">
        <v>2573</v>
      </c>
      <c r="E16">
        <v>143</v>
      </c>
      <c r="F16">
        <v>5.6</v>
      </c>
      <c r="G16" s="45" t="s">
        <v>89</v>
      </c>
      <c r="H16" s="2"/>
      <c r="I16" s="46" t="s">
        <v>32</v>
      </c>
      <c r="J16">
        <v>1798</v>
      </c>
      <c r="K16">
        <v>2046</v>
      </c>
      <c r="L16">
        <v>5</v>
      </c>
      <c r="M16">
        <v>0.2</v>
      </c>
      <c r="N16" s="46" t="s">
        <v>89</v>
      </c>
      <c r="O16" s="2"/>
      <c r="P16" s="2"/>
      <c r="Q16" s="4"/>
      <c r="R16" s="4"/>
    </row>
    <row r="17" spans="1:18" ht="13.2" x14ac:dyDescent="0.25">
      <c r="A17" s="45" t="s">
        <v>32</v>
      </c>
      <c r="B17" s="45" t="s">
        <v>83</v>
      </c>
      <c r="C17">
        <v>1836</v>
      </c>
      <c r="D17">
        <v>2677</v>
      </c>
      <c r="E17">
        <v>200</v>
      </c>
      <c r="F17">
        <v>7.5</v>
      </c>
      <c r="G17" s="45" t="s">
        <v>89</v>
      </c>
      <c r="H17" s="2"/>
      <c r="I17" s="46" t="s">
        <v>32</v>
      </c>
      <c r="J17">
        <v>1799</v>
      </c>
      <c r="K17">
        <v>2067</v>
      </c>
      <c r="L17">
        <v>20</v>
      </c>
      <c r="M17">
        <v>1</v>
      </c>
      <c r="N17" s="46" t="s">
        <v>89</v>
      </c>
      <c r="O17" s="2"/>
      <c r="P17" s="2"/>
      <c r="Q17" s="4"/>
      <c r="R17" s="4"/>
    </row>
    <row r="18" spans="1:18" ht="13.2" x14ac:dyDescent="0.25">
      <c r="A18" s="45" t="s">
        <v>32</v>
      </c>
      <c r="B18" s="45" t="s">
        <v>83</v>
      </c>
      <c r="C18">
        <v>1837</v>
      </c>
      <c r="D18">
        <v>2765</v>
      </c>
      <c r="E18">
        <v>251</v>
      </c>
      <c r="F18">
        <v>9.1</v>
      </c>
      <c r="G18" s="45" t="s">
        <v>89</v>
      </c>
      <c r="H18" s="2"/>
      <c r="I18" s="46" t="s">
        <v>32</v>
      </c>
      <c r="J18">
        <v>1800</v>
      </c>
      <c r="K18">
        <v>2070</v>
      </c>
      <c r="L18">
        <v>41</v>
      </c>
      <c r="M18">
        <v>2</v>
      </c>
      <c r="N18" s="46" t="s">
        <v>89</v>
      </c>
      <c r="O18" s="2"/>
      <c r="P18" s="2"/>
      <c r="Q18" s="4"/>
      <c r="R18" s="4"/>
    </row>
    <row r="19" spans="1:18" ht="13.2" x14ac:dyDescent="0.25">
      <c r="A19" s="45" t="s">
        <v>32</v>
      </c>
      <c r="B19" s="45" t="s">
        <v>83</v>
      </c>
      <c r="C19">
        <v>1838</v>
      </c>
      <c r="D19">
        <v>2987</v>
      </c>
      <c r="E19">
        <v>91</v>
      </c>
      <c r="F19">
        <v>3</v>
      </c>
      <c r="G19" s="45" t="s">
        <v>89</v>
      </c>
      <c r="H19" s="2"/>
      <c r="I19" s="46" t="s">
        <v>32</v>
      </c>
      <c r="J19">
        <v>1801</v>
      </c>
      <c r="K19">
        <v>2106</v>
      </c>
      <c r="L19">
        <v>17</v>
      </c>
      <c r="M19">
        <v>0.8</v>
      </c>
      <c r="N19" s="46" t="s">
        <v>89</v>
      </c>
      <c r="O19" s="2"/>
      <c r="P19" s="2"/>
      <c r="Q19" s="4"/>
      <c r="R19" s="4"/>
    </row>
    <row r="20" spans="1:18" ht="13.2" x14ac:dyDescent="0.25">
      <c r="A20" s="45" t="s">
        <v>32</v>
      </c>
      <c r="B20" s="45" t="s">
        <v>83</v>
      </c>
      <c r="C20">
        <v>1839</v>
      </c>
      <c r="D20">
        <v>2781</v>
      </c>
      <c r="E20">
        <v>151</v>
      </c>
      <c r="F20">
        <v>5.4</v>
      </c>
      <c r="G20" s="45" t="s">
        <v>89</v>
      </c>
      <c r="H20" s="1"/>
      <c r="I20" s="46" t="s">
        <v>32</v>
      </c>
      <c r="J20">
        <v>1802</v>
      </c>
      <c r="K20">
        <v>2346</v>
      </c>
      <c r="L20">
        <v>9</v>
      </c>
      <c r="M20">
        <v>0.4</v>
      </c>
      <c r="N20" s="46" t="s">
        <v>89</v>
      </c>
      <c r="O20" s="2"/>
      <c r="P20" s="2"/>
      <c r="Q20" s="4"/>
      <c r="R20" s="4"/>
    </row>
    <row r="21" spans="1:18" ht="13.2" x14ac:dyDescent="0.25">
      <c r="A21" s="45" t="s">
        <v>32</v>
      </c>
      <c r="B21" s="45" t="s">
        <v>83</v>
      </c>
      <c r="C21">
        <v>1840</v>
      </c>
      <c r="D21">
        <v>2889</v>
      </c>
      <c r="E21">
        <v>267</v>
      </c>
      <c r="F21">
        <v>9.1999999999999993</v>
      </c>
      <c r="G21" s="45" t="s">
        <v>89</v>
      </c>
      <c r="H21" s="1"/>
      <c r="I21" s="46" t="s">
        <v>32</v>
      </c>
      <c r="J21">
        <v>1803</v>
      </c>
      <c r="K21">
        <v>2215</v>
      </c>
      <c r="L21">
        <v>16</v>
      </c>
      <c r="M21">
        <v>0.7</v>
      </c>
      <c r="N21" s="46" t="s">
        <v>89</v>
      </c>
      <c r="O21" s="2"/>
      <c r="P21" s="2"/>
      <c r="Q21" s="4"/>
      <c r="R21" s="4"/>
    </row>
    <row r="22" spans="1:18" ht="13.2" x14ac:dyDescent="0.25">
      <c r="A22" s="45" t="s">
        <v>11</v>
      </c>
      <c r="B22" s="45" t="s">
        <v>82</v>
      </c>
      <c r="C22">
        <v>1784</v>
      </c>
      <c r="D22">
        <v>1261</v>
      </c>
      <c r="E22">
        <v>11</v>
      </c>
      <c r="F22">
        <v>0.9</v>
      </c>
      <c r="G22" s="45" t="s">
        <v>89</v>
      </c>
      <c r="H22" s="1"/>
      <c r="I22" s="46" t="s">
        <v>32</v>
      </c>
      <c r="J22">
        <v>1804</v>
      </c>
      <c r="K22">
        <v>2022</v>
      </c>
      <c r="L22">
        <v>8</v>
      </c>
      <c r="M22">
        <v>0.4</v>
      </c>
      <c r="N22" s="46" t="s">
        <v>89</v>
      </c>
      <c r="O22" s="2"/>
      <c r="P22" s="2"/>
      <c r="Q22" s="4"/>
      <c r="R22" s="4"/>
    </row>
    <row r="23" spans="1:18" ht="13.2" x14ac:dyDescent="0.25">
      <c r="A23" s="45" t="s">
        <v>11</v>
      </c>
      <c r="B23" s="45" t="s">
        <v>82</v>
      </c>
      <c r="C23">
        <v>1785</v>
      </c>
      <c r="D23">
        <v>1292</v>
      </c>
      <c r="E23">
        <v>8</v>
      </c>
      <c r="F23">
        <v>0.6</v>
      </c>
      <c r="G23" s="45" t="s">
        <v>89</v>
      </c>
      <c r="H23" s="1"/>
      <c r="I23" s="46" t="s">
        <v>32</v>
      </c>
      <c r="J23">
        <v>1805</v>
      </c>
      <c r="K23">
        <v>2112</v>
      </c>
      <c r="L23">
        <v>9</v>
      </c>
      <c r="M23">
        <v>0.4</v>
      </c>
      <c r="N23" s="46" t="s">
        <v>89</v>
      </c>
      <c r="O23" s="2"/>
      <c r="P23" s="2"/>
      <c r="Q23" s="4"/>
      <c r="R23" s="4"/>
    </row>
    <row r="24" spans="1:18" ht="13.2" x14ac:dyDescent="0.25">
      <c r="A24" s="45" t="s">
        <v>11</v>
      </c>
      <c r="B24" s="45" t="s">
        <v>82</v>
      </c>
      <c r="C24">
        <v>1786</v>
      </c>
      <c r="D24">
        <v>1351</v>
      </c>
      <c r="E24">
        <v>8</v>
      </c>
      <c r="F24">
        <v>0.6</v>
      </c>
      <c r="G24" s="45" t="s">
        <v>89</v>
      </c>
      <c r="H24" s="1"/>
      <c r="I24" s="46" t="s">
        <v>32</v>
      </c>
      <c r="J24">
        <v>1806</v>
      </c>
      <c r="K24">
        <v>1875</v>
      </c>
      <c r="L24">
        <v>13</v>
      </c>
      <c r="M24">
        <v>0.7</v>
      </c>
      <c r="N24" s="46" t="s">
        <v>89</v>
      </c>
      <c r="O24" s="2"/>
      <c r="P24" s="2"/>
      <c r="Q24" s="4"/>
      <c r="R24" s="4"/>
    </row>
    <row r="25" spans="1:18" ht="13.2" x14ac:dyDescent="0.25">
      <c r="A25" s="45" t="s">
        <v>11</v>
      </c>
      <c r="B25" s="45" t="s">
        <v>82</v>
      </c>
      <c r="C25">
        <v>1787</v>
      </c>
      <c r="D25">
        <v>1347</v>
      </c>
      <c r="E25">
        <v>10</v>
      </c>
      <c r="F25">
        <v>0.7</v>
      </c>
      <c r="G25" s="45" t="s">
        <v>89</v>
      </c>
      <c r="H25" s="1"/>
      <c r="I25" s="46" t="s">
        <v>32</v>
      </c>
      <c r="J25">
        <v>1807</v>
      </c>
      <c r="K25">
        <v>925</v>
      </c>
      <c r="L25">
        <v>6</v>
      </c>
      <c r="M25">
        <v>0.6</v>
      </c>
      <c r="N25" s="46" t="s">
        <v>89</v>
      </c>
      <c r="O25" s="2"/>
      <c r="P25" s="2"/>
      <c r="Q25" s="4"/>
      <c r="R25" s="4"/>
    </row>
    <row r="26" spans="1:18" ht="13.2" x14ac:dyDescent="0.25">
      <c r="A26" s="45" t="s">
        <v>11</v>
      </c>
      <c r="B26" s="45" t="s">
        <v>82</v>
      </c>
      <c r="C26">
        <v>1788</v>
      </c>
      <c r="D26">
        <v>1469</v>
      </c>
      <c r="E26">
        <v>23</v>
      </c>
      <c r="F26">
        <v>1.6</v>
      </c>
      <c r="G26" s="45" t="s">
        <v>89</v>
      </c>
      <c r="H26" s="1"/>
      <c r="I26" s="46" t="s">
        <v>32</v>
      </c>
      <c r="J26">
        <v>1808</v>
      </c>
      <c r="K26">
        <v>855</v>
      </c>
      <c r="L26">
        <v>7</v>
      </c>
      <c r="M26">
        <v>0.8</v>
      </c>
      <c r="N26" s="46" t="s">
        <v>89</v>
      </c>
      <c r="O26" s="2"/>
      <c r="P26" s="2"/>
      <c r="Q26" s="4"/>
      <c r="R26" s="4"/>
    </row>
    <row r="27" spans="1:18" ht="13.2" x14ac:dyDescent="0.25">
      <c r="A27" s="45" t="s">
        <v>11</v>
      </c>
      <c r="B27" s="45" t="s">
        <v>82</v>
      </c>
      <c r="C27">
        <v>1789</v>
      </c>
      <c r="D27">
        <v>1435</v>
      </c>
      <c r="E27">
        <v>25</v>
      </c>
      <c r="F27">
        <v>1.7</v>
      </c>
      <c r="G27" s="45" t="s">
        <v>89</v>
      </c>
      <c r="H27" s="1"/>
      <c r="I27" s="46" t="s">
        <v>32</v>
      </c>
      <c r="J27">
        <v>1809</v>
      </c>
      <c r="K27">
        <v>912</v>
      </c>
      <c r="L27">
        <v>13</v>
      </c>
      <c r="M27">
        <v>1.4</v>
      </c>
      <c r="N27" s="46" t="s">
        <v>89</v>
      </c>
      <c r="O27" s="2"/>
      <c r="P27" s="2"/>
      <c r="Q27" s="4"/>
      <c r="R27" s="4"/>
    </row>
    <row r="28" spans="1:18" ht="13.2" x14ac:dyDescent="0.25">
      <c r="A28" s="45" t="s">
        <v>11</v>
      </c>
      <c r="B28" s="45" t="s">
        <v>82</v>
      </c>
      <c r="C28">
        <v>1790</v>
      </c>
      <c r="D28">
        <v>1546</v>
      </c>
      <c r="E28">
        <v>12</v>
      </c>
      <c r="F28">
        <v>0.8</v>
      </c>
      <c r="G28" s="45" t="s">
        <v>89</v>
      </c>
      <c r="H28" s="1"/>
      <c r="I28" s="46" t="s">
        <v>32</v>
      </c>
      <c r="J28">
        <v>1810</v>
      </c>
      <c r="K28">
        <v>744</v>
      </c>
      <c r="L28">
        <v>6</v>
      </c>
      <c r="M28">
        <v>0.8</v>
      </c>
      <c r="N28" s="46" t="s">
        <v>89</v>
      </c>
      <c r="O28" s="2"/>
      <c r="P28" s="2"/>
      <c r="Q28" s="4"/>
      <c r="R28" s="4"/>
    </row>
    <row r="29" spans="1:18" ht="13.2" x14ac:dyDescent="0.25">
      <c r="A29" s="45" t="s">
        <v>11</v>
      </c>
      <c r="B29" s="45" t="s">
        <v>82</v>
      </c>
      <c r="C29">
        <v>1791</v>
      </c>
      <c r="D29">
        <v>1602</v>
      </c>
      <c r="E29">
        <v>25</v>
      </c>
      <c r="F29">
        <v>1.6</v>
      </c>
      <c r="G29" s="45" t="s">
        <v>89</v>
      </c>
      <c r="H29" s="1"/>
      <c r="I29" s="46" t="s">
        <v>32</v>
      </c>
      <c r="J29">
        <v>1811</v>
      </c>
      <c r="K29">
        <v>1050</v>
      </c>
      <c r="L29">
        <v>20</v>
      </c>
      <c r="M29">
        <v>1.9</v>
      </c>
      <c r="N29" s="46" t="s">
        <v>89</v>
      </c>
      <c r="O29" s="2"/>
      <c r="P29" s="2"/>
      <c r="Q29" s="4"/>
      <c r="R29" s="4"/>
    </row>
    <row r="30" spans="1:18" ht="13.2" x14ac:dyDescent="0.25">
      <c r="A30" s="45" t="s">
        <v>11</v>
      </c>
      <c r="B30" s="45" t="s">
        <v>82</v>
      </c>
      <c r="C30">
        <v>1792</v>
      </c>
      <c r="D30">
        <v>1631</v>
      </c>
      <c r="E30">
        <v>10</v>
      </c>
      <c r="F30">
        <v>0.6</v>
      </c>
      <c r="G30" s="45" t="s">
        <v>89</v>
      </c>
      <c r="H30" s="1"/>
      <c r="I30" s="46" t="s">
        <v>32</v>
      </c>
      <c r="J30">
        <v>1812</v>
      </c>
      <c r="K30">
        <v>1419</v>
      </c>
      <c r="L30">
        <v>9</v>
      </c>
      <c r="M30">
        <v>0.6</v>
      </c>
      <c r="N30" s="46" t="s">
        <v>89</v>
      </c>
      <c r="O30" s="2"/>
      <c r="P30" s="2"/>
      <c r="Q30" s="4"/>
      <c r="R30" s="4"/>
    </row>
    <row r="31" spans="1:18" ht="13.2" x14ac:dyDescent="0.25">
      <c r="A31" s="45" t="s">
        <v>11</v>
      </c>
      <c r="B31" s="45" t="s">
        <v>82</v>
      </c>
      <c r="C31">
        <v>1793</v>
      </c>
      <c r="D31">
        <v>1747</v>
      </c>
      <c r="E31">
        <v>19</v>
      </c>
      <c r="F31">
        <v>1.1000000000000001</v>
      </c>
      <c r="G31" s="45" t="s">
        <v>89</v>
      </c>
      <c r="H31" s="1"/>
      <c r="I31" s="46" t="s">
        <v>32</v>
      </c>
      <c r="J31">
        <v>1813</v>
      </c>
      <c r="K31">
        <v>1945</v>
      </c>
      <c r="L31">
        <v>21</v>
      </c>
      <c r="M31">
        <v>1.1000000000000001</v>
      </c>
      <c r="N31" s="46" t="s">
        <v>89</v>
      </c>
      <c r="O31" s="2"/>
      <c r="P31" s="2"/>
      <c r="Q31" s="4"/>
      <c r="R31" s="4"/>
    </row>
    <row r="32" spans="1:18" ht="13.2" x14ac:dyDescent="0.25">
      <c r="A32" s="45" t="s">
        <v>11</v>
      </c>
      <c r="B32" s="45" t="s">
        <v>83</v>
      </c>
      <c r="C32">
        <v>1831</v>
      </c>
      <c r="D32">
        <v>2176</v>
      </c>
      <c r="E32">
        <v>12</v>
      </c>
      <c r="F32">
        <v>0.6</v>
      </c>
      <c r="G32" s="45" t="s">
        <v>89</v>
      </c>
      <c r="H32" s="1"/>
      <c r="I32" s="46" t="s">
        <v>32</v>
      </c>
      <c r="J32">
        <v>1814</v>
      </c>
      <c r="K32">
        <v>2062</v>
      </c>
      <c r="L32">
        <v>66</v>
      </c>
      <c r="M32">
        <v>3.2</v>
      </c>
      <c r="N32" s="46" t="s">
        <v>89</v>
      </c>
      <c r="O32" s="2"/>
      <c r="P32" s="2"/>
      <c r="Q32" s="4"/>
      <c r="R32" s="4"/>
    </row>
    <row r="33" spans="1:18" ht="13.2" x14ac:dyDescent="0.25">
      <c r="A33" s="45" t="s">
        <v>11</v>
      </c>
      <c r="B33" s="45" t="s">
        <v>83</v>
      </c>
      <c r="C33">
        <v>1832</v>
      </c>
      <c r="D33">
        <v>2242</v>
      </c>
      <c r="E33">
        <v>12</v>
      </c>
      <c r="F33">
        <v>0.5</v>
      </c>
      <c r="G33" s="45" t="s">
        <v>89</v>
      </c>
      <c r="H33" s="1"/>
      <c r="I33" s="46" t="s">
        <v>32</v>
      </c>
      <c r="J33">
        <v>1815</v>
      </c>
      <c r="K33">
        <v>2591</v>
      </c>
      <c r="L33">
        <v>19</v>
      </c>
      <c r="M33">
        <v>0.7</v>
      </c>
      <c r="N33" s="46" t="s">
        <v>89</v>
      </c>
      <c r="O33" s="2"/>
      <c r="P33" s="2"/>
      <c r="Q33" s="4"/>
      <c r="R33" s="4"/>
    </row>
    <row r="34" spans="1:18" ht="13.2" x14ac:dyDescent="0.25">
      <c r="A34" s="45" t="s">
        <v>11</v>
      </c>
      <c r="B34" s="45" t="s">
        <v>83</v>
      </c>
      <c r="C34">
        <v>1833</v>
      </c>
      <c r="D34">
        <v>2138</v>
      </c>
      <c r="E34">
        <v>12</v>
      </c>
      <c r="F34">
        <v>0.6</v>
      </c>
      <c r="G34" s="45" t="s">
        <v>89</v>
      </c>
      <c r="H34" s="1"/>
      <c r="I34" s="46" t="s">
        <v>32</v>
      </c>
      <c r="J34">
        <v>1816</v>
      </c>
      <c r="K34">
        <v>2410</v>
      </c>
      <c r="L34">
        <v>12</v>
      </c>
      <c r="M34">
        <v>0.5</v>
      </c>
      <c r="N34" s="46" t="s">
        <v>89</v>
      </c>
      <c r="O34" s="2"/>
      <c r="P34" s="2"/>
      <c r="Q34" s="4"/>
      <c r="R34" s="4"/>
    </row>
    <row r="35" spans="1:18" ht="13.2" x14ac:dyDescent="0.25">
      <c r="A35" s="45" t="s">
        <v>11</v>
      </c>
      <c r="B35" s="45" t="s">
        <v>83</v>
      </c>
      <c r="C35">
        <v>1834</v>
      </c>
      <c r="D35">
        <v>2024</v>
      </c>
      <c r="E35">
        <v>34</v>
      </c>
      <c r="F35">
        <v>1.7</v>
      </c>
      <c r="G35" s="45" t="s">
        <v>89</v>
      </c>
      <c r="H35" s="1"/>
      <c r="I35" s="46" t="s">
        <v>32</v>
      </c>
      <c r="J35">
        <v>1817</v>
      </c>
      <c r="K35">
        <v>2735</v>
      </c>
      <c r="L35">
        <v>25</v>
      </c>
      <c r="M35">
        <v>0.9</v>
      </c>
      <c r="N35" s="46" t="s">
        <v>89</v>
      </c>
      <c r="O35" s="2"/>
      <c r="P35" s="2"/>
      <c r="Q35" s="4"/>
      <c r="R35" s="4"/>
    </row>
    <row r="36" spans="1:18" ht="13.2" x14ac:dyDescent="0.25">
      <c r="A36" s="45" t="s">
        <v>11</v>
      </c>
      <c r="B36" s="45" t="s">
        <v>83</v>
      </c>
      <c r="C36">
        <v>1835</v>
      </c>
      <c r="D36">
        <v>1902</v>
      </c>
      <c r="E36">
        <v>34</v>
      </c>
      <c r="F36">
        <v>1.8</v>
      </c>
      <c r="G36" s="45" t="s">
        <v>89</v>
      </c>
      <c r="H36" s="1"/>
      <c r="I36" s="46" t="s">
        <v>32</v>
      </c>
      <c r="J36">
        <v>1818</v>
      </c>
      <c r="K36">
        <v>2568</v>
      </c>
      <c r="L36">
        <v>56</v>
      </c>
      <c r="M36">
        <v>2.2000000000000002</v>
      </c>
      <c r="N36" s="46" t="s">
        <v>89</v>
      </c>
      <c r="O36" s="2"/>
      <c r="P36" s="2"/>
      <c r="Q36" s="4"/>
      <c r="R36" s="4"/>
    </row>
    <row r="37" spans="1:18" ht="13.2" x14ac:dyDescent="0.25">
      <c r="A37" s="45" t="s">
        <v>11</v>
      </c>
      <c r="B37" s="45" t="s">
        <v>83</v>
      </c>
      <c r="C37">
        <v>1836</v>
      </c>
      <c r="D37">
        <v>1810</v>
      </c>
      <c r="E37">
        <v>36</v>
      </c>
      <c r="F37">
        <v>2</v>
      </c>
      <c r="G37" s="45" t="s">
        <v>89</v>
      </c>
      <c r="H37" s="1"/>
      <c r="I37" s="46" t="s">
        <v>32</v>
      </c>
      <c r="J37">
        <v>1819</v>
      </c>
      <c r="K37">
        <v>3089</v>
      </c>
      <c r="L37">
        <v>154</v>
      </c>
      <c r="M37">
        <v>5</v>
      </c>
      <c r="N37" s="46" t="s">
        <v>89</v>
      </c>
      <c r="O37" s="2"/>
      <c r="P37" s="2"/>
      <c r="Q37" s="4"/>
      <c r="R37" s="4"/>
    </row>
    <row r="38" spans="1:18" ht="13.2" x14ac:dyDescent="0.25">
      <c r="A38" s="45" t="s">
        <v>11</v>
      </c>
      <c r="B38" s="45" t="s">
        <v>83</v>
      </c>
      <c r="C38">
        <v>1837</v>
      </c>
      <c r="D38">
        <v>1833</v>
      </c>
      <c r="E38">
        <v>24</v>
      </c>
      <c r="F38">
        <v>1.3</v>
      </c>
      <c r="G38" s="45" t="s">
        <v>89</v>
      </c>
      <c r="H38" s="1"/>
      <c r="I38" s="46" t="s">
        <v>32</v>
      </c>
      <c r="J38">
        <v>1820</v>
      </c>
      <c r="K38">
        <v>2998</v>
      </c>
      <c r="L38">
        <v>75</v>
      </c>
      <c r="M38">
        <v>2.5</v>
      </c>
      <c r="N38" s="46" t="s">
        <v>89</v>
      </c>
      <c r="O38" s="2"/>
      <c r="P38" s="2"/>
      <c r="Q38" s="4"/>
      <c r="R38" s="4"/>
    </row>
    <row r="39" spans="1:18" ht="13.2" x14ac:dyDescent="0.25">
      <c r="A39" s="45" t="s">
        <v>11</v>
      </c>
      <c r="B39" s="45" t="s">
        <v>83</v>
      </c>
      <c r="C39">
        <v>1838</v>
      </c>
      <c r="D39">
        <v>2126</v>
      </c>
      <c r="E39">
        <v>45</v>
      </c>
      <c r="F39">
        <v>2.1</v>
      </c>
      <c r="G39" s="45" t="s">
        <v>89</v>
      </c>
      <c r="H39" s="1"/>
      <c r="I39" s="46" t="s">
        <v>32</v>
      </c>
      <c r="J39">
        <v>1821</v>
      </c>
      <c r="K39">
        <v>3294</v>
      </c>
      <c r="L39">
        <v>55</v>
      </c>
      <c r="M39">
        <v>1.7</v>
      </c>
      <c r="N39" s="46" t="s">
        <v>89</v>
      </c>
      <c r="O39" s="2"/>
      <c r="P39" s="2"/>
      <c r="Q39" s="4"/>
      <c r="R39" s="4"/>
    </row>
    <row r="40" spans="1:18" ht="13.2" x14ac:dyDescent="0.25">
      <c r="A40" s="45" t="s">
        <v>11</v>
      </c>
      <c r="B40" s="45" t="s">
        <v>83</v>
      </c>
      <c r="C40">
        <v>1839</v>
      </c>
      <c r="D40">
        <v>1951</v>
      </c>
      <c r="E40">
        <v>25</v>
      </c>
      <c r="F40">
        <v>1.3</v>
      </c>
      <c r="G40" s="45" t="s">
        <v>89</v>
      </c>
      <c r="H40" s="1"/>
      <c r="I40" s="46" t="s">
        <v>32</v>
      </c>
      <c r="J40">
        <v>1822</v>
      </c>
      <c r="K40">
        <v>3066</v>
      </c>
      <c r="L40">
        <v>26</v>
      </c>
      <c r="M40">
        <v>0.8</v>
      </c>
      <c r="N40" s="46" t="s">
        <v>89</v>
      </c>
      <c r="O40" s="2"/>
      <c r="P40" s="2"/>
      <c r="Q40" s="4"/>
      <c r="R40" s="4"/>
    </row>
    <row r="41" spans="1:18" ht="13.2" x14ac:dyDescent="0.25">
      <c r="A41" s="45" t="s">
        <v>11</v>
      </c>
      <c r="B41" s="45" t="s">
        <v>83</v>
      </c>
      <c r="C41">
        <v>1840</v>
      </c>
      <c r="D41">
        <v>1521</v>
      </c>
      <c r="E41">
        <v>26</v>
      </c>
      <c r="F41">
        <v>1.7</v>
      </c>
      <c r="G41" s="45" t="s">
        <v>89</v>
      </c>
      <c r="H41" s="1"/>
      <c r="I41" s="46" t="s">
        <v>32</v>
      </c>
      <c r="J41">
        <v>1823</v>
      </c>
      <c r="K41">
        <v>2872</v>
      </c>
      <c r="L41">
        <v>214</v>
      </c>
      <c r="M41">
        <v>7.5</v>
      </c>
      <c r="N41" s="46" t="s">
        <v>90</v>
      </c>
      <c r="O41" s="2"/>
      <c r="P41" s="2"/>
      <c r="Q41" s="4"/>
      <c r="R41" s="4"/>
    </row>
    <row r="42" spans="1:18" ht="13.2" x14ac:dyDescent="0.25">
      <c r="H42" s="1"/>
      <c r="I42" s="46" t="s">
        <v>32</v>
      </c>
      <c r="J42">
        <v>1824</v>
      </c>
      <c r="K42">
        <v>2911</v>
      </c>
      <c r="L42">
        <v>144</v>
      </c>
      <c r="M42">
        <v>4.9000000000000004</v>
      </c>
      <c r="N42" s="46" t="s">
        <v>89</v>
      </c>
      <c r="O42" s="2"/>
      <c r="P42" s="2"/>
      <c r="Q42" s="4"/>
      <c r="R42" s="4"/>
    </row>
    <row r="43" spans="1:18" ht="13.2" x14ac:dyDescent="0.25">
      <c r="H43" s="1"/>
      <c r="I43" s="46" t="s">
        <v>32</v>
      </c>
      <c r="J43">
        <v>1825</v>
      </c>
      <c r="K43">
        <v>2594</v>
      </c>
      <c r="L43">
        <v>229</v>
      </c>
      <c r="M43">
        <v>8.8000000000000007</v>
      </c>
      <c r="N43" s="46" t="s">
        <v>89</v>
      </c>
      <c r="O43" s="2"/>
      <c r="P43" s="2"/>
      <c r="Q43" s="4"/>
      <c r="R43" s="4"/>
    </row>
    <row r="44" spans="1:18" ht="13.2" x14ac:dyDescent="0.25">
      <c r="H44" s="1"/>
      <c r="I44" s="46" t="s">
        <v>32</v>
      </c>
      <c r="J44">
        <v>1826</v>
      </c>
      <c r="K44">
        <v>2359</v>
      </c>
      <c r="L44">
        <v>192</v>
      </c>
      <c r="M44">
        <v>8.1</v>
      </c>
      <c r="N44" s="46" t="s">
        <v>89</v>
      </c>
      <c r="O44" s="2"/>
      <c r="P44" s="2"/>
      <c r="Q44" s="4"/>
      <c r="R44" s="4"/>
    </row>
    <row r="45" spans="1:18" ht="13.2" x14ac:dyDescent="0.25">
      <c r="H45" s="1"/>
      <c r="I45" s="46" t="s">
        <v>32</v>
      </c>
      <c r="J45">
        <v>1827</v>
      </c>
      <c r="K45">
        <v>2367</v>
      </c>
      <c r="L45">
        <v>51</v>
      </c>
      <c r="M45">
        <v>2.2000000000000002</v>
      </c>
      <c r="N45" s="46" t="s">
        <v>89</v>
      </c>
      <c r="O45" s="2"/>
      <c r="P45" s="2"/>
      <c r="Q45" s="4"/>
      <c r="R45" s="4"/>
    </row>
    <row r="46" spans="1:18" ht="13.2" x14ac:dyDescent="0.25">
      <c r="H46" s="1"/>
      <c r="I46" s="46" t="s">
        <v>32</v>
      </c>
      <c r="J46">
        <v>1828</v>
      </c>
      <c r="K46">
        <v>2833</v>
      </c>
      <c r="L46">
        <v>101</v>
      </c>
      <c r="M46">
        <v>3.6</v>
      </c>
      <c r="N46" s="46" t="s">
        <v>89</v>
      </c>
      <c r="O46" s="2"/>
      <c r="P46" s="2"/>
      <c r="Q46" s="4"/>
      <c r="R46" s="4"/>
    </row>
    <row r="47" spans="1:18" ht="13.2" x14ac:dyDescent="0.25">
      <c r="H47" s="1"/>
      <c r="I47" s="46" t="s">
        <v>32</v>
      </c>
      <c r="J47">
        <v>1829</v>
      </c>
      <c r="K47">
        <v>3012</v>
      </c>
      <c r="L47">
        <v>140</v>
      </c>
      <c r="M47">
        <v>4.5999999999999996</v>
      </c>
      <c r="N47" s="46" t="s">
        <v>89</v>
      </c>
      <c r="O47" s="2"/>
      <c r="P47" s="2"/>
      <c r="Q47" s="4"/>
      <c r="R47" s="4"/>
    </row>
    <row r="48" spans="1:18" ht="13.2" x14ac:dyDescent="0.25">
      <c r="H48" s="1"/>
      <c r="I48" s="46" t="s">
        <v>32</v>
      </c>
      <c r="J48">
        <v>1830</v>
      </c>
      <c r="K48">
        <v>2797</v>
      </c>
      <c r="L48">
        <v>111</v>
      </c>
      <c r="M48">
        <v>4</v>
      </c>
      <c r="N48" s="46" t="s">
        <v>89</v>
      </c>
      <c r="O48" s="2"/>
      <c r="P48" s="2"/>
      <c r="Q48" s="4"/>
      <c r="R48" s="4"/>
    </row>
    <row r="49" spans="8:18" ht="13.2" x14ac:dyDescent="0.25">
      <c r="H49" s="1"/>
      <c r="I49" s="46" t="s">
        <v>32</v>
      </c>
      <c r="J49">
        <v>1831</v>
      </c>
      <c r="K49">
        <v>3353</v>
      </c>
      <c r="L49">
        <v>222</v>
      </c>
      <c r="M49">
        <v>6.6</v>
      </c>
      <c r="N49" s="46" t="s">
        <v>89</v>
      </c>
      <c r="O49" s="2"/>
      <c r="P49" s="2"/>
      <c r="Q49" s="4"/>
      <c r="R49" s="4"/>
    </row>
    <row r="50" spans="8:18" ht="13.2" x14ac:dyDescent="0.25">
      <c r="H50" s="1"/>
      <c r="I50" s="46" t="s">
        <v>32</v>
      </c>
      <c r="J50">
        <v>1832</v>
      </c>
      <c r="K50">
        <v>3331</v>
      </c>
      <c r="L50">
        <v>105</v>
      </c>
      <c r="M50">
        <v>3.2</v>
      </c>
      <c r="N50" s="46" t="s">
        <v>89</v>
      </c>
      <c r="O50" s="2"/>
      <c r="P50" s="2"/>
      <c r="Q50" s="4"/>
      <c r="R50" s="4"/>
    </row>
    <row r="51" spans="8:18" ht="13.2" x14ac:dyDescent="0.25">
      <c r="H51" s="1"/>
      <c r="I51" s="46" t="s">
        <v>32</v>
      </c>
      <c r="J51">
        <v>1833</v>
      </c>
      <c r="K51">
        <v>3737</v>
      </c>
      <c r="L51">
        <v>197</v>
      </c>
      <c r="M51">
        <v>5.3</v>
      </c>
      <c r="N51" s="46" t="s">
        <v>89</v>
      </c>
      <c r="O51" s="2"/>
      <c r="P51" s="2"/>
      <c r="Q51" s="4"/>
      <c r="R51" s="4"/>
    </row>
    <row r="52" spans="8:18" ht="13.2" x14ac:dyDescent="0.25">
      <c r="H52" s="1"/>
      <c r="I52" s="46" t="s">
        <v>32</v>
      </c>
      <c r="J52">
        <v>1834</v>
      </c>
      <c r="K52">
        <v>2657</v>
      </c>
      <c r="L52">
        <v>205</v>
      </c>
      <c r="M52">
        <v>7.7</v>
      </c>
      <c r="N52" s="46" t="s">
        <v>89</v>
      </c>
      <c r="O52" s="2"/>
      <c r="P52" s="2"/>
      <c r="Q52" s="4"/>
      <c r="R52" s="4"/>
    </row>
    <row r="53" spans="8:18" ht="13.2" x14ac:dyDescent="0.25">
      <c r="H53" s="1"/>
      <c r="I53" s="46" t="s">
        <v>32</v>
      </c>
      <c r="J53">
        <v>1835</v>
      </c>
      <c r="K53">
        <v>2573</v>
      </c>
      <c r="L53">
        <v>143</v>
      </c>
      <c r="M53">
        <v>5.6</v>
      </c>
      <c r="N53" s="46" t="s">
        <v>89</v>
      </c>
      <c r="O53" s="2"/>
      <c r="P53" s="2"/>
      <c r="Q53" s="4"/>
      <c r="R53" s="4"/>
    </row>
    <row r="54" spans="8:18" ht="13.2" x14ac:dyDescent="0.25">
      <c r="H54" s="1"/>
      <c r="I54" s="46" t="s">
        <v>32</v>
      </c>
      <c r="J54">
        <v>1836</v>
      </c>
      <c r="K54">
        <v>2677</v>
      </c>
      <c r="L54">
        <v>200</v>
      </c>
      <c r="M54">
        <v>7.5</v>
      </c>
      <c r="N54" s="46" t="s">
        <v>89</v>
      </c>
      <c r="O54" s="2"/>
      <c r="P54" s="2"/>
      <c r="Q54" s="4"/>
      <c r="R54" s="4"/>
    </row>
    <row r="55" spans="8:18" ht="13.2" x14ac:dyDescent="0.25">
      <c r="H55" s="1"/>
      <c r="I55" s="46" t="s">
        <v>32</v>
      </c>
      <c r="J55">
        <v>1837</v>
      </c>
      <c r="K55">
        <v>2765</v>
      </c>
      <c r="L55">
        <v>251</v>
      </c>
      <c r="M55">
        <v>9.1</v>
      </c>
      <c r="N55" s="46" t="s">
        <v>89</v>
      </c>
      <c r="O55" s="2"/>
      <c r="P55" s="2"/>
      <c r="Q55" s="4"/>
      <c r="R55" s="4"/>
    </row>
    <row r="56" spans="8:18" ht="13.2" x14ac:dyDescent="0.25">
      <c r="H56" s="1"/>
      <c r="I56" s="46" t="s">
        <v>32</v>
      </c>
      <c r="J56">
        <v>1838</v>
      </c>
      <c r="K56">
        <v>2987</v>
      </c>
      <c r="L56">
        <v>91</v>
      </c>
      <c r="M56">
        <v>3</v>
      </c>
      <c r="N56" s="46" t="s">
        <v>89</v>
      </c>
      <c r="O56" s="2"/>
      <c r="P56" s="2"/>
      <c r="Q56" s="4"/>
      <c r="R56" s="4"/>
    </row>
    <row r="57" spans="8:18" ht="13.2" x14ac:dyDescent="0.25">
      <c r="H57" s="1"/>
      <c r="I57" s="46" t="s">
        <v>32</v>
      </c>
      <c r="J57">
        <v>1839</v>
      </c>
      <c r="K57">
        <v>2781</v>
      </c>
      <c r="L57">
        <v>151</v>
      </c>
      <c r="M57">
        <v>5.4</v>
      </c>
      <c r="N57" s="46" t="s">
        <v>89</v>
      </c>
      <c r="O57" s="2"/>
      <c r="P57" s="2"/>
      <c r="Q57" s="4"/>
      <c r="R57" s="4"/>
    </row>
    <row r="58" spans="8:18" ht="13.2" x14ac:dyDescent="0.25">
      <c r="H58" s="1"/>
      <c r="I58" s="46" t="s">
        <v>32</v>
      </c>
      <c r="J58">
        <v>1840</v>
      </c>
      <c r="K58">
        <v>2889</v>
      </c>
      <c r="L58">
        <v>267</v>
      </c>
      <c r="M58">
        <v>9.1999999999999993</v>
      </c>
      <c r="N58" s="46" t="s">
        <v>89</v>
      </c>
      <c r="O58" s="2"/>
      <c r="P58" s="2"/>
      <c r="Q58" s="4"/>
      <c r="R58" s="4"/>
    </row>
    <row r="59" spans="8:18" ht="13.2" x14ac:dyDescent="0.25">
      <c r="H59" s="1"/>
      <c r="I59" s="46" t="s">
        <v>11</v>
      </c>
      <c r="J59">
        <v>1784</v>
      </c>
      <c r="K59">
        <v>1261</v>
      </c>
      <c r="L59">
        <v>11</v>
      </c>
      <c r="M59">
        <v>0.9</v>
      </c>
      <c r="N59" s="46" t="s">
        <v>89</v>
      </c>
      <c r="O59" s="2"/>
      <c r="P59" s="2"/>
      <c r="Q59" s="4"/>
      <c r="R59" s="4"/>
    </row>
    <row r="60" spans="8:18" ht="13.2" x14ac:dyDescent="0.25">
      <c r="H60" s="1"/>
      <c r="I60" s="46" t="s">
        <v>11</v>
      </c>
      <c r="J60">
        <v>1785</v>
      </c>
      <c r="K60">
        <v>1292</v>
      </c>
      <c r="L60">
        <v>8</v>
      </c>
      <c r="M60">
        <v>0.6</v>
      </c>
      <c r="N60" s="46" t="s">
        <v>89</v>
      </c>
      <c r="O60" s="2"/>
      <c r="P60" s="2"/>
      <c r="Q60" s="4"/>
      <c r="R60" s="4"/>
    </row>
    <row r="61" spans="8:18" ht="13.2" x14ac:dyDescent="0.25">
      <c r="H61" s="1"/>
      <c r="I61" s="46" t="s">
        <v>11</v>
      </c>
      <c r="J61">
        <v>1786</v>
      </c>
      <c r="K61">
        <v>1351</v>
      </c>
      <c r="L61">
        <v>8</v>
      </c>
      <c r="M61">
        <v>0.6</v>
      </c>
      <c r="N61" s="46" t="s">
        <v>89</v>
      </c>
      <c r="O61" s="2"/>
      <c r="P61" s="2"/>
      <c r="Q61" s="4"/>
      <c r="R61" s="4"/>
    </row>
    <row r="62" spans="8:18" ht="13.2" x14ac:dyDescent="0.25">
      <c r="H62" s="1"/>
      <c r="I62" s="46" t="s">
        <v>11</v>
      </c>
      <c r="J62">
        <v>1787</v>
      </c>
      <c r="K62">
        <v>1347</v>
      </c>
      <c r="L62">
        <v>10</v>
      </c>
      <c r="M62">
        <v>0.7</v>
      </c>
      <c r="N62" s="46" t="s">
        <v>89</v>
      </c>
      <c r="O62" s="2"/>
      <c r="P62" s="2"/>
      <c r="Q62" s="4"/>
      <c r="R62" s="4"/>
    </row>
    <row r="63" spans="8:18" ht="13.2" x14ac:dyDescent="0.25">
      <c r="H63" s="1"/>
      <c r="I63" s="46" t="s">
        <v>11</v>
      </c>
      <c r="J63">
        <v>1788</v>
      </c>
      <c r="K63">
        <v>1469</v>
      </c>
      <c r="L63">
        <v>23</v>
      </c>
      <c r="M63">
        <v>1.6</v>
      </c>
      <c r="N63" s="46" t="s">
        <v>89</v>
      </c>
      <c r="O63" s="2"/>
      <c r="P63" s="2"/>
      <c r="Q63" s="4"/>
      <c r="R63" s="4"/>
    </row>
    <row r="64" spans="8:18" ht="13.2" x14ac:dyDescent="0.25">
      <c r="H64" s="1"/>
      <c r="I64" s="46" t="s">
        <v>11</v>
      </c>
      <c r="J64">
        <v>1789</v>
      </c>
      <c r="K64">
        <v>1435</v>
      </c>
      <c r="L64">
        <v>25</v>
      </c>
      <c r="M64">
        <v>1.7</v>
      </c>
      <c r="N64" s="46" t="s">
        <v>89</v>
      </c>
      <c r="O64" s="2"/>
      <c r="P64" s="2"/>
      <c r="Q64" s="4"/>
      <c r="R64" s="4"/>
    </row>
    <row r="65" spans="8:18" ht="13.2" x14ac:dyDescent="0.25">
      <c r="H65" s="1"/>
      <c r="I65" s="46" t="s">
        <v>11</v>
      </c>
      <c r="J65">
        <v>1790</v>
      </c>
      <c r="K65">
        <v>1546</v>
      </c>
      <c r="L65">
        <v>12</v>
      </c>
      <c r="M65">
        <v>0.8</v>
      </c>
      <c r="N65" s="46" t="s">
        <v>89</v>
      </c>
      <c r="O65" s="2"/>
      <c r="P65" s="2"/>
      <c r="Q65" s="4"/>
      <c r="R65" s="4"/>
    </row>
    <row r="66" spans="8:18" ht="13.2" x14ac:dyDescent="0.25">
      <c r="H66" s="1"/>
      <c r="I66" s="46" t="s">
        <v>11</v>
      </c>
      <c r="J66">
        <v>1791</v>
      </c>
      <c r="K66">
        <v>1602</v>
      </c>
      <c r="L66">
        <v>25</v>
      </c>
      <c r="M66">
        <v>1.6</v>
      </c>
      <c r="N66" s="46" t="s">
        <v>89</v>
      </c>
      <c r="O66" s="2"/>
      <c r="P66" s="2"/>
      <c r="Q66" s="4"/>
      <c r="R66" s="4"/>
    </row>
    <row r="67" spans="8:18" ht="13.2" x14ac:dyDescent="0.25">
      <c r="H67" s="1"/>
      <c r="I67" s="46" t="s">
        <v>11</v>
      </c>
      <c r="J67">
        <v>1792</v>
      </c>
      <c r="K67">
        <v>1631</v>
      </c>
      <c r="L67">
        <v>10</v>
      </c>
      <c r="M67">
        <v>0.6</v>
      </c>
      <c r="N67" s="46" t="s">
        <v>89</v>
      </c>
      <c r="O67" s="2"/>
      <c r="P67" s="2"/>
      <c r="Q67" s="4"/>
      <c r="R67" s="4"/>
    </row>
    <row r="68" spans="8:18" ht="13.2" x14ac:dyDescent="0.25">
      <c r="H68" s="1"/>
      <c r="I68" s="46" t="s">
        <v>11</v>
      </c>
      <c r="J68">
        <v>1793</v>
      </c>
      <c r="K68">
        <v>1747</v>
      </c>
      <c r="L68">
        <v>19</v>
      </c>
      <c r="M68">
        <v>1.1000000000000001</v>
      </c>
      <c r="N68" s="46" t="s">
        <v>89</v>
      </c>
      <c r="O68" s="2"/>
      <c r="P68" s="2"/>
      <c r="Q68" s="4"/>
      <c r="R68" s="4"/>
    </row>
    <row r="69" spans="8:18" ht="13.2" x14ac:dyDescent="0.25">
      <c r="H69" s="1"/>
      <c r="I69" s="46" t="s">
        <v>11</v>
      </c>
      <c r="J69">
        <v>1794</v>
      </c>
      <c r="K69">
        <v>1543</v>
      </c>
      <c r="L69">
        <v>20</v>
      </c>
      <c r="M69">
        <v>1.3</v>
      </c>
      <c r="N69" s="46" t="s">
        <v>89</v>
      </c>
      <c r="O69" s="2"/>
      <c r="P69" s="2"/>
      <c r="Q69" s="4"/>
      <c r="R69" s="4"/>
    </row>
    <row r="70" spans="8:18" ht="13.2" x14ac:dyDescent="0.25">
      <c r="H70" s="1"/>
      <c r="I70" s="46" t="s">
        <v>11</v>
      </c>
      <c r="J70">
        <v>1795</v>
      </c>
      <c r="K70">
        <v>1503</v>
      </c>
      <c r="L70">
        <v>7</v>
      </c>
      <c r="M70">
        <v>0.5</v>
      </c>
      <c r="N70" s="46" t="s">
        <v>89</v>
      </c>
      <c r="O70" s="2"/>
      <c r="P70" s="2"/>
      <c r="Q70" s="4"/>
      <c r="R70" s="4"/>
    </row>
    <row r="71" spans="8:18" ht="13.2" x14ac:dyDescent="0.25">
      <c r="H71" s="1"/>
      <c r="I71" s="46" t="s">
        <v>11</v>
      </c>
      <c r="J71">
        <v>1796</v>
      </c>
      <c r="K71">
        <v>1621</v>
      </c>
      <c r="L71">
        <v>10</v>
      </c>
      <c r="M71">
        <v>0.6</v>
      </c>
      <c r="N71" s="46" t="s">
        <v>89</v>
      </c>
      <c r="O71" s="2"/>
      <c r="P71" s="2"/>
      <c r="Q71" s="4"/>
      <c r="R71" s="4"/>
    </row>
    <row r="72" spans="8:18" ht="13.2" x14ac:dyDescent="0.25">
      <c r="H72" s="1"/>
      <c r="I72" s="46" t="s">
        <v>11</v>
      </c>
      <c r="J72">
        <v>1797</v>
      </c>
      <c r="K72">
        <v>1712</v>
      </c>
      <c r="L72">
        <v>13</v>
      </c>
      <c r="M72">
        <v>0.8</v>
      </c>
      <c r="N72" s="46" t="s">
        <v>89</v>
      </c>
      <c r="O72" s="2"/>
      <c r="P72" s="2"/>
      <c r="Q72" s="4"/>
      <c r="R72" s="4"/>
    </row>
    <row r="73" spans="8:18" ht="13.2" x14ac:dyDescent="0.25">
      <c r="H73" s="1"/>
      <c r="I73" s="46" t="s">
        <v>11</v>
      </c>
      <c r="J73">
        <v>1798</v>
      </c>
      <c r="K73">
        <v>1604</v>
      </c>
      <c r="L73">
        <v>8</v>
      </c>
      <c r="M73">
        <v>0.5</v>
      </c>
      <c r="N73" s="46" t="s">
        <v>89</v>
      </c>
      <c r="O73" s="2"/>
      <c r="P73" s="2"/>
      <c r="Q73" s="4"/>
      <c r="R73" s="4"/>
    </row>
    <row r="74" spans="8:18" ht="13.2" x14ac:dyDescent="0.25">
      <c r="H74" s="1"/>
      <c r="I74" s="46" t="s">
        <v>11</v>
      </c>
      <c r="J74">
        <v>1799</v>
      </c>
      <c r="K74">
        <v>1537</v>
      </c>
      <c r="L74">
        <v>10</v>
      </c>
      <c r="M74">
        <v>0.7</v>
      </c>
      <c r="N74" s="46" t="s">
        <v>89</v>
      </c>
      <c r="O74" s="2"/>
      <c r="P74" s="2"/>
      <c r="Q74" s="4"/>
      <c r="R74" s="4"/>
    </row>
    <row r="75" spans="8:18" ht="13.2" x14ac:dyDescent="0.25">
      <c r="H75" s="1"/>
      <c r="I75" s="46" t="s">
        <v>11</v>
      </c>
      <c r="J75">
        <v>1800</v>
      </c>
      <c r="K75">
        <v>1837</v>
      </c>
      <c r="L75">
        <v>18</v>
      </c>
      <c r="M75">
        <v>1</v>
      </c>
      <c r="N75" s="46" t="s">
        <v>89</v>
      </c>
      <c r="O75" s="2"/>
      <c r="P75" s="2"/>
      <c r="Q75" s="4"/>
      <c r="R75" s="4"/>
    </row>
    <row r="76" spans="8:18" ht="13.2" x14ac:dyDescent="0.25">
      <c r="H76" s="1"/>
      <c r="I76" s="46" t="s">
        <v>11</v>
      </c>
      <c r="J76">
        <v>1801</v>
      </c>
      <c r="K76">
        <v>1725</v>
      </c>
      <c r="L76">
        <v>30</v>
      </c>
      <c r="M76">
        <v>1.7</v>
      </c>
      <c r="N76" s="46" t="s">
        <v>89</v>
      </c>
      <c r="O76" s="2"/>
      <c r="P76" s="2"/>
      <c r="Q76" s="4"/>
      <c r="R76" s="4"/>
    </row>
    <row r="77" spans="8:18" ht="13.2" x14ac:dyDescent="0.25">
      <c r="H77" s="1"/>
      <c r="I77" s="46" t="s">
        <v>11</v>
      </c>
      <c r="J77">
        <v>1802</v>
      </c>
      <c r="K77">
        <v>1985</v>
      </c>
      <c r="L77">
        <v>26</v>
      </c>
      <c r="M77">
        <v>1.3</v>
      </c>
      <c r="N77" s="46" t="s">
        <v>89</v>
      </c>
      <c r="O77" s="2"/>
      <c r="P77" s="2"/>
      <c r="Q77" s="4"/>
      <c r="R77" s="4"/>
    </row>
    <row r="78" spans="8:18" ht="13.2" x14ac:dyDescent="0.25">
      <c r="H78" s="1"/>
      <c r="I78" s="46" t="s">
        <v>11</v>
      </c>
      <c r="J78">
        <v>1803</v>
      </c>
      <c r="K78">
        <v>2028</v>
      </c>
      <c r="L78">
        <v>44</v>
      </c>
      <c r="M78">
        <v>2.2000000000000002</v>
      </c>
      <c r="N78" s="46" t="s">
        <v>89</v>
      </c>
      <c r="O78" s="2"/>
      <c r="P78" s="2"/>
      <c r="Q78" s="4"/>
      <c r="R78" s="4"/>
    </row>
    <row r="79" spans="8:18" ht="13.2" x14ac:dyDescent="0.25">
      <c r="H79" s="1"/>
      <c r="I79" s="46" t="s">
        <v>11</v>
      </c>
      <c r="J79">
        <v>1804</v>
      </c>
      <c r="K79">
        <v>1915</v>
      </c>
      <c r="L79">
        <v>16</v>
      </c>
      <c r="M79">
        <v>0.8</v>
      </c>
      <c r="N79" s="46" t="s">
        <v>89</v>
      </c>
      <c r="O79" s="2"/>
      <c r="P79" s="2"/>
      <c r="Q79" s="4"/>
      <c r="R79" s="4"/>
    </row>
    <row r="80" spans="8:18" ht="13.2" x14ac:dyDescent="0.25">
      <c r="H80" s="1"/>
      <c r="I80" s="46" t="s">
        <v>11</v>
      </c>
      <c r="J80">
        <v>1805</v>
      </c>
      <c r="K80">
        <v>2220</v>
      </c>
      <c r="L80">
        <v>12</v>
      </c>
      <c r="M80">
        <v>0.5</v>
      </c>
      <c r="N80" s="46" t="s">
        <v>89</v>
      </c>
      <c r="O80" s="2"/>
      <c r="P80" s="2"/>
      <c r="Q80" s="4"/>
      <c r="R80" s="4"/>
    </row>
    <row r="81" spans="8:18" ht="13.2" x14ac:dyDescent="0.25">
      <c r="H81" s="1"/>
      <c r="I81" s="46" t="s">
        <v>11</v>
      </c>
      <c r="J81">
        <v>1806</v>
      </c>
      <c r="K81">
        <v>2406</v>
      </c>
      <c r="L81">
        <v>23</v>
      </c>
      <c r="M81">
        <v>1</v>
      </c>
      <c r="N81" s="46" t="s">
        <v>89</v>
      </c>
      <c r="O81" s="2"/>
      <c r="P81" s="2"/>
      <c r="Q81" s="4"/>
      <c r="R81" s="4"/>
    </row>
    <row r="82" spans="8:18" ht="13.2" x14ac:dyDescent="0.25">
      <c r="H82" s="1"/>
      <c r="I82" s="46" t="s">
        <v>11</v>
      </c>
      <c r="J82">
        <v>1807</v>
      </c>
      <c r="K82">
        <v>2511</v>
      </c>
      <c r="L82">
        <v>12</v>
      </c>
      <c r="M82">
        <v>0.5</v>
      </c>
      <c r="N82" s="46" t="s">
        <v>89</v>
      </c>
      <c r="O82" s="2"/>
      <c r="P82" s="2"/>
      <c r="Q82" s="4"/>
      <c r="R82" s="4"/>
    </row>
    <row r="83" spans="8:18" ht="13.2" x14ac:dyDescent="0.25">
      <c r="H83" s="1"/>
      <c r="I83" s="46" t="s">
        <v>11</v>
      </c>
      <c r="J83">
        <v>1808</v>
      </c>
      <c r="K83">
        <v>2665</v>
      </c>
      <c r="L83">
        <v>13</v>
      </c>
      <c r="M83">
        <v>0.5</v>
      </c>
      <c r="N83" s="46" t="s">
        <v>89</v>
      </c>
      <c r="O83" s="2"/>
      <c r="P83" s="2"/>
      <c r="Q83" s="4"/>
      <c r="R83" s="4"/>
    </row>
    <row r="84" spans="8:18" ht="13.2" x14ac:dyDescent="0.25">
      <c r="H84" s="1"/>
      <c r="I84" s="46" t="s">
        <v>11</v>
      </c>
      <c r="J84">
        <v>1809</v>
      </c>
      <c r="K84">
        <v>2889</v>
      </c>
      <c r="L84">
        <v>21</v>
      </c>
      <c r="M84">
        <v>0.7</v>
      </c>
      <c r="N84" s="46" t="s">
        <v>89</v>
      </c>
      <c r="O84" s="2"/>
      <c r="P84" s="2"/>
      <c r="Q84" s="4"/>
      <c r="R84" s="4"/>
    </row>
    <row r="85" spans="8:18" ht="13.2" x14ac:dyDescent="0.25">
      <c r="H85" s="1"/>
      <c r="I85" s="46" t="s">
        <v>11</v>
      </c>
      <c r="J85">
        <v>1810</v>
      </c>
      <c r="K85">
        <v>2854</v>
      </c>
      <c r="L85">
        <v>29</v>
      </c>
      <c r="M85">
        <v>1</v>
      </c>
      <c r="N85" s="46" t="s">
        <v>89</v>
      </c>
      <c r="O85" s="2"/>
      <c r="P85" s="2"/>
      <c r="Q85" s="4"/>
      <c r="R85" s="4"/>
    </row>
    <row r="86" spans="8:18" ht="13.2" x14ac:dyDescent="0.25">
      <c r="H86" s="1"/>
      <c r="I86" s="46" t="s">
        <v>11</v>
      </c>
      <c r="J86">
        <v>1811</v>
      </c>
      <c r="K86">
        <v>2561</v>
      </c>
      <c r="L86">
        <v>24</v>
      </c>
      <c r="M86">
        <v>0.9</v>
      </c>
      <c r="N86" s="46" t="s">
        <v>89</v>
      </c>
      <c r="O86" s="2"/>
      <c r="P86" s="2"/>
      <c r="Q86" s="4"/>
      <c r="R86" s="4"/>
    </row>
    <row r="87" spans="8:18" ht="13.2" x14ac:dyDescent="0.25">
      <c r="H87" s="1"/>
      <c r="I87" s="46" t="s">
        <v>11</v>
      </c>
      <c r="J87">
        <v>1812</v>
      </c>
      <c r="K87">
        <v>2676</v>
      </c>
      <c r="L87">
        <v>43</v>
      </c>
      <c r="M87">
        <v>1.6</v>
      </c>
      <c r="N87" s="46" t="s">
        <v>89</v>
      </c>
      <c r="O87" s="2"/>
      <c r="P87" s="2"/>
      <c r="Q87" s="4"/>
      <c r="R87" s="4"/>
    </row>
    <row r="88" spans="8:18" ht="13.2" x14ac:dyDescent="0.25">
      <c r="H88" s="1"/>
      <c r="I88" s="46" t="s">
        <v>11</v>
      </c>
      <c r="J88">
        <v>1813</v>
      </c>
      <c r="K88">
        <v>2484</v>
      </c>
      <c r="L88">
        <v>62</v>
      </c>
      <c r="M88">
        <v>2.5</v>
      </c>
      <c r="N88" s="46" t="s">
        <v>89</v>
      </c>
      <c r="O88" s="2"/>
      <c r="P88" s="2"/>
      <c r="Q88" s="4"/>
      <c r="R88" s="4"/>
    </row>
    <row r="89" spans="8:18" ht="13.2" x14ac:dyDescent="0.25">
      <c r="H89" s="1"/>
      <c r="I89" s="46" t="s">
        <v>11</v>
      </c>
      <c r="J89">
        <v>1814</v>
      </c>
      <c r="K89">
        <v>2508</v>
      </c>
      <c r="L89">
        <v>25</v>
      </c>
      <c r="M89">
        <v>1</v>
      </c>
      <c r="N89" s="46" t="s">
        <v>89</v>
      </c>
      <c r="O89" s="2"/>
      <c r="P89" s="2"/>
      <c r="Q89" s="4"/>
      <c r="R89" s="4"/>
    </row>
    <row r="90" spans="8:18" ht="13.2" x14ac:dyDescent="0.25">
      <c r="H90" s="1"/>
      <c r="I90" s="46" t="s">
        <v>11</v>
      </c>
      <c r="J90">
        <v>1815</v>
      </c>
      <c r="K90">
        <v>3075</v>
      </c>
      <c r="L90">
        <v>17</v>
      </c>
      <c r="M90">
        <v>0.6</v>
      </c>
      <c r="N90" s="46" t="s">
        <v>89</v>
      </c>
      <c r="O90" s="2"/>
      <c r="P90" s="2"/>
      <c r="Q90" s="4"/>
      <c r="R90" s="4"/>
    </row>
    <row r="91" spans="8:18" ht="13.2" x14ac:dyDescent="0.25">
      <c r="H91" s="1"/>
      <c r="I91" s="46" t="s">
        <v>11</v>
      </c>
      <c r="J91">
        <v>1816</v>
      </c>
      <c r="K91">
        <v>3314</v>
      </c>
      <c r="L91">
        <v>18</v>
      </c>
      <c r="M91">
        <v>0.5</v>
      </c>
      <c r="N91" s="46" t="s">
        <v>89</v>
      </c>
      <c r="O91" s="2"/>
      <c r="P91" s="2"/>
      <c r="Q91" s="4"/>
      <c r="R91" s="4"/>
    </row>
    <row r="92" spans="8:18" ht="13.2" x14ac:dyDescent="0.25">
      <c r="H92" s="1"/>
      <c r="I92" s="46" t="s">
        <v>11</v>
      </c>
      <c r="J92">
        <v>1817</v>
      </c>
      <c r="K92">
        <v>3473</v>
      </c>
      <c r="L92">
        <v>32</v>
      </c>
      <c r="M92">
        <v>0.9</v>
      </c>
      <c r="N92" s="46" t="s">
        <v>89</v>
      </c>
      <c r="O92" s="2"/>
      <c r="P92" s="2"/>
      <c r="Q92" s="4"/>
      <c r="R92" s="4"/>
    </row>
    <row r="93" spans="8:18" ht="13.2" x14ac:dyDescent="0.25">
      <c r="H93" s="1"/>
      <c r="I93" s="46" t="s">
        <v>11</v>
      </c>
      <c r="J93">
        <v>1818</v>
      </c>
      <c r="K93">
        <v>3539</v>
      </c>
      <c r="L93">
        <v>56</v>
      </c>
      <c r="M93">
        <v>1.6</v>
      </c>
      <c r="N93" s="46" t="s">
        <v>89</v>
      </c>
      <c r="O93" s="2"/>
      <c r="P93" s="2"/>
      <c r="Q93" s="4"/>
      <c r="R93" s="4"/>
    </row>
    <row r="94" spans="8:18" ht="13.2" x14ac:dyDescent="0.25">
      <c r="H94" s="1"/>
      <c r="I94" s="46" t="s">
        <v>11</v>
      </c>
      <c r="J94">
        <v>1819</v>
      </c>
      <c r="K94">
        <v>3197</v>
      </c>
      <c r="L94">
        <v>94</v>
      </c>
      <c r="M94">
        <v>2.9</v>
      </c>
      <c r="N94" s="46" t="s">
        <v>89</v>
      </c>
      <c r="O94" s="2"/>
      <c r="P94" s="2"/>
      <c r="Q94" s="4"/>
      <c r="R94" s="4"/>
    </row>
    <row r="95" spans="8:18" ht="13.2" x14ac:dyDescent="0.25">
      <c r="H95" s="1"/>
      <c r="I95" s="46" t="s">
        <v>11</v>
      </c>
      <c r="J95">
        <v>1820</v>
      </c>
      <c r="K95">
        <v>2458</v>
      </c>
      <c r="L95">
        <v>70</v>
      </c>
      <c r="M95">
        <v>2.8</v>
      </c>
      <c r="N95" s="46" t="s">
        <v>89</v>
      </c>
      <c r="O95" s="2"/>
      <c r="P95" s="2"/>
      <c r="Q95" s="4"/>
      <c r="R95" s="4"/>
    </row>
    <row r="96" spans="8:18" ht="13.2" x14ac:dyDescent="0.25">
      <c r="H96" s="1"/>
      <c r="I96" s="46" t="s">
        <v>11</v>
      </c>
      <c r="J96">
        <v>1821</v>
      </c>
      <c r="K96">
        <v>2849</v>
      </c>
      <c r="L96">
        <v>22</v>
      </c>
      <c r="M96">
        <v>0.8</v>
      </c>
      <c r="N96" s="46" t="s">
        <v>89</v>
      </c>
      <c r="O96" s="2"/>
      <c r="P96" s="2"/>
      <c r="Q96" s="4"/>
      <c r="R96" s="4"/>
    </row>
    <row r="97" spans="8:18" ht="13.2" x14ac:dyDescent="0.25">
      <c r="H97" s="1"/>
      <c r="I97" s="46" t="s">
        <v>11</v>
      </c>
      <c r="J97">
        <v>1822</v>
      </c>
      <c r="K97">
        <v>2675</v>
      </c>
      <c r="L97">
        <v>12</v>
      </c>
      <c r="M97">
        <v>0.4</v>
      </c>
      <c r="N97" s="46" t="s">
        <v>89</v>
      </c>
      <c r="O97" s="2"/>
      <c r="P97" s="2"/>
      <c r="Q97" s="4"/>
      <c r="R97" s="4"/>
    </row>
    <row r="98" spans="8:18" ht="13.2" x14ac:dyDescent="0.25">
      <c r="H98" s="1"/>
      <c r="I98" s="46" t="s">
        <v>11</v>
      </c>
      <c r="J98">
        <v>1823</v>
      </c>
      <c r="K98">
        <v>2584</v>
      </c>
      <c r="L98">
        <v>59</v>
      </c>
      <c r="M98">
        <v>2.2999999999999998</v>
      </c>
      <c r="N98" s="46" t="s">
        <v>89</v>
      </c>
      <c r="O98" s="2"/>
      <c r="P98" s="2"/>
      <c r="Q98" s="4"/>
      <c r="R98" s="4"/>
    </row>
    <row r="99" spans="8:18" ht="13.2" x14ac:dyDescent="0.25">
      <c r="H99" s="1"/>
      <c r="I99" s="46" t="s">
        <v>11</v>
      </c>
      <c r="J99">
        <v>1824</v>
      </c>
      <c r="K99">
        <v>2446</v>
      </c>
      <c r="L99">
        <v>20</v>
      </c>
      <c r="M99">
        <v>0.8</v>
      </c>
      <c r="N99" s="46" t="s">
        <v>89</v>
      </c>
      <c r="O99" s="2"/>
      <c r="P99" s="2"/>
      <c r="Q99" s="4"/>
      <c r="R99" s="4"/>
    </row>
    <row r="100" spans="8:18" ht="13.2" x14ac:dyDescent="0.25">
      <c r="H100" s="1"/>
      <c r="I100" s="46" t="s">
        <v>11</v>
      </c>
      <c r="J100">
        <v>1825</v>
      </c>
      <c r="K100">
        <v>2740</v>
      </c>
      <c r="L100">
        <v>26</v>
      </c>
      <c r="M100">
        <v>0.9</v>
      </c>
      <c r="N100" s="46" t="s">
        <v>89</v>
      </c>
      <c r="O100" s="2"/>
      <c r="P100" s="2"/>
      <c r="Q100" s="4"/>
      <c r="R100" s="4"/>
    </row>
    <row r="101" spans="8:18" ht="13.2" x14ac:dyDescent="0.25">
      <c r="H101" s="1"/>
      <c r="I101" s="46" t="s">
        <v>11</v>
      </c>
      <c r="J101">
        <v>1826</v>
      </c>
      <c r="K101">
        <v>2440</v>
      </c>
      <c r="L101">
        <v>81</v>
      </c>
      <c r="M101">
        <v>3.3</v>
      </c>
      <c r="N101" s="46" t="s">
        <v>89</v>
      </c>
      <c r="O101" s="2"/>
      <c r="P101" s="2"/>
      <c r="Q101" s="4"/>
      <c r="R101" s="4"/>
    </row>
    <row r="102" spans="8:18" ht="13.2" x14ac:dyDescent="0.25">
      <c r="H102" s="1"/>
      <c r="I102" s="46" t="s">
        <v>11</v>
      </c>
      <c r="J102">
        <v>1827</v>
      </c>
      <c r="K102">
        <v>2550</v>
      </c>
      <c r="L102">
        <v>33</v>
      </c>
      <c r="M102">
        <v>1.3</v>
      </c>
      <c r="N102" s="46" t="s">
        <v>89</v>
      </c>
      <c r="O102" s="2"/>
      <c r="P102" s="2"/>
      <c r="Q102" s="4"/>
      <c r="R102" s="4"/>
    </row>
    <row r="103" spans="8:18" ht="13.2" x14ac:dyDescent="0.25">
      <c r="H103" s="1"/>
      <c r="I103" s="46" t="s">
        <v>11</v>
      </c>
      <c r="J103">
        <v>1828</v>
      </c>
      <c r="K103">
        <v>2856</v>
      </c>
      <c r="L103">
        <v>43</v>
      </c>
      <c r="M103">
        <v>1.5</v>
      </c>
      <c r="N103" s="46" t="s">
        <v>89</v>
      </c>
      <c r="O103" s="2"/>
      <c r="P103" s="2"/>
      <c r="Q103" s="4"/>
      <c r="R103" s="4"/>
    </row>
    <row r="104" spans="8:18" ht="13.2" x14ac:dyDescent="0.25">
      <c r="H104" s="1"/>
      <c r="I104" s="46" t="s">
        <v>11</v>
      </c>
      <c r="J104">
        <v>1829</v>
      </c>
      <c r="K104">
        <v>2141</v>
      </c>
      <c r="L104">
        <v>34</v>
      </c>
      <c r="M104">
        <v>1.6</v>
      </c>
      <c r="N104" s="46" t="s">
        <v>89</v>
      </c>
      <c r="O104" s="2"/>
      <c r="P104" s="2"/>
      <c r="Q104" s="4"/>
      <c r="R104" s="4"/>
    </row>
    <row r="105" spans="8:18" ht="13.2" x14ac:dyDescent="0.25">
      <c r="H105" s="1"/>
      <c r="I105" s="46" t="s">
        <v>11</v>
      </c>
      <c r="J105">
        <v>1830</v>
      </c>
      <c r="K105">
        <v>2288</v>
      </c>
      <c r="L105">
        <v>12</v>
      </c>
      <c r="M105">
        <v>0.5</v>
      </c>
      <c r="N105" s="46" t="s">
        <v>89</v>
      </c>
      <c r="O105" s="2"/>
      <c r="P105" s="2"/>
      <c r="Q105" s="4"/>
      <c r="R105" s="4"/>
    </row>
    <row r="106" spans="8:18" ht="13.2" x14ac:dyDescent="0.25">
      <c r="H106" s="1"/>
      <c r="I106" s="46" t="s">
        <v>11</v>
      </c>
      <c r="J106">
        <v>1831</v>
      </c>
      <c r="K106">
        <v>2176</v>
      </c>
      <c r="L106">
        <v>12</v>
      </c>
      <c r="M106">
        <v>0.6</v>
      </c>
      <c r="N106" s="46" t="s">
        <v>89</v>
      </c>
      <c r="O106" s="2"/>
      <c r="P106" s="2"/>
      <c r="Q106" s="4"/>
      <c r="R106" s="4"/>
    </row>
    <row r="107" spans="8:18" ht="13.2" x14ac:dyDescent="0.25">
      <c r="H107" s="1"/>
      <c r="I107" s="46" t="s">
        <v>11</v>
      </c>
      <c r="J107">
        <v>1832</v>
      </c>
      <c r="K107">
        <v>2242</v>
      </c>
      <c r="L107">
        <v>12</v>
      </c>
      <c r="M107">
        <v>0.5</v>
      </c>
      <c r="N107" s="46" t="s">
        <v>89</v>
      </c>
      <c r="O107" s="2"/>
      <c r="P107" s="2"/>
      <c r="Q107" s="4"/>
      <c r="R107" s="4"/>
    </row>
    <row r="108" spans="8:18" ht="13.2" x14ac:dyDescent="0.25">
      <c r="H108" s="1"/>
      <c r="I108" s="46" t="s">
        <v>11</v>
      </c>
      <c r="J108">
        <v>1833</v>
      </c>
      <c r="K108">
        <v>2138</v>
      </c>
      <c r="L108">
        <v>12</v>
      </c>
      <c r="M108">
        <v>0.6</v>
      </c>
      <c r="N108" s="46" t="s">
        <v>89</v>
      </c>
      <c r="O108" s="2"/>
      <c r="P108" s="2"/>
      <c r="Q108" s="4"/>
      <c r="R108" s="4"/>
    </row>
    <row r="109" spans="8:18" ht="13.2" x14ac:dyDescent="0.25">
      <c r="H109" s="1"/>
      <c r="I109" s="46" t="s">
        <v>11</v>
      </c>
      <c r="J109">
        <v>1834</v>
      </c>
      <c r="K109">
        <v>2024</v>
      </c>
      <c r="L109">
        <v>34</v>
      </c>
      <c r="M109">
        <v>1.7</v>
      </c>
      <c r="N109" s="46" t="s">
        <v>89</v>
      </c>
      <c r="O109" s="2"/>
      <c r="P109" s="2"/>
      <c r="Q109" s="4"/>
      <c r="R109" s="4"/>
    </row>
    <row r="110" spans="8:18" ht="13.2" x14ac:dyDescent="0.25">
      <c r="H110" s="1"/>
      <c r="I110" s="46" t="s">
        <v>11</v>
      </c>
      <c r="J110">
        <v>1835</v>
      </c>
      <c r="K110">
        <v>1902</v>
      </c>
      <c r="L110">
        <v>34</v>
      </c>
      <c r="M110">
        <v>1.8</v>
      </c>
      <c r="N110" s="46" t="s">
        <v>89</v>
      </c>
      <c r="O110" s="2"/>
      <c r="P110" s="2"/>
      <c r="Q110" s="4"/>
      <c r="R110" s="4"/>
    </row>
    <row r="111" spans="8:18" ht="13.2" x14ac:dyDescent="0.25">
      <c r="H111" s="1"/>
      <c r="I111" s="46" t="s">
        <v>11</v>
      </c>
      <c r="J111">
        <v>1836</v>
      </c>
      <c r="K111">
        <v>1810</v>
      </c>
      <c r="L111">
        <v>36</v>
      </c>
      <c r="M111">
        <v>2</v>
      </c>
      <c r="N111" s="46" t="s">
        <v>89</v>
      </c>
      <c r="O111" s="2"/>
      <c r="P111" s="2"/>
      <c r="Q111" s="4"/>
      <c r="R111" s="4"/>
    </row>
    <row r="112" spans="8:18" ht="13.2" x14ac:dyDescent="0.25">
      <c r="H112" s="1"/>
      <c r="I112" s="46" t="s">
        <v>11</v>
      </c>
      <c r="J112">
        <v>1837</v>
      </c>
      <c r="K112">
        <v>1833</v>
      </c>
      <c r="L112">
        <v>24</v>
      </c>
      <c r="M112">
        <v>1.3</v>
      </c>
      <c r="N112" s="46" t="s">
        <v>89</v>
      </c>
      <c r="O112" s="2"/>
      <c r="P112" s="2"/>
      <c r="Q112" s="4"/>
      <c r="R112" s="4"/>
    </row>
    <row r="113" spans="8:18" ht="13.2" x14ac:dyDescent="0.25">
      <c r="H113" s="1"/>
      <c r="I113" s="46" t="s">
        <v>11</v>
      </c>
      <c r="J113">
        <v>1838</v>
      </c>
      <c r="K113">
        <v>2126</v>
      </c>
      <c r="L113">
        <v>45</v>
      </c>
      <c r="M113">
        <v>2.1</v>
      </c>
      <c r="N113" s="46" t="s">
        <v>89</v>
      </c>
      <c r="O113" s="2"/>
      <c r="P113" s="2"/>
      <c r="Q113" s="4"/>
      <c r="R113" s="4"/>
    </row>
    <row r="114" spans="8:18" ht="13.2" x14ac:dyDescent="0.25">
      <c r="H114" s="1"/>
      <c r="I114" s="46" t="s">
        <v>11</v>
      </c>
      <c r="J114">
        <v>1839</v>
      </c>
      <c r="K114">
        <v>1951</v>
      </c>
      <c r="L114">
        <v>25</v>
      </c>
      <c r="M114">
        <v>1.3</v>
      </c>
      <c r="N114" s="46" t="s">
        <v>89</v>
      </c>
      <c r="O114" s="2"/>
      <c r="P114" s="2"/>
      <c r="Q114" s="4"/>
      <c r="R114" s="4"/>
    </row>
    <row r="115" spans="8:18" ht="13.2" x14ac:dyDescent="0.25">
      <c r="H115" s="1"/>
      <c r="I115" s="46" t="s">
        <v>11</v>
      </c>
      <c r="J115">
        <v>1840</v>
      </c>
      <c r="K115">
        <v>1521</v>
      </c>
      <c r="L115">
        <v>26</v>
      </c>
      <c r="M115">
        <v>1.7</v>
      </c>
      <c r="N115" s="46" t="s">
        <v>89</v>
      </c>
      <c r="O115" s="2"/>
      <c r="P115" s="2"/>
      <c r="Q115" s="4"/>
      <c r="R115" s="4"/>
    </row>
  </sheetData>
  <pageMargins left="0.7" right="0.7" top="0.75" bottom="0.75" header="0.3" footer="0.3"/>
  <tableParts count="2">
    <tablePart r:id="rId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45B4A66-FFD0-4C44-A0C5-576258282E9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Overview</vt:lpstr>
      <vt:lpstr>Fig 18.5. Dublin Temporal</vt:lpstr>
      <vt:lpstr>Fig 18.6. Vienna Temporal</vt:lpstr>
      <vt:lpstr>Fig 18.7. Physical comparison</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Jim Lehner</cp:lastModifiedBy>
  <dcterms:modified xsi:type="dcterms:W3CDTF">2026-05-07T17:21:02Z</dcterms:modified>
</cp:coreProperties>
</file>