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25D904B6-598A-43CC-85B9-BB84D73B62E9}" xr6:coauthVersionLast="47" xr6:coauthVersionMax="47" xr10:uidLastSave="{00000000-0000-0000-0000-000000000000}"/>
  <bookViews>
    <workbookView xWindow="7125" yWindow="-12690" windowWidth="21600" windowHeight="11235" xr2:uid="{00000000-000D-0000-FFFF-FFFF00000000}"/>
  </bookViews>
  <sheets>
    <sheet name="Overview" sheetId="1" r:id="rId1"/>
    <sheet name="Table 3.1. Mean of births" sheetId="2" r:id="rId2"/>
    <sheet name="Table 3.2. Mean of salaries" sheetId="3" r:id="rId3"/>
    <sheet name="Table 3.3. Median of salaries" sheetId="4" r:id="rId4"/>
    <sheet name="Data" sheetId="5" r:id="rId5"/>
  </sheets>
  <definedNames>
    <definedName name="ExternalData_1" localSheetId="4" hidden="1">Data!$F$1:$G$11</definedName>
    <definedName name="ExternalData_1" localSheetId="2" hidden="1">'Table 3.2. Mean of salaries'!$A$1:$B$14</definedName>
    <definedName name="ExternalData_1" localSheetId="3" hidden="1">'Table 3.3. Median of salaries'!$A$1:$B$12</definedName>
    <definedName name="ExternalData_2" localSheetId="4" hidden="1">Data!$A$1:$C$6</definedName>
    <definedName name="ExternalData_2" localSheetId="1" hidden="1">'Table 3.1. Mean of births'!$A$1:$C$9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C7" i="2"/>
  <c r="C9" i="2"/>
  <c r="D3" i="5"/>
  <c r="D4" i="5" s="1"/>
  <c r="D5" i="5" s="1"/>
  <c r="D6" i="5" s="1"/>
  <c r="H3" i="5"/>
  <c r="H4" i="5" s="1"/>
  <c r="H5" i="5" s="1"/>
  <c r="H6" i="5" s="1"/>
  <c r="H7" i="5" s="1"/>
  <c r="H8" i="5" s="1"/>
  <c r="H9" i="5" s="1"/>
  <c r="H10" i="5" s="1"/>
  <c r="H11" i="5" s="1"/>
  <c r="B14" i="3"/>
  <c r="B13" i="3"/>
  <c r="B12" i="3"/>
  <c r="B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D885E8-A2AC-4AF7-82E2-4682638C4745}" keepAlive="1" name="Query - obstetrics-annual-salaries-1845" description="Connection to the 'obstetrics-annual-salaries-1845' query in the workbook." type="5" refreshedVersion="8" background="1" saveData="1">
    <dbPr connection="Provider=Microsoft.Mashup.OleDb.1;Data Source=$Workbook$;Location=obstetrics-annual-salaries-1845;Extended Properties=&quot;&quot;" command="SELECT * FROM [obstetrics-annual-salaries-1845]"/>
  </connection>
  <connection id="2" xr16:uid="{4A17ECE6-30F5-424A-958A-C4A3552439D4}" keepAlive="1" name="Query - obstetrics-annual-salaries-1845 (2)" description="Connection to the 'obstetrics-annual-salaries-1845 (2)' query in the workbook." type="5" refreshedVersion="8" background="1" saveData="1">
    <dbPr connection="Provider=Microsoft.Mashup.OleDb.1;Data Source=$Workbook$;Location=&quot;obstetrics-annual-salaries-1845 (2)&quot;;Extended Properties=&quot;&quot;" command="SELECT * FROM [obstetrics-annual-salaries-1845 (2)]"/>
  </connection>
  <connection id="3" xr16:uid="{1D4D582D-A371-4349-9D09-1CB940E4DE98}" keepAlive="1" name="Query - obstetrics-annual-salaries-1845 (3)" description="Connection to the 'obstetrics-annual-salaries-1845 (3)' query in the workbook." type="5" refreshedVersion="8" background="1" saveData="1">
    <dbPr connection="Provider=Microsoft.Mashup.OleDb.1;Data Source=$Workbook$;Location=&quot;obstetrics-annual-salaries-1845 (3)&quot;;Extended Properties=&quot;&quot;" command="SELECT * FROM [obstetrics-annual-salaries-1845 (3)]"/>
  </connection>
  <connection id="4" xr16:uid="{8EEA6A35-E9D9-40A4-9840-A10B2DE17C42}" keepAlive="1" name="Query - vienna-general-death-to-birth-rates-by-clinic" description="Connection to the 'vienna-general-death-to-birth-rates-by-clinic' query in the workbook." type="5" refreshedVersion="8" background="1" saveData="1">
    <dbPr connection="Provider=Microsoft.Mashup.OleDb.1;Data Source=$Workbook$;Location=vienna-general-death-to-birth-rates-by-clinic;Extended Properties=&quot;&quot;" command="SELECT * FROM [vienna-general-death-to-birth-rates-by-clinic]"/>
  </connection>
  <connection id="5" xr16:uid="{8197540E-C65A-497D-AD8C-BEF84AE43F14}" keepAlive="1" name="Query - vienna-general-death-to-birth-rates-by-clinic (2)" description="Connection to the 'vienna-general-death-to-birth-rates-by-clinic (2)' query in the workbook." type="5" refreshedVersion="8" background="1" saveData="1">
    <dbPr connection="Provider=Microsoft.Mashup.OleDb.1;Data Source=$Workbook$;Location=&quot;vienna-general-death-to-birth-rates-by-clinic (2)&quot;;Extended Properties=&quot;&quot;" command="SELECT * FROM [vienna-general-death-to-birth-rates-by-clinic (2)]"/>
  </connection>
</connections>
</file>

<file path=xl/sharedStrings.xml><?xml version="1.0" encoding="utf-8"?>
<sst xmlns="http://schemas.openxmlformats.org/spreadsheetml/2006/main" count="76" uniqueCount="33">
  <si>
    <t>Chapter 3. Measures of Location</t>
  </si>
  <si>
    <t>Year</t>
  </si>
  <si>
    <t>Births</t>
  </si>
  <si>
    <t>Sum</t>
  </si>
  <si>
    <t>Count (n)</t>
  </si>
  <si>
    <t>Mean</t>
  </si>
  <si>
    <t>Position</t>
  </si>
  <si>
    <t>Annual Salary</t>
  </si>
  <si>
    <t>Chief Physician</t>
  </si>
  <si>
    <t>Assistant Physician</t>
  </si>
  <si>
    <t>Medical Intern</t>
  </si>
  <si>
    <t>Nurse</t>
  </si>
  <si>
    <t>Midwife</t>
  </si>
  <si>
    <t>Median</t>
  </si>
  <si>
    <t>Table</t>
  </si>
  <si>
    <r>
      <t>This file serves as a resource for building some of the tables in Chapter 3 of The Virus of Variation using Microsoft Excel or Google Sheets.
The tables included here are:
Table 3.1. Mean of births from 1844 to 1848
Table 3.2. Mean of annual salaries
Table 3.3. Meidan of annual salaries
Each table has its own tab. The data used in the tables can be found in the Data tab.
For additional details regarding each of these tables, see Chapter 3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</si>
  <si>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Head of Obstetrics Clinic</t>
  </si>
  <si>
    <t>Orderlie</t>
  </si>
  <si>
    <t>Hospital</t>
  </si>
  <si>
    <t>Vienna General Hospital</t>
  </si>
  <si>
    <t>3.2 &amp; 3.3</t>
  </si>
  <si>
    <t>Link to book:</t>
  </si>
  <si>
    <t>https://www.brokenquality.com/book</t>
  </si>
  <si>
    <t>Link to GitHub:</t>
  </si>
  <si>
    <t>https://github.com/jimlehner/virus-of-variation-book</t>
  </si>
  <si>
    <t>Contact:</t>
  </si>
  <si>
    <t>James.Lehner@gmail.com</t>
  </si>
  <si>
    <t>QualityIsBroken@gmail.com</t>
  </si>
  <si>
    <t>Raw GitHub Data URLs:</t>
  </si>
  <si>
    <t>https://raw.githubusercontent.com/jimlehner/virus-of-variation-book/refs/heads/main/data/vienna-general-death-to-birth-rates-by-clinic.csv</t>
  </si>
  <si>
    <t>Table 3.1, 3.2</t>
  </si>
  <si>
    <t>Table 3.3</t>
  </si>
  <si>
    <t>https://raw.githubusercontent.com/jimlehner/virus-of-variation-book/refs/heads/main/data/obstetrics-annual-salaries-1845.csv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</si>
</sst>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12">
    <font>
      <sz val="10"/>
      <color rgb="FF000000"/>
      <name val="Arial"/>
      <scheme val="minor"/>
    </font>
    <font>
      <b/>
      <sz val="16"/>
      <color rgb="FFD72323"/>
      <name val="Montserrat"/>
    </font>
    <font>
      <sz val="10"/>
      <color theme="1"/>
      <name val="Arial"/>
      <family val="2"/>
    </font>
    <font>
      <sz val="9"/>
      <color rgb="FF1F2328"/>
      <name val="Arial"/>
      <family val="2"/>
    </font>
    <font>
      <sz val="9"/>
      <color rgb="FF1F2328"/>
      <name val="-apple-system"/>
    </font>
    <font>
      <sz val="9"/>
      <color rgb="FF1F2328"/>
      <name val="Arial"/>
      <family val="2"/>
      <scheme val="minor"/>
    </font>
    <font>
      <u/>
      <sz val="10"/>
      <color theme="10"/>
      <name val="Arial"/>
      <family val="2"/>
      <scheme val="minor"/>
    </font>
    <font>
      <sz val="10"/>
      <color rgb="FF000000"/>
      <name val="Arial"/>
      <family val="2"/>
      <scheme val="minor"/>
    </font>
    <font>
      <sz val="12"/>
      <color rgb="FF000000"/>
      <name val="Montserrat"/>
    </font>
    <font>
      <b/>
      <sz val="12"/>
      <color rgb="FF000000"/>
      <name val="Montserrat"/>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17">
    <border>
      <left/>
      <right/>
      <top/>
      <bottom/>
      <diagonal/>
    </border>
    <border>
      <left style="thin">
        <color rgb="FFD1D9E0"/>
      </left>
      <right/>
      <top/>
      <bottom/>
      <diagonal/>
    </border>
    <border>
      <left style="thin">
        <color rgb="FFD1D9E0"/>
      </left>
      <right/>
      <top style="thin">
        <color rgb="FFD1D9E0"/>
      </top>
      <bottom/>
      <diagonal/>
    </border>
    <border>
      <left style="thin">
        <color rgb="FFD1D9E0"/>
      </left>
      <right/>
      <top style="thin">
        <color rgb="FFD1D9E0"/>
      </top>
      <bottom style="thin">
        <color rgb="FFB7B7B7"/>
      </bottom>
      <diagonal/>
    </border>
    <border>
      <left/>
      <right/>
      <top style="thin">
        <color rgb="FFD1D9E0"/>
      </top>
      <bottom/>
      <diagonal/>
    </border>
    <border>
      <left/>
      <right/>
      <top style="thin">
        <color rgb="FFD1D9E0"/>
      </top>
      <bottom style="thin">
        <color rgb="FFB7B7B7"/>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4">
    <xf numFmtId="0" fontId="0" fillId="0" borderId="0"/>
    <xf numFmtId="0" fontId="6" fillId="0" borderId="0" applyNumberFormat="0" applyFill="0" applyBorder="0" applyAlignment="0" applyProtection="0"/>
    <xf numFmtId="44" fontId="7" fillId="0" borderId="0" applyFont="0" applyFill="0" applyBorder="0" applyAlignment="0" applyProtection="0"/>
    <xf numFmtId="0" fontId="10" fillId="0" borderId="0"/>
  </cellStyleXfs>
  <cellXfs count="54">
    <xf numFmtId="0" fontId="0" fillId="0" borderId="0" xfId="0"/>
    <xf numFmtId="0" fontId="2" fillId="0" borderId="0" xfId="0" applyFont="1"/>
    <xf numFmtId="0" fontId="3" fillId="0" borderId="1" xfId="0" applyFont="1" applyBorder="1" applyAlignment="1">
      <alignment horizontal="left"/>
    </xf>
    <xf numFmtId="0" fontId="3" fillId="0" borderId="1" xfId="0" applyFont="1" applyBorder="1" applyAlignment="1">
      <alignment horizontal="right"/>
    </xf>
    <xf numFmtId="0" fontId="3" fillId="0" borderId="2" xfId="0" applyFont="1" applyBorder="1" applyAlignment="1">
      <alignment horizontal="left"/>
    </xf>
    <xf numFmtId="0" fontId="3" fillId="0" borderId="3" xfId="0" applyFont="1" applyBorder="1" applyAlignment="1">
      <alignment horizontal="left"/>
    </xf>
    <xf numFmtId="0" fontId="3" fillId="0" borderId="2" xfId="0" applyFont="1" applyBorder="1" applyAlignment="1">
      <alignment horizontal="right"/>
    </xf>
    <xf numFmtId="164" fontId="3" fillId="0" borderId="2" xfId="0" applyNumberFormat="1" applyFont="1" applyBorder="1" applyAlignment="1">
      <alignment horizontal="right"/>
    </xf>
    <xf numFmtId="164" fontId="3" fillId="0" borderId="3" xfId="0" applyNumberFormat="1" applyFont="1" applyBorder="1" applyAlignment="1">
      <alignment horizontal="right"/>
    </xf>
    <xf numFmtId="0" fontId="5" fillId="0" borderId="1" xfId="0" applyFont="1" applyBorder="1"/>
    <xf numFmtId="49" fontId="5" fillId="0" borderId="1" xfId="0" applyNumberFormat="1" applyFont="1" applyBorder="1" applyAlignment="1">
      <alignment horizontal="right"/>
    </xf>
    <xf numFmtId="164" fontId="5" fillId="0" borderId="1" xfId="0" applyNumberFormat="1" applyFont="1" applyBorder="1" applyAlignment="1">
      <alignment horizontal="right"/>
    </xf>
    <xf numFmtId="0" fontId="5" fillId="0" borderId="2" xfId="0" applyFont="1" applyBorder="1"/>
    <xf numFmtId="49" fontId="5" fillId="0" borderId="2" xfId="0" applyNumberFormat="1" applyFont="1" applyBorder="1" applyAlignment="1">
      <alignment horizontal="right"/>
    </xf>
    <xf numFmtId="0" fontId="5" fillId="0" borderId="2" xfId="0" applyFont="1" applyBorder="1" applyAlignment="1">
      <alignment horizontal="right"/>
    </xf>
    <xf numFmtId="164" fontId="5" fillId="0" borderId="2" xfId="0" applyNumberFormat="1" applyFont="1" applyBorder="1" applyAlignment="1">
      <alignment horizontal="right"/>
    </xf>
    <xf numFmtId="0" fontId="3" fillId="0" borderId="0" xfId="0" applyFont="1" applyAlignment="1">
      <alignment horizontal="left"/>
    </xf>
    <xf numFmtId="0" fontId="4" fillId="0" borderId="0" xfId="0" applyFont="1"/>
    <xf numFmtId="0" fontId="3" fillId="0" borderId="0" xfId="0" applyFont="1" applyAlignment="1">
      <alignment horizontal="right"/>
    </xf>
    <xf numFmtId="0" fontId="3" fillId="0" borderId="4" xfId="0" applyFont="1" applyBorder="1" applyAlignment="1">
      <alignment horizontal="right"/>
    </xf>
    <xf numFmtId="0" fontId="3" fillId="0" borderId="5" xfId="0" applyFont="1" applyBorder="1" applyAlignment="1">
      <alignment horizontal="right"/>
    </xf>
    <xf numFmtId="0" fontId="10" fillId="0" borderId="0" xfId="0" applyFont="1"/>
    <xf numFmtId="44" fontId="0" fillId="0" borderId="0" xfId="2" applyFont="1"/>
    <xf numFmtId="0" fontId="10" fillId="0" borderId="0" xfId="0" applyFont="1" applyAlignment="1">
      <alignment horizontal="right"/>
    </xf>
    <xf numFmtId="39" fontId="0" fillId="0" borderId="0" xfId="2" applyNumberFormat="1" applyFont="1"/>
    <xf numFmtId="3" fontId="0" fillId="0" borderId="2" xfId="0" applyNumberFormat="1" applyBorder="1"/>
    <xf numFmtId="0" fontId="0" fillId="0" borderId="2" xfId="0" applyBorder="1"/>
    <xf numFmtId="3" fontId="0" fillId="0" borderId="1" xfId="0" applyNumberFormat="1" applyBorder="1"/>
    <xf numFmtId="0" fontId="11" fillId="0" borderId="11" xfId="0" applyFont="1" applyBorder="1"/>
    <xf numFmtId="0" fontId="11" fillId="0" borderId="0" xfId="0" applyFont="1" applyAlignment="1">
      <alignment wrapText="1"/>
    </xf>
    <xf numFmtId="0" fontId="8" fillId="0" borderId="6"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1" fillId="0" borderId="6"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0" fontId="6" fillId="0" borderId="9" xfId="1" applyBorder="1" applyAlignment="1">
      <alignment horizontal="center"/>
    </xf>
    <xf numFmtId="0" fontId="6" fillId="0" borderId="0" xfId="1" applyBorder="1" applyAlignment="1">
      <alignment horizontal="center"/>
    </xf>
    <xf numFmtId="0" fontId="6" fillId="0" borderId="10" xfId="1" applyBorder="1" applyAlignment="1">
      <alignment horizontal="center"/>
    </xf>
    <xf numFmtId="0" fontId="11" fillId="0" borderId="9" xfId="0" applyFont="1" applyBorder="1" applyAlignment="1">
      <alignment horizontal="center"/>
    </xf>
    <xf numFmtId="0" fontId="11" fillId="0" borderId="0" xfId="0" applyFont="1" applyAlignment="1">
      <alignment horizontal="center"/>
    </xf>
    <xf numFmtId="0" fontId="11" fillId="0" borderId="10" xfId="0" applyFont="1" applyBorder="1" applyAlignment="1">
      <alignment horizontal="center"/>
    </xf>
    <xf numFmtId="0" fontId="0" fillId="0" borderId="0" xfId="0" applyAlignment="1">
      <alignment horizontal="left" vertical="center"/>
    </xf>
    <xf numFmtId="0" fontId="0" fillId="0" borderId="12" xfId="0" applyBorder="1" applyAlignment="1">
      <alignment horizontal="left"/>
    </xf>
    <xf numFmtId="0" fontId="0" fillId="0" borderId="13" xfId="0" applyBorder="1" applyAlignment="1">
      <alignment horizontal="left"/>
    </xf>
    <xf numFmtId="0" fontId="1" fillId="0" borderId="14" xfId="0" applyFont="1" applyBorder="1" applyAlignment="1">
      <alignment horizontal="center"/>
    </xf>
    <xf numFmtId="0" fontId="0" fillId="0" borderId="15" xfId="0" applyBorder="1"/>
    <xf numFmtId="0" fontId="0" fillId="0" borderId="16" xfId="0" applyBorder="1"/>
  </cellXfs>
  <cellStyles count="4">
    <cellStyle name="Currency" xfId="2" builtinId="4"/>
    <cellStyle name="Hyperlink" xfId="1" builtinId="8"/>
    <cellStyle name="Normal" xfId="0" builtinId="0"/>
    <cellStyle name="Normal 2" xfId="3" xr:uid="{80E6B288-0BF4-4CB9-ADC9-395F98A96AF8}"/>
  </cellStyles>
  <dxfs count="12">
    <dxf>
      <font>
        <b val="0"/>
        <i val="0"/>
        <strike val="0"/>
        <condense val="0"/>
        <extend val="0"/>
        <outline val="0"/>
        <shadow val="0"/>
        <u val="none"/>
        <vertAlign val="baseline"/>
        <sz val="9"/>
        <color rgb="FF1F2328"/>
        <name val="Arial"/>
        <family val="2"/>
        <scheme val="none"/>
      </font>
      <alignment horizontal="left" vertical="bottom" textRotation="0" wrapText="0" indent="0" justifyLastLine="0" shrinkToFit="0" readingOrder="0"/>
    </dxf>
    <dxf>
      <numFmt numFmtId="0" formatCode="General"/>
    </dxf>
    <dxf>
      <numFmt numFmtId="0" formatCode="General"/>
    </dxf>
    <dxf>
      <numFmt numFmtId="0" formatCode="General"/>
    </dxf>
    <dxf>
      <border outline="0">
        <right style="thin">
          <color rgb="FFD1D9E0"/>
        </right>
      </border>
    </dxf>
    <dxf>
      <numFmt numFmtId="0" formatCode="General"/>
    </dxf>
    <dxf>
      <border outline="0">
        <right style="thin">
          <color rgb="FFD1D9E0"/>
        </right>
      </border>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1C4B40DC-8494-42FF-9E72-474561C11459}">
      <tableStyleElement type="wholeTable" dxfId="11"/>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5" name="image1.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xfrm>
          <a:off x="6273800" y="196850"/>
          <a:ext cx="2683933" cy="4025900"/>
        </a:xfrm>
        <a:prstGeom prst="rect">
          <a:avLst/>
        </a:prstGeom>
        <a:noFill/>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91C55D6A-5F1D-4DF1-BA21-39E4560ABFAD}" autoFormatId="16" applyNumberFormats="0" applyBorderFormats="0" applyFontFormats="0" applyPatternFormats="0" applyAlignmentFormats="0" applyWidthHeightFormats="0">
  <queryTableRefresh nextId="5">
    <queryTableFields count="3">
      <queryTableField id="1" name="Hospital" tableColumnId="1"/>
      <queryTableField id="2" name="Year" tableColumnId="2"/>
      <queryTableField id="3" name="Births"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47CA0BFD-E7F7-4959-BB0F-E75A43F99B99}" autoFormatId="16" applyNumberFormats="0" applyBorderFormats="0" applyFontFormats="0" applyPatternFormats="0" applyAlignmentFormats="0" applyWidthHeightFormats="0">
  <queryTableRefresh nextId="3">
    <queryTableFields count="2">
      <queryTableField id="1" name="Position" tableColumnId="1"/>
      <queryTableField id="2" name="Annual Salary"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5F2BC2DD-853C-494B-AF69-6AEB9FF741F6}" autoFormatId="16" applyNumberFormats="0" applyBorderFormats="0" applyFontFormats="0" applyPatternFormats="0" applyAlignmentFormats="0" applyWidthHeightFormats="0">
  <queryTableRefresh nextId="3">
    <queryTableFields count="2">
      <queryTableField id="1" name="Position" tableColumnId="1"/>
      <queryTableField id="2" name="Annual Salary"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C4380533-3554-4549-9EFC-3B21C0EC49A4}" autoFormatId="16" applyNumberFormats="0" applyBorderFormats="0" applyFontFormats="0" applyPatternFormats="0" applyAlignmentFormats="0" applyWidthHeightFormats="0">
  <queryTableRefresh nextId="4" unboundColumnsRight="1">
    <queryTableFields count="3">
      <queryTableField id="1" name="Position" tableColumnId="1"/>
      <queryTableField id="2" name="Annual Salary" tableColumnId="2"/>
      <queryTableField id="3" dataBound="0"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23103ADF-BFFE-4880-8780-23466AC8C1DC}" autoFormatId="16" applyNumberFormats="0" applyBorderFormats="0" applyFontFormats="0" applyPatternFormats="0" applyAlignmentFormats="0" applyWidthHeightFormats="0">
  <queryTableRefresh nextId="5" unboundColumnsRight="1">
    <queryTableFields count="4">
      <queryTableField id="1" name="Hospital" tableColumnId="1"/>
      <queryTableField id="2" name="Year" tableColumnId="2"/>
      <queryTableField id="3" name="Births"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7F95E8-B5D1-45E0-991C-02EF891AFF2E}" name="vienna_general_death_to_birth_rates_by_clinic7" displayName="vienna_general_death_to_birth_rates_by_clinic7" ref="A1:C9" tableType="queryTable" totalsRowShown="0">
  <autoFilter ref="A1:C9" xr:uid="{917F95E8-B5D1-45E0-991C-02EF891AFF2E}"/>
  <tableColumns count="3">
    <tableColumn id="1" xr3:uid="{C50395BF-87CE-4EA9-A476-CF2CCA3E6A27}" uniqueName="1" name="Hospital" queryTableFieldId="1" dataDxfId="7"/>
    <tableColumn id="2" xr3:uid="{8B5705BB-BB30-40B9-8D4B-034C9164C632}" uniqueName="2" name="Year" queryTableFieldId="2"/>
    <tableColumn id="3" xr3:uid="{6073416B-872F-48BD-A962-24160FBD53CF}" uniqueName="3" name="Births" queryTableFieldId="3"/>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A0ED21-FD6F-4CE8-9305-E6A06CF7A87E}" name="obstetrics_annual_salaries_1845__24" displayName="obstetrics_annual_salaries_1845__24" ref="A1:B14" tableType="queryTable" totalsRowShown="0" tableBorderDxfId="6">
  <autoFilter ref="A1:B14" xr:uid="{63A0ED21-FD6F-4CE8-9305-E6A06CF7A87E}"/>
  <tableColumns count="2">
    <tableColumn id="1" xr3:uid="{76AD1AAE-AE6E-4F82-8916-19DA07E29E71}" uniqueName="1" name="Position" queryTableFieldId="1" dataDxfId="5"/>
    <tableColumn id="2" xr3:uid="{72D4A0C9-7F1B-491A-B37A-496353B1E9A6}" uniqueName="2" name="Annual Salary" queryTableFieldId="2" dataCellStyle="Currency"/>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FD743D-1376-4662-8248-8238A2FD9D1C}" name="obstetrics_annual_salaries_1845__2" displayName="obstetrics_annual_salaries_1845__2" ref="A1:B12" tableType="queryTable" totalsRowShown="0" tableBorderDxfId="4">
  <autoFilter ref="A1:B12" xr:uid="{C6FD743D-1376-4662-8248-8238A2FD9D1C}"/>
  <tableColumns count="2">
    <tableColumn id="1" xr3:uid="{BD257DDE-AC62-40D7-9514-D97B4F90AD77}" uniqueName="1" name="Position" queryTableFieldId="1" dataDxfId="3"/>
    <tableColumn id="2" xr3:uid="{D91542E1-9849-4F5A-BFD9-7050BF3E9351}" uniqueName="2" name="Annual Salary" queryTableFieldId="2" dataCellStyle="Currency"/>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180E8E-475C-4A4A-A5E6-55EBE78292DF}" name="obstetrics_annual_salaries_1845" displayName="obstetrics_annual_salaries_1845" ref="F1:H11" tableType="queryTable" totalsRowShown="0">
  <autoFilter ref="F1:H11" xr:uid="{8F180E8E-475C-4A4A-A5E6-55EBE78292DF}"/>
  <tableColumns count="3">
    <tableColumn id="1" xr3:uid="{F5E10193-439A-4CB4-A1F3-67846E11B9BB}" uniqueName="1" name="Position" queryTableFieldId="1" dataDxfId="2"/>
    <tableColumn id="2" xr3:uid="{4D3CF21E-3281-4314-8A81-D13A90303AE7}" uniqueName="2" name="Annual Salary" queryTableFieldId="2"/>
    <tableColumn id="3" xr3:uid="{E577241C-EE53-48BE-A856-DC5528416F30}" uniqueName="3" name="Table" queryTableFieldId="3"/>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FF05D3-314C-462A-84B2-2E3857697F42}" name="vienna_general_death_to_birth_rates_by_clinic" displayName="vienna_general_death_to_birth_rates_by_clinic" ref="A1:D6" tableType="queryTable" totalsRowShown="0">
  <autoFilter ref="A1:D6" xr:uid="{22FF05D3-314C-462A-84B2-2E3857697F42}"/>
  <tableColumns count="4">
    <tableColumn id="1" xr3:uid="{FEA3BFE3-458B-4659-AD32-ED07F1BC7AC3}" uniqueName="1" name="Hospital" queryTableFieldId="1" dataDxfId="1"/>
    <tableColumn id="2" xr3:uid="{2BADB408-F65F-4D72-BCD3-72A2F7B678B0}" uniqueName="2" name="Year" queryTableFieldId="2"/>
    <tableColumn id="3" xr3:uid="{FDFEBF46-26DC-4052-9B12-4B6AA1F79F4A}" uniqueName="3" name="Births" queryTableFieldId="3"/>
    <tableColumn id="4" xr3:uid="{17C9163F-40EF-42DE-8F8F-92CE86E3AAB5}" uniqueName="4" name="Table" queryTableFieldId="4"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8"/>
  <sheetViews>
    <sheetView showGridLines="0" tabSelected="1" workbookViewId="0">
      <selection sqref="A1:G1"/>
    </sheetView>
  </sheetViews>
  <sheetFormatPr defaultColWidth="12.6640625" defaultRowHeight="15.75" customHeight="1"/>
  <cols>
    <col min="8" max="8" width="1.33203125" customWidth="1"/>
    <col min="13" max="13" width="1.33203125" customWidth="1"/>
  </cols>
  <sheetData>
    <row r="1" spans="1:12" ht="24.6">
      <c r="A1" s="51" t="s">
        <v>0</v>
      </c>
      <c r="B1" s="52"/>
      <c r="C1" s="52"/>
      <c r="D1" s="52"/>
      <c r="E1" s="52"/>
      <c r="F1" s="52"/>
      <c r="G1" s="53"/>
      <c r="H1" s="1"/>
      <c r="I1" s="1"/>
      <c r="J1" s="1"/>
      <c r="K1" s="1"/>
      <c r="L1" s="1"/>
    </row>
    <row r="2" spans="1:12" ht="15.75" customHeight="1">
      <c r="A2" s="30" t="s">
        <v>15</v>
      </c>
      <c r="B2" s="31"/>
      <c r="C2" s="31"/>
      <c r="D2" s="31"/>
      <c r="E2" s="31"/>
      <c r="F2" s="31"/>
      <c r="G2" s="32"/>
      <c r="H2" s="1"/>
      <c r="I2" s="1"/>
    </row>
    <row r="3" spans="1:12" ht="15.75" customHeight="1">
      <c r="A3" s="33"/>
      <c r="B3" s="34"/>
      <c r="C3" s="34"/>
      <c r="D3" s="34"/>
      <c r="E3" s="34"/>
      <c r="F3" s="34"/>
      <c r="G3" s="35"/>
      <c r="H3" s="1"/>
    </row>
    <row r="4" spans="1:12" ht="15.75" customHeight="1">
      <c r="A4" s="33"/>
      <c r="B4" s="34"/>
      <c r="C4" s="34"/>
      <c r="D4" s="34"/>
      <c r="E4" s="34"/>
      <c r="F4" s="34"/>
      <c r="G4" s="35"/>
      <c r="H4" s="1"/>
    </row>
    <row r="5" spans="1:12" ht="15.75" customHeight="1">
      <c r="A5" s="33"/>
      <c r="B5" s="34"/>
      <c r="C5" s="34"/>
      <c r="D5" s="34"/>
      <c r="E5" s="34"/>
      <c r="F5" s="34"/>
      <c r="G5" s="35"/>
      <c r="H5" s="1"/>
    </row>
    <row r="6" spans="1:12" ht="15.75" customHeight="1">
      <c r="A6" s="33"/>
      <c r="B6" s="34"/>
      <c r="C6" s="34"/>
      <c r="D6" s="34"/>
      <c r="E6" s="34"/>
      <c r="F6" s="34"/>
      <c r="G6" s="35"/>
      <c r="H6" s="1"/>
    </row>
    <row r="7" spans="1:12" ht="15.75" customHeight="1">
      <c r="A7" s="33"/>
      <c r="B7" s="34"/>
      <c r="C7" s="34"/>
      <c r="D7" s="34"/>
      <c r="E7" s="34"/>
      <c r="F7" s="34"/>
      <c r="G7" s="35"/>
      <c r="H7" s="1"/>
    </row>
    <row r="8" spans="1:12" ht="15.75" customHeight="1">
      <c r="A8" s="33"/>
      <c r="B8" s="34"/>
      <c r="C8" s="34"/>
      <c r="D8" s="34"/>
      <c r="E8" s="34"/>
      <c r="F8" s="34"/>
      <c r="G8" s="35"/>
      <c r="H8" s="1"/>
    </row>
    <row r="9" spans="1:12" ht="15.75" customHeight="1">
      <c r="A9" s="33"/>
      <c r="B9" s="34"/>
      <c r="C9" s="34"/>
      <c r="D9" s="34"/>
      <c r="E9" s="34"/>
      <c r="F9" s="34"/>
      <c r="G9" s="35"/>
      <c r="H9" s="1"/>
    </row>
    <row r="10" spans="1:12" ht="15.75" customHeight="1">
      <c r="A10" s="33"/>
      <c r="B10" s="34"/>
      <c r="C10" s="34"/>
      <c r="D10" s="34"/>
      <c r="E10" s="34"/>
      <c r="F10" s="34"/>
      <c r="G10" s="35"/>
      <c r="H10" s="1"/>
    </row>
    <row r="11" spans="1:12" ht="15.75" customHeight="1">
      <c r="A11" s="33"/>
      <c r="B11" s="34"/>
      <c r="C11" s="34"/>
      <c r="D11" s="34"/>
      <c r="E11" s="34"/>
      <c r="F11" s="34"/>
      <c r="G11" s="35"/>
      <c r="H11" s="1"/>
    </row>
    <row r="12" spans="1:12" ht="15.75" customHeight="1">
      <c r="A12" s="33"/>
      <c r="B12" s="34"/>
      <c r="C12" s="34"/>
      <c r="D12" s="34"/>
      <c r="E12" s="34"/>
      <c r="F12" s="34"/>
      <c r="G12" s="35"/>
      <c r="H12" s="1"/>
    </row>
    <row r="13" spans="1:12" ht="15.75" customHeight="1">
      <c r="A13" s="33"/>
      <c r="B13" s="34"/>
      <c r="C13" s="34"/>
      <c r="D13" s="34"/>
      <c r="E13" s="34"/>
      <c r="F13" s="34"/>
      <c r="G13" s="35"/>
      <c r="H13" s="1"/>
    </row>
    <row r="14" spans="1:12" ht="15.75" customHeight="1">
      <c r="A14" s="33"/>
      <c r="B14" s="34"/>
      <c r="C14" s="34"/>
      <c r="D14" s="34"/>
      <c r="E14" s="34"/>
      <c r="F14" s="34"/>
      <c r="G14" s="35"/>
      <c r="H14" s="1"/>
    </row>
    <row r="15" spans="1:12" ht="15.75" customHeight="1">
      <c r="A15" s="33"/>
      <c r="B15" s="34"/>
      <c r="C15" s="34"/>
      <c r="D15" s="34"/>
      <c r="E15" s="34"/>
      <c r="F15" s="34"/>
      <c r="G15" s="35"/>
      <c r="H15" s="1"/>
    </row>
    <row r="16" spans="1:12" ht="15.75" customHeight="1">
      <c r="A16" s="33"/>
      <c r="B16" s="34"/>
      <c r="C16" s="34"/>
      <c r="D16" s="34"/>
      <c r="E16" s="34"/>
      <c r="F16" s="34"/>
      <c r="G16" s="35"/>
      <c r="H16" s="1"/>
    </row>
    <row r="17" spans="1:8" ht="15.75" customHeight="1">
      <c r="A17" s="33"/>
      <c r="B17" s="34"/>
      <c r="C17" s="34"/>
      <c r="D17" s="34"/>
      <c r="E17" s="34"/>
      <c r="F17" s="34"/>
      <c r="G17" s="35"/>
      <c r="H17" s="1"/>
    </row>
    <row r="18" spans="1:8" ht="15.75" customHeight="1">
      <c r="A18" s="33"/>
      <c r="B18" s="34"/>
      <c r="C18" s="34"/>
      <c r="D18" s="34"/>
      <c r="E18" s="34"/>
      <c r="F18" s="34"/>
      <c r="G18" s="35"/>
      <c r="H18" s="1"/>
    </row>
    <row r="19" spans="1:8" ht="15.75" customHeight="1">
      <c r="A19" s="33"/>
      <c r="B19" s="34"/>
      <c r="C19" s="34"/>
      <c r="D19" s="34"/>
      <c r="E19" s="34"/>
      <c r="F19" s="34"/>
      <c r="G19" s="35"/>
      <c r="H19" s="1"/>
    </row>
    <row r="20" spans="1:8" ht="15.75" customHeight="1">
      <c r="A20" s="33"/>
      <c r="B20" s="34"/>
      <c r="C20" s="34"/>
      <c r="D20" s="34"/>
      <c r="E20" s="34"/>
      <c r="F20" s="34"/>
      <c r="G20" s="35"/>
      <c r="H20" s="1"/>
    </row>
    <row r="21" spans="1:8" ht="15.75" customHeight="1">
      <c r="A21" s="33"/>
      <c r="B21" s="34"/>
      <c r="C21" s="34"/>
      <c r="D21" s="34"/>
      <c r="E21" s="34"/>
      <c r="F21" s="34"/>
      <c r="G21" s="35"/>
      <c r="H21" s="1"/>
    </row>
    <row r="22" spans="1:8" ht="15.75" customHeight="1">
      <c r="A22" s="33"/>
      <c r="B22" s="34"/>
      <c r="C22" s="34"/>
      <c r="D22" s="34"/>
      <c r="E22" s="34"/>
      <c r="F22" s="34"/>
      <c r="G22" s="35"/>
      <c r="H22" s="1"/>
    </row>
    <row r="23" spans="1:8" ht="15.75" customHeight="1">
      <c r="A23" s="33"/>
      <c r="B23" s="34"/>
      <c r="C23" s="34"/>
      <c r="D23" s="34"/>
      <c r="E23" s="34"/>
      <c r="F23" s="34"/>
      <c r="G23" s="35"/>
      <c r="H23" s="1"/>
    </row>
    <row r="24" spans="1:8" ht="15.75" customHeight="1">
      <c r="A24" s="33"/>
      <c r="B24" s="34"/>
      <c r="C24" s="34"/>
      <c r="D24" s="34"/>
      <c r="E24" s="34"/>
      <c r="F24" s="34"/>
      <c r="G24" s="35"/>
      <c r="H24" s="1"/>
    </row>
    <row r="25" spans="1:8" ht="15.75" customHeight="1">
      <c r="A25" s="33"/>
      <c r="B25" s="34"/>
      <c r="C25" s="34"/>
      <c r="D25" s="34"/>
      <c r="E25" s="34"/>
      <c r="F25" s="34"/>
      <c r="G25" s="35"/>
      <c r="H25" s="1"/>
    </row>
    <row r="26" spans="1:8" ht="15.75" customHeight="1">
      <c r="A26" s="33"/>
      <c r="B26" s="34"/>
      <c r="C26" s="34"/>
      <c r="D26" s="34"/>
      <c r="E26" s="34"/>
      <c r="F26" s="34"/>
      <c r="G26" s="35"/>
      <c r="H26" s="1"/>
    </row>
    <row r="27" spans="1:8" ht="16.2" customHeight="1">
      <c r="A27" s="33"/>
      <c r="B27" s="34"/>
      <c r="C27" s="34"/>
      <c r="D27" s="34"/>
      <c r="E27" s="34"/>
      <c r="F27" s="34"/>
      <c r="G27" s="35"/>
      <c r="H27" s="1"/>
    </row>
    <row r="28" spans="1:8" ht="15.75" customHeight="1">
      <c r="A28" s="36"/>
      <c r="B28" s="37"/>
      <c r="C28" s="37"/>
      <c r="D28" s="37"/>
      <c r="E28" s="37"/>
      <c r="F28" s="37"/>
      <c r="G28" s="38"/>
    </row>
    <row r="29" spans="1:8" ht="15.75" customHeight="1">
      <c r="A29" s="39" t="s">
        <v>21</v>
      </c>
      <c r="B29" s="40"/>
      <c r="C29" s="40"/>
      <c r="D29" s="40"/>
      <c r="E29" s="40"/>
      <c r="F29" s="40"/>
      <c r="G29" s="41"/>
    </row>
    <row r="30" spans="1:8" ht="15.75" customHeight="1">
      <c r="A30" s="42" t="s">
        <v>22</v>
      </c>
      <c r="B30" s="43"/>
      <c r="C30" s="43"/>
      <c r="D30" s="43"/>
      <c r="E30" s="43"/>
      <c r="F30" s="43"/>
      <c r="G30" s="44"/>
    </row>
    <row r="31" spans="1:8" ht="15.75" customHeight="1">
      <c r="A31" s="45" t="s">
        <v>23</v>
      </c>
      <c r="B31" s="46"/>
      <c r="C31" s="46"/>
      <c r="D31" s="46"/>
      <c r="E31" s="46"/>
      <c r="F31" s="46"/>
      <c r="G31" s="47"/>
    </row>
    <row r="32" spans="1:8" ht="15.75" customHeight="1">
      <c r="A32" s="42" t="s">
        <v>24</v>
      </c>
      <c r="B32" s="43"/>
      <c r="C32" s="43"/>
      <c r="D32" s="43"/>
      <c r="E32" s="43"/>
      <c r="F32" s="43"/>
      <c r="G32" s="44"/>
    </row>
    <row r="33" spans="1:7" ht="15.75" customHeight="1">
      <c r="A33" s="45" t="s">
        <v>25</v>
      </c>
      <c r="B33" s="46"/>
      <c r="C33" s="46"/>
      <c r="D33" s="46"/>
      <c r="E33" s="46"/>
      <c r="F33" s="46"/>
      <c r="G33" s="47"/>
    </row>
    <row r="34" spans="1:7" ht="15.75" customHeight="1">
      <c r="A34" s="42" t="s">
        <v>26</v>
      </c>
      <c r="B34" s="43"/>
      <c r="C34" s="43"/>
      <c r="D34" s="43"/>
      <c r="E34" s="43"/>
      <c r="F34" s="43"/>
      <c r="G34" s="44"/>
    </row>
    <row r="35" spans="1:7" ht="15.75" customHeight="1">
      <c r="A35" s="42" t="s">
        <v>27</v>
      </c>
      <c r="B35" s="43"/>
      <c r="C35" s="43"/>
      <c r="D35" s="43"/>
      <c r="E35" s="43"/>
      <c r="F35" s="43"/>
      <c r="G35" s="44"/>
    </row>
    <row r="36" spans="1:7" ht="15.75" customHeight="1">
      <c r="A36" s="39" t="s">
        <v>28</v>
      </c>
      <c r="B36" s="40"/>
      <c r="C36" s="40"/>
      <c r="D36" s="40"/>
      <c r="E36" s="40"/>
      <c r="F36" s="40"/>
      <c r="G36" s="41"/>
    </row>
    <row r="37" spans="1:7" ht="13.2">
      <c r="A37" s="29" t="s">
        <v>30</v>
      </c>
      <c r="B37" s="48" t="s">
        <v>29</v>
      </c>
      <c r="C37" s="48"/>
      <c r="D37" s="48"/>
      <c r="E37" s="48"/>
      <c r="F37" s="48"/>
      <c r="G37" s="48"/>
    </row>
    <row r="38" spans="1:7" ht="15.75" customHeight="1">
      <c r="A38" s="28" t="s">
        <v>31</v>
      </c>
      <c r="B38" s="49" t="s">
        <v>32</v>
      </c>
      <c r="C38" s="49"/>
      <c r="D38" s="49"/>
      <c r="E38" s="49"/>
      <c r="F38" s="49"/>
      <c r="G38" s="50"/>
    </row>
  </sheetData>
  <mergeCells count="12">
    <mergeCell ref="A36:G36"/>
    <mergeCell ref="B37:G37"/>
    <mergeCell ref="B38:G38"/>
    <mergeCell ref="A32:G32"/>
    <mergeCell ref="A33:G33"/>
    <mergeCell ref="A34:G34"/>
    <mergeCell ref="A35:G35"/>
    <mergeCell ref="A1:G1"/>
    <mergeCell ref="A2:G28"/>
    <mergeCell ref="A29:G29"/>
    <mergeCell ref="A30:G30"/>
    <mergeCell ref="A31:G31"/>
  </mergeCells>
  <hyperlinks>
    <hyperlink ref="A32" r:id="rId1" xr:uid="{3B7849B5-4A81-4620-8572-2C8CC16A05EA}"/>
    <hyperlink ref="A30" r:id="rId2" xr:uid="{5113EE24-7A2F-4AA3-846F-37FEB224E45E}"/>
    <hyperlink ref="A34" r:id="rId3" xr:uid="{371CF96E-49DD-445E-ACF6-3A80A9A4679B}"/>
    <hyperlink ref="A35" r:id="rId4" xr:uid="{41B5172C-FEC2-45C9-8D7E-6FE410894021}"/>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2"/>
  <sheetViews>
    <sheetView workbookViewId="0">
      <selection sqref="A1:C9"/>
    </sheetView>
  </sheetViews>
  <sheetFormatPr defaultColWidth="12.6640625" defaultRowHeight="15.75" customHeight="1"/>
  <cols>
    <col min="1" max="1" width="20.77734375" bestFit="1" customWidth="1"/>
    <col min="2" max="2" width="8.6640625" bestFit="1" customWidth="1"/>
  </cols>
  <sheetData>
    <row r="1" spans="1:3" ht="15.75" customHeight="1">
      <c r="A1" t="s">
        <v>18</v>
      </c>
      <c r="B1" t="s">
        <v>1</v>
      </c>
      <c r="C1" t="s">
        <v>2</v>
      </c>
    </row>
    <row r="2" spans="1:3" ht="15.75" customHeight="1">
      <c r="A2" t="s">
        <v>19</v>
      </c>
      <c r="B2">
        <v>1844</v>
      </c>
      <c r="C2">
        <v>3157</v>
      </c>
    </row>
    <row r="3" spans="1:3" ht="15.75" customHeight="1">
      <c r="A3" t="s">
        <v>19</v>
      </c>
      <c r="B3">
        <v>1845</v>
      </c>
      <c r="C3">
        <v>3492</v>
      </c>
    </row>
    <row r="4" spans="1:3" ht="15.75" customHeight="1">
      <c r="A4" t="s">
        <v>19</v>
      </c>
      <c r="B4">
        <v>1846</v>
      </c>
      <c r="C4">
        <v>4010</v>
      </c>
    </row>
    <row r="5" spans="1:3" ht="15.75" customHeight="1">
      <c r="A5" t="s">
        <v>19</v>
      </c>
      <c r="B5">
        <v>1847</v>
      </c>
      <c r="C5">
        <v>3490</v>
      </c>
    </row>
    <row r="6" spans="1:3" ht="15.75" customHeight="1">
      <c r="A6" t="s">
        <v>19</v>
      </c>
      <c r="B6">
        <v>1848</v>
      </c>
      <c r="C6">
        <v>3556</v>
      </c>
    </row>
    <row r="7" spans="1:3" ht="15.75" customHeight="1">
      <c r="B7" s="21" t="s">
        <v>3</v>
      </c>
      <c r="C7">
        <f>SUM(C2:C6)</f>
        <v>17705</v>
      </c>
    </row>
    <row r="8" spans="1:3" ht="15.75" customHeight="1">
      <c r="B8" s="21" t="s">
        <v>4</v>
      </c>
      <c r="C8">
        <f>COUNT(C2:C6)</f>
        <v>5</v>
      </c>
    </row>
    <row r="9" spans="1:3" ht="15.75" customHeight="1">
      <c r="B9" s="21" t="s">
        <v>5</v>
      </c>
      <c r="C9">
        <f>AVERAGE(C2:C6)</f>
        <v>3541</v>
      </c>
    </row>
    <row r="10" spans="1:3" ht="15.75" customHeight="1">
      <c r="A10" s="3"/>
      <c r="B10" s="27"/>
    </row>
    <row r="11" spans="1:3" ht="15.75" customHeight="1">
      <c r="A11" s="6"/>
      <c r="B11" s="26"/>
    </row>
    <row r="12" spans="1:3" ht="15.75" customHeight="1">
      <c r="A12" s="6"/>
      <c r="B12" s="2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6"/>
  <sheetViews>
    <sheetView workbookViewId="0">
      <selection sqref="A1:B14"/>
    </sheetView>
  </sheetViews>
  <sheetFormatPr defaultColWidth="12.6640625" defaultRowHeight="15.75" customHeight="1"/>
  <cols>
    <col min="1" max="1" width="21.44140625" bestFit="1" customWidth="1"/>
    <col min="2" max="2" width="16" bestFit="1" customWidth="1"/>
    <col min="3" max="3" width="11.33203125" bestFit="1" customWidth="1"/>
  </cols>
  <sheetData>
    <row r="1" spans="1:3" ht="15.75" customHeight="1">
      <c r="A1" t="s">
        <v>6</v>
      </c>
      <c r="B1" t="s">
        <v>7</v>
      </c>
      <c r="C1" s="3"/>
    </row>
    <row r="2" spans="1:3" ht="15.75" customHeight="1">
      <c r="A2" t="s">
        <v>8</v>
      </c>
      <c r="B2" s="22">
        <v>2000</v>
      </c>
      <c r="C2" s="7"/>
    </row>
    <row r="3" spans="1:3" ht="15.75" customHeight="1">
      <c r="A3" t="s">
        <v>16</v>
      </c>
      <c r="B3" s="22">
        <v>1500</v>
      </c>
      <c r="C3" s="7"/>
    </row>
    <row r="4" spans="1:3" ht="15.75" customHeight="1">
      <c r="A4" t="s">
        <v>9</v>
      </c>
      <c r="B4" s="22">
        <v>400</v>
      </c>
      <c r="C4" s="7"/>
    </row>
    <row r="5" spans="1:3" ht="15.75" customHeight="1">
      <c r="A5" t="s">
        <v>10</v>
      </c>
      <c r="B5" s="22">
        <v>125</v>
      </c>
      <c r="C5" s="7"/>
    </row>
    <row r="6" spans="1:3" ht="15.75" customHeight="1">
      <c r="A6" t="s">
        <v>10</v>
      </c>
      <c r="B6" s="22">
        <v>100</v>
      </c>
      <c r="C6" s="7"/>
    </row>
    <row r="7" spans="1:3" ht="15.75" customHeight="1">
      <c r="A7" t="s">
        <v>11</v>
      </c>
      <c r="B7" s="22">
        <v>65</v>
      </c>
      <c r="C7" s="7"/>
    </row>
    <row r="8" spans="1:3" ht="15.75" customHeight="1">
      <c r="A8" t="s">
        <v>11</v>
      </c>
      <c r="B8" s="22">
        <v>65</v>
      </c>
      <c r="C8" s="7"/>
    </row>
    <row r="9" spans="1:3" ht="15.75" customHeight="1">
      <c r="A9" t="s">
        <v>12</v>
      </c>
      <c r="B9" s="22">
        <v>50</v>
      </c>
      <c r="C9" s="7"/>
    </row>
    <row r="10" spans="1:3" ht="15.75" customHeight="1">
      <c r="A10" t="s">
        <v>17</v>
      </c>
      <c r="B10" s="22">
        <v>35</v>
      </c>
      <c r="C10" s="7"/>
    </row>
    <row r="11" spans="1:3" ht="15.75" customHeight="1">
      <c r="A11" t="s">
        <v>17</v>
      </c>
      <c r="B11" s="22">
        <v>30</v>
      </c>
      <c r="C11" s="8"/>
    </row>
    <row r="12" spans="1:3" ht="15.75" customHeight="1">
      <c r="A12" s="23" t="s">
        <v>3</v>
      </c>
      <c r="B12" s="22">
        <f>MEDIAN(B2:B11)</f>
        <v>82.5</v>
      </c>
      <c r="C12" s="11"/>
    </row>
    <row r="13" spans="1:3" ht="15.75" customHeight="1">
      <c r="A13" s="23" t="s">
        <v>4</v>
      </c>
      <c r="B13" s="24">
        <f>COUNT(B2:B12)</f>
        <v>11</v>
      </c>
      <c r="C13" s="14"/>
    </row>
    <row r="14" spans="1:3" ht="15.75" customHeight="1">
      <c r="A14" s="23" t="s">
        <v>5</v>
      </c>
      <c r="B14" s="22">
        <f>AVERAGE(B2:B11)</f>
        <v>437</v>
      </c>
      <c r="C14" s="15"/>
    </row>
    <row r="15" spans="1:3" ht="15.75" customHeight="1">
      <c r="A15" s="12"/>
      <c r="B15" s="13"/>
    </row>
    <row r="16" spans="1:3" ht="15.75" customHeight="1">
      <c r="A16" s="12"/>
      <c r="B16" s="1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2"/>
  <sheetViews>
    <sheetView workbookViewId="0">
      <selection sqref="A1:XFD1"/>
    </sheetView>
  </sheetViews>
  <sheetFormatPr defaultColWidth="12.6640625" defaultRowHeight="15.75" customHeight="1"/>
  <cols>
    <col min="1" max="1" width="21.44140625" bestFit="1" customWidth="1"/>
    <col min="2" max="2" width="15.77734375" bestFit="1" customWidth="1"/>
    <col min="3" max="3" width="5.21875" bestFit="1" customWidth="1"/>
    <col min="4" max="4" width="16" bestFit="1" customWidth="1"/>
    <col min="5" max="5" width="11.33203125" bestFit="1" customWidth="1"/>
  </cols>
  <sheetData>
    <row r="1" spans="1:5" ht="13.2">
      <c r="A1" t="s">
        <v>6</v>
      </c>
      <c r="B1" t="s">
        <v>7</v>
      </c>
      <c r="C1" s="18"/>
      <c r="D1" s="2"/>
      <c r="E1" s="3"/>
    </row>
    <row r="2" spans="1:5" ht="13.2">
      <c r="A2" t="s">
        <v>8</v>
      </c>
      <c r="B2" s="22">
        <v>2000</v>
      </c>
      <c r="C2" s="19"/>
      <c r="D2" s="4"/>
      <c r="E2" s="7"/>
    </row>
    <row r="3" spans="1:5" ht="13.2">
      <c r="A3" t="s">
        <v>16</v>
      </c>
      <c r="B3" s="22">
        <v>1500</v>
      </c>
      <c r="C3" s="19"/>
      <c r="D3" s="4"/>
      <c r="E3" s="7"/>
    </row>
    <row r="4" spans="1:5" ht="13.2">
      <c r="A4" t="s">
        <v>9</v>
      </c>
      <c r="B4" s="22">
        <v>400</v>
      </c>
      <c r="C4" s="19"/>
      <c r="D4" s="4"/>
      <c r="E4" s="7"/>
    </row>
    <row r="5" spans="1:5" ht="13.2">
      <c r="A5" t="s">
        <v>10</v>
      </c>
      <c r="B5" s="22">
        <v>125</v>
      </c>
      <c r="C5" s="19"/>
      <c r="D5" s="4"/>
      <c r="E5" s="7"/>
    </row>
    <row r="6" spans="1:5" ht="13.2">
      <c r="A6" t="s">
        <v>10</v>
      </c>
      <c r="B6" s="22">
        <v>100</v>
      </c>
      <c r="C6" s="19"/>
      <c r="D6" s="4"/>
      <c r="E6" s="7"/>
    </row>
    <row r="7" spans="1:5" ht="13.2">
      <c r="A7" t="s">
        <v>11</v>
      </c>
      <c r="B7" s="22">
        <v>65</v>
      </c>
      <c r="C7" s="19"/>
      <c r="D7" s="4"/>
      <c r="E7" s="7"/>
    </row>
    <row r="8" spans="1:5" ht="13.2">
      <c r="A8" t="s">
        <v>11</v>
      </c>
      <c r="B8" s="22">
        <v>65</v>
      </c>
      <c r="C8" s="19"/>
      <c r="D8" s="4"/>
      <c r="E8" s="7"/>
    </row>
    <row r="9" spans="1:5" ht="13.2">
      <c r="A9" t="s">
        <v>12</v>
      </c>
      <c r="B9" s="22">
        <v>50</v>
      </c>
      <c r="C9" s="19"/>
      <c r="D9" s="4"/>
      <c r="E9" s="7"/>
    </row>
    <row r="10" spans="1:5" ht="13.2">
      <c r="A10" t="s">
        <v>17</v>
      </c>
      <c r="B10" s="22">
        <v>35</v>
      </c>
      <c r="C10" s="19"/>
      <c r="D10" s="4"/>
      <c r="E10" s="7"/>
    </row>
    <row r="11" spans="1:5" ht="13.2">
      <c r="A11" t="s">
        <v>17</v>
      </c>
      <c r="B11" s="22">
        <v>30</v>
      </c>
      <c r="C11" s="20"/>
      <c r="D11" s="5"/>
      <c r="E11" s="8"/>
    </row>
    <row r="12" spans="1:5" ht="15.75" customHeight="1">
      <c r="A12" s="23" t="s">
        <v>13</v>
      </c>
      <c r="B12" s="22">
        <f>MEDIAN(B2:B11)</f>
        <v>82.5</v>
      </c>
      <c r="C12" s="9"/>
      <c r="D12" s="10"/>
      <c r="E12" s="1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1"/>
  <sheetViews>
    <sheetView showGridLines="0" workbookViewId="0">
      <selection activeCell="F1" sqref="F1:H11"/>
    </sheetView>
  </sheetViews>
  <sheetFormatPr defaultColWidth="12.6640625" defaultRowHeight="15.75" customHeight="1"/>
  <cols>
    <col min="1" max="1" width="20.77734375" bestFit="1" customWidth="1"/>
    <col min="2" max="2" width="7.21875" bestFit="1" customWidth="1"/>
    <col min="3" max="3" width="8.5546875" bestFit="1" customWidth="1"/>
    <col min="4" max="4" width="8" bestFit="1" customWidth="1"/>
    <col min="5" max="5" width="4.88671875" bestFit="1" customWidth="1"/>
    <col min="6" max="6" width="21.44140625" bestFit="1" customWidth="1"/>
    <col min="7" max="7" width="15.77734375" bestFit="1" customWidth="1"/>
  </cols>
  <sheetData>
    <row r="1" spans="1:8" ht="13.2">
      <c r="A1" t="s">
        <v>18</v>
      </c>
      <c r="B1" t="s">
        <v>1</v>
      </c>
      <c r="C1" t="s">
        <v>2</v>
      </c>
      <c r="D1" s="16" t="s">
        <v>14</v>
      </c>
      <c r="E1" s="16"/>
      <c r="F1" s="16" t="s">
        <v>6</v>
      </c>
      <c r="G1" t="s">
        <v>7</v>
      </c>
      <c r="H1" s="21" t="s">
        <v>14</v>
      </c>
    </row>
    <row r="2" spans="1:8" ht="13.2">
      <c r="A2" t="s">
        <v>19</v>
      </c>
      <c r="B2">
        <v>1844</v>
      </c>
      <c r="C2">
        <v>3157</v>
      </c>
      <c r="D2" s="16">
        <v>3.1</v>
      </c>
      <c r="E2" s="16"/>
      <c r="F2" t="s">
        <v>8</v>
      </c>
      <c r="G2">
        <v>2000</v>
      </c>
      <c r="H2" s="21" t="s">
        <v>20</v>
      </c>
    </row>
    <row r="3" spans="1:8" ht="13.2">
      <c r="A3" t="s">
        <v>19</v>
      </c>
      <c r="B3">
        <v>1845</v>
      </c>
      <c r="C3">
        <v>3492</v>
      </c>
      <c r="D3" s="16">
        <f>D2</f>
        <v>3.1</v>
      </c>
      <c r="E3" s="16"/>
      <c r="F3" t="s">
        <v>16</v>
      </c>
      <c r="G3">
        <v>1500</v>
      </c>
      <c r="H3" t="str">
        <f>H2</f>
        <v>3.2 &amp; 3.3</v>
      </c>
    </row>
    <row r="4" spans="1:8" ht="13.2">
      <c r="A4" t="s">
        <v>19</v>
      </c>
      <c r="B4">
        <v>1846</v>
      </c>
      <c r="C4">
        <v>4010</v>
      </c>
      <c r="D4" s="16">
        <f t="shared" ref="D4:D6" si="0">D3</f>
        <v>3.1</v>
      </c>
      <c r="E4" s="16"/>
      <c r="F4" t="s">
        <v>9</v>
      </c>
      <c r="G4">
        <v>400</v>
      </c>
      <c r="H4" t="str">
        <f t="shared" ref="H4:H11" si="1">H3</f>
        <v>3.2 &amp; 3.3</v>
      </c>
    </row>
    <row r="5" spans="1:8" ht="13.2">
      <c r="A5" t="s">
        <v>19</v>
      </c>
      <c r="B5">
        <v>1847</v>
      </c>
      <c r="C5">
        <v>3490</v>
      </c>
      <c r="D5" s="16">
        <f t="shared" si="0"/>
        <v>3.1</v>
      </c>
      <c r="E5" s="16"/>
      <c r="F5" t="s">
        <v>10</v>
      </c>
      <c r="G5">
        <v>125</v>
      </c>
      <c r="H5" t="str">
        <f t="shared" si="1"/>
        <v>3.2 &amp; 3.3</v>
      </c>
    </row>
    <row r="6" spans="1:8" ht="13.2">
      <c r="A6" t="s">
        <v>19</v>
      </c>
      <c r="B6">
        <v>1848</v>
      </c>
      <c r="C6">
        <v>3556</v>
      </c>
      <c r="D6" s="16">
        <f t="shared" si="0"/>
        <v>3.1</v>
      </c>
      <c r="E6" s="16"/>
      <c r="F6" t="s">
        <v>10</v>
      </c>
      <c r="G6">
        <v>100</v>
      </c>
      <c r="H6" t="str">
        <f t="shared" si="1"/>
        <v>3.2 &amp; 3.3</v>
      </c>
    </row>
    <row r="7" spans="1:8" ht="13.2">
      <c r="D7" s="17"/>
      <c r="E7" s="17"/>
      <c r="F7" t="s">
        <v>11</v>
      </c>
      <c r="G7">
        <v>65</v>
      </c>
      <c r="H7" t="str">
        <f t="shared" si="1"/>
        <v>3.2 &amp; 3.3</v>
      </c>
    </row>
    <row r="8" spans="1:8" ht="13.2">
      <c r="D8" s="17"/>
      <c r="E8" s="17"/>
      <c r="F8" t="s">
        <v>11</v>
      </c>
      <c r="G8">
        <v>65</v>
      </c>
      <c r="H8" t="str">
        <f t="shared" si="1"/>
        <v>3.2 &amp; 3.3</v>
      </c>
    </row>
    <row r="9" spans="1:8" ht="13.2">
      <c r="D9" s="17"/>
      <c r="E9" s="17"/>
      <c r="F9" t="s">
        <v>12</v>
      </c>
      <c r="G9">
        <v>50</v>
      </c>
      <c r="H9" t="str">
        <f t="shared" si="1"/>
        <v>3.2 &amp; 3.3</v>
      </c>
    </row>
    <row r="10" spans="1:8" ht="13.2">
      <c r="D10" s="17"/>
      <c r="E10" s="17"/>
      <c r="F10" t="s">
        <v>17</v>
      </c>
      <c r="G10">
        <v>35</v>
      </c>
      <c r="H10" t="str">
        <f t="shared" si="1"/>
        <v>3.2 &amp; 3.3</v>
      </c>
    </row>
    <row r="11" spans="1:8" ht="13.2">
      <c r="D11" s="17"/>
      <c r="E11" s="17"/>
      <c r="F11" t="s">
        <v>17</v>
      </c>
      <c r="G11">
        <v>30</v>
      </c>
      <c r="H11" t="str">
        <f t="shared" si="1"/>
        <v>3.2 &amp; 3.3</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662AE2-C761-4CE4-A5EE-84267AE688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Table 3.1. Mean of births</vt:lpstr>
      <vt:lpstr>Table 3.2. Mean of salaries</vt:lpstr>
      <vt:lpstr>Table 3.3. Median of salaries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2026-05-07T16:28:16Z</dcterms:modified>
</cp:coreProperties>
</file>