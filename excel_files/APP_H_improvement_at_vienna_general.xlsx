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5F523B39-180C-4BDA-B8D7-81532C65640D}" xr6:coauthVersionLast="47" xr6:coauthVersionMax="47" xr10:uidLastSave="{00000000-0000-0000-0000-000000000000}"/>
  <bookViews>
    <workbookView xWindow="6255" yWindow="-14130" windowWidth="21600" windowHeight="11235" xr2:uid="{00000000-000D-0000-FFFF-FFFF00000000}"/>
  </bookViews>
  <sheets>
    <sheet name="Overview" sheetId="1" r:id="rId1"/>
    <sheet name="Fig. H.1. Baseline" sheetId="2" r:id="rId2"/>
    <sheet name="Fig. H.2. First Clinic" sheetId="3" r:id="rId3"/>
    <sheet name="Fig. H.3. Second Clinic" sheetId="4" r:id="rId4"/>
  </sheets>
  <definedNames>
    <definedName name="ExternalData_1" localSheetId="1" hidden="1">'Fig. H.1. Baseline'!$A$1:$D$19</definedName>
    <definedName name="ExternalData_1" localSheetId="2" hidden="1">'Fig. H.2. First Clinic'!$A$1:$D$7</definedName>
    <definedName name="ExternalData_1" localSheetId="3" hidden="1">'Fig. H.3. Second Clinic'!$A$1:$D$7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 l="1"/>
  <c r="I3" i="4"/>
  <c r="I4" i="4"/>
  <c r="I5" i="4"/>
  <c r="I6" i="4"/>
  <c r="I7" i="4"/>
  <c r="H8" i="2"/>
  <c r="H9" i="2"/>
  <c r="H10" i="2"/>
  <c r="H11" i="2"/>
  <c r="H12" i="2"/>
  <c r="H13" i="2"/>
  <c r="H14" i="2"/>
  <c r="H15" i="2"/>
  <c r="H16" i="2"/>
  <c r="H17" i="2"/>
  <c r="H18" i="2"/>
  <c r="H19" i="2"/>
  <c r="E2" i="2"/>
  <c r="E3" i="2"/>
  <c r="E4" i="2"/>
  <c r="E5" i="2"/>
  <c r="E6" i="2"/>
  <c r="E7" i="2"/>
  <c r="E8" i="2"/>
  <c r="E9" i="2"/>
  <c r="E10" i="2"/>
  <c r="E11" i="2"/>
  <c r="E12" i="2"/>
  <c r="E13" i="2"/>
  <c r="E14" i="2"/>
  <c r="E15" i="2"/>
  <c r="E16" i="2"/>
  <c r="E17" i="2"/>
  <c r="E18" i="2"/>
  <c r="E19" i="2"/>
  <c r="H7" i="2"/>
  <c r="H6" i="2"/>
  <c r="H5" i="2"/>
  <c r="H4" i="2"/>
  <c r="H3" i="2"/>
  <c r="H7" i="3"/>
  <c r="E7" i="3"/>
  <c r="H6" i="3"/>
  <c r="E6" i="3"/>
  <c r="H5" i="3"/>
  <c r="E5" i="3"/>
  <c r="H4" i="3"/>
  <c r="E4" i="3"/>
  <c r="H3" i="3"/>
  <c r="E3" i="3"/>
  <c r="E2" i="3"/>
  <c r="H3" i="4"/>
  <c r="H4" i="4"/>
  <c r="H5" i="4"/>
  <c r="H6" i="4"/>
  <c r="H7" i="4"/>
  <c r="E2" i="4"/>
  <c r="E3" i="4"/>
  <c r="E4" i="4"/>
  <c r="E5" i="4"/>
  <c r="E6" i="4"/>
  <c r="E7" i="4"/>
  <c r="I2" i="2" l="1"/>
  <c r="I3" i="2"/>
  <c r="I4" i="2"/>
  <c r="I5" i="2"/>
  <c r="I11" i="2"/>
  <c r="I13" i="2"/>
  <c r="I15" i="2"/>
  <c r="I6" i="2"/>
  <c r="I7" i="2"/>
  <c r="I8" i="2"/>
  <c r="I10" i="2"/>
  <c r="I12" i="2"/>
  <c r="I14" i="2"/>
  <c r="I16" i="2"/>
  <c r="I17" i="2"/>
  <c r="I18" i="2"/>
  <c r="I19" i="2"/>
  <c r="I9" i="2"/>
  <c r="I2" i="3"/>
  <c r="I4" i="3"/>
  <c r="I7" i="3"/>
  <c r="I3" i="3"/>
  <c r="G3" i="3" s="1"/>
  <c r="I5" i="3"/>
  <c r="I6" i="3"/>
  <c r="G2" i="4"/>
  <c r="F2" i="4"/>
  <c r="J2" i="4"/>
  <c r="G3" i="4"/>
  <c r="J3" i="4"/>
  <c r="F3" i="4"/>
  <c r="G4" i="4"/>
  <c r="F4" i="4"/>
  <c r="J4" i="4"/>
  <c r="G5" i="4"/>
  <c r="F5" i="4"/>
  <c r="J5" i="4"/>
  <c r="F6" i="4"/>
  <c r="J6" i="4"/>
  <c r="G6" i="4"/>
  <c r="G7" i="4"/>
  <c r="F7" i="4"/>
  <c r="J7" i="4"/>
  <c r="G16" i="2"/>
  <c r="J16" i="2" l="1"/>
  <c r="F16" i="2"/>
  <c r="J2" i="3"/>
  <c r="G2" i="3"/>
  <c r="F2" i="3"/>
  <c r="J18" i="2"/>
  <c r="F18" i="2"/>
  <c r="G18" i="2"/>
  <c r="J19" i="2"/>
  <c r="G19" i="2"/>
  <c r="F19" i="2"/>
  <c r="G5" i="2"/>
  <c r="J5" i="2"/>
  <c r="F5" i="2"/>
  <c r="G2" i="2"/>
  <c r="F2" i="2"/>
  <c r="J2" i="2"/>
  <c r="G3" i="2"/>
  <c r="F3" i="2"/>
  <c r="J3" i="2"/>
  <c r="G4" i="2"/>
  <c r="F4" i="2"/>
  <c r="J4" i="2"/>
  <c r="G6" i="2"/>
  <c r="F6" i="2"/>
  <c r="J6" i="2"/>
  <c r="G7" i="2"/>
  <c r="F7" i="2"/>
  <c r="J7" i="2"/>
  <c r="J8" i="2"/>
  <c r="F8" i="2"/>
  <c r="G8" i="2"/>
  <c r="J9" i="2"/>
  <c r="F9" i="2"/>
  <c r="G9" i="2"/>
  <c r="J10" i="2"/>
  <c r="F10" i="2"/>
  <c r="G10" i="2"/>
  <c r="J11" i="2"/>
  <c r="F11" i="2"/>
  <c r="G11" i="2"/>
  <c r="J12" i="2"/>
  <c r="F12" i="2"/>
  <c r="G12" i="2"/>
  <c r="J14" i="2"/>
  <c r="F14" i="2"/>
  <c r="G14" i="2"/>
  <c r="J15" i="2"/>
  <c r="F15" i="2"/>
  <c r="G15" i="2"/>
  <c r="J17" i="2"/>
  <c r="F17" i="2"/>
  <c r="G17" i="2"/>
  <c r="J13" i="2"/>
  <c r="F13" i="2"/>
  <c r="G13" i="2"/>
  <c r="J5" i="3"/>
  <c r="G5" i="3"/>
  <c r="F5" i="3"/>
  <c r="J6" i="3"/>
  <c r="G6" i="3"/>
  <c r="F6" i="3"/>
  <c r="J4" i="3"/>
  <c r="G4" i="3"/>
  <c r="F4" i="3"/>
  <c r="J7" i="3"/>
  <c r="G7" i="3"/>
  <c r="F7" i="3"/>
  <c r="J3" i="3"/>
  <c r="F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8DBB54-A94C-40F1-9B38-847DA731B372}" keepAlive="1" name="Query - improvement-death-to-birth-rates" description="Connection to the 'improvement-death-to-birth-rates' query in the workbook." type="5" refreshedVersion="8" background="1" saveData="1">
    <dbPr connection="Provider=Microsoft.Mashup.OleDb.1;Data Source=$Workbook$;Location=improvement-death-to-birth-rates;Extended Properties=&quot;&quot;" command="SELECT * FROM [improvement-death-to-birth-rates]"/>
  </connection>
  <connection id="2" xr16:uid="{70806337-0662-4A87-AA4B-9342A20FC28C}" keepAlive="1" name="Query - improvement-death-to-birth-rates (2)" description="Connection to the 'improvement-death-to-birth-rates (2)' query in the workbook." type="5" refreshedVersion="8" background="1" saveData="1">
    <dbPr connection="Provider=Microsoft.Mashup.OleDb.1;Data Source=$Workbook$;Location=&quot;improvement-death-to-birth-rates (2)&quot;;Extended Properties=&quot;&quot;" command="SELECT * FROM [improvement-death-to-birth-rates (2)]"/>
  </connection>
  <connection id="3" xr16:uid="{E33373FD-2744-48B1-84F2-F8716462BDCA}" keepAlive="1" name="Query - improvement-death-to-birth-rates (3)" description="Connection to the 'improvement-death-to-birth-rates (3)' query in the workbook." type="5" refreshedVersion="8" background="1" saveData="1">
    <dbPr connection="Provider=Microsoft.Mashup.OleDb.1;Data Source=$Workbook$;Location=&quot;improvement-death-to-birth-rates (3)&quot;;Extended Properties=&quot;&quot;" command="SELECT * FROM [improvement-death-to-birth-rates (3)]"/>
  </connection>
</connections>
</file>

<file path=xl/sharedStrings.xml><?xml version="1.0" encoding="utf-8"?>
<sst xmlns="http://schemas.openxmlformats.org/spreadsheetml/2006/main" count="132" uniqueCount="50">
  <si>
    <t>Appendix H. Improvement at Vienna General Calculations</t>
  </si>
  <si>
    <t>Stage</t>
  </si>
  <si>
    <t>Year</t>
  </si>
  <si>
    <t>Rate</t>
  </si>
  <si>
    <t>Mean</t>
  </si>
  <si>
    <t>UPL</t>
  </si>
  <si>
    <t>LPL</t>
  </si>
  <si>
    <t>mR</t>
  </si>
  <si>
    <t>Ave. mR</t>
  </si>
  <si>
    <t>URL</t>
  </si>
  <si>
    <t>After pathological anatomy</t>
  </si>
  <si>
    <t>1823</t>
  </si>
  <si>
    <t>1824</t>
  </si>
  <si>
    <t>1825</t>
  </si>
  <si>
    <t>1826</t>
  </si>
  <si>
    <t>1827</t>
  </si>
  <si>
    <t>1828</t>
  </si>
  <si>
    <t>1829</t>
  </si>
  <si>
    <t>1830</t>
  </si>
  <si>
    <t>1831</t>
  </si>
  <si>
    <t>1832</t>
  </si>
  <si>
    <t>1833</t>
  </si>
  <si>
    <t>1834</t>
  </si>
  <si>
    <t>1835</t>
  </si>
  <si>
    <t>1836</t>
  </si>
  <si>
    <t>1837</t>
  </si>
  <si>
    <t>1838</t>
  </si>
  <si>
    <t>1839</t>
  </si>
  <si>
    <t>1840</t>
  </si>
  <si>
    <t>Only first clinic</t>
  </si>
  <si>
    <t>1841</t>
  </si>
  <si>
    <t>1842</t>
  </si>
  <si>
    <t>1843</t>
  </si>
  <si>
    <t>1844</t>
  </si>
  <si>
    <t>1845</t>
  </si>
  <si>
    <t>1846</t>
  </si>
  <si>
    <t>Only second clinic</t>
  </si>
  <si>
    <t>Hospital</t>
  </si>
  <si>
    <t>Vienna General Hospital</t>
  </si>
  <si>
    <t>Link to book:</t>
  </si>
  <si>
    <t>https://www.brokenquality.com/book</t>
  </si>
  <si>
    <t>Link to GitHub:</t>
  </si>
  <si>
    <t>https://github.com/jimlehner/virus-of-variation-book</t>
  </si>
  <si>
    <t>Contact:</t>
  </si>
  <si>
    <t>James.Lehner@gmail.com</t>
  </si>
  <si>
    <t>QualityIsBroken@gmail.com</t>
  </si>
  <si>
    <t>Raw GitHub Data URLs:</t>
  </si>
  <si>
    <r>
      <rPr>
        <sz val="12"/>
        <color rgb="FF000000"/>
        <rFont val="Montserrat"/>
      </rPr>
      <t>This file serves as a resource building the figures in Appendix H of in The Virus of Variation using Mircosoft Excel or Google Sheets.
The figures included here are:
Figure H.1. XmR chart of death-to-birth rates during baseline, 1823 to 1840
Figure H.2. XmR chart of death-to-birth rates in first clinic (only male students)
Figure H.3. XmR chart of death-to-birth rates in second clinc (only female students)
Each figure has its own tab. The data used in the figures can be found in the Data tab.
For additional details, see Appendix H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in Appendix H,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</si>
  <si>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Fig H.1, H.2, H.3</t>
  </si>
  <si>
    <t>https://raw.githubusercontent.com/jimlehner/virus-of-variation-book/refs/heads/main/data/improvement-death-to-birth-rates.csv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</si>
</sst>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Arial"/>
      <family val="2"/>
    </font>
    <font>
      <b/>
      <sz val="16"/>
      <color rgb="FFD72323"/>
      <name val="Montserrat"/>
    </font>
    <font>
      <sz val="10"/>
      <name val="Arial"/>
      <family val="2"/>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5" fillId="0" borderId="0" applyNumberFormat="0" applyFill="0" applyBorder="0" applyAlignment="0" applyProtection="0"/>
    <xf numFmtId="0" fontId="6" fillId="0" borderId="0"/>
  </cellStyleXfs>
  <cellXfs count="36">
    <xf numFmtId="0" fontId="0" fillId="0" borderId="0" xfId="0"/>
    <xf numFmtId="0" fontId="1" fillId="0" borderId="0" xfId="0" applyFont="1"/>
    <xf numFmtId="0" fontId="1" fillId="0" borderId="0" xfId="0" applyFont="1" applyAlignment="1">
      <alignment horizontal="right"/>
    </xf>
    <xf numFmtId="0" fontId="4" fillId="0" borderId="0" xfId="0" applyFont="1"/>
    <xf numFmtId="0" fontId="7" fillId="0" borderId="6" xfId="0" applyFont="1" applyBorder="1" applyAlignment="1">
      <alignment wrapText="1"/>
    </xf>
    <xf numFmtId="0" fontId="1" fillId="0" borderId="0" xfId="0" applyFont="1" applyAlignment="1">
      <alignment horizontal="left"/>
    </xf>
    <xf numFmtId="0" fontId="6" fillId="0" borderId="0" xfId="0" applyFont="1"/>
    <xf numFmtId="0" fontId="2" fillId="0" borderId="9" xfId="0" applyFont="1" applyBorder="1" applyAlignment="1">
      <alignment horizontal="center"/>
    </xf>
    <xf numFmtId="0" fontId="3" fillId="0" borderId="10" xfId="0" applyFont="1" applyBorder="1"/>
    <xf numFmtId="0" fontId="3" fillId="0" borderId="11" xfId="0" applyFont="1" applyBorder="1"/>
    <xf numFmtId="0" fontId="8"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7" fillId="0" borderId="1" xfId="0" applyFont="1" applyBorder="1" applyAlignment="1">
      <alignment horizontal="center" wrapText="1"/>
    </xf>
    <xf numFmtId="0" fontId="7" fillId="0" borderId="2" xfId="0" applyFont="1" applyBorder="1" applyAlignment="1">
      <alignment horizontal="center" wrapText="1"/>
    </xf>
    <xf numFmtId="0" fontId="7" fillId="0" borderId="3" xfId="0" applyFont="1" applyBorder="1" applyAlignment="1">
      <alignment horizontal="center" wrapText="1"/>
    </xf>
    <xf numFmtId="0" fontId="5" fillId="0" borderId="4" xfId="1" applyBorder="1" applyAlignment="1">
      <alignment horizontal="center"/>
    </xf>
    <xf numFmtId="0" fontId="5" fillId="0" borderId="0" xfId="1" applyBorder="1" applyAlignment="1">
      <alignment horizontal="center"/>
    </xf>
    <xf numFmtId="0" fontId="5" fillId="0" borderId="5" xfId="1" applyBorder="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5" fillId="0" borderId="6" xfId="1" applyBorder="1" applyAlignment="1">
      <alignment horizontal="center"/>
    </xf>
    <xf numFmtId="0" fontId="5" fillId="0" borderId="7" xfId="1" applyBorder="1" applyAlignment="1">
      <alignment horizontal="center"/>
    </xf>
    <xf numFmtId="0" fontId="5" fillId="0" borderId="8" xfId="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cellXfs>
  <cellStyles count="3">
    <cellStyle name="Hyperlink" xfId="1" builtinId="8"/>
    <cellStyle name="Normal" xfId="0" builtinId="0"/>
    <cellStyle name="Normal 2" xfId="2" xr:uid="{219D416C-EEC9-4E8C-93B0-EC3F931DC293}"/>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85A1FCF2-024C-47EA-B665-79B80C432B07}">
      <tableStyleElement type="wholeTable" dxfId="25"/>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H.1. Baseline'!$D$1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H.1. Baseline'!$C$2:$C$19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H.1. Baseline'!$D$2:$D$19</c:f>
              <c:numCache>
                <c:formatCode>General</c:formatCode>
                <c:ptCount val="18"/>
                <c:pt idx="0">
                  <c:v>7.5</c:v>
                </c:pt>
                <c:pt idx="1">
                  <c:v>4.9000000000000004</c:v>
                </c:pt>
                <c:pt idx="2">
                  <c:v>8.8000000000000007</c:v>
                </c:pt>
                <c:pt idx="3">
                  <c:v>8.1</c:v>
                </c:pt>
                <c:pt idx="4">
                  <c:v>2.2000000000000002</c:v>
                </c:pt>
                <c:pt idx="5">
                  <c:v>3.6</c:v>
                </c:pt>
                <c:pt idx="6">
                  <c:v>4.5999999999999996</c:v>
                </c:pt>
                <c:pt idx="7">
                  <c:v>4</c:v>
                </c:pt>
                <c:pt idx="8">
                  <c:v>6.6</c:v>
                </c:pt>
                <c:pt idx="9">
                  <c:v>3.2</c:v>
                </c:pt>
                <c:pt idx="10">
                  <c:v>5.3</c:v>
                </c:pt>
                <c:pt idx="11">
                  <c:v>7.7</c:v>
                </c:pt>
                <c:pt idx="12">
                  <c:v>5.6</c:v>
                </c:pt>
                <c:pt idx="13">
                  <c:v>7.5</c:v>
                </c:pt>
                <c:pt idx="14">
                  <c:v>9.1</c:v>
                </c:pt>
                <c:pt idx="15">
                  <c:v>3</c:v>
                </c:pt>
                <c:pt idx="16">
                  <c:v>5.4</c:v>
                </c:pt>
                <c:pt idx="17">
                  <c:v>9.1999999999999993</c:v>
                </c:pt>
              </c:numCache>
            </c:numRef>
          </c:val>
          <c:smooth val="0"/>
          <c:extLst>
            <c:ext xmlns:c16="http://schemas.microsoft.com/office/drawing/2014/chart" uri="{C3380CC4-5D6E-409C-BE32-E72D297353CC}">
              <c16:uniqueId val="{00000000-329B-41D6-8340-43856FD2F6C5}"/>
            </c:ext>
          </c:extLst>
        </c:ser>
        <c:ser>
          <c:idx val="1"/>
          <c:order val="1"/>
          <c:tx>
            <c:strRef>
              <c:f>'Fig. H.1. Baseline'!$E$1</c:f>
              <c:strCache>
                <c:ptCount val="1"/>
                <c:pt idx="0">
                  <c:v>Mean</c:v>
                </c:pt>
              </c:strCache>
            </c:strRef>
          </c:tx>
          <c:spPr>
            <a:ln w="28575" cap="rnd">
              <a:solidFill>
                <a:schemeClr val="tx1"/>
              </a:solidFill>
              <a:round/>
            </a:ln>
            <a:effectLst/>
          </c:spPr>
          <c:marker>
            <c:symbol val="none"/>
          </c:marker>
          <c:cat>
            <c:strRef>
              <c:f>'Fig. H.1. Baseline'!$C$2:$C$19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H.1. Baseline'!$E$2:$E$19</c:f>
              <c:numCache>
                <c:formatCode>General</c:formatCode>
                <c:ptCount val="18"/>
                <c:pt idx="0">
                  <c:v>5.91</c:v>
                </c:pt>
                <c:pt idx="1">
                  <c:v>5.91</c:v>
                </c:pt>
                <c:pt idx="2">
                  <c:v>5.91</c:v>
                </c:pt>
                <c:pt idx="3">
                  <c:v>5.91</c:v>
                </c:pt>
                <c:pt idx="4">
                  <c:v>5.91</c:v>
                </c:pt>
                <c:pt idx="5">
                  <c:v>5.91</c:v>
                </c:pt>
                <c:pt idx="6">
                  <c:v>5.91</c:v>
                </c:pt>
                <c:pt idx="7">
                  <c:v>5.91</c:v>
                </c:pt>
                <c:pt idx="8">
                  <c:v>5.91</c:v>
                </c:pt>
                <c:pt idx="9">
                  <c:v>5.91</c:v>
                </c:pt>
                <c:pt idx="10">
                  <c:v>5.91</c:v>
                </c:pt>
                <c:pt idx="11">
                  <c:v>5.91</c:v>
                </c:pt>
                <c:pt idx="12">
                  <c:v>5.91</c:v>
                </c:pt>
                <c:pt idx="13">
                  <c:v>5.91</c:v>
                </c:pt>
                <c:pt idx="14">
                  <c:v>5.91</c:v>
                </c:pt>
                <c:pt idx="15">
                  <c:v>5.91</c:v>
                </c:pt>
                <c:pt idx="16">
                  <c:v>5.91</c:v>
                </c:pt>
                <c:pt idx="17">
                  <c:v>5.91</c:v>
                </c:pt>
              </c:numCache>
            </c:numRef>
          </c:val>
          <c:smooth val="0"/>
          <c:extLst>
            <c:ext xmlns:c16="http://schemas.microsoft.com/office/drawing/2014/chart" uri="{C3380CC4-5D6E-409C-BE32-E72D297353CC}">
              <c16:uniqueId val="{00000001-329B-41D6-8340-43856FD2F6C5}"/>
            </c:ext>
          </c:extLst>
        </c:ser>
        <c:ser>
          <c:idx val="2"/>
          <c:order val="2"/>
          <c:tx>
            <c:strRef>
              <c:f>'Fig. H.1. Baseline'!$F$1</c:f>
              <c:strCache>
                <c:ptCount val="1"/>
                <c:pt idx="0">
                  <c:v>UPL</c:v>
                </c:pt>
              </c:strCache>
            </c:strRef>
          </c:tx>
          <c:spPr>
            <a:ln w="28575" cap="rnd">
              <a:solidFill>
                <a:srgbClr val="D72323"/>
              </a:solidFill>
              <a:prstDash val="dash"/>
              <a:round/>
            </a:ln>
            <a:effectLst/>
          </c:spPr>
          <c:marker>
            <c:symbol val="none"/>
          </c:marker>
          <c:cat>
            <c:strRef>
              <c:f>'Fig. H.1. Baseline'!$C$2:$C$19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H.1. Baseline'!$F$2:$F$19</c:f>
              <c:numCache>
                <c:formatCode>General</c:formatCode>
                <c:ptCount val="18"/>
                <c:pt idx="0">
                  <c:v>12.88</c:v>
                </c:pt>
                <c:pt idx="1">
                  <c:v>12.88</c:v>
                </c:pt>
                <c:pt idx="2">
                  <c:v>12.88</c:v>
                </c:pt>
                <c:pt idx="3">
                  <c:v>12.88</c:v>
                </c:pt>
                <c:pt idx="4">
                  <c:v>12.88</c:v>
                </c:pt>
                <c:pt idx="5">
                  <c:v>12.88</c:v>
                </c:pt>
                <c:pt idx="6">
                  <c:v>12.88</c:v>
                </c:pt>
                <c:pt idx="7">
                  <c:v>12.88</c:v>
                </c:pt>
                <c:pt idx="8">
                  <c:v>12.88</c:v>
                </c:pt>
                <c:pt idx="9">
                  <c:v>12.88</c:v>
                </c:pt>
                <c:pt idx="10">
                  <c:v>12.88</c:v>
                </c:pt>
                <c:pt idx="11">
                  <c:v>12.88</c:v>
                </c:pt>
                <c:pt idx="12">
                  <c:v>12.88</c:v>
                </c:pt>
                <c:pt idx="13">
                  <c:v>12.88</c:v>
                </c:pt>
                <c:pt idx="14">
                  <c:v>12.88</c:v>
                </c:pt>
                <c:pt idx="15">
                  <c:v>12.88</c:v>
                </c:pt>
                <c:pt idx="16">
                  <c:v>12.88</c:v>
                </c:pt>
                <c:pt idx="17">
                  <c:v>12.88</c:v>
                </c:pt>
              </c:numCache>
            </c:numRef>
          </c:val>
          <c:smooth val="0"/>
          <c:extLst>
            <c:ext xmlns:c16="http://schemas.microsoft.com/office/drawing/2014/chart" uri="{C3380CC4-5D6E-409C-BE32-E72D297353CC}">
              <c16:uniqueId val="{00000002-329B-41D6-8340-43856FD2F6C5}"/>
            </c:ext>
          </c:extLst>
        </c:ser>
        <c:ser>
          <c:idx val="3"/>
          <c:order val="3"/>
          <c:tx>
            <c:strRef>
              <c:f>'Fig. H.1. Baseline'!$G$1</c:f>
              <c:strCache>
                <c:ptCount val="1"/>
                <c:pt idx="0">
                  <c:v>LPL</c:v>
                </c:pt>
              </c:strCache>
            </c:strRef>
          </c:tx>
          <c:spPr>
            <a:ln w="28575" cap="rnd">
              <a:solidFill>
                <a:srgbClr val="D72323"/>
              </a:solidFill>
              <a:prstDash val="dash"/>
              <a:round/>
            </a:ln>
            <a:effectLst/>
          </c:spPr>
          <c:marker>
            <c:symbol val="none"/>
          </c:marker>
          <c:cat>
            <c:strRef>
              <c:f>'Fig. H.1. Baseline'!$C$2:$C$19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H.1. Baseline'!$G$2:$G$19</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H.1. Baseline'!$H$1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H.1. Baseline'!$H$2:$H$19</c:f>
              <c:numCache>
                <c:formatCode>General</c:formatCode>
                <c:ptCount val="18"/>
                <c:pt idx="1">
                  <c:v>2.5999999999999996</c:v>
                </c:pt>
                <c:pt idx="2">
                  <c:v>3.9000000000000004</c:v>
                </c:pt>
                <c:pt idx="3">
                  <c:v>0.70000000000000107</c:v>
                </c:pt>
                <c:pt idx="4">
                  <c:v>5.8999999999999995</c:v>
                </c:pt>
                <c:pt idx="5">
                  <c:v>1.4</c:v>
                </c:pt>
                <c:pt idx="6">
                  <c:v>0.99999999999999956</c:v>
                </c:pt>
                <c:pt idx="7">
                  <c:v>0.59999999999999964</c:v>
                </c:pt>
                <c:pt idx="8">
                  <c:v>2.5999999999999996</c:v>
                </c:pt>
                <c:pt idx="9">
                  <c:v>3.3999999999999995</c:v>
                </c:pt>
                <c:pt idx="10">
                  <c:v>2.0999999999999996</c:v>
                </c:pt>
                <c:pt idx="11">
                  <c:v>2.4000000000000004</c:v>
                </c:pt>
                <c:pt idx="12">
                  <c:v>2.1000000000000005</c:v>
                </c:pt>
                <c:pt idx="13">
                  <c:v>1.9000000000000004</c:v>
                </c:pt>
                <c:pt idx="14">
                  <c:v>1.5999999999999996</c:v>
                </c:pt>
                <c:pt idx="15">
                  <c:v>6.1</c:v>
                </c:pt>
                <c:pt idx="16">
                  <c:v>2.4000000000000004</c:v>
                </c:pt>
                <c:pt idx="17">
                  <c:v>3.7999999999999989</c:v>
                </c:pt>
              </c:numCache>
            </c:numRef>
          </c:val>
          <c:smooth val="0"/>
          <c:extLst>
            <c:ext xmlns:c16="http://schemas.microsoft.com/office/drawing/2014/chart" uri="{C3380CC4-5D6E-409C-BE32-E72D297353CC}">
              <c16:uniqueId val="{00000000-5D18-47FA-93F7-2AB89D044415}"/>
            </c:ext>
          </c:extLst>
        </c:ser>
        <c:ser>
          <c:idx val="1"/>
          <c:order val="1"/>
          <c:tx>
            <c:strRef>
              <c:f>'Fig. H.1. Baseline'!$I$1</c:f>
              <c:strCache>
                <c:ptCount val="1"/>
                <c:pt idx="0">
                  <c:v>Ave. mR</c:v>
                </c:pt>
              </c:strCache>
            </c:strRef>
          </c:tx>
          <c:spPr>
            <a:ln w="28575" cap="rnd">
              <a:solidFill>
                <a:schemeClr val="tx1"/>
              </a:solidFill>
              <a:round/>
            </a:ln>
            <a:effectLst/>
          </c:spPr>
          <c:marker>
            <c:symbol val="none"/>
          </c:marker>
          <c:val>
            <c:numRef>
              <c:f>'Fig. H.1. Baseline'!$I$2:$I$19</c:f>
              <c:numCache>
                <c:formatCode>General</c:formatCode>
                <c:ptCount val="18"/>
                <c:pt idx="0">
                  <c:v>2.62</c:v>
                </c:pt>
                <c:pt idx="1">
                  <c:v>2.62</c:v>
                </c:pt>
                <c:pt idx="2">
                  <c:v>2.62</c:v>
                </c:pt>
                <c:pt idx="3">
                  <c:v>2.62</c:v>
                </c:pt>
                <c:pt idx="4">
                  <c:v>2.62</c:v>
                </c:pt>
                <c:pt idx="5">
                  <c:v>2.62</c:v>
                </c:pt>
                <c:pt idx="6">
                  <c:v>2.62</c:v>
                </c:pt>
                <c:pt idx="7">
                  <c:v>2.62</c:v>
                </c:pt>
                <c:pt idx="8">
                  <c:v>2.62</c:v>
                </c:pt>
                <c:pt idx="9">
                  <c:v>2.62</c:v>
                </c:pt>
                <c:pt idx="10">
                  <c:v>2.62</c:v>
                </c:pt>
                <c:pt idx="11">
                  <c:v>2.62</c:v>
                </c:pt>
                <c:pt idx="12">
                  <c:v>2.62</c:v>
                </c:pt>
                <c:pt idx="13">
                  <c:v>2.62</c:v>
                </c:pt>
                <c:pt idx="14">
                  <c:v>2.62</c:v>
                </c:pt>
                <c:pt idx="15">
                  <c:v>2.62</c:v>
                </c:pt>
                <c:pt idx="16">
                  <c:v>2.62</c:v>
                </c:pt>
                <c:pt idx="17">
                  <c:v>2.62</c:v>
                </c:pt>
              </c:numCache>
            </c:numRef>
          </c:val>
          <c:smooth val="0"/>
          <c:extLst>
            <c:ext xmlns:c16="http://schemas.microsoft.com/office/drawing/2014/chart" uri="{C3380CC4-5D6E-409C-BE32-E72D297353CC}">
              <c16:uniqueId val="{00000001-5D18-47FA-93F7-2AB89D044415}"/>
            </c:ext>
          </c:extLst>
        </c:ser>
        <c:ser>
          <c:idx val="2"/>
          <c:order val="2"/>
          <c:tx>
            <c:strRef>
              <c:f>'Fig. H.1. Baseline'!$J$1</c:f>
              <c:strCache>
                <c:ptCount val="1"/>
                <c:pt idx="0">
                  <c:v>URL</c:v>
                </c:pt>
              </c:strCache>
            </c:strRef>
          </c:tx>
          <c:spPr>
            <a:ln w="28575" cap="rnd">
              <a:solidFill>
                <a:srgbClr val="D72323"/>
              </a:solidFill>
              <a:prstDash val="dash"/>
              <a:round/>
            </a:ln>
            <a:effectLst/>
          </c:spPr>
          <c:marker>
            <c:symbol val="none"/>
          </c:marker>
          <c:val>
            <c:numRef>
              <c:f>'Fig. H.1. Baseline'!$J$2:$J$19</c:f>
              <c:numCache>
                <c:formatCode>General</c:formatCode>
                <c:ptCount val="18"/>
                <c:pt idx="0">
                  <c:v>8.56</c:v>
                </c:pt>
                <c:pt idx="1">
                  <c:v>8.56</c:v>
                </c:pt>
                <c:pt idx="2">
                  <c:v>8.56</c:v>
                </c:pt>
                <c:pt idx="3">
                  <c:v>8.56</c:v>
                </c:pt>
                <c:pt idx="4">
                  <c:v>8.56</c:v>
                </c:pt>
                <c:pt idx="5">
                  <c:v>8.56</c:v>
                </c:pt>
                <c:pt idx="6">
                  <c:v>8.56</c:v>
                </c:pt>
                <c:pt idx="7">
                  <c:v>8.56</c:v>
                </c:pt>
                <c:pt idx="8">
                  <c:v>8.56</c:v>
                </c:pt>
                <c:pt idx="9">
                  <c:v>8.56</c:v>
                </c:pt>
                <c:pt idx="10">
                  <c:v>8.56</c:v>
                </c:pt>
                <c:pt idx="11">
                  <c:v>8.56</c:v>
                </c:pt>
                <c:pt idx="12">
                  <c:v>8.56</c:v>
                </c:pt>
                <c:pt idx="13">
                  <c:v>8.56</c:v>
                </c:pt>
                <c:pt idx="14">
                  <c:v>8.56</c:v>
                </c:pt>
                <c:pt idx="15">
                  <c:v>8.56</c:v>
                </c:pt>
                <c:pt idx="16">
                  <c:v>8.56</c:v>
                </c:pt>
                <c:pt idx="17">
                  <c:v>8.56</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H.2. First Clinic'!$H$1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H.2. First Clinic'!$H$2:$H$7</c:f>
              <c:numCache>
                <c:formatCode>General</c:formatCode>
                <c:ptCount val="6"/>
                <c:pt idx="1">
                  <c:v>8</c:v>
                </c:pt>
                <c:pt idx="2">
                  <c:v>6.8000000000000007</c:v>
                </c:pt>
                <c:pt idx="3">
                  <c:v>0.80000000000000071</c:v>
                </c:pt>
                <c:pt idx="4">
                  <c:v>1.2999999999999989</c:v>
                </c:pt>
                <c:pt idx="5">
                  <c:v>4.5</c:v>
                </c:pt>
              </c:numCache>
            </c:numRef>
          </c:val>
          <c:smooth val="0"/>
          <c:extLst>
            <c:ext xmlns:c16="http://schemas.microsoft.com/office/drawing/2014/chart" uri="{C3380CC4-5D6E-409C-BE32-E72D297353CC}">
              <c16:uniqueId val="{00000000-5D18-47FA-93F7-2AB89D044415}"/>
            </c:ext>
          </c:extLst>
        </c:ser>
        <c:ser>
          <c:idx val="1"/>
          <c:order val="1"/>
          <c:tx>
            <c:strRef>
              <c:f>'Fig. H.2. First Clinic'!$I$1</c:f>
              <c:strCache>
                <c:ptCount val="1"/>
                <c:pt idx="0">
                  <c:v>Ave. mR</c:v>
                </c:pt>
              </c:strCache>
            </c:strRef>
          </c:tx>
          <c:spPr>
            <a:ln w="28575" cap="rnd">
              <a:solidFill>
                <a:schemeClr val="tx1"/>
              </a:solidFill>
              <a:round/>
            </a:ln>
            <a:effectLst/>
          </c:spPr>
          <c:marker>
            <c:symbol val="none"/>
          </c:marker>
          <c:val>
            <c:numRef>
              <c:f>'Fig. H.2. First Clinic'!$I$2:$I$7</c:f>
              <c:numCache>
                <c:formatCode>General</c:formatCode>
                <c:ptCount val="6"/>
                <c:pt idx="0">
                  <c:v>4.28</c:v>
                </c:pt>
                <c:pt idx="1">
                  <c:v>4.28</c:v>
                </c:pt>
                <c:pt idx="2">
                  <c:v>4.28</c:v>
                </c:pt>
                <c:pt idx="3">
                  <c:v>4.28</c:v>
                </c:pt>
                <c:pt idx="4">
                  <c:v>4.28</c:v>
                </c:pt>
                <c:pt idx="5">
                  <c:v>4.28</c:v>
                </c:pt>
              </c:numCache>
            </c:numRef>
          </c:val>
          <c:smooth val="0"/>
          <c:extLst>
            <c:ext xmlns:c16="http://schemas.microsoft.com/office/drawing/2014/chart" uri="{C3380CC4-5D6E-409C-BE32-E72D297353CC}">
              <c16:uniqueId val="{00000001-5D18-47FA-93F7-2AB89D044415}"/>
            </c:ext>
          </c:extLst>
        </c:ser>
        <c:ser>
          <c:idx val="2"/>
          <c:order val="2"/>
          <c:tx>
            <c:strRef>
              <c:f>'Fig. H.2. First Clinic'!$J$1</c:f>
              <c:strCache>
                <c:ptCount val="1"/>
                <c:pt idx="0">
                  <c:v>URL</c:v>
                </c:pt>
              </c:strCache>
            </c:strRef>
          </c:tx>
          <c:spPr>
            <a:ln w="28575" cap="rnd">
              <a:solidFill>
                <a:srgbClr val="D72323"/>
              </a:solidFill>
              <a:prstDash val="dash"/>
              <a:round/>
            </a:ln>
            <a:effectLst/>
          </c:spPr>
          <c:marker>
            <c:symbol val="none"/>
          </c:marker>
          <c:val>
            <c:numRef>
              <c:f>'Fig. H.2. First Clinic'!$J$2:$J$7</c:f>
              <c:numCache>
                <c:formatCode>General</c:formatCode>
                <c:ptCount val="6"/>
                <c:pt idx="0">
                  <c:v>13.99</c:v>
                </c:pt>
                <c:pt idx="1">
                  <c:v>13.99</c:v>
                </c:pt>
                <c:pt idx="2">
                  <c:v>13.99</c:v>
                </c:pt>
                <c:pt idx="3">
                  <c:v>13.99</c:v>
                </c:pt>
                <c:pt idx="4">
                  <c:v>13.99</c:v>
                </c:pt>
                <c:pt idx="5">
                  <c:v>13.99</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H.2. First Clinic'!$D$1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H.2. First Clinic'!$C$2:$C$7</c:f>
              <c:strCache>
                <c:ptCount val="6"/>
                <c:pt idx="0">
                  <c:v>1841</c:v>
                </c:pt>
                <c:pt idx="1">
                  <c:v>1842</c:v>
                </c:pt>
                <c:pt idx="2">
                  <c:v>1843</c:v>
                </c:pt>
                <c:pt idx="3">
                  <c:v>1844</c:v>
                </c:pt>
                <c:pt idx="4">
                  <c:v>1845</c:v>
                </c:pt>
                <c:pt idx="5">
                  <c:v>1846</c:v>
                </c:pt>
              </c:strCache>
            </c:strRef>
          </c:cat>
          <c:val>
            <c:numRef>
              <c:f>'Fig. H.2. First Clinic'!$D$2:$D$7</c:f>
              <c:numCache>
                <c:formatCode>General</c:formatCode>
                <c:ptCount val="6"/>
                <c:pt idx="0">
                  <c:v>7.8</c:v>
                </c:pt>
                <c:pt idx="1">
                  <c:v>15.8</c:v>
                </c:pt>
                <c:pt idx="2">
                  <c:v>9</c:v>
                </c:pt>
                <c:pt idx="3">
                  <c:v>8.1999999999999993</c:v>
                </c:pt>
                <c:pt idx="4">
                  <c:v>6.9</c:v>
                </c:pt>
                <c:pt idx="5">
                  <c:v>11.4</c:v>
                </c:pt>
              </c:numCache>
            </c:numRef>
          </c:val>
          <c:smooth val="0"/>
          <c:extLst>
            <c:ext xmlns:c16="http://schemas.microsoft.com/office/drawing/2014/chart" uri="{C3380CC4-5D6E-409C-BE32-E72D297353CC}">
              <c16:uniqueId val="{00000000-329B-41D6-8340-43856FD2F6C5}"/>
            </c:ext>
          </c:extLst>
        </c:ser>
        <c:ser>
          <c:idx val="1"/>
          <c:order val="1"/>
          <c:tx>
            <c:strRef>
              <c:f>'Fig. H.2. First Clinic'!$E$1</c:f>
              <c:strCache>
                <c:ptCount val="1"/>
                <c:pt idx="0">
                  <c:v>Mean</c:v>
                </c:pt>
              </c:strCache>
            </c:strRef>
          </c:tx>
          <c:spPr>
            <a:ln w="28575" cap="rnd">
              <a:solidFill>
                <a:schemeClr val="tx1"/>
              </a:solidFill>
              <a:round/>
            </a:ln>
            <a:effectLst/>
          </c:spPr>
          <c:marker>
            <c:symbol val="none"/>
          </c:marker>
          <c:cat>
            <c:strRef>
              <c:f>'Fig. H.2. First Clinic'!$C$2:$C$7</c:f>
              <c:strCache>
                <c:ptCount val="6"/>
                <c:pt idx="0">
                  <c:v>1841</c:v>
                </c:pt>
                <c:pt idx="1">
                  <c:v>1842</c:v>
                </c:pt>
                <c:pt idx="2">
                  <c:v>1843</c:v>
                </c:pt>
                <c:pt idx="3">
                  <c:v>1844</c:v>
                </c:pt>
                <c:pt idx="4">
                  <c:v>1845</c:v>
                </c:pt>
                <c:pt idx="5">
                  <c:v>1846</c:v>
                </c:pt>
              </c:strCache>
            </c:strRef>
          </c:cat>
          <c:val>
            <c:numRef>
              <c:f>'Fig. H.2. First Clinic'!$E$2:$E$7</c:f>
              <c:numCache>
                <c:formatCode>General</c:formatCode>
                <c:ptCount val="6"/>
                <c:pt idx="0">
                  <c:v>9.85</c:v>
                </c:pt>
                <c:pt idx="1">
                  <c:v>9.85</c:v>
                </c:pt>
                <c:pt idx="2">
                  <c:v>9.85</c:v>
                </c:pt>
                <c:pt idx="3">
                  <c:v>9.85</c:v>
                </c:pt>
                <c:pt idx="4">
                  <c:v>9.85</c:v>
                </c:pt>
                <c:pt idx="5">
                  <c:v>9.85</c:v>
                </c:pt>
              </c:numCache>
            </c:numRef>
          </c:val>
          <c:smooth val="0"/>
          <c:extLst>
            <c:ext xmlns:c16="http://schemas.microsoft.com/office/drawing/2014/chart" uri="{C3380CC4-5D6E-409C-BE32-E72D297353CC}">
              <c16:uniqueId val="{00000001-329B-41D6-8340-43856FD2F6C5}"/>
            </c:ext>
          </c:extLst>
        </c:ser>
        <c:ser>
          <c:idx val="2"/>
          <c:order val="2"/>
          <c:tx>
            <c:strRef>
              <c:f>'Fig. H.2. First Clinic'!$F$1</c:f>
              <c:strCache>
                <c:ptCount val="1"/>
                <c:pt idx="0">
                  <c:v>UPL</c:v>
                </c:pt>
              </c:strCache>
            </c:strRef>
          </c:tx>
          <c:spPr>
            <a:ln w="28575" cap="rnd">
              <a:solidFill>
                <a:srgbClr val="D72323"/>
              </a:solidFill>
              <a:prstDash val="dash"/>
              <a:round/>
            </a:ln>
            <a:effectLst/>
          </c:spPr>
          <c:marker>
            <c:symbol val="none"/>
          </c:marker>
          <c:cat>
            <c:strRef>
              <c:f>'Fig. H.2. First Clinic'!$C$2:$C$7</c:f>
              <c:strCache>
                <c:ptCount val="6"/>
                <c:pt idx="0">
                  <c:v>1841</c:v>
                </c:pt>
                <c:pt idx="1">
                  <c:v>1842</c:v>
                </c:pt>
                <c:pt idx="2">
                  <c:v>1843</c:v>
                </c:pt>
                <c:pt idx="3">
                  <c:v>1844</c:v>
                </c:pt>
                <c:pt idx="4">
                  <c:v>1845</c:v>
                </c:pt>
                <c:pt idx="5">
                  <c:v>1846</c:v>
                </c:pt>
              </c:strCache>
            </c:strRef>
          </c:cat>
          <c:val>
            <c:numRef>
              <c:f>'Fig. H.2. First Clinic'!$F$2:$F$7</c:f>
              <c:numCache>
                <c:formatCode>General</c:formatCode>
                <c:ptCount val="6"/>
                <c:pt idx="0">
                  <c:v>21.23</c:v>
                </c:pt>
                <c:pt idx="1">
                  <c:v>21.23</c:v>
                </c:pt>
                <c:pt idx="2">
                  <c:v>21.23</c:v>
                </c:pt>
                <c:pt idx="3">
                  <c:v>21.23</c:v>
                </c:pt>
                <c:pt idx="4">
                  <c:v>21.23</c:v>
                </c:pt>
                <c:pt idx="5">
                  <c:v>21.23</c:v>
                </c:pt>
              </c:numCache>
            </c:numRef>
          </c:val>
          <c:smooth val="0"/>
          <c:extLst>
            <c:ext xmlns:c16="http://schemas.microsoft.com/office/drawing/2014/chart" uri="{C3380CC4-5D6E-409C-BE32-E72D297353CC}">
              <c16:uniqueId val="{00000002-329B-41D6-8340-43856FD2F6C5}"/>
            </c:ext>
          </c:extLst>
        </c:ser>
        <c:ser>
          <c:idx val="3"/>
          <c:order val="3"/>
          <c:tx>
            <c:strRef>
              <c:f>'Fig. H.2. First Clinic'!$G$1</c:f>
              <c:strCache>
                <c:ptCount val="1"/>
                <c:pt idx="0">
                  <c:v>LPL</c:v>
                </c:pt>
              </c:strCache>
            </c:strRef>
          </c:tx>
          <c:spPr>
            <a:ln w="28575" cap="rnd">
              <a:solidFill>
                <a:srgbClr val="D72323"/>
              </a:solidFill>
              <a:prstDash val="dash"/>
              <a:round/>
            </a:ln>
            <a:effectLst/>
          </c:spPr>
          <c:marker>
            <c:symbol val="none"/>
          </c:marker>
          <c:cat>
            <c:strRef>
              <c:f>'Fig. H.2. First Clinic'!$C$2:$C$7</c:f>
              <c:strCache>
                <c:ptCount val="6"/>
                <c:pt idx="0">
                  <c:v>1841</c:v>
                </c:pt>
                <c:pt idx="1">
                  <c:v>1842</c:v>
                </c:pt>
                <c:pt idx="2">
                  <c:v>1843</c:v>
                </c:pt>
                <c:pt idx="3">
                  <c:v>1844</c:v>
                </c:pt>
                <c:pt idx="4">
                  <c:v>1845</c:v>
                </c:pt>
                <c:pt idx="5">
                  <c:v>1846</c:v>
                </c:pt>
              </c:strCache>
            </c:strRef>
          </c:cat>
          <c:val>
            <c:numRef>
              <c:f>'Fig. H.2. First Clinic'!$G$2:$G$7</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H.3. Second Clinic'!$D$1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H.3. Second Clinic'!$C$2:$C$7</c:f>
              <c:strCache>
                <c:ptCount val="6"/>
                <c:pt idx="0">
                  <c:v>1841</c:v>
                </c:pt>
                <c:pt idx="1">
                  <c:v>1842</c:v>
                </c:pt>
                <c:pt idx="2">
                  <c:v>1843</c:v>
                </c:pt>
                <c:pt idx="3">
                  <c:v>1844</c:v>
                </c:pt>
                <c:pt idx="4">
                  <c:v>1845</c:v>
                </c:pt>
                <c:pt idx="5">
                  <c:v>1846</c:v>
                </c:pt>
              </c:strCache>
            </c:strRef>
          </c:cat>
          <c:val>
            <c:numRef>
              <c:f>'Fig. H.3. Second Clinic'!$D$2:$D$7</c:f>
              <c:numCache>
                <c:formatCode>General</c:formatCode>
                <c:ptCount val="6"/>
                <c:pt idx="0">
                  <c:v>3.5</c:v>
                </c:pt>
                <c:pt idx="1">
                  <c:v>7.5</c:v>
                </c:pt>
                <c:pt idx="2">
                  <c:v>5.9</c:v>
                </c:pt>
                <c:pt idx="3">
                  <c:v>2.2999999999999998</c:v>
                </c:pt>
                <c:pt idx="4">
                  <c:v>2.0299999999999998</c:v>
                </c:pt>
                <c:pt idx="5">
                  <c:v>2.7</c:v>
                </c:pt>
              </c:numCache>
            </c:numRef>
          </c:val>
          <c:smooth val="0"/>
          <c:extLst>
            <c:ext xmlns:c16="http://schemas.microsoft.com/office/drawing/2014/chart" uri="{C3380CC4-5D6E-409C-BE32-E72D297353CC}">
              <c16:uniqueId val="{00000000-329B-41D6-8340-43856FD2F6C5}"/>
            </c:ext>
          </c:extLst>
        </c:ser>
        <c:ser>
          <c:idx val="1"/>
          <c:order val="1"/>
          <c:tx>
            <c:strRef>
              <c:f>'Fig. H.3. Second Clinic'!$E$1</c:f>
              <c:strCache>
                <c:ptCount val="1"/>
                <c:pt idx="0">
                  <c:v>Mean</c:v>
                </c:pt>
              </c:strCache>
            </c:strRef>
          </c:tx>
          <c:spPr>
            <a:ln w="28575" cap="rnd">
              <a:solidFill>
                <a:schemeClr val="tx1"/>
              </a:solidFill>
              <a:round/>
            </a:ln>
            <a:effectLst/>
          </c:spPr>
          <c:marker>
            <c:symbol val="none"/>
          </c:marker>
          <c:cat>
            <c:strRef>
              <c:f>'Fig. H.3. Second Clinic'!$C$2:$C$7</c:f>
              <c:strCache>
                <c:ptCount val="6"/>
                <c:pt idx="0">
                  <c:v>1841</c:v>
                </c:pt>
                <c:pt idx="1">
                  <c:v>1842</c:v>
                </c:pt>
                <c:pt idx="2">
                  <c:v>1843</c:v>
                </c:pt>
                <c:pt idx="3">
                  <c:v>1844</c:v>
                </c:pt>
                <c:pt idx="4">
                  <c:v>1845</c:v>
                </c:pt>
                <c:pt idx="5">
                  <c:v>1846</c:v>
                </c:pt>
              </c:strCache>
            </c:strRef>
          </c:cat>
          <c:val>
            <c:numRef>
              <c:f>'Fig. H.3. Second Clinic'!$E$2:$E$7</c:f>
              <c:numCache>
                <c:formatCode>General</c:formatCode>
                <c:ptCount val="6"/>
                <c:pt idx="0">
                  <c:v>3.99</c:v>
                </c:pt>
                <c:pt idx="1">
                  <c:v>3.99</c:v>
                </c:pt>
                <c:pt idx="2">
                  <c:v>3.99</c:v>
                </c:pt>
                <c:pt idx="3">
                  <c:v>3.99</c:v>
                </c:pt>
                <c:pt idx="4">
                  <c:v>3.99</c:v>
                </c:pt>
                <c:pt idx="5">
                  <c:v>3.99</c:v>
                </c:pt>
              </c:numCache>
            </c:numRef>
          </c:val>
          <c:smooth val="0"/>
          <c:extLst>
            <c:ext xmlns:c16="http://schemas.microsoft.com/office/drawing/2014/chart" uri="{C3380CC4-5D6E-409C-BE32-E72D297353CC}">
              <c16:uniqueId val="{00000001-329B-41D6-8340-43856FD2F6C5}"/>
            </c:ext>
          </c:extLst>
        </c:ser>
        <c:ser>
          <c:idx val="2"/>
          <c:order val="2"/>
          <c:tx>
            <c:strRef>
              <c:f>'Fig. H.3. Second Clinic'!$F$1</c:f>
              <c:strCache>
                <c:ptCount val="1"/>
                <c:pt idx="0">
                  <c:v>UPL</c:v>
                </c:pt>
              </c:strCache>
            </c:strRef>
          </c:tx>
          <c:spPr>
            <a:ln w="28575" cap="rnd">
              <a:solidFill>
                <a:srgbClr val="D72323"/>
              </a:solidFill>
              <a:prstDash val="dash"/>
              <a:round/>
            </a:ln>
            <a:effectLst/>
          </c:spPr>
          <c:marker>
            <c:symbol val="none"/>
          </c:marker>
          <c:cat>
            <c:strRef>
              <c:f>'Fig. H.3. Second Clinic'!$C$2:$C$7</c:f>
              <c:strCache>
                <c:ptCount val="6"/>
                <c:pt idx="0">
                  <c:v>1841</c:v>
                </c:pt>
                <c:pt idx="1">
                  <c:v>1842</c:v>
                </c:pt>
                <c:pt idx="2">
                  <c:v>1843</c:v>
                </c:pt>
                <c:pt idx="3">
                  <c:v>1844</c:v>
                </c:pt>
                <c:pt idx="4">
                  <c:v>1845</c:v>
                </c:pt>
                <c:pt idx="5">
                  <c:v>1846</c:v>
                </c:pt>
              </c:strCache>
            </c:strRef>
          </c:cat>
          <c:val>
            <c:numRef>
              <c:f>'Fig. H.3. Second Clinic'!$F$2:$F$7</c:f>
              <c:numCache>
                <c:formatCode>General</c:formatCode>
                <c:ptCount val="6"/>
                <c:pt idx="0">
                  <c:v>9.39</c:v>
                </c:pt>
                <c:pt idx="1">
                  <c:v>9.39</c:v>
                </c:pt>
                <c:pt idx="2">
                  <c:v>9.39</c:v>
                </c:pt>
                <c:pt idx="3">
                  <c:v>9.39</c:v>
                </c:pt>
                <c:pt idx="4">
                  <c:v>9.39</c:v>
                </c:pt>
                <c:pt idx="5">
                  <c:v>9.39</c:v>
                </c:pt>
              </c:numCache>
            </c:numRef>
          </c:val>
          <c:smooth val="0"/>
          <c:extLst>
            <c:ext xmlns:c16="http://schemas.microsoft.com/office/drawing/2014/chart" uri="{C3380CC4-5D6E-409C-BE32-E72D297353CC}">
              <c16:uniqueId val="{00000002-329B-41D6-8340-43856FD2F6C5}"/>
            </c:ext>
          </c:extLst>
        </c:ser>
        <c:ser>
          <c:idx val="3"/>
          <c:order val="3"/>
          <c:tx>
            <c:strRef>
              <c:f>'Fig. H.3. Second Clinic'!$G$1</c:f>
              <c:strCache>
                <c:ptCount val="1"/>
                <c:pt idx="0">
                  <c:v>LPL</c:v>
                </c:pt>
              </c:strCache>
            </c:strRef>
          </c:tx>
          <c:spPr>
            <a:ln w="28575" cap="rnd">
              <a:solidFill>
                <a:srgbClr val="D72323"/>
              </a:solidFill>
              <a:prstDash val="dash"/>
              <a:round/>
            </a:ln>
            <a:effectLst/>
          </c:spPr>
          <c:marker>
            <c:symbol val="none"/>
          </c:marker>
          <c:cat>
            <c:strRef>
              <c:f>'Fig. H.3. Second Clinic'!$C$2:$C$7</c:f>
              <c:strCache>
                <c:ptCount val="6"/>
                <c:pt idx="0">
                  <c:v>1841</c:v>
                </c:pt>
                <c:pt idx="1">
                  <c:v>1842</c:v>
                </c:pt>
                <c:pt idx="2">
                  <c:v>1843</c:v>
                </c:pt>
                <c:pt idx="3">
                  <c:v>1844</c:v>
                </c:pt>
                <c:pt idx="4">
                  <c:v>1845</c:v>
                </c:pt>
                <c:pt idx="5">
                  <c:v>1846</c:v>
                </c:pt>
              </c:strCache>
            </c:strRef>
          </c:cat>
          <c:val>
            <c:numRef>
              <c:f>'Fig. H.3. Second Clinic'!$G$2:$G$7</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H.3. Second Clinic'!$H$1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H.3. Second Clinic'!$H$2:$H$7</c:f>
              <c:numCache>
                <c:formatCode>General</c:formatCode>
                <c:ptCount val="6"/>
                <c:pt idx="1">
                  <c:v>4</c:v>
                </c:pt>
                <c:pt idx="2">
                  <c:v>1.5999999999999996</c:v>
                </c:pt>
                <c:pt idx="3">
                  <c:v>3.6000000000000005</c:v>
                </c:pt>
                <c:pt idx="4">
                  <c:v>0.27</c:v>
                </c:pt>
                <c:pt idx="5">
                  <c:v>0.67000000000000037</c:v>
                </c:pt>
              </c:numCache>
            </c:numRef>
          </c:val>
          <c:smooth val="0"/>
          <c:extLst>
            <c:ext xmlns:c16="http://schemas.microsoft.com/office/drawing/2014/chart" uri="{C3380CC4-5D6E-409C-BE32-E72D297353CC}">
              <c16:uniqueId val="{00000000-5D18-47FA-93F7-2AB89D044415}"/>
            </c:ext>
          </c:extLst>
        </c:ser>
        <c:ser>
          <c:idx val="1"/>
          <c:order val="1"/>
          <c:tx>
            <c:strRef>
              <c:f>'Fig. H.3. Second Clinic'!$I$1</c:f>
              <c:strCache>
                <c:ptCount val="1"/>
                <c:pt idx="0">
                  <c:v>Ave. mR</c:v>
                </c:pt>
              </c:strCache>
            </c:strRef>
          </c:tx>
          <c:spPr>
            <a:ln w="28575" cap="rnd">
              <a:solidFill>
                <a:schemeClr val="tx1"/>
              </a:solidFill>
              <a:round/>
            </a:ln>
            <a:effectLst/>
          </c:spPr>
          <c:marker>
            <c:symbol val="none"/>
          </c:marker>
          <c:val>
            <c:numRef>
              <c:f>'Fig. H.3. Second Clinic'!$I$2:$I$7</c:f>
              <c:numCache>
                <c:formatCode>General</c:formatCode>
                <c:ptCount val="6"/>
                <c:pt idx="0">
                  <c:v>2.0299999999999998</c:v>
                </c:pt>
                <c:pt idx="1">
                  <c:v>2.0299999999999998</c:v>
                </c:pt>
                <c:pt idx="2">
                  <c:v>2.0299999999999998</c:v>
                </c:pt>
                <c:pt idx="3">
                  <c:v>2.0299999999999998</c:v>
                </c:pt>
                <c:pt idx="4">
                  <c:v>2.0299999999999998</c:v>
                </c:pt>
                <c:pt idx="5">
                  <c:v>2.0299999999999998</c:v>
                </c:pt>
              </c:numCache>
            </c:numRef>
          </c:val>
          <c:smooth val="0"/>
          <c:extLst>
            <c:ext xmlns:c16="http://schemas.microsoft.com/office/drawing/2014/chart" uri="{C3380CC4-5D6E-409C-BE32-E72D297353CC}">
              <c16:uniqueId val="{00000001-5D18-47FA-93F7-2AB89D044415}"/>
            </c:ext>
          </c:extLst>
        </c:ser>
        <c:ser>
          <c:idx val="2"/>
          <c:order val="2"/>
          <c:tx>
            <c:strRef>
              <c:f>'Fig. H.3. Second Clinic'!$J$1</c:f>
              <c:strCache>
                <c:ptCount val="1"/>
                <c:pt idx="0">
                  <c:v>URL</c:v>
                </c:pt>
              </c:strCache>
            </c:strRef>
          </c:tx>
          <c:spPr>
            <a:ln w="28575" cap="rnd">
              <a:solidFill>
                <a:srgbClr val="D72323"/>
              </a:solidFill>
              <a:prstDash val="dash"/>
              <a:round/>
            </a:ln>
            <a:effectLst/>
          </c:spPr>
          <c:marker>
            <c:symbol val="none"/>
          </c:marker>
          <c:val>
            <c:numRef>
              <c:f>'Fig. H.3. Second Clinic'!$J$2:$J$7</c:f>
              <c:numCache>
                <c:formatCode>General</c:formatCode>
                <c:ptCount val="6"/>
                <c:pt idx="0">
                  <c:v>6.63</c:v>
                </c:pt>
                <c:pt idx="1">
                  <c:v>6.63</c:v>
                </c:pt>
                <c:pt idx="2">
                  <c:v>6.63</c:v>
                </c:pt>
                <c:pt idx="3">
                  <c:v>6.63</c:v>
                </c:pt>
                <c:pt idx="4">
                  <c:v>6.63</c:v>
                </c:pt>
                <c:pt idx="5">
                  <c:v>6.63</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54610</xdr:rowOff>
    </xdr:to>
    <xdr:pic>
      <xdr:nvPicPr>
        <xdr:cNvPr id="3" name="image1.jpg">
          <a:extLst>
            <a:ext uri="{FF2B5EF4-FFF2-40B4-BE49-F238E27FC236}">
              <a16:creationId xmlns:a16="http://schemas.microsoft.com/office/drawing/2014/main" id="{433DA81A-D7CB-4D5C-826E-B4EA60328F9F}"/>
            </a:ext>
          </a:extLst>
        </xdr:cNvPr>
        <xdr:cNvPicPr preferRelativeResize="0"/>
      </xdr:nvPicPr>
      <xdr:blipFill>
        <a:blip xmlns:r="http://schemas.openxmlformats.org/officeDocument/2006/relationships" r:embed="rId1" cstate="print"/>
        <a:stretch>
          <a:fillRect/>
        </a:stretch>
      </xdr:blipFill>
      <xdr:spPr>
        <a:xfrm>
          <a:off x="6257925" y="200025"/>
          <a:ext cx="2642023" cy="40551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xdr:row>
      <xdr:rowOff>0</xdr:rowOff>
    </xdr:from>
    <xdr:to>
      <xdr:col>18</xdr:col>
      <xdr:colOff>0</xdr:colOff>
      <xdr:row>16</xdr:row>
      <xdr:rowOff>0</xdr:rowOff>
    </xdr:to>
    <xdr:graphicFrame macro="">
      <xdr:nvGraphicFramePr>
        <xdr:cNvPr id="2" name="Chart 1">
          <a:extLst>
            <a:ext uri="{FF2B5EF4-FFF2-40B4-BE49-F238E27FC236}">
              <a16:creationId xmlns:a16="http://schemas.microsoft.com/office/drawing/2014/main" id="{CBC69075-7ACC-B600-85C8-7621E2FE1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864869</xdr:colOff>
      <xdr:row>16</xdr:row>
      <xdr:rowOff>0</xdr:rowOff>
    </xdr:from>
    <xdr:to>
      <xdr:col>17</xdr:col>
      <xdr:colOff>864869</xdr:colOff>
      <xdr:row>30</xdr:row>
      <xdr:rowOff>0</xdr:rowOff>
    </xdr:to>
    <xdr:graphicFrame macro="">
      <xdr:nvGraphicFramePr>
        <xdr:cNvPr id="3" name="Chart 2">
          <a:extLst>
            <a:ext uri="{FF2B5EF4-FFF2-40B4-BE49-F238E27FC236}">
              <a16:creationId xmlns:a16="http://schemas.microsoft.com/office/drawing/2014/main" id="{F879BEEF-101E-3770-A08E-26DA178F2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14</xdr:row>
      <xdr:rowOff>0</xdr:rowOff>
    </xdr:from>
    <xdr:to>
      <xdr:col>18</xdr:col>
      <xdr:colOff>0</xdr:colOff>
      <xdr:row>26</xdr:row>
      <xdr:rowOff>0</xdr:rowOff>
    </xdr:to>
    <xdr:graphicFrame macro="">
      <xdr:nvGraphicFramePr>
        <xdr:cNvPr id="3" name="Chart 2">
          <a:extLst>
            <a:ext uri="{FF2B5EF4-FFF2-40B4-BE49-F238E27FC236}">
              <a16:creationId xmlns:a16="http://schemas.microsoft.com/office/drawing/2014/main" id="{2966D4AA-BCE0-3829-84E7-9E3366A52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xdr:row>
      <xdr:rowOff>0</xdr:rowOff>
    </xdr:from>
    <xdr:to>
      <xdr:col>18</xdr:col>
      <xdr:colOff>0</xdr:colOff>
      <xdr:row>14</xdr:row>
      <xdr:rowOff>0</xdr:rowOff>
    </xdr:to>
    <xdr:graphicFrame macro="">
      <xdr:nvGraphicFramePr>
        <xdr:cNvPr id="4" name="Chart 3">
          <a:extLst>
            <a:ext uri="{FF2B5EF4-FFF2-40B4-BE49-F238E27FC236}">
              <a16:creationId xmlns:a16="http://schemas.microsoft.com/office/drawing/2014/main" id="{82358AFD-4E8A-E4FA-2DA5-FEC007FE5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866774</xdr:colOff>
      <xdr:row>1</xdr:row>
      <xdr:rowOff>0</xdr:rowOff>
    </xdr:from>
    <xdr:to>
      <xdr:col>17</xdr:col>
      <xdr:colOff>866774</xdr:colOff>
      <xdr:row>14</xdr:row>
      <xdr:rowOff>0</xdr:rowOff>
    </xdr:to>
    <xdr:graphicFrame macro="">
      <xdr:nvGraphicFramePr>
        <xdr:cNvPr id="4" name="Chart 3">
          <a:extLst>
            <a:ext uri="{FF2B5EF4-FFF2-40B4-BE49-F238E27FC236}">
              <a16:creationId xmlns:a16="http://schemas.microsoft.com/office/drawing/2014/main" id="{C204498E-2314-952A-D91C-C7F17F556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0</xdr:rowOff>
    </xdr:from>
    <xdr:to>
      <xdr:col>17</xdr:col>
      <xdr:colOff>861059</xdr:colOff>
      <xdr:row>26</xdr:row>
      <xdr:rowOff>0</xdr:rowOff>
    </xdr:to>
    <xdr:graphicFrame macro="">
      <xdr:nvGraphicFramePr>
        <xdr:cNvPr id="5" name="Chart 4">
          <a:extLst>
            <a:ext uri="{FF2B5EF4-FFF2-40B4-BE49-F238E27FC236}">
              <a16:creationId xmlns:a16="http://schemas.microsoft.com/office/drawing/2014/main" id="{12B6FC28-A32F-39D6-0605-129BEBD81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204CB6C-485A-4FD7-A7A9-083575305AC7}"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F8516EA-BA3B-4F0A-A76D-3464BFFC5B24}"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6CA85A7A-7B04-4D23-BBFE-FBE7872B6A0C}"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0C22DA-9E76-4B77-BBE7-932C33C081EA}" name="improvement_death_to_birth_rates__3" displayName="improvement_death_to_birth_rates__3" ref="A1:J19" tableType="queryTable" totalsRowShown="0">
  <autoFilter ref="A1:J19" xr:uid="{860C22DA-9E76-4B77-BBE7-932C33C081EA}"/>
  <tableColumns count="10">
    <tableColumn id="1" xr3:uid="{B8EFEA8F-D3DE-4657-9454-4022F927BEEF}" uniqueName="1" name="Hospital" queryTableFieldId="1" dataDxfId="21"/>
    <tableColumn id="2" xr3:uid="{269AF061-8256-4CC3-B439-39B74397F76A}" uniqueName="2" name="Stage" queryTableFieldId="2" dataDxfId="20"/>
    <tableColumn id="3" xr3:uid="{6975029E-E480-478F-90FE-83FD688C84DF}" uniqueName="3" name="Year" queryTableFieldId="3" dataDxfId="19"/>
    <tableColumn id="4" xr3:uid="{9D3A4784-AFA0-4120-9836-A4263F1AF5A8}" uniqueName="4" name="Rate" queryTableFieldId="4"/>
    <tableColumn id="5" xr3:uid="{E4ADB17B-28F3-400A-93DE-C49873A559F1}" uniqueName="5" name="Mean" queryTableFieldId="5" dataDxfId="18">
      <calculatedColumnFormula>ROUND(AVERAGE($D$2:$D$19),2)</calculatedColumnFormula>
    </tableColumn>
    <tableColumn id="6" xr3:uid="{5AD7CA00-5566-45D4-9A59-5163F6D9950D}" uniqueName="6" name="UPL" queryTableFieldId="6" dataDxfId="17">
      <calculatedColumnFormula>ROUND(E2+(2.66*I2),2)</calculatedColumnFormula>
    </tableColumn>
    <tableColumn id="7" xr3:uid="{47182EBB-5B1A-41F5-B882-EB7FED4C0D16}" uniqueName="7" name="LPL" queryTableFieldId="7" dataDxfId="16">
      <calculatedColumnFormula>ROUND(MAX(0,E2-(2.66*I2)),2)</calculatedColumnFormula>
    </tableColumn>
    <tableColumn id="8" xr3:uid="{1828784B-97B8-4580-AA23-5B2E7F59ABCD}" uniqueName="8" name="mR" queryTableFieldId="8" dataDxfId="15"/>
    <tableColumn id="9" xr3:uid="{8F1882B5-E4CE-4B76-98DD-73CF5FDB46CB}" uniqueName="9" name="Ave. mR" queryTableFieldId="9" dataDxfId="14">
      <calculatedColumnFormula>ROUND(AVERAGE($H$3:$H$19),2)</calculatedColumnFormula>
    </tableColumn>
    <tableColumn id="10" xr3:uid="{721FF439-D57D-4B47-A172-519AB91F772F}" uniqueName="10" name="URL" queryTableFieldId="10" dataDxfId="13">
      <calculatedColumnFormula>ROUND(3.268*I2,2)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5526C3-A677-4892-B59F-E4AABD21044F}" name="improvement_death_to_birth_rates__2" displayName="improvement_death_to_birth_rates__2" ref="A1:J7" tableType="queryTable" totalsRowShown="0">
  <autoFilter ref="A1:J7" xr:uid="{B45526C3-A677-4892-B59F-E4AABD21044F}"/>
  <tableColumns count="10">
    <tableColumn id="1" xr3:uid="{E98CBA0E-9F9C-412A-B6E6-625772B20835}" uniqueName="1" name="Hospital" queryTableFieldId="1" dataDxfId="12"/>
    <tableColumn id="2" xr3:uid="{A8B17D12-2325-4978-849E-D878EF500BE1}" uniqueName="2" name="Stage" queryTableFieldId="2" dataDxfId="11"/>
    <tableColumn id="3" xr3:uid="{09CCE701-E112-4530-863F-D7334BBD364E}" uniqueName="3" name="Year" queryTableFieldId="3" dataDxfId="10"/>
    <tableColumn id="4" xr3:uid="{3086D8A6-2AF9-4B63-AC39-4B1134B0C8A2}" uniqueName="4" name="Rate" queryTableFieldId="4"/>
    <tableColumn id="5" xr3:uid="{3BAE6280-92E7-4A4E-A1F6-03A1E8DA0797}" uniqueName="5" name="Mean" queryTableFieldId="5">
      <calculatedColumnFormula>ROUND(AVERAGE($D$2:$D$7),2)</calculatedColumnFormula>
    </tableColumn>
    <tableColumn id="6" xr3:uid="{F455C0C1-779E-4CEB-88EF-E52652E28072}" uniqueName="6" name="UPL" queryTableFieldId="6">
      <calculatedColumnFormula>ROUND(E2+(2.66*I2),2)</calculatedColumnFormula>
    </tableColumn>
    <tableColumn id="7" xr3:uid="{49A7F71B-C80E-4000-9BB4-5E432FD96751}" uniqueName="7" name="LPL" queryTableFieldId="7">
      <calculatedColumnFormula>ROUND(MAX(0,E2-(2.66*I2)),2)</calculatedColumnFormula>
    </tableColumn>
    <tableColumn id="8" xr3:uid="{F65B386B-1928-4D5C-9E0E-CC9347E4F5B6}" uniqueName="8" name="mR" queryTableFieldId="8"/>
    <tableColumn id="9" xr3:uid="{BAC4B12E-9A06-4E67-AE42-C774CF7FE0B2}" uniqueName="9" name="Ave. mR" queryTableFieldId="9" dataDxfId="9">
      <calculatedColumnFormula>ROUND(AVERAGE($H$3:$H$7),2)</calculatedColumnFormula>
    </tableColumn>
    <tableColumn id="10" xr3:uid="{99A5B5F7-E344-41EB-9F02-001F38ACA85C}" uniqueName="10" name="URL" queryTableFieldId="10">
      <calculatedColumnFormula>ROUND(3.268*I2,2)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3CEC65-1B9D-42F4-98A7-A62A0A5AFC14}" name="improvement_death_to_birth_rates" displayName="improvement_death_to_birth_rates" ref="A1:J7" tableType="queryTable" totalsRowShown="0">
  <autoFilter ref="A1:J7" xr:uid="{B43CEC65-1B9D-42F4-98A7-A62A0A5AFC14}"/>
  <tableColumns count="10">
    <tableColumn id="1" xr3:uid="{AB6D7713-8062-4940-A6E1-D1798318C2C7}" uniqueName="1" name="Hospital" queryTableFieldId="1" dataDxfId="8"/>
    <tableColumn id="2" xr3:uid="{54944735-60FB-4423-AFF4-73B75442DC3E}" uniqueName="2" name="Stage" queryTableFieldId="2" dataDxfId="7"/>
    <tableColumn id="3" xr3:uid="{AD2F91F1-0C63-4C57-9158-7C8E0330B2EA}" uniqueName="3" name="Year" queryTableFieldId="3" dataDxfId="6"/>
    <tableColumn id="4" xr3:uid="{E952B16F-E992-4DA1-BE98-906807C9B4BB}" uniqueName="4" name="Rate" queryTableFieldId="4"/>
    <tableColumn id="5" xr3:uid="{5D10EE21-8766-40A8-A5AD-AD425DDAC918}" uniqueName="5" name="Mean" queryTableFieldId="5" dataDxfId="5">
      <calculatedColumnFormula>ROUND(AVERAGE($D$2:$D$7),2)</calculatedColumnFormula>
    </tableColumn>
    <tableColumn id="6" xr3:uid="{00242C24-ABFF-46A8-BD0F-06E914FB2CE4}" uniqueName="6" name="UPL" queryTableFieldId="6" dataDxfId="4">
      <calculatedColumnFormula>ROUND(E2+(2.66*I2),2)</calculatedColumnFormula>
    </tableColumn>
    <tableColumn id="7" xr3:uid="{2DEFBC48-B4CC-4C3D-8746-52F03767FE42}" uniqueName="7" name="LPL" queryTableFieldId="7" dataDxfId="3">
      <calculatedColumnFormula>ROUND(MAX(0,E2-(2.66*I2)),2)</calculatedColumnFormula>
    </tableColumn>
    <tableColumn id="8" xr3:uid="{1A40CFBB-DC2E-412E-B2A6-A9ACE9DCBB70}" uniqueName="8" name="mR" queryTableFieldId="8" dataDxfId="2">
      <calculatedColumnFormula>ABS(D1-D2)</calculatedColumnFormula>
    </tableColumn>
    <tableColumn id="9" xr3:uid="{943CF757-B2B8-416E-8AFA-E30FD31ADCD8}" uniqueName="9" name="Ave. mR" queryTableFieldId="9" dataDxfId="1">
      <calculatedColumnFormula>ROUND(AVERAGE($H$3:$H$7),2)</calculatedColumnFormula>
    </tableColumn>
    <tableColumn id="10" xr3:uid="{D6259D26-A09A-40D7-B0D3-9A0493A11063}" uniqueName="10" name="URL" queryTableFieldId="10" dataDxfId="0">
      <calculatedColumnFormula>ROUND(3.268*I2,2)</calculatedColumnFormula>
    </tableColumn>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8"/>
  <sheetViews>
    <sheetView showGridLines="0" tabSelected="1" workbookViewId="0">
      <selection activeCell="B1" sqref="B1:H1"/>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7" t="s">
        <v>0</v>
      </c>
      <c r="C1" s="8"/>
      <c r="D1" s="8"/>
      <c r="E1" s="8"/>
      <c r="F1" s="8"/>
      <c r="G1" s="8"/>
      <c r="H1" s="9"/>
    </row>
    <row r="2" spans="1:10" ht="15.75" customHeight="1" x14ac:dyDescent="0.25">
      <c r="A2" s="1"/>
      <c r="B2" s="10" t="s">
        <v>47</v>
      </c>
      <c r="C2" s="11"/>
      <c r="D2" s="11"/>
      <c r="E2" s="11"/>
      <c r="F2" s="11"/>
      <c r="G2" s="11"/>
      <c r="H2" s="12"/>
      <c r="J2" s="3"/>
    </row>
    <row r="3" spans="1:10" ht="15.75" customHeight="1" x14ac:dyDescent="0.25">
      <c r="A3" s="1"/>
      <c r="B3" s="13"/>
      <c r="C3" s="14"/>
      <c r="D3" s="14"/>
      <c r="E3" s="14"/>
      <c r="F3" s="14"/>
      <c r="G3" s="14"/>
      <c r="H3" s="15"/>
    </row>
    <row r="4" spans="1:10" ht="15.75" customHeight="1" x14ac:dyDescent="0.25">
      <c r="A4" s="1"/>
      <c r="B4" s="13"/>
      <c r="C4" s="14"/>
      <c r="D4" s="14"/>
      <c r="E4" s="14"/>
      <c r="F4" s="14"/>
      <c r="G4" s="14"/>
      <c r="H4" s="15"/>
    </row>
    <row r="5" spans="1:10" ht="15.75" customHeight="1" x14ac:dyDescent="0.25">
      <c r="A5" s="1"/>
      <c r="B5" s="13"/>
      <c r="C5" s="14"/>
      <c r="D5" s="14"/>
      <c r="E5" s="14"/>
      <c r="F5" s="14"/>
      <c r="G5" s="14"/>
      <c r="H5" s="15"/>
    </row>
    <row r="6" spans="1:10" ht="15.75" customHeight="1" x14ac:dyDescent="0.25">
      <c r="A6" s="1"/>
      <c r="B6" s="13"/>
      <c r="C6" s="14"/>
      <c r="D6" s="14"/>
      <c r="E6" s="14"/>
      <c r="F6" s="14"/>
      <c r="G6" s="14"/>
      <c r="H6" s="15"/>
    </row>
    <row r="7" spans="1:10" ht="15.75" customHeight="1" x14ac:dyDescent="0.25">
      <c r="A7" s="1"/>
      <c r="B7" s="13"/>
      <c r="C7" s="14"/>
      <c r="D7" s="14"/>
      <c r="E7" s="14"/>
      <c r="F7" s="14"/>
      <c r="G7" s="14"/>
      <c r="H7" s="15"/>
    </row>
    <row r="8" spans="1:10" ht="15.75" customHeight="1" x14ac:dyDescent="0.25">
      <c r="A8" s="1"/>
      <c r="B8" s="13"/>
      <c r="C8" s="14"/>
      <c r="D8" s="14"/>
      <c r="E8" s="14"/>
      <c r="F8" s="14"/>
      <c r="G8" s="14"/>
      <c r="H8" s="15"/>
    </row>
    <row r="9" spans="1:10" ht="15.75" customHeight="1" x14ac:dyDescent="0.25">
      <c r="A9" s="1"/>
      <c r="B9" s="13"/>
      <c r="C9" s="14"/>
      <c r="D9" s="14"/>
      <c r="E9" s="14"/>
      <c r="F9" s="14"/>
      <c r="G9" s="14"/>
      <c r="H9" s="15"/>
    </row>
    <row r="10" spans="1:10" ht="15.75" customHeight="1" x14ac:dyDescent="0.25">
      <c r="A10" s="1"/>
      <c r="B10" s="13"/>
      <c r="C10" s="14"/>
      <c r="D10" s="14"/>
      <c r="E10" s="14"/>
      <c r="F10" s="14"/>
      <c r="G10" s="14"/>
      <c r="H10" s="15"/>
    </row>
    <row r="11" spans="1:10" ht="15.75" customHeight="1" x14ac:dyDescent="0.25">
      <c r="A11" s="1"/>
      <c r="B11" s="13"/>
      <c r="C11" s="14"/>
      <c r="D11" s="14"/>
      <c r="E11" s="14"/>
      <c r="F11" s="14"/>
      <c r="G11" s="14"/>
      <c r="H11" s="15"/>
    </row>
    <row r="12" spans="1:10" ht="15.75" customHeight="1" x14ac:dyDescent="0.25">
      <c r="A12" s="1"/>
      <c r="B12" s="13"/>
      <c r="C12" s="14"/>
      <c r="D12" s="14"/>
      <c r="E12" s="14"/>
      <c r="F12" s="14"/>
      <c r="G12" s="14"/>
      <c r="H12" s="15"/>
    </row>
    <row r="13" spans="1:10" ht="15.75" customHeight="1" x14ac:dyDescent="0.25">
      <c r="A13" s="1"/>
      <c r="B13" s="13"/>
      <c r="C13" s="14"/>
      <c r="D13" s="14"/>
      <c r="E13" s="14"/>
      <c r="F13" s="14"/>
      <c r="G13" s="14"/>
      <c r="H13" s="15"/>
    </row>
    <row r="14" spans="1:10" ht="15.75" customHeight="1" x14ac:dyDescent="0.25">
      <c r="A14" s="1"/>
      <c r="B14" s="13"/>
      <c r="C14" s="14"/>
      <c r="D14" s="14"/>
      <c r="E14" s="14"/>
      <c r="F14" s="14"/>
      <c r="G14" s="14"/>
      <c r="H14" s="15"/>
    </row>
    <row r="15" spans="1:10" ht="15.75" customHeight="1" x14ac:dyDescent="0.25">
      <c r="A15" s="1"/>
      <c r="B15" s="13"/>
      <c r="C15" s="14"/>
      <c r="D15" s="14"/>
      <c r="E15" s="14"/>
      <c r="F15" s="14"/>
      <c r="G15" s="14"/>
      <c r="H15" s="15"/>
    </row>
    <row r="16" spans="1:10" ht="15.75" customHeight="1" x14ac:dyDescent="0.25">
      <c r="A16" s="1"/>
      <c r="B16" s="13"/>
      <c r="C16" s="14"/>
      <c r="D16" s="14"/>
      <c r="E16" s="14"/>
      <c r="F16" s="14"/>
      <c r="G16" s="14"/>
      <c r="H16" s="15"/>
    </row>
    <row r="17" spans="1:8" ht="15.75" customHeight="1" x14ac:dyDescent="0.25">
      <c r="A17" s="1"/>
      <c r="B17" s="13"/>
      <c r="C17" s="14"/>
      <c r="D17" s="14"/>
      <c r="E17" s="14"/>
      <c r="F17" s="14"/>
      <c r="G17" s="14"/>
      <c r="H17" s="15"/>
    </row>
    <row r="18" spans="1:8" ht="15.75" customHeight="1" x14ac:dyDescent="0.25">
      <c r="A18" s="1"/>
      <c r="B18" s="13"/>
      <c r="C18" s="14"/>
      <c r="D18" s="14"/>
      <c r="E18" s="14"/>
      <c r="F18" s="14"/>
      <c r="G18" s="14"/>
      <c r="H18" s="15"/>
    </row>
    <row r="19" spans="1:8" ht="15.75" customHeight="1" x14ac:dyDescent="0.25">
      <c r="A19" s="1"/>
      <c r="B19" s="13"/>
      <c r="C19" s="14"/>
      <c r="D19" s="14"/>
      <c r="E19" s="14"/>
      <c r="F19" s="14"/>
      <c r="G19" s="14"/>
      <c r="H19" s="15"/>
    </row>
    <row r="20" spans="1:8" ht="15.75" customHeight="1" x14ac:dyDescent="0.25">
      <c r="A20" s="1"/>
      <c r="B20" s="13"/>
      <c r="C20" s="14"/>
      <c r="D20" s="14"/>
      <c r="E20" s="14"/>
      <c r="F20" s="14"/>
      <c r="G20" s="14"/>
      <c r="H20" s="15"/>
    </row>
    <row r="21" spans="1:8" ht="15.75" customHeight="1" x14ac:dyDescent="0.25">
      <c r="A21" s="1"/>
      <c r="B21" s="13"/>
      <c r="C21" s="14"/>
      <c r="D21" s="14"/>
      <c r="E21" s="14"/>
      <c r="F21" s="14"/>
      <c r="G21" s="14"/>
      <c r="H21" s="15"/>
    </row>
    <row r="22" spans="1:8" ht="15.75" customHeight="1" x14ac:dyDescent="0.25">
      <c r="A22" s="1"/>
      <c r="B22" s="13"/>
      <c r="C22" s="14"/>
      <c r="D22" s="14"/>
      <c r="E22" s="14"/>
      <c r="F22" s="14"/>
      <c r="G22" s="14"/>
      <c r="H22" s="15"/>
    </row>
    <row r="23" spans="1:8" ht="15.75" customHeight="1" x14ac:dyDescent="0.25">
      <c r="A23" s="1"/>
      <c r="B23" s="13"/>
      <c r="C23" s="14"/>
      <c r="D23" s="14"/>
      <c r="E23" s="14"/>
      <c r="F23" s="14"/>
      <c r="G23" s="14"/>
      <c r="H23" s="15"/>
    </row>
    <row r="24" spans="1:8" ht="15.75" customHeight="1" x14ac:dyDescent="0.25">
      <c r="A24" s="1"/>
      <c r="B24" s="13"/>
      <c r="C24" s="14"/>
      <c r="D24" s="14"/>
      <c r="E24" s="14"/>
      <c r="F24" s="14"/>
      <c r="G24" s="14"/>
      <c r="H24" s="15"/>
    </row>
    <row r="25" spans="1:8" ht="15.75" customHeight="1" x14ac:dyDescent="0.25">
      <c r="A25" s="1"/>
      <c r="B25" s="13"/>
      <c r="C25" s="14"/>
      <c r="D25" s="14"/>
      <c r="E25" s="14"/>
      <c r="F25" s="14"/>
      <c r="G25" s="14"/>
      <c r="H25" s="15"/>
    </row>
    <row r="26" spans="1:8" ht="15.75" customHeight="1" x14ac:dyDescent="0.25">
      <c r="A26" s="1"/>
      <c r="B26" s="13"/>
      <c r="C26" s="14"/>
      <c r="D26" s="14"/>
      <c r="E26" s="14"/>
      <c r="F26" s="14"/>
      <c r="G26" s="14"/>
      <c r="H26" s="15"/>
    </row>
    <row r="27" spans="1:8" ht="15.75" customHeight="1" x14ac:dyDescent="0.25">
      <c r="B27" s="13"/>
      <c r="C27" s="14"/>
      <c r="D27" s="14"/>
      <c r="E27" s="14"/>
      <c r="F27" s="14"/>
      <c r="G27" s="14"/>
      <c r="H27" s="15"/>
    </row>
    <row r="28" spans="1:8" ht="15.75" customHeight="1" x14ac:dyDescent="0.25">
      <c r="B28" s="13"/>
      <c r="C28" s="14"/>
      <c r="D28" s="14"/>
      <c r="E28" s="14"/>
      <c r="F28" s="14"/>
      <c r="G28" s="14"/>
      <c r="H28" s="15"/>
    </row>
    <row r="29" spans="1:8" ht="15.75" customHeight="1" x14ac:dyDescent="0.25">
      <c r="B29" s="16"/>
      <c r="C29" s="17"/>
      <c r="D29" s="17"/>
      <c r="E29" s="17"/>
      <c r="F29" s="17"/>
      <c r="G29" s="17"/>
      <c r="H29" s="18"/>
    </row>
    <row r="30" spans="1:8" ht="15.75" customHeight="1" x14ac:dyDescent="0.25">
      <c r="B30" s="19" t="s">
        <v>39</v>
      </c>
      <c r="C30" s="20"/>
      <c r="D30" s="20"/>
      <c r="E30" s="20"/>
      <c r="F30" s="20"/>
      <c r="G30" s="20"/>
      <c r="H30" s="21"/>
    </row>
    <row r="31" spans="1:8" ht="15.75" customHeight="1" x14ac:dyDescent="0.25">
      <c r="B31" s="22" t="s">
        <v>40</v>
      </c>
      <c r="C31" s="23"/>
      <c r="D31" s="23"/>
      <c r="E31" s="23"/>
      <c r="F31" s="23"/>
      <c r="G31" s="23"/>
      <c r="H31" s="24"/>
    </row>
    <row r="32" spans="1:8" ht="15.75" customHeight="1" x14ac:dyDescent="0.25">
      <c r="B32" s="25" t="s">
        <v>41</v>
      </c>
      <c r="C32" s="26"/>
      <c r="D32" s="26"/>
      <c r="E32" s="26"/>
      <c r="F32" s="26"/>
      <c r="G32" s="26"/>
      <c r="H32" s="27"/>
    </row>
    <row r="33" spans="2:8" ht="15.75" customHeight="1" x14ac:dyDescent="0.25">
      <c r="B33" s="22" t="s">
        <v>42</v>
      </c>
      <c r="C33" s="23"/>
      <c r="D33" s="23"/>
      <c r="E33" s="23"/>
      <c r="F33" s="23"/>
      <c r="G33" s="23"/>
      <c r="H33" s="24"/>
    </row>
    <row r="34" spans="2:8" ht="15.75" customHeight="1" x14ac:dyDescent="0.25">
      <c r="B34" s="25" t="s">
        <v>43</v>
      </c>
      <c r="C34" s="26"/>
      <c r="D34" s="26"/>
      <c r="E34" s="26"/>
      <c r="F34" s="26"/>
      <c r="G34" s="26"/>
      <c r="H34" s="27"/>
    </row>
    <row r="35" spans="2:8" ht="15.75" customHeight="1" x14ac:dyDescent="0.25">
      <c r="B35" s="22" t="s">
        <v>44</v>
      </c>
      <c r="C35" s="23"/>
      <c r="D35" s="23"/>
      <c r="E35" s="23"/>
      <c r="F35" s="23"/>
      <c r="G35" s="23"/>
      <c r="H35" s="24"/>
    </row>
    <row r="36" spans="2:8" ht="15.75" customHeight="1" x14ac:dyDescent="0.25">
      <c r="B36" s="30" t="s">
        <v>45</v>
      </c>
      <c r="C36" s="31"/>
      <c r="D36" s="31"/>
      <c r="E36" s="31"/>
      <c r="F36" s="31"/>
      <c r="G36" s="31"/>
      <c r="H36" s="32"/>
    </row>
    <row r="37" spans="2:8" ht="15.75" customHeight="1" x14ac:dyDescent="0.25">
      <c r="B37" s="33" t="s">
        <v>46</v>
      </c>
      <c r="C37" s="34"/>
      <c r="D37" s="34"/>
      <c r="E37" s="34"/>
      <c r="F37" s="34"/>
      <c r="G37" s="34"/>
      <c r="H37" s="35"/>
    </row>
    <row r="38" spans="2:8" ht="26.4" x14ac:dyDescent="0.25">
      <c r="B38" s="4" t="s">
        <v>48</v>
      </c>
      <c r="C38" s="28" t="s">
        <v>49</v>
      </c>
      <c r="D38" s="28"/>
      <c r="E38" s="28"/>
      <c r="F38" s="28"/>
      <c r="G38" s="28"/>
      <c r="H38" s="29"/>
    </row>
  </sheetData>
  <mergeCells count="11">
    <mergeCell ref="C38:H38"/>
    <mergeCell ref="B33:H33"/>
    <mergeCell ref="B34:H34"/>
    <mergeCell ref="B35:H35"/>
    <mergeCell ref="B36:H36"/>
    <mergeCell ref="B37:H37"/>
    <mergeCell ref="B1:H1"/>
    <mergeCell ref="B2:H29"/>
    <mergeCell ref="B30:H30"/>
    <mergeCell ref="B31:H31"/>
    <mergeCell ref="B32:H32"/>
  </mergeCells>
  <hyperlinks>
    <hyperlink ref="B33" r:id="rId1" xr:uid="{732A2D44-811C-4EBD-9C00-A7B75EF1C50E}"/>
    <hyperlink ref="B31" r:id="rId2" xr:uid="{46A27248-48AD-427B-AEF3-E6AAAD15B7FB}"/>
    <hyperlink ref="B35" r:id="rId3" xr:uid="{306F7E6E-D782-4EE6-AF9F-A9239AAF1418}"/>
    <hyperlink ref="B36" r:id="rId4" xr:uid="{29617241-4C90-41BB-8040-BD2A17C27A8C}"/>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9"/>
  <sheetViews>
    <sheetView workbookViewId="0">
      <selection activeCell="L36" sqref="L36"/>
    </sheetView>
  </sheetViews>
  <sheetFormatPr defaultColWidth="12.6640625" defaultRowHeight="15.75" customHeight="1" x14ac:dyDescent="0.25"/>
  <cols>
    <col min="1" max="1" width="20.77734375" bestFit="1" customWidth="1"/>
    <col min="2" max="2" width="22.77734375" bestFit="1" customWidth="1"/>
    <col min="3" max="4" width="7.21875" bestFit="1" customWidth="1"/>
  </cols>
  <sheetData>
    <row r="1" spans="1:10" ht="13.2" x14ac:dyDescent="0.25">
      <c r="A1" s="5" t="s">
        <v>37</v>
      </c>
      <c r="B1" t="s">
        <v>1</v>
      </c>
      <c r="C1" t="s">
        <v>2</v>
      </c>
      <c r="D1" t="s">
        <v>3</v>
      </c>
      <c r="E1" s="6" t="s">
        <v>4</v>
      </c>
      <c r="F1" s="6" t="s">
        <v>5</v>
      </c>
      <c r="G1" s="6" t="s">
        <v>6</v>
      </c>
      <c r="H1" s="6" t="s">
        <v>7</v>
      </c>
      <c r="I1" s="6" t="s">
        <v>8</v>
      </c>
      <c r="J1" s="6" t="s">
        <v>9</v>
      </c>
    </row>
    <row r="2" spans="1:10" ht="13.2" x14ac:dyDescent="0.25">
      <c r="A2" t="s">
        <v>38</v>
      </c>
      <c r="B2" t="s">
        <v>10</v>
      </c>
      <c r="C2" t="s">
        <v>11</v>
      </c>
      <c r="D2">
        <v>7.5</v>
      </c>
      <c r="E2">
        <f t="shared" ref="E2:E19" si="0">ROUND(AVERAGE($D$2:$D$19),2)</f>
        <v>5.91</v>
      </c>
      <c r="F2">
        <f t="shared" ref="F2:F19" si="1">ROUND(E2+(2.66*I2),2)</f>
        <v>12.88</v>
      </c>
      <c r="G2">
        <f t="shared" ref="G2:G19" si="2">ROUND(MAX(0,E2-(2.66*I2)),2)</f>
        <v>0</v>
      </c>
      <c r="I2">
        <f t="shared" ref="I2:I19" si="3">ROUND(AVERAGE($H$3:$H$19),2)</f>
        <v>2.62</v>
      </c>
      <c r="J2">
        <f t="shared" ref="J2:J19" si="4">ROUND(3.268*I2,2)</f>
        <v>8.56</v>
      </c>
    </row>
    <row r="3" spans="1:10" ht="13.2" x14ac:dyDescent="0.25">
      <c r="A3" t="s">
        <v>38</v>
      </c>
      <c r="B3" t="s">
        <v>10</v>
      </c>
      <c r="C3" t="s">
        <v>12</v>
      </c>
      <c r="D3">
        <v>4.9000000000000004</v>
      </c>
      <c r="E3">
        <f t="shared" si="0"/>
        <v>5.91</v>
      </c>
      <c r="F3">
        <f t="shared" si="1"/>
        <v>12.88</v>
      </c>
      <c r="G3">
        <f t="shared" si="2"/>
        <v>0</v>
      </c>
      <c r="H3">
        <f t="shared" ref="H3:H19" si="5">ABS(D2-D3)</f>
        <v>2.5999999999999996</v>
      </c>
      <c r="I3">
        <f t="shared" si="3"/>
        <v>2.62</v>
      </c>
      <c r="J3">
        <f t="shared" si="4"/>
        <v>8.56</v>
      </c>
    </row>
    <row r="4" spans="1:10" ht="13.2" x14ac:dyDescent="0.25">
      <c r="A4" t="s">
        <v>38</v>
      </c>
      <c r="B4" t="s">
        <v>10</v>
      </c>
      <c r="C4" t="s">
        <v>13</v>
      </c>
      <c r="D4">
        <v>8.8000000000000007</v>
      </c>
      <c r="E4">
        <f t="shared" si="0"/>
        <v>5.91</v>
      </c>
      <c r="F4">
        <f t="shared" si="1"/>
        <v>12.88</v>
      </c>
      <c r="G4">
        <f t="shared" si="2"/>
        <v>0</v>
      </c>
      <c r="H4">
        <f t="shared" si="5"/>
        <v>3.9000000000000004</v>
      </c>
      <c r="I4">
        <f t="shared" si="3"/>
        <v>2.62</v>
      </c>
      <c r="J4">
        <f t="shared" si="4"/>
        <v>8.56</v>
      </c>
    </row>
    <row r="5" spans="1:10" ht="13.2" x14ac:dyDescent="0.25">
      <c r="A5" t="s">
        <v>38</v>
      </c>
      <c r="B5" t="s">
        <v>10</v>
      </c>
      <c r="C5" t="s">
        <v>14</v>
      </c>
      <c r="D5">
        <v>8.1</v>
      </c>
      <c r="E5">
        <f t="shared" si="0"/>
        <v>5.91</v>
      </c>
      <c r="F5">
        <f t="shared" si="1"/>
        <v>12.88</v>
      </c>
      <c r="G5">
        <f t="shared" si="2"/>
        <v>0</v>
      </c>
      <c r="H5">
        <f t="shared" si="5"/>
        <v>0.70000000000000107</v>
      </c>
      <c r="I5">
        <f t="shared" si="3"/>
        <v>2.62</v>
      </c>
      <c r="J5">
        <f t="shared" si="4"/>
        <v>8.56</v>
      </c>
    </row>
    <row r="6" spans="1:10" ht="13.2" x14ac:dyDescent="0.25">
      <c r="A6" t="s">
        <v>38</v>
      </c>
      <c r="B6" t="s">
        <v>10</v>
      </c>
      <c r="C6" t="s">
        <v>15</v>
      </c>
      <c r="D6">
        <v>2.2000000000000002</v>
      </c>
      <c r="E6">
        <f t="shared" si="0"/>
        <v>5.91</v>
      </c>
      <c r="F6">
        <f t="shared" si="1"/>
        <v>12.88</v>
      </c>
      <c r="G6">
        <f t="shared" si="2"/>
        <v>0</v>
      </c>
      <c r="H6">
        <f t="shared" si="5"/>
        <v>5.8999999999999995</v>
      </c>
      <c r="I6">
        <f t="shared" si="3"/>
        <v>2.62</v>
      </c>
      <c r="J6">
        <f t="shared" si="4"/>
        <v>8.56</v>
      </c>
    </row>
    <row r="7" spans="1:10" ht="13.2" x14ac:dyDescent="0.25">
      <c r="A7" t="s">
        <v>38</v>
      </c>
      <c r="B7" t="s">
        <v>10</v>
      </c>
      <c r="C7" t="s">
        <v>16</v>
      </c>
      <c r="D7">
        <v>3.6</v>
      </c>
      <c r="E7">
        <f t="shared" si="0"/>
        <v>5.91</v>
      </c>
      <c r="F7">
        <f t="shared" si="1"/>
        <v>12.88</v>
      </c>
      <c r="G7">
        <f t="shared" si="2"/>
        <v>0</v>
      </c>
      <c r="H7">
        <f t="shared" si="5"/>
        <v>1.4</v>
      </c>
      <c r="I7">
        <f t="shared" si="3"/>
        <v>2.62</v>
      </c>
      <c r="J7">
        <f t="shared" si="4"/>
        <v>8.56</v>
      </c>
    </row>
    <row r="8" spans="1:10" ht="13.2" x14ac:dyDescent="0.25">
      <c r="A8" t="s">
        <v>38</v>
      </c>
      <c r="B8" t="s">
        <v>10</v>
      </c>
      <c r="C8" t="s">
        <v>17</v>
      </c>
      <c r="D8">
        <v>4.5999999999999996</v>
      </c>
      <c r="E8">
        <f t="shared" si="0"/>
        <v>5.91</v>
      </c>
      <c r="F8">
        <f t="shared" si="1"/>
        <v>12.88</v>
      </c>
      <c r="G8">
        <f t="shared" si="2"/>
        <v>0</v>
      </c>
      <c r="H8">
        <f t="shared" si="5"/>
        <v>0.99999999999999956</v>
      </c>
      <c r="I8">
        <f t="shared" si="3"/>
        <v>2.62</v>
      </c>
      <c r="J8">
        <f t="shared" si="4"/>
        <v>8.56</v>
      </c>
    </row>
    <row r="9" spans="1:10" ht="13.2" x14ac:dyDescent="0.25">
      <c r="A9" t="s">
        <v>38</v>
      </c>
      <c r="B9" t="s">
        <v>10</v>
      </c>
      <c r="C9" t="s">
        <v>18</v>
      </c>
      <c r="D9">
        <v>4</v>
      </c>
      <c r="E9">
        <f t="shared" si="0"/>
        <v>5.91</v>
      </c>
      <c r="F9">
        <f t="shared" si="1"/>
        <v>12.88</v>
      </c>
      <c r="G9">
        <f t="shared" si="2"/>
        <v>0</v>
      </c>
      <c r="H9">
        <f t="shared" si="5"/>
        <v>0.59999999999999964</v>
      </c>
      <c r="I9">
        <f t="shared" si="3"/>
        <v>2.62</v>
      </c>
      <c r="J9">
        <f t="shared" si="4"/>
        <v>8.56</v>
      </c>
    </row>
    <row r="10" spans="1:10" ht="13.2" x14ac:dyDescent="0.25">
      <c r="A10" t="s">
        <v>38</v>
      </c>
      <c r="B10" t="s">
        <v>10</v>
      </c>
      <c r="C10" t="s">
        <v>19</v>
      </c>
      <c r="D10">
        <v>6.6</v>
      </c>
      <c r="E10">
        <f t="shared" si="0"/>
        <v>5.91</v>
      </c>
      <c r="F10">
        <f t="shared" si="1"/>
        <v>12.88</v>
      </c>
      <c r="G10">
        <f t="shared" si="2"/>
        <v>0</v>
      </c>
      <c r="H10">
        <f t="shared" si="5"/>
        <v>2.5999999999999996</v>
      </c>
      <c r="I10">
        <f t="shared" si="3"/>
        <v>2.62</v>
      </c>
      <c r="J10">
        <f t="shared" si="4"/>
        <v>8.56</v>
      </c>
    </row>
    <row r="11" spans="1:10" ht="13.2" x14ac:dyDescent="0.25">
      <c r="A11" t="s">
        <v>38</v>
      </c>
      <c r="B11" t="s">
        <v>10</v>
      </c>
      <c r="C11" t="s">
        <v>20</v>
      </c>
      <c r="D11">
        <v>3.2</v>
      </c>
      <c r="E11">
        <f t="shared" si="0"/>
        <v>5.91</v>
      </c>
      <c r="F11">
        <f t="shared" si="1"/>
        <v>12.88</v>
      </c>
      <c r="G11">
        <f t="shared" si="2"/>
        <v>0</v>
      </c>
      <c r="H11">
        <f t="shared" si="5"/>
        <v>3.3999999999999995</v>
      </c>
      <c r="I11">
        <f t="shared" si="3"/>
        <v>2.62</v>
      </c>
      <c r="J11">
        <f t="shared" si="4"/>
        <v>8.56</v>
      </c>
    </row>
    <row r="12" spans="1:10" ht="13.2" x14ac:dyDescent="0.25">
      <c r="A12" t="s">
        <v>38</v>
      </c>
      <c r="B12" t="s">
        <v>10</v>
      </c>
      <c r="C12" t="s">
        <v>21</v>
      </c>
      <c r="D12">
        <v>5.3</v>
      </c>
      <c r="E12">
        <f t="shared" si="0"/>
        <v>5.91</v>
      </c>
      <c r="F12">
        <f t="shared" si="1"/>
        <v>12.88</v>
      </c>
      <c r="G12">
        <f t="shared" si="2"/>
        <v>0</v>
      </c>
      <c r="H12">
        <f t="shared" si="5"/>
        <v>2.0999999999999996</v>
      </c>
      <c r="I12">
        <f t="shared" si="3"/>
        <v>2.62</v>
      </c>
      <c r="J12">
        <f t="shared" si="4"/>
        <v>8.56</v>
      </c>
    </row>
    <row r="13" spans="1:10" ht="13.2" x14ac:dyDescent="0.25">
      <c r="A13" t="s">
        <v>38</v>
      </c>
      <c r="B13" t="s">
        <v>10</v>
      </c>
      <c r="C13" t="s">
        <v>22</v>
      </c>
      <c r="D13">
        <v>7.7</v>
      </c>
      <c r="E13">
        <f t="shared" si="0"/>
        <v>5.91</v>
      </c>
      <c r="F13">
        <f t="shared" si="1"/>
        <v>12.88</v>
      </c>
      <c r="G13">
        <f t="shared" si="2"/>
        <v>0</v>
      </c>
      <c r="H13">
        <f t="shared" si="5"/>
        <v>2.4000000000000004</v>
      </c>
      <c r="I13">
        <f t="shared" si="3"/>
        <v>2.62</v>
      </c>
      <c r="J13">
        <f t="shared" si="4"/>
        <v>8.56</v>
      </c>
    </row>
    <row r="14" spans="1:10" ht="13.2" x14ac:dyDescent="0.25">
      <c r="A14" t="s">
        <v>38</v>
      </c>
      <c r="B14" t="s">
        <v>10</v>
      </c>
      <c r="C14" t="s">
        <v>23</v>
      </c>
      <c r="D14">
        <v>5.6</v>
      </c>
      <c r="E14">
        <f t="shared" si="0"/>
        <v>5.91</v>
      </c>
      <c r="F14">
        <f t="shared" si="1"/>
        <v>12.88</v>
      </c>
      <c r="G14">
        <f t="shared" si="2"/>
        <v>0</v>
      </c>
      <c r="H14">
        <f t="shared" si="5"/>
        <v>2.1000000000000005</v>
      </c>
      <c r="I14">
        <f t="shared" si="3"/>
        <v>2.62</v>
      </c>
      <c r="J14">
        <f t="shared" si="4"/>
        <v>8.56</v>
      </c>
    </row>
    <row r="15" spans="1:10" ht="13.2" x14ac:dyDescent="0.25">
      <c r="A15" t="s">
        <v>38</v>
      </c>
      <c r="B15" t="s">
        <v>10</v>
      </c>
      <c r="C15" t="s">
        <v>24</v>
      </c>
      <c r="D15">
        <v>7.5</v>
      </c>
      <c r="E15">
        <f t="shared" si="0"/>
        <v>5.91</v>
      </c>
      <c r="F15">
        <f t="shared" si="1"/>
        <v>12.88</v>
      </c>
      <c r="G15">
        <f t="shared" si="2"/>
        <v>0</v>
      </c>
      <c r="H15">
        <f t="shared" si="5"/>
        <v>1.9000000000000004</v>
      </c>
      <c r="I15">
        <f t="shared" si="3"/>
        <v>2.62</v>
      </c>
      <c r="J15">
        <f t="shared" si="4"/>
        <v>8.56</v>
      </c>
    </row>
    <row r="16" spans="1:10" ht="13.2" x14ac:dyDescent="0.25">
      <c r="A16" t="s">
        <v>38</v>
      </c>
      <c r="B16" t="s">
        <v>10</v>
      </c>
      <c r="C16" t="s">
        <v>25</v>
      </c>
      <c r="D16">
        <v>9.1</v>
      </c>
      <c r="E16">
        <f t="shared" si="0"/>
        <v>5.91</v>
      </c>
      <c r="F16">
        <f t="shared" si="1"/>
        <v>12.88</v>
      </c>
      <c r="G16">
        <f t="shared" si="2"/>
        <v>0</v>
      </c>
      <c r="H16">
        <f t="shared" si="5"/>
        <v>1.5999999999999996</v>
      </c>
      <c r="I16">
        <f t="shared" si="3"/>
        <v>2.62</v>
      </c>
      <c r="J16">
        <f t="shared" si="4"/>
        <v>8.56</v>
      </c>
    </row>
    <row r="17" spans="1:10" ht="13.2" x14ac:dyDescent="0.25">
      <c r="A17" t="s">
        <v>38</v>
      </c>
      <c r="B17" t="s">
        <v>10</v>
      </c>
      <c r="C17" t="s">
        <v>26</v>
      </c>
      <c r="D17">
        <v>3</v>
      </c>
      <c r="E17">
        <f t="shared" si="0"/>
        <v>5.91</v>
      </c>
      <c r="F17">
        <f t="shared" si="1"/>
        <v>12.88</v>
      </c>
      <c r="G17">
        <f t="shared" si="2"/>
        <v>0</v>
      </c>
      <c r="H17">
        <f t="shared" si="5"/>
        <v>6.1</v>
      </c>
      <c r="I17">
        <f t="shared" si="3"/>
        <v>2.62</v>
      </c>
      <c r="J17">
        <f t="shared" si="4"/>
        <v>8.56</v>
      </c>
    </row>
    <row r="18" spans="1:10" ht="13.2" x14ac:dyDescent="0.25">
      <c r="A18" t="s">
        <v>38</v>
      </c>
      <c r="B18" t="s">
        <v>10</v>
      </c>
      <c r="C18" t="s">
        <v>27</v>
      </c>
      <c r="D18">
        <v>5.4</v>
      </c>
      <c r="E18">
        <f t="shared" si="0"/>
        <v>5.91</v>
      </c>
      <c r="F18">
        <f t="shared" si="1"/>
        <v>12.88</v>
      </c>
      <c r="G18">
        <f t="shared" si="2"/>
        <v>0</v>
      </c>
      <c r="H18">
        <f t="shared" si="5"/>
        <v>2.4000000000000004</v>
      </c>
      <c r="I18">
        <f t="shared" si="3"/>
        <v>2.62</v>
      </c>
      <c r="J18">
        <f t="shared" si="4"/>
        <v>8.56</v>
      </c>
    </row>
    <row r="19" spans="1:10" ht="13.2" x14ac:dyDescent="0.25">
      <c r="A19" t="s">
        <v>38</v>
      </c>
      <c r="B19" t="s">
        <v>10</v>
      </c>
      <c r="C19" t="s">
        <v>28</v>
      </c>
      <c r="D19">
        <v>9.1999999999999993</v>
      </c>
      <c r="E19">
        <f t="shared" si="0"/>
        <v>5.91</v>
      </c>
      <c r="F19">
        <f t="shared" si="1"/>
        <v>12.88</v>
      </c>
      <c r="G19">
        <f t="shared" si="2"/>
        <v>0</v>
      </c>
      <c r="H19">
        <f t="shared" si="5"/>
        <v>3.7999999999999989</v>
      </c>
      <c r="I19">
        <f t="shared" si="3"/>
        <v>2.62</v>
      </c>
      <c r="J19">
        <f t="shared" si="4"/>
        <v>8.56</v>
      </c>
    </row>
    <row r="20" spans="1:10" ht="13.2" x14ac:dyDescent="0.25"/>
    <row r="21" spans="1:10" ht="13.2" x14ac:dyDescent="0.25"/>
    <row r="22" spans="1:10" ht="13.2" x14ac:dyDescent="0.25"/>
    <row r="23" spans="1:10" ht="13.2" x14ac:dyDescent="0.25"/>
    <row r="24" spans="1:10" ht="13.2" x14ac:dyDescent="0.25"/>
    <row r="25" spans="1:10" ht="13.2" x14ac:dyDescent="0.25"/>
    <row r="26" spans="1:10" ht="13.2" x14ac:dyDescent="0.25"/>
    <row r="27" spans="1:10" ht="13.2" x14ac:dyDescent="0.25"/>
    <row r="28" spans="1:10" ht="13.2" x14ac:dyDescent="0.25"/>
    <row r="29" spans="1:10" ht="13.2" x14ac:dyDescent="0.25"/>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9"/>
  <sheetViews>
    <sheetView workbookViewId="0">
      <selection activeCell="T11" sqref="T11"/>
    </sheetView>
  </sheetViews>
  <sheetFormatPr defaultColWidth="12.6640625" defaultRowHeight="15.75" customHeight="1" x14ac:dyDescent="0.25"/>
  <cols>
    <col min="1" max="1" width="20.77734375" bestFit="1" customWidth="1"/>
    <col min="2" max="2" width="13.109375" bestFit="1" customWidth="1"/>
    <col min="3" max="4" width="7.21875" bestFit="1" customWidth="1"/>
  </cols>
  <sheetData>
    <row r="1" spans="1:10" ht="13.2" x14ac:dyDescent="0.25">
      <c r="A1" s="5" t="s">
        <v>37</v>
      </c>
      <c r="B1" t="s">
        <v>1</v>
      </c>
      <c r="C1" t="s">
        <v>2</v>
      </c>
      <c r="D1" t="s">
        <v>3</v>
      </c>
      <c r="E1" s="6" t="s">
        <v>4</v>
      </c>
      <c r="F1" s="6" t="s">
        <v>5</v>
      </c>
      <c r="G1" s="6" t="s">
        <v>6</v>
      </c>
      <c r="H1" s="6" t="s">
        <v>7</v>
      </c>
      <c r="I1" s="6" t="s">
        <v>8</v>
      </c>
      <c r="J1" s="6" t="s">
        <v>9</v>
      </c>
    </row>
    <row r="2" spans="1:10" ht="13.2" x14ac:dyDescent="0.25">
      <c r="A2" s="2" t="s">
        <v>38</v>
      </c>
      <c r="B2" t="s">
        <v>29</v>
      </c>
      <c r="C2" t="s">
        <v>30</v>
      </c>
      <c r="D2">
        <v>7.8</v>
      </c>
      <c r="E2">
        <f t="shared" ref="E2:E7" si="0">ROUND(AVERAGE($D$2:$D$7),2)</f>
        <v>9.85</v>
      </c>
      <c r="F2">
        <f t="shared" ref="F2:F7" si="1">ROUND(E2+(2.66*I2),2)</f>
        <v>21.23</v>
      </c>
      <c r="G2">
        <f t="shared" ref="G2:G7" si="2">ROUND(MAX(0,E2-(2.66*I2)),2)</f>
        <v>0</v>
      </c>
      <c r="I2">
        <f t="shared" ref="I2:I7" si="3">ROUND(AVERAGE($H$3:$H$7),2)</f>
        <v>4.28</v>
      </c>
      <c r="J2">
        <f t="shared" ref="J2:J7" si="4">ROUND(3.268*I2,2)</f>
        <v>13.99</v>
      </c>
    </row>
    <row r="3" spans="1:10" ht="13.2" x14ac:dyDescent="0.25">
      <c r="A3" s="2" t="s">
        <v>38</v>
      </c>
      <c r="B3" t="s">
        <v>29</v>
      </c>
      <c r="C3" t="s">
        <v>31</v>
      </c>
      <c r="D3">
        <v>15.8</v>
      </c>
      <c r="E3">
        <f t="shared" si="0"/>
        <v>9.85</v>
      </c>
      <c r="F3">
        <f t="shared" si="1"/>
        <v>21.23</v>
      </c>
      <c r="G3">
        <f t="shared" si="2"/>
        <v>0</v>
      </c>
      <c r="H3">
        <f t="shared" ref="H3:H7" si="5">ABS(D2-D3)</f>
        <v>8</v>
      </c>
      <c r="I3">
        <f t="shared" si="3"/>
        <v>4.28</v>
      </c>
      <c r="J3">
        <f t="shared" si="4"/>
        <v>13.99</v>
      </c>
    </row>
    <row r="4" spans="1:10" ht="13.2" x14ac:dyDescent="0.25">
      <c r="A4" s="2" t="s">
        <v>38</v>
      </c>
      <c r="B4" t="s">
        <v>29</v>
      </c>
      <c r="C4" t="s">
        <v>32</v>
      </c>
      <c r="D4">
        <v>9</v>
      </c>
      <c r="E4">
        <f t="shared" si="0"/>
        <v>9.85</v>
      </c>
      <c r="F4">
        <f t="shared" si="1"/>
        <v>21.23</v>
      </c>
      <c r="G4">
        <f t="shared" si="2"/>
        <v>0</v>
      </c>
      <c r="H4">
        <f t="shared" si="5"/>
        <v>6.8000000000000007</v>
      </c>
      <c r="I4">
        <f t="shared" si="3"/>
        <v>4.28</v>
      </c>
      <c r="J4">
        <f t="shared" si="4"/>
        <v>13.99</v>
      </c>
    </row>
    <row r="5" spans="1:10" ht="13.2" x14ac:dyDescent="0.25">
      <c r="A5" s="2" t="s">
        <v>38</v>
      </c>
      <c r="B5" t="s">
        <v>29</v>
      </c>
      <c r="C5" t="s">
        <v>33</v>
      </c>
      <c r="D5">
        <v>8.1999999999999993</v>
      </c>
      <c r="E5">
        <f t="shared" si="0"/>
        <v>9.85</v>
      </c>
      <c r="F5">
        <f t="shared" si="1"/>
        <v>21.23</v>
      </c>
      <c r="G5">
        <f t="shared" si="2"/>
        <v>0</v>
      </c>
      <c r="H5">
        <f t="shared" si="5"/>
        <v>0.80000000000000071</v>
      </c>
      <c r="I5">
        <f t="shared" si="3"/>
        <v>4.28</v>
      </c>
      <c r="J5">
        <f t="shared" si="4"/>
        <v>13.99</v>
      </c>
    </row>
    <row r="6" spans="1:10" ht="13.2" x14ac:dyDescent="0.25">
      <c r="A6" s="2" t="s">
        <v>38</v>
      </c>
      <c r="B6" t="s">
        <v>29</v>
      </c>
      <c r="C6" t="s">
        <v>34</v>
      </c>
      <c r="D6">
        <v>6.9</v>
      </c>
      <c r="E6">
        <f t="shared" si="0"/>
        <v>9.85</v>
      </c>
      <c r="F6">
        <f t="shared" si="1"/>
        <v>21.23</v>
      </c>
      <c r="G6">
        <f t="shared" si="2"/>
        <v>0</v>
      </c>
      <c r="H6">
        <f t="shared" si="5"/>
        <v>1.2999999999999989</v>
      </c>
      <c r="I6">
        <f t="shared" si="3"/>
        <v>4.28</v>
      </c>
      <c r="J6">
        <f t="shared" si="4"/>
        <v>13.99</v>
      </c>
    </row>
    <row r="7" spans="1:10" ht="13.2" x14ac:dyDescent="0.25">
      <c r="A7" s="2" t="s">
        <v>38</v>
      </c>
      <c r="B7" t="s">
        <v>29</v>
      </c>
      <c r="C7" t="s">
        <v>35</v>
      </c>
      <c r="D7">
        <v>11.4</v>
      </c>
      <c r="E7">
        <f t="shared" si="0"/>
        <v>9.85</v>
      </c>
      <c r="F7">
        <f t="shared" si="1"/>
        <v>21.23</v>
      </c>
      <c r="G7">
        <f t="shared" si="2"/>
        <v>0</v>
      </c>
      <c r="H7">
        <f t="shared" si="5"/>
        <v>4.5</v>
      </c>
      <c r="I7">
        <f t="shared" si="3"/>
        <v>4.28</v>
      </c>
      <c r="J7">
        <f t="shared" si="4"/>
        <v>13.99</v>
      </c>
    </row>
    <row r="8" spans="1:10" ht="13.2" x14ac:dyDescent="0.25">
      <c r="A8" s="2"/>
    </row>
    <row r="9" spans="1:10" ht="13.2" x14ac:dyDescent="0.25">
      <c r="A9" s="2"/>
    </row>
    <row r="10" spans="1:10" ht="13.2" x14ac:dyDescent="0.25">
      <c r="A10" s="2"/>
    </row>
    <row r="11" spans="1:10" ht="13.2" x14ac:dyDescent="0.25">
      <c r="A11" s="2"/>
    </row>
    <row r="12" spans="1:10" ht="13.2" x14ac:dyDescent="0.25">
      <c r="A12" s="2"/>
    </row>
    <row r="13" spans="1:10" ht="13.2" x14ac:dyDescent="0.25">
      <c r="A13" s="2"/>
    </row>
    <row r="14" spans="1:10" ht="13.2" x14ac:dyDescent="0.25">
      <c r="A14" s="2"/>
    </row>
    <row r="15" spans="1:10" ht="13.2" x14ac:dyDescent="0.25">
      <c r="A15" s="2"/>
    </row>
    <row r="16" spans="1:10" ht="13.2" x14ac:dyDescent="0.25">
      <c r="A16" s="2"/>
    </row>
    <row r="17" spans="1:1" ht="13.2" x14ac:dyDescent="0.25">
      <c r="A17" s="2"/>
    </row>
    <row r="18" spans="1:1" ht="13.2" x14ac:dyDescent="0.25">
      <c r="A18" s="2"/>
    </row>
    <row r="19" spans="1:1" ht="13.2" x14ac:dyDescent="0.25">
      <c r="A19" s="2"/>
    </row>
    <row r="20" spans="1:1" ht="13.2" x14ac:dyDescent="0.25">
      <c r="A20" s="2"/>
    </row>
    <row r="21" spans="1:1" ht="13.2" x14ac:dyDescent="0.25">
      <c r="A21" s="2"/>
    </row>
    <row r="22" spans="1:1" ht="13.2" x14ac:dyDescent="0.25">
      <c r="A22" s="2"/>
    </row>
    <row r="23" spans="1:1" ht="13.2" x14ac:dyDescent="0.25">
      <c r="A23" s="2"/>
    </row>
    <row r="24" spans="1:1" ht="13.2" x14ac:dyDescent="0.25">
      <c r="A24" s="2"/>
    </row>
    <row r="25" spans="1:1" ht="13.2" x14ac:dyDescent="0.25">
      <c r="A25" s="2"/>
    </row>
    <row r="26" spans="1:1" ht="13.2" x14ac:dyDescent="0.25">
      <c r="A26" s="2"/>
    </row>
    <row r="27" spans="1:1" ht="13.2" x14ac:dyDescent="0.25">
      <c r="A27" s="2"/>
    </row>
    <row r="28" spans="1:1" ht="13.2" x14ac:dyDescent="0.25">
      <c r="A28" s="2"/>
    </row>
    <row r="29" spans="1:1" ht="13.2" x14ac:dyDescent="0.25">
      <c r="A29" s="2"/>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9"/>
  <sheetViews>
    <sheetView workbookViewId="0">
      <selection activeCell="K13" sqref="K13"/>
    </sheetView>
  </sheetViews>
  <sheetFormatPr defaultColWidth="12.6640625" defaultRowHeight="15.75" customHeight="1" x14ac:dyDescent="0.25"/>
  <cols>
    <col min="1" max="1" width="20.77734375" bestFit="1" customWidth="1"/>
    <col min="2" max="2" width="16" bestFit="1" customWidth="1"/>
    <col min="3" max="4" width="7.21875" bestFit="1" customWidth="1"/>
  </cols>
  <sheetData>
    <row r="1" spans="1:10" ht="13.2" x14ac:dyDescent="0.25">
      <c r="A1" s="5" t="s">
        <v>37</v>
      </c>
      <c r="B1" t="s">
        <v>1</v>
      </c>
      <c r="C1" t="s">
        <v>2</v>
      </c>
      <c r="D1" t="s">
        <v>3</v>
      </c>
      <c r="E1" s="6" t="s">
        <v>4</v>
      </c>
      <c r="F1" s="6" t="s">
        <v>5</v>
      </c>
      <c r="G1" s="6" t="s">
        <v>6</v>
      </c>
      <c r="H1" s="6" t="s">
        <v>7</v>
      </c>
      <c r="I1" s="6" t="s">
        <v>8</v>
      </c>
      <c r="J1" s="6" t="s">
        <v>9</v>
      </c>
    </row>
    <row r="2" spans="1:10" ht="13.2" x14ac:dyDescent="0.25">
      <c r="A2" s="2" t="s">
        <v>38</v>
      </c>
      <c r="B2" t="s">
        <v>36</v>
      </c>
      <c r="C2" t="s">
        <v>30</v>
      </c>
      <c r="D2">
        <v>3.5</v>
      </c>
      <c r="E2">
        <f t="shared" ref="E2:E7" si="0">ROUND(AVERAGE($D$2:$D$7),2)</f>
        <v>3.99</v>
      </c>
      <c r="F2">
        <f t="shared" ref="F2:F7" si="1">ROUND(E2+(2.66*I2),2)</f>
        <v>9.39</v>
      </c>
      <c r="G2">
        <f t="shared" ref="G2:G7" si="2">ROUND(MAX(0,E2-(2.66*I2)),2)</f>
        <v>0</v>
      </c>
      <c r="I2">
        <f t="shared" ref="I2:I7" si="3">ROUND(AVERAGE($H$3:$H$7),2)</f>
        <v>2.0299999999999998</v>
      </c>
      <c r="J2">
        <f t="shared" ref="J2:J7" si="4">ROUND(3.268*I2,2)</f>
        <v>6.63</v>
      </c>
    </row>
    <row r="3" spans="1:10" ht="13.2" x14ac:dyDescent="0.25">
      <c r="A3" s="2" t="s">
        <v>38</v>
      </c>
      <c r="B3" t="s">
        <v>36</v>
      </c>
      <c r="C3" t="s">
        <v>31</v>
      </c>
      <c r="D3">
        <v>7.5</v>
      </c>
      <c r="E3">
        <f t="shared" si="0"/>
        <v>3.99</v>
      </c>
      <c r="F3">
        <f t="shared" si="1"/>
        <v>9.39</v>
      </c>
      <c r="G3">
        <f t="shared" si="2"/>
        <v>0</v>
      </c>
      <c r="H3">
        <f t="shared" ref="H3:H7" si="5">ABS(D2-D3)</f>
        <v>4</v>
      </c>
      <c r="I3">
        <f t="shared" si="3"/>
        <v>2.0299999999999998</v>
      </c>
      <c r="J3">
        <f t="shared" si="4"/>
        <v>6.63</v>
      </c>
    </row>
    <row r="4" spans="1:10" ht="13.2" x14ac:dyDescent="0.25">
      <c r="A4" s="2" t="s">
        <v>38</v>
      </c>
      <c r="B4" t="s">
        <v>36</v>
      </c>
      <c r="C4" t="s">
        <v>32</v>
      </c>
      <c r="D4">
        <v>5.9</v>
      </c>
      <c r="E4">
        <f t="shared" si="0"/>
        <v>3.99</v>
      </c>
      <c r="F4">
        <f t="shared" si="1"/>
        <v>9.39</v>
      </c>
      <c r="G4">
        <f t="shared" si="2"/>
        <v>0</v>
      </c>
      <c r="H4">
        <f t="shared" si="5"/>
        <v>1.5999999999999996</v>
      </c>
      <c r="I4">
        <f t="shared" si="3"/>
        <v>2.0299999999999998</v>
      </c>
      <c r="J4">
        <f t="shared" si="4"/>
        <v>6.63</v>
      </c>
    </row>
    <row r="5" spans="1:10" ht="13.2" x14ac:dyDescent="0.25">
      <c r="A5" s="2" t="s">
        <v>38</v>
      </c>
      <c r="B5" t="s">
        <v>36</v>
      </c>
      <c r="C5" t="s">
        <v>33</v>
      </c>
      <c r="D5">
        <v>2.2999999999999998</v>
      </c>
      <c r="E5">
        <f t="shared" si="0"/>
        <v>3.99</v>
      </c>
      <c r="F5">
        <f t="shared" si="1"/>
        <v>9.39</v>
      </c>
      <c r="G5">
        <f t="shared" si="2"/>
        <v>0</v>
      </c>
      <c r="H5">
        <f t="shared" si="5"/>
        <v>3.6000000000000005</v>
      </c>
      <c r="I5">
        <f t="shared" si="3"/>
        <v>2.0299999999999998</v>
      </c>
      <c r="J5">
        <f t="shared" si="4"/>
        <v>6.63</v>
      </c>
    </row>
    <row r="6" spans="1:10" ht="13.2" x14ac:dyDescent="0.25">
      <c r="A6" s="2" t="s">
        <v>38</v>
      </c>
      <c r="B6" t="s">
        <v>36</v>
      </c>
      <c r="C6" t="s">
        <v>34</v>
      </c>
      <c r="D6">
        <v>2.0299999999999998</v>
      </c>
      <c r="E6">
        <f t="shared" si="0"/>
        <v>3.99</v>
      </c>
      <c r="F6">
        <f t="shared" si="1"/>
        <v>9.39</v>
      </c>
      <c r="G6">
        <f t="shared" si="2"/>
        <v>0</v>
      </c>
      <c r="H6">
        <f t="shared" si="5"/>
        <v>0.27</v>
      </c>
      <c r="I6">
        <f t="shared" si="3"/>
        <v>2.0299999999999998</v>
      </c>
      <c r="J6">
        <f t="shared" si="4"/>
        <v>6.63</v>
      </c>
    </row>
    <row r="7" spans="1:10" ht="13.2" x14ac:dyDescent="0.25">
      <c r="A7" s="2" t="s">
        <v>38</v>
      </c>
      <c r="B7" t="s">
        <v>36</v>
      </c>
      <c r="C7" t="s">
        <v>35</v>
      </c>
      <c r="D7">
        <v>2.7</v>
      </c>
      <c r="E7">
        <f t="shared" si="0"/>
        <v>3.99</v>
      </c>
      <c r="F7">
        <f t="shared" si="1"/>
        <v>9.39</v>
      </c>
      <c r="G7">
        <f t="shared" si="2"/>
        <v>0</v>
      </c>
      <c r="H7">
        <f t="shared" si="5"/>
        <v>0.67000000000000037</v>
      </c>
      <c r="I7">
        <f t="shared" si="3"/>
        <v>2.0299999999999998</v>
      </c>
      <c r="J7">
        <f t="shared" si="4"/>
        <v>6.63</v>
      </c>
    </row>
    <row r="8" spans="1:10" ht="13.2" x14ac:dyDescent="0.25">
      <c r="A8" s="2"/>
    </row>
    <row r="9" spans="1:10" ht="13.2" x14ac:dyDescent="0.25">
      <c r="A9" s="2"/>
    </row>
    <row r="10" spans="1:10" ht="13.2" x14ac:dyDescent="0.25">
      <c r="A10" s="2"/>
    </row>
    <row r="11" spans="1:10" ht="13.2" x14ac:dyDescent="0.25">
      <c r="A11" s="2"/>
    </row>
    <row r="12" spans="1:10" ht="13.2" x14ac:dyDescent="0.25">
      <c r="A12" s="2"/>
    </row>
    <row r="13" spans="1:10" ht="13.2" x14ac:dyDescent="0.25">
      <c r="A13" s="2"/>
    </row>
    <row r="14" spans="1:10" ht="13.2" x14ac:dyDescent="0.25">
      <c r="A14" s="2"/>
    </row>
    <row r="15" spans="1:10" ht="13.2" x14ac:dyDescent="0.25">
      <c r="A15" s="2"/>
    </row>
    <row r="16" spans="1:10" ht="13.2" x14ac:dyDescent="0.25">
      <c r="A16" s="2"/>
    </row>
    <row r="17" spans="1:1" ht="13.2" x14ac:dyDescent="0.25">
      <c r="A17" s="2"/>
    </row>
    <row r="18" spans="1:1" ht="13.2" x14ac:dyDescent="0.25">
      <c r="A18" s="2"/>
    </row>
    <row r="19" spans="1:1" ht="13.2" x14ac:dyDescent="0.25">
      <c r="A19" s="2"/>
    </row>
    <row r="20" spans="1:1" ht="13.2" x14ac:dyDescent="0.25">
      <c r="A20" s="2"/>
    </row>
    <row r="21" spans="1:1" ht="13.2" x14ac:dyDescent="0.25">
      <c r="A21" s="2"/>
    </row>
    <row r="22" spans="1:1" ht="13.2" x14ac:dyDescent="0.25">
      <c r="A22" s="2"/>
    </row>
    <row r="23" spans="1:1" ht="13.2" x14ac:dyDescent="0.25">
      <c r="A23" s="2"/>
    </row>
    <row r="24" spans="1:1" ht="13.2" x14ac:dyDescent="0.25">
      <c r="A24" s="2"/>
    </row>
    <row r="25" spans="1:1" ht="13.2" x14ac:dyDescent="0.25">
      <c r="A25" s="2"/>
    </row>
    <row r="26" spans="1:1" ht="13.2" x14ac:dyDescent="0.25">
      <c r="A26" s="2"/>
    </row>
    <row r="27" spans="1:1" ht="13.2" x14ac:dyDescent="0.25">
      <c r="A27" s="2"/>
    </row>
    <row r="28" spans="1:1" ht="13.2" x14ac:dyDescent="0.25">
      <c r="A28" s="2"/>
    </row>
    <row r="29" spans="1:1" ht="13.2" x14ac:dyDescent="0.25">
      <c r="A29" s="2"/>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17FAE9-E753-4429-AA00-D8EA345AC5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Fig. H.1. Baseline</vt:lpstr>
      <vt:lpstr>Fig. H.2. First Clinic</vt:lpstr>
      <vt:lpstr>Fig. H.3. Second Clinic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2026-05-07T17:32:25Z</dcterms:modified>
</cp:coreProperties>
</file>